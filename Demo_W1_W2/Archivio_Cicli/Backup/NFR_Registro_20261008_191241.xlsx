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gra\Documents\NFR Horizon Agents\Demo_W1_W2\"/>
    </mc:Choice>
  </mc:AlternateContent>
  <xr:revisionPtr revIDLastSave="0" documentId="13_ncr:1_{2DFE514F-B2C0-4014-B6D3-F4CEC10F3926}" xr6:coauthVersionLast="47" xr6:coauthVersionMax="47" xr10:uidLastSave="{00000000-0000-0000-0000-000000000000}"/>
  <bookViews>
    <workbookView xWindow="1509" yWindow="1509" windowWidth="24685" windowHeight="13594" activeTab="1" xr2:uid="{00000000-000D-0000-FFFF-FFFF00000000}"/>
  </bookViews>
  <sheets>
    <sheet name="Guida" sheetId="1" r:id="rId1"/>
    <sheet name="Quadro" sheetId="2" r:id="rId2"/>
    <sheet name="Classifica" sheetId="3" r:id="rId3"/>
    <sheet name="Radar_Mosca" sheetId="4" r:id="rId4"/>
    <sheet name="Matrice" sheetId="5" r:id="rId5"/>
    <sheet name="Delta" sheetId="6" r:id="rId6"/>
    <sheet name="Fenomeni" sheetId="7" r:id="rId7"/>
    <sheet name="Metodologia" sheetId="8" r:id="rId8"/>
    <sheet name="Registro" sheetId="9" r:id="rId9"/>
    <sheet name="Storico" sheetId="10" r:id="rId10"/>
    <sheet name="Indicatori" sheetId="11" r:id="rId11"/>
    <sheet name="Notizie" sheetId="12" r:id="rId12"/>
    <sheet name="Piano_azioni" sheetId="13" r:id="rId13"/>
    <sheet name="Osservazione" sheetId="14" r:id="rId14"/>
    <sheet name="Validazione" sheetId="15" r:id="rId15"/>
    <sheet name="Parametri" sheetId="16" r:id="rId16"/>
    <sheet name="Dizionario" sheetId="17" r:id="rId17"/>
    <sheet name="RiskRegister" sheetId="18" r:id="rId18"/>
    <sheet name="Azioni" sheetId="19" r:id="rId19"/>
    <sheet name="KRI" sheetId="20" r:id="rId20"/>
    <sheet name="NewsLog" sheetId="21" r:id="rId21"/>
    <sheet name="Sintesi_Cicli" sheetId="22" r:id="rId22"/>
    <sheet name="Sintesi_Settimane" sheetId="23" r:id="rId23"/>
    <sheet name="Storico_Validazioni" sheetId="24" r:id="rId24"/>
  </sheets>
  <definedNames>
    <definedName name="ANA_Anni_Adeguamento">Parametri!$M$4:$M$23</definedName>
    <definedName name="ANA_Attenzione_Supervisore">Parametri!$N$4:$N$23</definedName>
    <definedName name="ANA_Driver">Parametri!$K$4:$K$23</definedName>
    <definedName name="ANA_Event_Type">Parametri!$J$4:$J$23</definedName>
    <definedName name="ANA_ID">Parametri!$H$4:$H$23</definedName>
    <definedName name="ANA_Nome">Parametri!$I$4:$I$23</definedName>
    <definedName name="ANA_Owner">Parametri!$L$4:$L$23</definedName>
    <definedName name="ANA_Presidio_Controlli">Parametri!$O$4:$O$23</definedName>
    <definedName name="anagrafica">Parametri!$H$4:$O$23</definedName>
    <definedName name="anniProssimita">Parametri!$B$51:$B$55</definedName>
    <definedName name="_xlnm.Print_Area" localSheetId="2">Classifica!$A$1:$K$54</definedName>
    <definedName name="_xlnm.Print_Area" localSheetId="5">Delta!$A$1:$Q$52</definedName>
    <definedName name="_xlnm.Print_Area" localSheetId="6">Fenomeni!$A$1:$K$37</definedName>
    <definedName name="_xlnm.Print_Area" localSheetId="4">Matrice!$A$1:$G$37</definedName>
    <definedName name="_xlnm.Print_Area" localSheetId="7">Metodologia!$A$1:$B$109</definedName>
    <definedName name="_xlnm.Print_Area" localSheetId="15">Parametri!$A$1:$O$75</definedName>
    <definedName name="_xlnm.Print_Area" localSheetId="1">Quadro!$A$1:$O$72</definedName>
    <definedName name="_xlnm.Print_Area" localSheetId="3">Radar_Mosca!$A$1:$L$64</definedName>
    <definedName name="_xlnm.Print_Area" localSheetId="8">Registro!$A$1:$T$30</definedName>
    <definedName name="_xlnm.Print_Area" localSheetId="14">Validazione!$A$1:$O$417</definedName>
    <definedName name="AZ_Ciclo">Azioni!$A$6:$A$20029</definedName>
    <definedName name="AZ_Data_Decisione">Azioni!$J$6:$J$20029</definedName>
    <definedName name="AZ_Decisa_Da">Azioni!$K$6:$K$20029</definedName>
    <definedName name="AZ_Descrizione">Azioni!$D$6:$D$20029</definedName>
    <definedName name="AZ_ID_Azione">Azioni!$C$6:$C$20029</definedName>
    <definedName name="AZ_ID_Rischio">Azioni!$B$6:$B$20029</definedName>
    <definedName name="AZ_Mesi_Orizzonte">Azioni!$G$6:$G$20029</definedName>
    <definedName name="AZ_Orizzonte">Azioni!$F$6:$F$20029</definedName>
    <definedName name="AZ_Owner">Azioni!$E$6:$E$20029</definedName>
    <definedName name="AZ_Razionale">Azioni!$H$6:$H$20029</definedName>
    <definedName name="AZ_Stato">Azioni!$I$6:$I$20029</definedName>
    <definedName name="AZ_Validazione">Azioni!$L$6:$L$20029</definedName>
    <definedName name="capienzaElencoKRI">150</definedName>
    <definedName name="capienzaKRICorrenti">60</definedName>
    <definedName name="capienzaOsservazione">20</definedName>
    <definedName name="capienzaPianoAzioni">150</definedName>
    <definedName name="capienzaRadar">Parametri!$B$66</definedName>
    <definedName name="cicliTrend">Parametri!$B$20:$B$27</definedName>
    <definedName name="cicliUscitaRadar">Parametri!$B$69</definedName>
    <definedName name="cicloCorrente">Parametri!$B$15</definedName>
    <definedName name="cicloMeno2">Parametri!$B$17</definedName>
    <definedName name="cicloPrecedente">Parametri!$B$16</definedName>
    <definedName name="classificaAgire">OFFSET(Classifica!$V$5,0,0,MAX(1,COUNT(Classifica!$D$5:$D$24)),1)</definedName>
    <definedName name="classificaEntro">OFFSET(Classifica!$W$5,0,0,MAX(1,COUNT(Classifica!$D$5:$D$24)),1)</definedName>
    <definedName name="classificaEtichette">OFFSET(Classifica!$K$5,0,0,MAX(1,COUNT(Classifica!$D$5:$D$24)),1)</definedName>
    <definedName name="classificaID">OFFSET(Classifica!$B$5,0,0,MAX(1,COUNT(Classifica!$D$5:$D$24)),1)</definedName>
    <definedName name="classificaMargine">OFFSET(Classifica!$X$5,0,0,MAX(1,COUNT(Classifica!$D$5:$D$24)),1)</definedName>
    <definedName name="codiciDriver">Parametri!$E$15:$E$22</definedName>
    <definedName name="codiciL1">Parametri!$E$4:$E$12</definedName>
    <definedName name="coperturaAnagrafica">Registro!$D$5</definedName>
    <definedName name="coperturaValutati">Registro!$G$5</definedName>
    <definedName name="dataRiferimento">Parametri!$B$18</definedName>
    <definedName name="decisioniDaPrendere">Registro!$D$4</definedName>
    <definedName name="deltaEtichette">OFFSET(Delta!$AL$5,0,0,MAX(1,COUNT(Delta!$AI$5:$AI$24)),1)</definedName>
    <definedName name="deltaGiu">OFFSET(Delta!$AN$5,0,0,MAX(1,COUNT(Delta!$AI$5:$AI$24)),1)</definedName>
    <definedName name="deltaMotivi">Delta!$K$6:$Q$25</definedName>
    <definedName name="deltaSu">OFFSET(Delta!$AM$5,0,0,MAX(1,COUNT(Delta!$AI$5:$AI$24)),1)</definedName>
    <definedName name="deltaZero">OFFSET(Delta!$AO$5,0,0,MAX(1,COUNT(Delta!$AI$5:$AI$24)),1)</definedName>
    <definedName name="elencoKRI">OFFSET(Indicatori!$AB$12,0,0,MAX(1,COUNTIF(Indicatori!$AB$12:$AB$161,"?*")),1)</definedName>
    <definedName name="etichettaCiclo">Parametri!$B$57</definedName>
    <definedName name="fenomeniLista">Fenomeni!$A$7:$K$26</definedName>
    <definedName name="fenomeniUscite">Fenomeni!$A$30:$K$35</definedName>
    <definedName name="inizioFinestra4">Parametri!$B$31</definedName>
    <definedName name="KRI_Chiave">KRI!$S$6:$S$20051</definedName>
    <definedName name="KRI_Ciclo">KRI!$A$6:$A$20051</definedName>
    <definedName name="KRI_Ciclo_Aggiornamento">KRI!$Q$6:$Q$20051</definedName>
    <definedName name="KRI_Ciclo_Definizione">KRI!$P$6:$P$20051</definedName>
    <definedName name="KRI_Data_Rilevazione">KRI!$K$6:$K$20051</definedName>
    <definedName name="KRI_Fonte_Dati">KRI!$G$6:$G$20051</definedName>
    <definedName name="KRI_Fonte_Rilevazione">KRI!$L$6:$L$20051</definedName>
    <definedName name="KRI_ID_Rischio">KRI!$C$6:$C$20051</definedName>
    <definedName name="KRI_In_Vigore">KRI!$O$6:$O$20051</definedName>
    <definedName name="KRI_KRI_ID">KRI!$B$6:$B$20051</definedName>
    <definedName name="KRI_Nome">KRI!$D$6:$D$20051</definedName>
    <definedName name="KRI_Nota_Rilevazione">KRI!$M$6:$M$20051</definedName>
    <definedName name="KRI_Razionale">KRI!$R$6:$R$20051</definedName>
    <definedName name="KRI_Soglia_Allerta">KRI!$I$6:$I$20051</definedName>
    <definedName name="KRI_Soglia_Attenzione">KRI!$H$6:$H$20051</definedName>
    <definedName name="KRI_Stato">KRI!$N$6:$N$20051</definedName>
    <definedName name="KRI_Tipo">KRI!$E$6:$E$20051</definedName>
    <definedName name="KRI_Unita">KRI!$F$6:$F$20051</definedName>
    <definedName name="KRI_Validazione">KRI!$T$6:$T$20051</definedName>
    <definedName name="KRI_Valore_Corrente">KRI!$J$6:$J$20051</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livelloForti">Parametri!$B$63</definedName>
    <definedName name="livelloMargine">Parametri!$B$62</definedName>
    <definedName name="livelloPxI">Parametri!$B$60</definedName>
    <definedName name="livelloQuotaKRI">Parametri!$B$61</definedName>
    <definedName name="moscaX">Parametri!$B$48</definedName>
    <definedName name="moscaYDefault">Parametri!$B$49</definedName>
    <definedName name="nomiDriver">Parametri!$F$15:$F$22</definedName>
    <definedName name="nomiL1">Parametri!$F$4:$F$12</definedName>
    <definedName name="NW_Codice_Fonte">NewsLog!$F$6:$F$20006</definedName>
    <definedName name="NW_Data">NewsLog!$A$6:$A$20006</definedName>
    <definedName name="NW_Fonte">NewsLog!$E$6:$E$20006</definedName>
    <definedName name="NW_ID_Notizia">NewsLog!$C$6:$C$20006</definedName>
    <definedName name="NW_Imp_9_1">NewsLog!$I$6:$I$20006</definedName>
    <definedName name="NW_Imp_9_11">NewsLog!$P$6:$P$20006</definedName>
    <definedName name="NW_Imp_9_13">NewsLog!$Q$6:$Q$20006</definedName>
    <definedName name="NW_Imp_9_4">NewsLog!$J$6:$J$20006</definedName>
    <definedName name="NW_Imp_9_5">NewsLog!$K$6:$K$20006</definedName>
    <definedName name="NW_Imp_9_6">NewsLog!$L$6:$L$20006</definedName>
    <definedName name="NW_Imp_9_7">NewsLog!$M$6:$M$20006</definedName>
    <definedName name="NW_Imp_9_8">NewsLog!$N$6:$N$20006</definedName>
    <definedName name="NW_Imp_9_9">NewsLog!$O$6:$O$20006</definedName>
    <definedName name="NW_Rischio_ID">NewsLog!$G$6:$G$20006</definedName>
    <definedName name="NW_Segnale">NewsLog!$H$6:$H$20006</definedName>
    <definedName name="NW_Settimana">NewsLog!$B$6:$B$20006</definedName>
    <definedName name="NW_Sintesi">NewsLog!$R$6:$R$20006</definedName>
    <definedName name="NW_Titolo">NewsLog!$D$6:$D$20006</definedName>
    <definedName name="NW_Validazione">NewsLog!$S$6:$S$20006</definedName>
    <definedName name="pesoImpatto">Parametri!$B$4</definedName>
    <definedName name="pesoProbabilita">Parametri!$B$5</definedName>
    <definedName name="pesoProssimita">Parametri!$B$6</definedName>
    <definedName name="pesoVelocity">Parametri!$B$7</definedName>
    <definedName name="posBadge">Registro!$AK$9:$AK$28</definedName>
    <definedName name="posID">Registro!$AA$9:$AA$28</definedName>
    <definedName name="posImpatto">Registro!$AC$9:$AC$28</definedName>
    <definedName name="posLivello">Registro!$AN$9:$AN$28</definedName>
    <definedName name="posNetti">Registro!$AJ$9:$AJ$28</definedName>
    <definedName name="posNome">Registro!$AB$9:$AB$28</definedName>
    <definedName name="posProbabilita">Registro!$AD$9:$AD$28</definedName>
    <definedName name="posProssimita">Registro!$AE$9:$AE$28</definedName>
    <definedName name="posScore">Registro!$AG$9:$AG$28</definedName>
    <definedName name="posScore2">Registro!$AI$9:$AI$28</definedName>
    <definedName name="posScorePrec">Registro!$AH$9:$AH$28</definedName>
    <definedName name="posVelocity">Registro!$AF$9:$AF$28</definedName>
    <definedName name="presidioCodici">Notizie!$A$5:$A$13</definedName>
    <definedName name="presidioStato">Notizie!$F$5:$F$13</definedName>
    <definedName name="quadroCommento">Quadro!$A$41:$O$45</definedName>
    <definedName name="quadroNote">Quadro!$C$16</definedName>
    <definedName name="quadroSegnalati">Quadro!$A$50:$O$69</definedName>
    <definedName name="rettificheApplicate">Registro!$G$4</definedName>
    <definedName name="rmID">Radar_Mosca!$A$5:$A$24</definedName>
    <definedName name="rmLivello">Radar_Mosca!$AA$5:$AA$24</definedName>
    <definedName name="rmMargine">Radar_Mosca!$K$5:$K$24</definedName>
    <definedName name="rmMotivoLivello">Radar_Mosca!$AB$5:$AB$24</definedName>
    <definedName name="rmPxI">Radar_Mosca!$F$5:$F$24</definedName>
    <definedName name="rmUrgenza">Radar_Mosca!$L$5:$L$24</definedName>
    <definedName name="rmX">Radar_Mosca!$I$5:$I$24</definedName>
    <definedName name="rmY">Radar_Mosca!$J$5:$J$24</definedName>
    <definedName name="rmZ">Radar_Mosca!$H$5:$H$24</definedName>
    <definedName name="RR_Anni_Adeguamento">RiskRegister!$L$6:$L$20032</definedName>
    <definedName name="RR_Approvato_Da">RiskRegister!$V$6:$V$20032</definedName>
    <definedName name="RR_Chiave">RiskRegister!$T$6:$T$20032</definedName>
    <definedName name="RR_Ciclo">RiskRegister!$A$6:$A$20032</definedName>
    <definedName name="RR_Data_Riferimento">RiskRegister!$B$6:$B$20032</definedName>
    <definedName name="RR_Data_Scrittura">RiskRegister!$U$6:$U$20032</definedName>
    <definedName name="RR_Data_Validazione">RiskRegister!$X$6:$X$20032</definedName>
    <definedName name="RR_Decisione_Stato">RiskRegister!$AC$6:$AC$20032</definedName>
    <definedName name="RR_Descrizione">RiskRegister!$N$6:$N$20032</definedName>
    <definedName name="RR_Driver">RiskRegister!$F$6:$F$20032</definedName>
    <definedName name="RR_Esito">RiskRegister!$M$6:$M$20032</definedName>
    <definedName name="RR_Event_Type">RiskRegister!$E$6:$E$20032</definedName>
    <definedName name="RR_Fonti">RiskRegister!$Q$6:$Q$20032</definedName>
    <definedName name="RR_ID_Rischio">RiskRegister!$C$6:$C$20032</definedName>
    <definedName name="RR_Impatto">RiskRegister!$G$6:$G$20032</definedName>
    <definedName name="RR_Motivo_Stato">RiskRegister!$AA$6:$AA$20032</definedName>
    <definedName name="RR_Movimento">RiskRegister!$AB$6:$AB$20032</definedName>
    <definedName name="RR_Nome">RiskRegister!$D$6:$D$20032</definedName>
    <definedName name="RR_Ordine_Osservazione">RiskRegister!$AF$6:$AF$20032</definedName>
    <definedName name="RR_Orizzonte_Anni">RiskRegister!$AD$6:$AD$20032</definedName>
    <definedName name="RR_Owner">RiskRegister!$S$6:$S$20032</definedName>
    <definedName name="RR_Periodo_Valutazione">RiskRegister!$Y$6:$Y$20032</definedName>
    <definedName name="RR_Probabilita">RiskRegister!$K$6:$K$20032</definedName>
    <definedName name="RR_Prossimita">RiskRegister!$I$6:$I$20032</definedName>
    <definedName name="RR_Razionale">RiskRegister!$O$6:$O$20032</definedName>
    <definedName name="RR_Rilievi">RiskRegister!$R$6:$R$20032</definedName>
    <definedName name="RR_Score_Composito">RiskRegister!$J$6:$J$20032</definedName>
    <definedName name="RR_Segnale_Avvicinamento">RiskRegister!$AE$6:$AE$20032</definedName>
    <definedName name="RR_Stato">RiskRegister!$Z$6:$Z$20032</definedName>
    <definedName name="RR_Validazione">RiskRegister!$W$6:$W$20032</definedName>
    <definedName name="RR_Variazioni">RiskRegister!$P$6:$P$20032</definedName>
    <definedName name="RR_Velocity">RiskRegister!$H$6:$H$20032</definedName>
    <definedName name="SE_Data_Scrittura">Sintesi_Settimane!$F$6:$F$20002</definedName>
    <definedName name="SE_Flag_Proposti">Sintesi_Settimane!$E$6:$E$20002</definedName>
    <definedName name="SE_Notizie">Sintesi_Settimane!$B$6:$B$20002</definedName>
    <definedName name="SE_Proposta_Straordinario">Sintesi_Settimane!$D$6:$D$20002</definedName>
    <definedName name="SE_Settimana">Sintesi_Settimane!$A$6:$A$20002</definedName>
    <definedName name="SE_Sintesi_A3">Sintesi_Settimane!$C$6:$C$20002</definedName>
    <definedName name="settimanaCorrente">Parametri!$B$30</definedName>
    <definedName name="settimane12">Parametri!$B$34:$B$45</definedName>
    <definedName name="SI_Ciclo">Sintesi_Cicli!$A$6:$A$20002</definedName>
    <definedName name="SI_Data_Riferimento">Sintesi_Cicli!$B$6:$B$20002</definedName>
    <definedName name="SI_Data_Scrittura">Sintesi_Cicli!$I$6:$I$20002</definedName>
    <definedName name="SI_Note_Analista">Sintesi_Cicli!$H$6:$H$20002</definedName>
    <definedName name="SI_Osservazioni_Controlli">Sintesi_Cicli!$E$6:$E$20002</definedName>
    <definedName name="SI_Rilievi_Ciclo">Sintesi_Cicli!$F$6:$F$20002</definedName>
    <definedName name="SI_Rilievi_Superati">Sintesi_Cicli!$G$6:$G$20002</definedName>
    <definedName name="SI_Sintesi_A1">Sintesi_Cicli!$C$6:$C$20002</definedName>
    <definedName name="SI_Sintesi_A5">Sintesi_Cicli!$D$6:$D$20002</definedName>
    <definedName name="SI_Straordinario">Sintesi_Cicli!$J$6:$J$20002</definedName>
    <definedName name="sogliaDelta">Parametri!$B$12</definedName>
    <definedName name="sogliaDirezione">Parametri!$B$11</definedName>
    <definedName name="sogliaProbabilitaRadar">Parametri!$B$68</definedName>
    <definedName name="sogliaProssimitaRadar">Parametri!$B$67</definedName>
    <definedName name="statoCopertura">Registro!$H$5</definedName>
    <definedName name="statoValidazione">Registro!$H$4</definedName>
    <definedName name="_xlnm.Print_Titles" localSheetId="8">Registro!$7:$8</definedName>
    <definedName name="VAL_Campo">Storico_Validazioni!$E$6:$E$20411</definedName>
    <definedName name="VAL_Data_Validazione">Storico_Validazioni!$K$6:$K$20411</definedName>
    <definedName name="VAL_Decisione">Storico_Validazioni!$G$6:$G$20411</definedName>
    <definedName name="VAL_ID">Storico_Validazioni!$C$6:$C$20411</definedName>
    <definedName name="VAL_Motivazione">Storico_Validazioni!$I$6:$I$20411</definedName>
    <definedName name="VAL_Nome">Storico_Validazioni!$D$6:$D$20411</definedName>
    <definedName name="VAL_Oggetto">Storico_Validazioni!$B$6:$B$20411</definedName>
    <definedName name="VAL_Periodo">Storico_Validazioni!$A$6:$A$20411</definedName>
    <definedName name="VAL_Proposta_Agente">Storico_Validazioni!$F$6:$F$20411</definedName>
    <definedName name="VAL_Stato">Storico_Validazioni!$L$6:$L$20411</definedName>
    <definedName name="VAL_Validato_Da">Storico_Validazioni!$J$6:$J$20411</definedName>
    <definedName name="VAL_Valore_Validato">Storico_Validazioni!$H$6:$H$20411</definedName>
    <definedName name="valStato">Validazione!$A$3</definedName>
    <definedName name="versioneTemplate">"2026-10-09"</definedName>
    <definedName name="VG_Azione_Appoggio">Validazione!$R$113:$R$212</definedName>
    <definedName name="VG_Azione_ID">Validazione!$A$113:$A$212</definedName>
    <definedName name="VG_Azione_Mesi">Validazione!$S$113:$S$212</definedName>
    <definedName name="VG_Azione_Motivazione">Validazione!$M$113:$M$212</definedName>
    <definedName name="VG_Azione_Nome">Validazione!$B$113:$B$212</definedName>
    <definedName name="VG_Azione_Orizzonte">Validazione!$H$113:$H$212</definedName>
    <definedName name="VG_Azione_Orizzonte_P">Validazione!$G$113:$G$212</definedName>
    <definedName name="VG_Azione_Owner">Validazione!$E$113:$E$212</definedName>
    <definedName name="VG_Azione_Owner_P">Validazione!$C$113:$C$212</definedName>
    <definedName name="VG_Azione_Periodo">Validazione!$Q$113:$Q$212</definedName>
    <definedName name="VG_Azione_Respingi">Validazione!$I$113:$I$212</definedName>
    <definedName name="VG_Azione_righe">Validazione!$A$113:$V$212</definedName>
    <definedName name="VG_Azione_titolo">Validazione!$A$111</definedName>
    <definedName name="VG_KRI_Appoggio">Validazione!$R$30:$R$109</definedName>
    <definedName name="VG_KRI_ID">Validazione!$A$30:$A$109</definedName>
    <definedName name="VG_KRI_Motivazione">Validazione!$M$30:$M$109</definedName>
    <definedName name="VG_KRI_Nome">Validazione!$B$30:$B$109</definedName>
    <definedName name="VG_KRI_Periodo">Validazione!$Q$30:$Q$109</definedName>
    <definedName name="VG_KRI_Respingi">Validazione!$J$30:$J$109</definedName>
    <definedName name="VG_KRI_righe">Validazione!$A$30:$V$109</definedName>
    <definedName name="VG_KRI_Soglia_Allerta">Validazione!$I$30:$I$109</definedName>
    <definedName name="VG_KRI_Soglia_Allerta_P">Validazione!$H$30:$H$109</definedName>
    <definedName name="VG_KRI_Soglia_Attenzione">Validazione!$G$30:$G$109</definedName>
    <definedName name="VG_KRI_Soglia_Attenzione_P">Validazione!$F$30:$F$109</definedName>
    <definedName name="VG_KRI_Tipo">Validazione!$C$30:$C$109</definedName>
    <definedName name="VG_KRI_titolo">Validazione!$A$28</definedName>
    <definedName name="VG_KRI_Valore_Corrente">Validazione!$E$30:$E$109</definedName>
    <definedName name="VG_KRI_Valore_Corrente_P">Validazione!$D$30:$D$109</definedName>
    <definedName name="VG_Notizia_Appoggio">Validazione!$R$216:$R$415</definedName>
    <definedName name="VG_Notizia_ID">Validazione!$A$216:$A$415</definedName>
    <definedName name="VG_Notizia_Motivazione">Validazione!$M$216:$M$415</definedName>
    <definedName name="VG_Notizia_Nome">Validazione!$B$216:$B$415</definedName>
    <definedName name="VG_Notizia_Periodo">Validazione!$Q$216:$Q$415</definedName>
    <definedName name="VG_Notizia_Respingi">Validazione!$I$216:$I$415</definedName>
    <definedName name="VG_Notizia_righe">Validazione!$A$216:$V$415</definedName>
    <definedName name="VG_Notizia_Rischio_ID">Validazione!$E$216:$E$415</definedName>
    <definedName name="VG_Notizia_Rischio_ID_P">Validazione!$C$216:$C$415</definedName>
    <definedName name="VG_Notizia_Segnale">Validazione!$H$216:$H$415</definedName>
    <definedName name="VG_Notizia_Segnale_P">Validazione!$G$216:$G$415</definedName>
    <definedName name="VG_Notizia_Settimana">Validazione!$J$216:$J$415</definedName>
    <definedName name="VG_Notizia_titolo">Validazione!$A$214</definedName>
    <definedName name="VG_Rischio_Anni_Adeguamento">Validazione!$L$7:$L$26</definedName>
    <definedName name="VG_Rischio_Anni_Adeguamento_P">Validazione!$K$7:$K$26</definedName>
    <definedName name="VG_Rischio_Appoggio">Validazione!$R$7:$R$26</definedName>
    <definedName name="VG_Rischio_Decisione_Stato">Validazione!$Y$7:$Y$26</definedName>
    <definedName name="VG_Rischio_Decisione_Stato_P">Validazione!$X$7:$X$26</definedName>
    <definedName name="VG_Rischio_ID">Validazione!$A$7:$A$26</definedName>
    <definedName name="VG_Rischio_Impatto">Validazione!$D$7:$D$26</definedName>
    <definedName name="VG_Rischio_Impatto_P">Validazione!$C$7:$C$26</definedName>
    <definedName name="VG_Rischio_Margine">Validazione!$O$7:$O$26</definedName>
    <definedName name="VG_Rischio_MargineNum">Validazione!$S$7:$S$26</definedName>
    <definedName name="VG_Rischio_Motivazione">Validazione!$M$7:$M$26</definedName>
    <definedName name="VG_Rischio_Nome">Validazione!$B$7:$B$26</definedName>
    <definedName name="VG_Rischio_Periodo">Validazione!$Q$7:$Q$26</definedName>
    <definedName name="VG_Rischio_Probabilita">Validazione!$F$7:$F$26</definedName>
    <definedName name="VG_Rischio_Probabilita_P">Validazione!$E$7:$E$26</definedName>
    <definedName name="VG_Rischio_Prossimita">Validazione!$H$7:$H$26</definedName>
    <definedName name="VG_Rischio_Prossimita_P">Validazione!$G$7:$G$26</definedName>
    <definedName name="VG_Rischio_righe">Validazione!$A$7:$V$26</definedName>
    <definedName name="VG_Rischio_Score">Validazione!$N$7:$N$26</definedName>
    <definedName name="VG_Rischio_ScoreNum">Validazione!$U$7:$U$26</definedName>
    <definedName name="VG_Rischio_Segnalazioni">Validazione!$P$7:$P$26</definedName>
    <definedName name="VG_Rischio_SegnalazioniCiclo">Validazione!$P$5</definedName>
    <definedName name="VG_Rischio_Stato">Validazione!$W$7:$W$26</definedName>
    <definedName name="VG_Rischio_titolo">Validazione!$A$5</definedName>
    <definedName name="VG_Rischio_Velocity">Validazione!$J$7:$J$26</definedName>
    <definedName name="VG_Rischio_Velocity_P">Validazione!$I$7:$I$26</definedName>
  </definedNames>
  <calcPr calcId="191029"/>
</workbook>
</file>

<file path=xl/calcChain.xml><?xml version="1.0" encoding="utf-8"?>
<calcChain xmlns="http://schemas.openxmlformats.org/spreadsheetml/2006/main">
  <c r="B21" i="21" l="1"/>
  <c r="T75" i="18"/>
  <c r="J75" i="18"/>
  <c r="AF75" i="18" s="1"/>
  <c r="G46" i="19"/>
  <c r="G45" i="19"/>
  <c r="G44" i="19"/>
  <c r="G43" i="19"/>
  <c r="G42" i="19"/>
  <c r="G41" i="19"/>
  <c r="G40" i="19"/>
  <c r="G39" i="19"/>
  <c r="G38" i="19"/>
  <c r="G37" i="19"/>
  <c r="G36" i="19"/>
  <c r="G35" i="19"/>
  <c r="G34" i="19"/>
  <c r="G33" i="19"/>
  <c r="T74" i="18"/>
  <c r="J74" i="18"/>
  <c r="AF74" i="18" s="1"/>
  <c r="T73" i="18"/>
  <c r="J73" i="18"/>
  <c r="AF73" i="18" s="1"/>
  <c r="AF72" i="18"/>
  <c r="T72" i="18"/>
  <c r="J72" i="18"/>
  <c r="AF71" i="18"/>
  <c r="T71" i="18"/>
  <c r="J71" i="18"/>
  <c r="AF70" i="18"/>
  <c r="T70" i="18"/>
  <c r="J70" i="18"/>
  <c r="AF69" i="18"/>
  <c r="T69" i="18"/>
  <c r="J69" i="18"/>
  <c r="AF68" i="18"/>
  <c r="T68" i="18"/>
  <c r="J68" i="18"/>
  <c r="AF67" i="18"/>
  <c r="T67" i="18"/>
  <c r="J67" i="18"/>
  <c r="AF66" i="18"/>
  <c r="T66" i="18"/>
  <c r="J66" i="18"/>
  <c r="AF65" i="18"/>
  <c r="T65" i="18"/>
  <c r="J65" i="18"/>
  <c r="AF64" i="18"/>
  <c r="T64" i="18"/>
  <c r="J64" i="18"/>
  <c r="AF63" i="18"/>
  <c r="T63" i="18"/>
  <c r="J63" i="18"/>
  <c r="AF62" i="18"/>
  <c r="T62" i="18"/>
  <c r="J62" i="18"/>
  <c r="AF61" i="18"/>
  <c r="T61" i="18"/>
  <c r="J61" i="18"/>
  <c r="AF60" i="18"/>
  <c r="T60" i="18"/>
  <c r="J60" i="18"/>
  <c r="S122" i="20"/>
  <c r="N122" i="20"/>
  <c r="S121" i="20"/>
  <c r="N121" i="20"/>
  <c r="S120" i="20"/>
  <c r="N120" i="20"/>
  <c r="S119" i="20"/>
  <c r="N119" i="20"/>
  <c r="S118" i="20"/>
  <c r="N118" i="20"/>
  <c r="S117" i="20"/>
  <c r="N117" i="20"/>
  <c r="S116" i="20"/>
  <c r="N116" i="20"/>
  <c r="S115" i="20"/>
  <c r="N115" i="20"/>
  <c r="S114" i="20"/>
  <c r="N114" i="20"/>
  <c r="S113" i="20"/>
  <c r="N113" i="20"/>
  <c r="S112" i="20"/>
  <c r="N112" i="20"/>
  <c r="S111" i="20"/>
  <c r="N111" i="20"/>
  <c r="S110" i="20"/>
  <c r="N110" i="20"/>
  <c r="S109" i="20"/>
  <c r="N109" i="20"/>
  <c r="S108" i="20"/>
  <c r="N108" i="20"/>
  <c r="S107" i="20"/>
  <c r="N107" i="20"/>
  <c r="S106" i="20"/>
  <c r="N106" i="20"/>
  <c r="S105" i="20"/>
  <c r="N105" i="20"/>
  <c r="S104" i="20"/>
  <c r="N104" i="20"/>
  <c r="S103" i="20"/>
  <c r="N103" i="20"/>
  <c r="S102" i="20"/>
  <c r="N102" i="20"/>
  <c r="S101" i="20"/>
  <c r="N101" i="20"/>
  <c r="S100" i="20"/>
  <c r="N100" i="20"/>
  <c r="S99" i="20"/>
  <c r="N99" i="20"/>
  <c r="S98" i="20"/>
  <c r="N98" i="20"/>
  <c r="S97" i="20"/>
  <c r="N97" i="20"/>
  <c r="B20" i="21"/>
  <c r="B19" i="21"/>
  <c r="B18" i="21"/>
  <c r="B17" i="21"/>
  <c r="B16" i="21"/>
  <c r="T59" i="18"/>
  <c r="J59" i="18"/>
  <c r="AF59" i="18" s="1"/>
  <c r="T58" i="18"/>
  <c r="J58" i="18"/>
  <c r="AF58" i="18" s="1"/>
  <c r="T57" i="18"/>
  <c r="J57" i="18"/>
  <c r="AF57" i="18" s="1"/>
  <c r="G32" i="19"/>
  <c r="G31" i="19"/>
  <c r="G30" i="19"/>
  <c r="G29" i="19"/>
  <c r="G28" i="19"/>
  <c r="G27" i="19"/>
  <c r="G26" i="19"/>
  <c r="G25" i="19"/>
  <c r="G24" i="19"/>
  <c r="G23" i="19"/>
  <c r="G22" i="19"/>
  <c r="G21" i="19"/>
  <c r="G20" i="19"/>
  <c r="G19" i="19"/>
  <c r="G18" i="19"/>
  <c r="T56" i="18"/>
  <c r="J56" i="18"/>
  <c r="AF56" i="18" s="1"/>
  <c r="AF55" i="18"/>
  <c r="T55" i="18"/>
  <c r="J55" i="18"/>
  <c r="AF54" i="18"/>
  <c r="T54" i="18"/>
  <c r="J54" i="18"/>
  <c r="AF53" i="18"/>
  <c r="T53" i="18"/>
  <c r="J53" i="18"/>
  <c r="AF52" i="18"/>
  <c r="T52" i="18"/>
  <c r="J52" i="18"/>
  <c r="AF51" i="18"/>
  <c r="T51" i="18"/>
  <c r="J51" i="18"/>
  <c r="AF50" i="18"/>
  <c r="T50" i="18"/>
  <c r="J50" i="18"/>
  <c r="AF49" i="18"/>
  <c r="T49" i="18"/>
  <c r="J49" i="18"/>
  <c r="AF48" i="18"/>
  <c r="T48" i="18"/>
  <c r="J48" i="18"/>
  <c r="AF47" i="18"/>
  <c r="T47" i="18"/>
  <c r="J47" i="18"/>
  <c r="AF46" i="18"/>
  <c r="T46" i="18"/>
  <c r="J46" i="18"/>
  <c r="AF45" i="18"/>
  <c r="T45" i="18"/>
  <c r="J45" i="18"/>
  <c r="AF44" i="18"/>
  <c r="T44" i="18"/>
  <c r="J44" i="18"/>
  <c r="S96" i="20"/>
  <c r="N96" i="20"/>
  <c r="S95" i="20"/>
  <c r="N95" i="20"/>
  <c r="S94" i="20"/>
  <c r="N94" i="20"/>
  <c r="S93" i="20"/>
  <c r="N93" i="20"/>
  <c r="S92" i="20"/>
  <c r="N92" i="20"/>
  <c r="S91" i="20"/>
  <c r="N91" i="20"/>
  <c r="S90" i="20"/>
  <c r="N90" i="20"/>
  <c r="S89" i="20"/>
  <c r="N89" i="20"/>
  <c r="S88" i="20"/>
  <c r="N88" i="20"/>
  <c r="S87" i="20"/>
  <c r="N87" i="20"/>
  <c r="S86" i="20"/>
  <c r="N86" i="20"/>
  <c r="S85" i="20"/>
  <c r="N85" i="20"/>
  <c r="S84" i="20"/>
  <c r="N84" i="20"/>
  <c r="S83" i="20"/>
  <c r="N83" i="20"/>
  <c r="S82" i="20"/>
  <c r="N82" i="20"/>
  <c r="S81" i="20"/>
  <c r="N81" i="20"/>
  <c r="S80" i="20"/>
  <c r="N80" i="20"/>
  <c r="S79" i="20"/>
  <c r="N79" i="20"/>
  <c r="S78" i="20"/>
  <c r="N78" i="20"/>
  <c r="S77" i="20"/>
  <c r="N77" i="20"/>
  <c r="S76" i="20"/>
  <c r="N76" i="20"/>
  <c r="S75" i="20"/>
  <c r="N75" i="20"/>
  <c r="S74" i="20"/>
  <c r="N74" i="20"/>
  <c r="S73" i="20"/>
  <c r="N73" i="20"/>
  <c r="S72" i="20"/>
  <c r="N72" i="20"/>
  <c r="B15" i="21"/>
  <c r="H13" i="12" s="1"/>
  <c r="B14" i="21"/>
  <c r="D5" i="12" s="1"/>
  <c r="B13" i="21"/>
  <c r="B12" i="21"/>
  <c r="B11" i="21"/>
  <c r="B10" i="21"/>
  <c r="B9" i="21"/>
  <c r="B8" i="21"/>
  <c r="B7" i="21"/>
  <c r="B6" i="21"/>
  <c r="S71" i="20"/>
  <c r="N71" i="20"/>
  <c r="S70" i="20"/>
  <c r="N70" i="20"/>
  <c r="S69" i="20"/>
  <c r="N69" i="20"/>
  <c r="S68" i="20"/>
  <c r="N68" i="20"/>
  <c r="S67" i="20"/>
  <c r="N67" i="20"/>
  <c r="S66" i="20"/>
  <c r="N66" i="20"/>
  <c r="S65" i="20"/>
  <c r="N65" i="20"/>
  <c r="S64" i="20"/>
  <c r="N64" i="20"/>
  <c r="S63" i="20"/>
  <c r="N63" i="20"/>
  <c r="S62" i="20"/>
  <c r="N62" i="20"/>
  <c r="S61" i="20"/>
  <c r="N61" i="20"/>
  <c r="S60" i="20"/>
  <c r="N60" i="20"/>
  <c r="S59" i="20"/>
  <c r="N59" i="20"/>
  <c r="S58" i="20"/>
  <c r="N58" i="20"/>
  <c r="S57" i="20"/>
  <c r="N57" i="20"/>
  <c r="S56" i="20"/>
  <c r="N56" i="20"/>
  <c r="S55" i="20"/>
  <c r="N55" i="20"/>
  <c r="S54" i="20"/>
  <c r="N54" i="20"/>
  <c r="S53" i="20"/>
  <c r="N53" i="20"/>
  <c r="S52" i="20"/>
  <c r="N52" i="20"/>
  <c r="S51" i="20"/>
  <c r="N51" i="20"/>
  <c r="S50" i="20"/>
  <c r="N50" i="20"/>
  <c r="S49" i="20"/>
  <c r="N49" i="20"/>
  <c r="S48" i="20"/>
  <c r="N48" i="20"/>
  <c r="S47" i="20"/>
  <c r="N47" i="20"/>
  <c r="S46" i="20"/>
  <c r="N46" i="20"/>
  <c r="S45" i="20"/>
  <c r="N45" i="20"/>
  <c r="S44" i="20"/>
  <c r="N44" i="20"/>
  <c r="S43" i="20"/>
  <c r="N43" i="20"/>
  <c r="S42" i="20"/>
  <c r="N42" i="20"/>
  <c r="S41" i="20"/>
  <c r="N41" i="20"/>
  <c r="S40" i="20"/>
  <c r="N40" i="20"/>
  <c r="S39" i="20"/>
  <c r="N39" i="20"/>
  <c r="S38" i="20"/>
  <c r="N38" i="20"/>
  <c r="S37" i="20"/>
  <c r="N37" i="20"/>
  <c r="S36" i="20"/>
  <c r="N36" i="20"/>
  <c r="S35" i="20"/>
  <c r="N35" i="20"/>
  <c r="S34" i="20"/>
  <c r="N34" i="20"/>
  <c r="S33" i="20"/>
  <c r="N33" i="20"/>
  <c r="S32" i="20"/>
  <c r="N32" i="20"/>
  <c r="S31" i="20"/>
  <c r="N31" i="20"/>
  <c r="S30" i="20"/>
  <c r="N30" i="20"/>
  <c r="S29" i="20"/>
  <c r="N29" i="20"/>
  <c r="S28" i="20"/>
  <c r="N28" i="20"/>
  <c r="S27" i="20"/>
  <c r="N27" i="20"/>
  <c r="S26" i="20"/>
  <c r="N26" i="20"/>
  <c r="S25" i="20"/>
  <c r="N25" i="20"/>
  <c r="S24" i="20"/>
  <c r="N24" i="20"/>
  <c r="S23" i="20"/>
  <c r="N23" i="20"/>
  <c r="S22" i="20"/>
  <c r="N22" i="20"/>
  <c r="S21" i="20"/>
  <c r="N21" i="20"/>
  <c r="S20" i="20"/>
  <c r="N20" i="20"/>
  <c r="S19" i="20"/>
  <c r="N19" i="20"/>
  <c r="S18" i="20"/>
  <c r="N18" i="20"/>
  <c r="S17" i="20"/>
  <c r="N17" i="20"/>
  <c r="S16" i="20"/>
  <c r="N16" i="20"/>
  <c r="S15" i="20"/>
  <c r="N15" i="20"/>
  <c r="S14" i="20"/>
  <c r="N14" i="20"/>
  <c r="S13" i="20"/>
  <c r="N13" i="20"/>
  <c r="S12" i="20"/>
  <c r="N12" i="20"/>
  <c r="S11" i="20"/>
  <c r="N11" i="20"/>
  <c r="S10" i="20"/>
  <c r="N10" i="20"/>
  <c r="S9" i="20"/>
  <c r="N9" i="20"/>
  <c r="S8" i="20"/>
  <c r="N8" i="20"/>
  <c r="S7" i="20"/>
  <c r="N7" i="20"/>
  <c r="S6" i="20"/>
  <c r="N6" i="20"/>
  <c r="G17" i="19"/>
  <c r="G16" i="19"/>
  <c r="G15" i="19"/>
  <c r="G14" i="19"/>
  <c r="G13" i="19"/>
  <c r="G12" i="19"/>
  <c r="G11" i="19"/>
  <c r="G10" i="19"/>
  <c r="G9" i="19"/>
  <c r="G8" i="19"/>
  <c r="G7" i="19"/>
  <c r="G6" i="19"/>
  <c r="T43" i="18"/>
  <c r="J43" i="18"/>
  <c r="AF43" i="18" s="1"/>
  <c r="T42" i="18"/>
  <c r="J42" i="18"/>
  <c r="AF42" i="18" s="1"/>
  <c r="T41" i="18"/>
  <c r="J41" i="18"/>
  <c r="AF41" i="18" s="1"/>
  <c r="AF40" i="18"/>
  <c r="T40" i="18"/>
  <c r="J40" i="18"/>
  <c r="AF39" i="18"/>
  <c r="T39" i="18"/>
  <c r="J39" i="18"/>
  <c r="AF38" i="18"/>
  <c r="T38" i="18"/>
  <c r="J38" i="18"/>
  <c r="AF37" i="18"/>
  <c r="T37" i="18"/>
  <c r="J37" i="18"/>
  <c r="AF36" i="18"/>
  <c r="T36" i="18"/>
  <c r="J36" i="18"/>
  <c r="AF35" i="18"/>
  <c r="T35" i="18"/>
  <c r="J35" i="18"/>
  <c r="AF34" i="18"/>
  <c r="T34" i="18"/>
  <c r="J34" i="18"/>
  <c r="AF33" i="18"/>
  <c r="T33" i="18"/>
  <c r="J33" i="18"/>
  <c r="AF32" i="18"/>
  <c r="T32" i="18"/>
  <c r="J32" i="18"/>
  <c r="AF31" i="18"/>
  <c r="T31" i="18"/>
  <c r="J31" i="18"/>
  <c r="AF30" i="18"/>
  <c r="T30" i="18"/>
  <c r="J30" i="18"/>
  <c r="AF29" i="18"/>
  <c r="T29" i="18"/>
  <c r="J29" i="18"/>
  <c r="AF28" i="18"/>
  <c r="T28" i="18"/>
  <c r="J28" i="18"/>
  <c r="AF27" i="18"/>
  <c r="T27" i="18"/>
  <c r="J27" i="18"/>
  <c r="AF26" i="18"/>
  <c r="T26" i="18"/>
  <c r="J26" i="18"/>
  <c r="AF25" i="18"/>
  <c r="T25" i="18"/>
  <c r="J25" i="18"/>
  <c r="AF24" i="18"/>
  <c r="T24" i="18"/>
  <c r="J24" i="18"/>
  <c r="AF23" i="18"/>
  <c r="T23" i="18"/>
  <c r="J23" i="18"/>
  <c r="AF22" i="18"/>
  <c r="T22" i="18"/>
  <c r="J22" i="18"/>
  <c r="AF21" i="18"/>
  <c r="T21" i="18"/>
  <c r="J21" i="18"/>
  <c r="AF20" i="18"/>
  <c r="T20" i="18"/>
  <c r="J20" i="18"/>
  <c r="AF19" i="18"/>
  <c r="T19" i="18"/>
  <c r="J19" i="18"/>
  <c r="AF18" i="18"/>
  <c r="T18" i="18"/>
  <c r="J18" i="18"/>
  <c r="AF17" i="18"/>
  <c r="T17" i="18"/>
  <c r="J17" i="18"/>
  <c r="AF16" i="18"/>
  <c r="T16" i="18"/>
  <c r="J16" i="18"/>
  <c r="AF15" i="18"/>
  <c r="T15" i="18"/>
  <c r="J15" i="18"/>
  <c r="AF14" i="18"/>
  <c r="T14" i="18"/>
  <c r="J14" i="18"/>
  <c r="AF13" i="18"/>
  <c r="T13" i="18"/>
  <c r="J13" i="18"/>
  <c r="AF12" i="18"/>
  <c r="T12" i="18"/>
  <c r="J12" i="18"/>
  <c r="AF11" i="18"/>
  <c r="T11" i="18"/>
  <c r="J11" i="18"/>
  <c r="AF10" i="18"/>
  <c r="T10" i="18"/>
  <c r="J10" i="18"/>
  <c r="AF9" i="18"/>
  <c r="T9" i="18"/>
  <c r="J9" i="18"/>
  <c r="AF8" i="18"/>
  <c r="T8" i="18"/>
  <c r="J8" i="18"/>
  <c r="AF7" i="18"/>
  <c r="T7" i="18"/>
  <c r="J7" i="18"/>
  <c r="AF6" i="18"/>
  <c r="T6" i="18"/>
  <c r="J6" i="18"/>
  <c r="G143" i="17"/>
  <c r="G141" i="17"/>
  <c r="G140" i="17"/>
  <c r="G139" i="17"/>
  <c r="B45" i="16"/>
  <c r="A30" i="12" s="1"/>
  <c r="B44" i="16"/>
  <c r="B43" i="16"/>
  <c r="B42" i="16"/>
  <c r="B41" i="16"/>
  <c r="B40" i="16"/>
  <c r="A25" i="12" s="1"/>
  <c r="B39" i="16"/>
  <c r="A24" i="12" s="1"/>
  <c r="B38" i="16"/>
  <c r="A23" i="12" s="1"/>
  <c r="B37" i="16"/>
  <c r="B36" i="16"/>
  <c r="B35" i="16"/>
  <c r="A20" i="12" s="1"/>
  <c r="B34" i="16"/>
  <c r="A19" i="12" s="1"/>
  <c r="B31" i="16"/>
  <c r="I8" i="12" s="1"/>
  <c r="B8" i="16"/>
  <c r="C8" i="16" s="1"/>
  <c r="T212" i="15"/>
  <c r="S212" i="15"/>
  <c r="T211" i="15"/>
  <c r="S211" i="15"/>
  <c r="T210" i="15"/>
  <c r="S210" i="15"/>
  <c r="T209" i="15"/>
  <c r="S209" i="15"/>
  <c r="T208" i="15"/>
  <c r="S208" i="15"/>
  <c r="T207" i="15"/>
  <c r="S207" i="15"/>
  <c r="T206" i="15"/>
  <c r="S206" i="15"/>
  <c r="T205" i="15"/>
  <c r="S205" i="15"/>
  <c r="T204" i="15"/>
  <c r="S204" i="15"/>
  <c r="T203" i="15"/>
  <c r="S203" i="15"/>
  <c r="T202" i="15"/>
  <c r="S202" i="15"/>
  <c r="T201" i="15"/>
  <c r="S201" i="15"/>
  <c r="T200" i="15"/>
  <c r="S200" i="15"/>
  <c r="T199" i="15"/>
  <c r="S199" i="15"/>
  <c r="T198" i="15"/>
  <c r="S198" i="15"/>
  <c r="T197" i="15"/>
  <c r="S197" i="15"/>
  <c r="T196" i="15"/>
  <c r="S196" i="15"/>
  <c r="T195" i="15"/>
  <c r="S195" i="15"/>
  <c r="T194" i="15"/>
  <c r="S194" i="15"/>
  <c r="T193" i="15"/>
  <c r="S193" i="15"/>
  <c r="T192" i="15"/>
  <c r="S192" i="15"/>
  <c r="T191" i="15"/>
  <c r="S191" i="15"/>
  <c r="T190" i="15"/>
  <c r="S190" i="15"/>
  <c r="T189" i="15"/>
  <c r="S189" i="15"/>
  <c r="T188" i="15"/>
  <c r="S188" i="15"/>
  <c r="T187" i="15"/>
  <c r="S187" i="15"/>
  <c r="T186" i="15"/>
  <c r="S186" i="15"/>
  <c r="T185" i="15"/>
  <c r="S185" i="15"/>
  <c r="T184" i="15"/>
  <c r="S184" i="15"/>
  <c r="T183" i="15"/>
  <c r="S183" i="15"/>
  <c r="T182" i="15"/>
  <c r="S182" i="15"/>
  <c r="T181" i="15"/>
  <c r="S181" i="15"/>
  <c r="T180" i="15"/>
  <c r="S180" i="15"/>
  <c r="T179" i="15"/>
  <c r="S179" i="15"/>
  <c r="T178" i="15"/>
  <c r="S178" i="15"/>
  <c r="T177" i="15"/>
  <c r="S177" i="15"/>
  <c r="T176" i="15"/>
  <c r="S176" i="15"/>
  <c r="T175" i="15"/>
  <c r="S175" i="15"/>
  <c r="T174" i="15"/>
  <c r="S174" i="15"/>
  <c r="T173" i="15"/>
  <c r="S173" i="15"/>
  <c r="T172" i="15"/>
  <c r="S172" i="15"/>
  <c r="T171" i="15"/>
  <c r="S171" i="15"/>
  <c r="T170" i="15"/>
  <c r="S170" i="15"/>
  <c r="T169" i="15"/>
  <c r="S169" i="15"/>
  <c r="T168" i="15"/>
  <c r="S168" i="15"/>
  <c r="T167" i="15"/>
  <c r="S167" i="15"/>
  <c r="T166" i="15"/>
  <c r="S166" i="15"/>
  <c r="T165" i="15"/>
  <c r="S165" i="15"/>
  <c r="T164" i="15"/>
  <c r="S164" i="15"/>
  <c r="T163" i="15"/>
  <c r="S163" i="15"/>
  <c r="T162" i="15"/>
  <c r="S162" i="15"/>
  <c r="T161" i="15"/>
  <c r="S161" i="15"/>
  <c r="T160" i="15"/>
  <c r="S160" i="15"/>
  <c r="T159" i="15"/>
  <c r="S159" i="15"/>
  <c r="T158" i="15"/>
  <c r="S158" i="15"/>
  <c r="T157" i="15"/>
  <c r="S157" i="15"/>
  <c r="T156" i="15"/>
  <c r="S156" i="15"/>
  <c r="T155" i="15"/>
  <c r="S155" i="15"/>
  <c r="T154" i="15"/>
  <c r="S154" i="15"/>
  <c r="T153" i="15"/>
  <c r="S153" i="15"/>
  <c r="T152" i="15"/>
  <c r="S152" i="15"/>
  <c r="T151" i="15"/>
  <c r="S151" i="15"/>
  <c r="T150" i="15"/>
  <c r="S150" i="15"/>
  <c r="T149" i="15"/>
  <c r="S149" i="15"/>
  <c r="T148" i="15"/>
  <c r="S148" i="15"/>
  <c r="T147" i="15"/>
  <c r="S147" i="15"/>
  <c r="T146" i="15"/>
  <c r="S146" i="15"/>
  <c r="T145" i="15"/>
  <c r="S145" i="15"/>
  <c r="T144" i="15"/>
  <c r="S144" i="15"/>
  <c r="T143" i="15"/>
  <c r="S143" i="15"/>
  <c r="T142" i="15"/>
  <c r="S142" i="15"/>
  <c r="T141" i="15"/>
  <c r="S141" i="15"/>
  <c r="T140" i="15"/>
  <c r="S140" i="15"/>
  <c r="T139" i="15"/>
  <c r="S139" i="15"/>
  <c r="T138" i="15"/>
  <c r="S138" i="15"/>
  <c r="T137" i="15"/>
  <c r="S137" i="15"/>
  <c r="T136" i="15"/>
  <c r="S136" i="15"/>
  <c r="T135" i="15"/>
  <c r="S135" i="15"/>
  <c r="T134" i="15"/>
  <c r="S134" i="15"/>
  <c r="T133" i="15"/>
  <c r="S133" i="15"/>
  <c r="T132" i="15"/>
  <c r="S132" i="15"/>
  <c r="T131" i="15"/>
  <c r="S131" i="15"/>
  <c r="T130" i="15"/>
  <c r="S130" i="15"/>
  <c r="T129" i="15"/>
  <c r="S129" i="15"/>
  <c r="T128" i="15"/>
  <c r="S128" i="15"/>
  <c r="T127" i="15"/>
  <c r="T18" i="15" s="1"/>
  <c r="S127" i="15"/>
  <c r="T126" i="15"/>
  <c r="T19" i="15" s="1"/>
  <c r="S126" i="15"/>
  <c r="T125" i="15"/>
  <c r="S125" i="15"/>
  <c r="T124" i="15"/>
  <c r="S124" i="15"/>
  <c r="T123" i="15"/>
  <c r="T17" i="15" s="1"/>
  <c r="S123" i="15"/>
  <c r="S14" i="15" s="1"/>
  <c r="T122" i="15"/>
  <c r="S122" i="15"/>
  <c r="T121" i="15"/>
  <c r="S121" i="15"/>
  <c r="T120" i="15"/>
  <c r="S120" i="15"/>
  <c r="T119" i="15"/>
  <c r="S119" i="15"/>
  <c r="S13" i="15" s="1"/>
  <c r="T118" i="15"/>
  <c r="S118" i="15"/>
  <c r="T117" i="15"/>
  <c r="S117" i="15"/>
  <c r="T116" i="15"/>
  <c r="S116" i="15"/>
  <c r="T115" i="15"/>
  <c r="S115" i="15"/>
  <c r="T114" i="15"/>
  <c r="T8" i="15" s="1"/>
  <c r="S114" i="15"/>
  <c r="S8" i="15" s="1"/>
  <c r="T113" i="15"/>
  <c r="S113" i="15"/>
  <c r="V26" i="15"/>
  <c r="U26" i="15"/>
  <c r="N26" i="15" s="1"/>
  <c r="T26" i="15"/>
  <c r="S26" i="15"/>
  <c r="O26" i="15" s="1"/>
  <c r="V25" i="15"/>
  <c r="U25" i="15"/>
  <c r="N25" i="15" s="1"/>
  <c r="T25" i="15"/>
  <c r="S25" i="15"/>
  <c r="O25" i="15" s="1"/>
  <c r="V24" i="15"/>
  <c r="U24" i="15"/>
  <c r="N24" i="15" s="1"/>
  <c r="T24" i="15"/>
  <c r="S24" i="15"/>
  <c r="O24" i="15" s="1"/>
  <c r="V23" i="15"/>
  <c r="U23" i="15"/>
  <c r="N23" i="15" s="1"/>
  <c r="T23" i="15"/>
  <c r="S23" i="15"/>
  <c r="O23" i="15" s="1"/>
  <c r="V22" i="15"/>
  <c r="U22" i="15"/>
  <c r="N22" i="15" s="1"/>
  <c r="T22" i="15"/>
  <c r="S22" i="15"/>
  <c r="O22" i="15" s="1"/>
  <c r="V21" i="15"/>
  <c r="U21" i="15"/>
  <c r="T21" i="15"/>
  <c r="S21" i="15"/>
  <c r="V20" i="15"/>
  <c r="U20" i="15"/>
  <c r="T20" i="15"/>
  <c r="S20" i="15"/>
  <c r="O20" i="15" s="1"/>
  <c r="V19" i="15"/>
  <c r="U19" i="15"/>
  <c r="S19" i="15"/>
  <c r="V18" i="15"/>
  <c r="U18" i="15"/>
  <c r="S18" i="15"/>
  <c r="V17" i="15"/>
  <c r="U17" i="15"/>
  <c r="V16" i="15"/>
  <c r="U16" i="15"/>
  <c r="V15" i="15"/>
  <c r="U15" i="15"/>
  <c r="V14" i="15"/>
  <c r="U14" i="15"/>
  <c r="V13" i="15"/>
  <c r="U13" i="15"/>
  <c r="T13" i="15"/>
  <c r="V12" i="15"/>
  <c r="U12" i="15"/>
  <c r="V11" i="15"/>
  <c r="U11" i="15"/>
  <c r="V10" i="15"/>
  <c r="U10" i="15"/>
  <c r="V9" i="15"/>
  <c r="U9" i="15"/>
  <c r="V8" i="15"/>
  <c r="U8" i="15"/>
  <c r="V7" i="15"/>
  <c r="U7" i="15"/>
  <c r="AF38" i="14"/>
  <c r="E38" i="14" s="1"/>
  <c r="AF37" i="14"/>
  <c r="D37" i="14" s="1"/>
  <c r="AF36" i="14"/>
  <c r="C36" i="14" s="1"/>
  <c r="AF35" i="14"/>
  <c r="B35" i="14" s="1"/>
  <c r="AF34" i="14"/>
  <c r="A34" i="14" s="1"/>
  <c r="AF33" i="14"/>
  <c r="I33" i="14" s="1"/>
  <c r="AF32" i="14"/>
  <c r="H32" i="14" s="1"/>
  <c r="AF31" i="14"/>
  <c r="J31" i="14" s="1"/>
  <c r="AF30" i="14"/>
  <c r="I30" i="14" s="1"/>
  <c r="AF29" i="14"/>
  <c r="H29" i="14" s="1"/>
  <c r="Y25" i="14"/>
  <c r="X25" i="14"/>
  <c r="W25" i="14"/>
  <c r="V25" i="14"/>
  <c r="U25" i="14"/>
  <c r="T25" i="14"/>
  <c r="S25" i="14"/>
  <c r="R25" i="14"/>
  <c r="Q25" i="14"/>
  <c r="P25" i="14"/>
  <c r="Y24" i="14"/>
  <c r="X24" i="14"/>
  <c r="W24" i="14"/>
  <c r="V24" i="14"/>
  <c r="U24" i="14"/>
  <c r="T24" i="14"/>
  <c r="S24" i="14"/>
  <c r="R24" i="14"/>
  <c r="Q24" i="14"/>
  <c r="P24" i="14"/>
  <c r="Y23" i="14"/>
  <c r="X23" i="14"/>
  <c r="W23" i="14"/>
  <c r="V23" i="14"/>
  <c r="U23" i="14"/>
  <c r="T23" i="14"/>
  <c r="S23" i="14"/>
  <c r="R23" i="14"/>
  <c r="Q23" i="14"/>
  <c r="P23" i="14"/>
  <c r="Y22" i="14"/>
  <c r="X22" i="14"/>
  <c r="W22" i="14"/>
  <c r="V22" i="14"/>
  <c r="U22" i="14"/>
  <c r="T22" i="14"/>
  <c r="S22" i="14"/>
  <c r="R22" i="14"/>
  <c r="Q22" i="14"/>
  <c r="P22" i="14"/>
  <c r="Y21" i="14"/>
  <c r="X21" i="14"/>
  <c r="W21" i="14"/>
  <c r="V21" i="14"/>
  <c r="U21" i="14"/>
  <c r="T21" i="14"/>
  <c r="S21" i="14"/>
  <c r="R21" i="14"/>
  <c r="Q21" i="14"/>
  <c r="P21" i="14"/>
  <c r="Y20" i="14"/>
  <c r="X20" i="14"/>
  <c r="W20" i="14"/>
  <c r="V20" i="14"/>
  <c r="U20" i="14"/>
  <c r="T20" i="14"/>
  <c r="S20" i="14"/>
  <c r="R20" i="14"/>
  <c r="Q20" i="14"/>
  <c r="P20" i="14"/>
  <c r="Y19" i="14"/>
  <c r="X19" i="14"/>
  <c r="W19" i="14"/>
  <c r="V19" i="14"/>
  <c r="U19" i="14"/>
  <c r="T19" i="14"/>
  <c r="S19" i="14"/>
  <c r="R19" i="14"/>
  <c r="Q19" i="14"/>
  <c r="P19" i="14"/>
  <c r="Y18" i="14"/>
  <c r="X18" i="14"/>
  <c r="W18" i="14"/>
  <c r="V18" i="14"/>
  <c r="U18" i="14"/>
  <c r="T18" i="14"/>
  <c r="S18" i="14"/>
  <c r="R18" i="14"/>
  <c r="Q18" i="14"/>
  <c r="P18" i="14"/>
  <c r="Y13" i="14"/>
  <c r="X13" i="14"/>
  <c r="W13" i="14"/>
  <c r="V13" i="14"/>
  <c r="U13" i="14"/>
  <c r="T13" i="14"/>
  <c r="S13" i="14"/>
  <c r="R13" i="14"/>
  <c r="Q13" i="14"/>
  <c r="P13" i="14"/>
  <c r="Y12" i="14"/>
  <c r="X12" i="14"/>
  <c r="W12" i="14"/>
  <c r="V12" i="14"/>
  <c r="U12" i="14"/>
  <c r="T12" i="14"/>
  <c r="S12" i="14"/>
  <c r="R12" i="14"/>
  <c r="Q12" i="14"/>
  <c r="P12" i="14"/>
  <c r="Y11" i="14"/>
  <c r="X11" i="14"/>
  <c r="W11" i="14"/>
  <c r="V11" i="14"/>
  <c r="U11" i="14"/>
  <c r="T11" i="14"/>
  <c r="S11" i="14"/>
  <c r="R11" i="14"/>
  <c r="Q11" i="14"/>
  <c r="P11" i="14"/>
  <c r="Y10" i="14"/>
  <c r="X10" i="14"/>
  <c r="W10" i="14"/>
  <c r="V10" i="14"/>
  <c r="U10" i="14"/>
  <c r="T10" i="14"/>
  <c r="S10" i="14"/>
  <c r="R10" i="14"/>
  <c r="Q10" i="14"/>
  <c r="P10" i="14"/>
  <c r="Y9" i="14"/>
  <c r="X9" i="14"/>
  <c r="W9" i="14"/>
  <c r="V9" i="14"/>
  <c r="U9" i="14"/>
  <c r="T9" i="14"/>
  <c r="S9" i="14"/>
  <c r="R9" i="14"/>
  <c r="Q9" i="14"/>
  <c r="P9" i="14"/>
  <c r="Y8" i="14"/>
  <c r="X8" i="14"/>
  <c r="W8" i="14"/>
  <c r="V8" i="14"/>
  <c r="U8" i="14"/>
  <c r="T8" i="14"/>
  <c r="S8" i="14"/>
  <c r="R8" i="14"/>
  <c r="Q8" i="14"/>
  <c r="P8" i="14"/>
  <c r="Y7" i="14"/>
  <c r="X7" i="14"/>
  <c r="W7" i="14"/>
  <c r="V7" i="14"/>
  <c r="U7" i="14"/>
  <c r="T7" i="14"/>
  <c r="S7" i="14"/>
  <c r="R7" i="14"/>
  <c r="Q7" i="14"/>
  <c r="P7" i="14"/>
  <c r="Y6" i="14"/>
  <c r="X6" i="14"/>
  <c r="W6" i="14"/>
  <c r="V6" i="14"/>
  <c r="U6" i="14"/>
  <c r="T6" i="14"/>
  <c r="S6" i="14"/>
  <c r="R6" i="14"/>
  <c r="Q6" i="14"/>
  <c r="P6" i="14"/>
  <c r="N155" i="13"/>
  <c r="J155" i="13" s="1"/>
  <c r="N154" i="13"/>
  <c r="J154" i="13" s="1"/>
  <c r="N153" i="13"/>
  <c r="J153" i="13" s="1"/>
  <c r="N152" i="13"/>
  <c r="H152" i="13" s="1"/>
  <c r="I152" i="13" s="1"/>
  <c r="N151" i="13"/>
  <c r="H151" i="13" s="1"/>
  <c r="N150" i="13"/>
  <c r="G150" i="13" s="1"/>
  <c r="N149" i="13"/>
  <c r="D149" i="13" s="1"/>
  <c r="N148" i="13"/>
  <c r="E148" i="13" s="1"/>
  <c r="N147" i="13"/>
  <c r="B147" i="13" s="1"/>
  <c r="N146" i="13"/>
  <c r="B146" i="13" s="1"/>
  <c r="N145" i="13"/>
  <c r="A145" i="13" s="1"/>
  <c r="N144" i="13"/>
  <c r="A144" i="13" s="1"/>
  <c r="N143" i="13"/>
  <c r="J143" i="13" s="1"/>
  <c r="N142" i="13"/>
  <c r="J142" i="13" s="1"/>
  <c r="N141" i="13"/>
  <c r="J141" i="13" s="1"/>
  <c r="N140" i="13"/>
  <c r="H140" i="13" s="1"/>
  <c r="I140" i="13" s="1"/>
  <c r="N139" i="13"/>
  <c r="H139" i="13" s="1"/>
  <c r="N138" i="13"/>
  <c r="G138" i="13" s="1"/>
  <c r="N137" i="13"/>
  <c r="D137" i="13" s="1"/>
  <c r="N136" i="13"/>
  <c r="E136" i="13" s="1"/>
  <c r="N135" i="13"/>
  <c r="D135" i="13" s="1"/>
  <c r="N134" i="13"/>
  <c r="C134" i="13" s="1"/>
  <c r="N133" i="13"/>
  <c r="B133" i="13" s="1"/>
  <c r="N132" i="13"/>
  <c r="A132" i="13" s="1"/>
  <c r="N131" i="13"/>
  <c r="J131" i="13" s="1"/>
  <c r="N130" i="13"/>
  <c r="J130" i="13" s="1"/>
  <c r="N129" i="13"/>
  <c r="J129" i="13" s="1"/>
  <c r="N128" i="13"/>
  <c r="H128" i="13" s="1"/>
  <c r="I128" i="13" s="1"/>
  <c r="N127" i="13"/>
  <c r="H127" i="13" s="1"/>
  <c r="N126" i="13"/>
  <c r="G126" i="13" s="1"/>
  <c r="N125" i="13"/>
  <c r="C125" i="13" s="1"/>
  <c r="N124" i="13"/>
  <c r="E124" i="13" s="1"/>
  <c r="N123" i="13"/>
  <c r="D123" i="13" s="1"/>
  <c r="N122" i="13"/>
  <c r="C122" i="13" s="1"/>
  <c r="N121" i="13"/>
  <c r="B121" i="13" s="1"/>
  <c r="N120" i="13"/>
  <c r="A120" i="13" s="1"/>
  <c r="N119" i="13"/>
  <c r="F119" i="13" s="1"/>
  <c r="N118" i="13"/>
  <c r="H118" i="13" s="1"/>
  <c r="N117" i="13"/>
  <c r="N116" i="13"/>
  <c r="F116" i="13" s="1"/>
  <c r="N115" i="13"/>
  <c r="J115" i="13" s="1"/>
  <c r="N114" i="13"/>
  <c r="N113" i="13"/>
  <c r="G113" i="13" s="1"/>
  <c r="N112" i="13"/>
  <c r="F112" i="13" s="1"/>
  <c r="N111" i="13"/>
  <c r="J111" i="13" s="1"/>
  <c r="N110" i="13"/>
  <c r="H110" i="13" s="1"/>
  <c r="N109" i="13"/>
  <c r="G109" i="13" s="1"/>
  <c r="N108" i="13"/>
  <c r="F108" i="13" s="1"/>
  <c r="N107" i="13"/>
  <c r="E107" i="13" s="1"/>
  <c r="N106" i="13"/>
  <c r="D106" i="13" s="1"/>
  <c r="N105" i="13"/>
  <c r="C105" i="13" s="1"/>
  <c r="N104" i="13"/>
  <c r="B104" i="13" s="1"/>
  <c r="N103" i="13"/>
  <c r="A103" i="13" s="1"/>
  <c r="N102" i="13"/>
  <c r="H102" i="13" s="1"/>
  <c r="I102" i="13" s="1"/>
  <c r="N101" i="13"/>
  <c r="J101" i="13" s="1"/>
  <c r="N100" i="13"/>
  <c r="F100" i="13" s="1"/>
  <c r="N99" i="13"/>
  <c r="E99" i="13" s="1"/>
  <c r="N98" i="13"/>
  <c r="D98" i="13" s="1"/>
  <c r="N97" i="13"/>
  <c r="C97" i="13" s="1"/>
  <c r="N96" i="13"/>
  <c r="B96" i="13" s="1"/>
  <c r="N95" i="13"/>
  <c r="A95" i="13" s="1"/>
  <c r="N94" i="13"/>
  <c r="J94" i="13" s="1"/>
  <c r="N93" i="13"/>
  <c r="C93" i="13" s="1"/>
  <c r="N92" i="13"/>
  <c r="J92" i="13" s="1"/>
  <c r="N91" i="13"/>
  <c r="A91" i="13" s="1"/>
  <c r="N90" i="13"/>
  <c r="H90" i="13" s="1"/>
  <c r="I90" i="13" s="1"/>
  <c r="N89" i="13"/>
  <c r="G89" i="13" s="1"/>
  <c r="N88" i="13"/>
  <c r="F88" i="13" s="1"/>
  <c r="N87" i="13"/>
  <c r="E87" i="13" s="1"/>
  <c r="N86" i="13"/>
  <c r="D86" i="13" s="1"/>
  <c r="N85" i="13"/>
  <c r="C85" i="13" s="1"/>
  <c r="N84" i="13"/>
  <c r="B84" i="13" s="1"/>
  <c r="N83" i="13"/>
  <c r="A83" i="13" s="1"/>
  <c r="N82" i="13"/>
  <c r="J82" i="13" s="1"/>
  <c r="N81" i="13"/>
  <c r="G81" i="13" s="1"/>
  <c r="N80" i="13"/>
  <c r="J80" i="13" s="1"/>
  <c r="N79" i="13"/>
  <c r="A79" i="13" s="1"/>
  <c r="N78" i="13"/>
  <c r="H78" i="13" s="1"/>
  <c r="I78" i="13" s="1"/>
  <c r="N77" i="13"/>
  <c r="G77" i="13" s="1"/>
  <c r="N76" i="13"/>
  <c r="F76" i="13" s="1"/>
  <c r="N75" i="13"/>
  <c r="E75" i="13" s="1"/>
  <c r="N74" i="13"/>
  <c r="D74" i="13" s="1"/>
  <c r="N73" i="13"/>
  <c r="C73" i="13" s="1"/>
  <c r="N72" i="13"/>
  <c r="B72" i="13" s="1"/>
  <c r="N71" i="13"/>
  <c r="A71" i="13" s="1"/>
  <c r="N70" i="13"/>
  <c r="J70" i="13" s="1"/>
  <c r="N69" i="13"/>
  <c r="G69" i="13" s="1"/>
  <c r="N68" i="13"/>
  <c r="J68" i="13" s="1"/>
  <c r="N67" i="13"/>
  <c r="H67" i="13" s="1"/>
  <c r="I67" i="13" s="1"/>
  <c r="N66" i="13"/>
  <c r="H66" i="13" s="1"/>
  <c r="I66" i="13" s="1"/>
  <c r="N65" i="13"/>
  <c r="G65" i="13" s="1"/>
  <c r="N64" i="13"/>
  <c r="N63" i="13"/>
  <c r="E63" i="13" s="1"/>
  <c r="N62" i="13"/>
  <c r="D62" i="13" s="1"/>
  <c r="N61" i="13"/>
  <c r="C61" i="13" s="1"/>
  <c r="N60" i="13"/>
  <c r="G60" i="13" s="1"/>
  <c r="N59" i="13"/>
  <c r="A59" i="13" s="1"/>
  <c r="N58" i="13"/>
  <c r="J58" i="13" s="1"/>
  <c r="N57" i="13"/>
  <c r="G57" i="13" s="1"/>
  <c r="N56" i="13"/>
  <c r="J56" i="13" s="1"/>
  <c r="N55" i="13"/>
  <c r="F55" i="13" s="1"/>
  <c r="N54" i="13"/>
  <c r="H54" i="13" s="1"/>
  <c r="I54" i="13" s="1"/>
  <c r="N53" i="13"/>
  <c r="G53" i="13" s="1"/>
  <c r="N52" i="13"/>
  <c r="G52" i="13" s="1"/>
  <c r="N51" i="13"/>
  <c r="E51" i="13" s="1"/>
  <c r="N50" i="13"/>
  <c r="D50" i="13" s="1"/>
  <c r="N49" i="13"/>
  <c r="E49" i="13" s="1"/>
  <c r="N48" i="13"/>
  <c r="G48" i="13" s="1"/>
  <c r="N47" i="13"/>
  <c r="A47" i="13" s="1"/>
  <c r="N46" i="13"/>
  <c r="J46" i="13" s="1"/>
  <c r="N45" i="13"/>
  <c r="G45" i="13" s="1"/>
  <c r="N44" i="13"/>
  <c r="G44" i="13" s="1"/>
  <c r="N43" i="13"/>
  <c r="E43" i="13" s="1"/>
  <c r="N42" i="13"/>
  <c r="H42" i="13" s="1"/>
  <c r="N41" i="13"/>
  <c r="C41" i="13" s="1"/>
  <c r="N40" i="13"/>
  <c r="E40" i="13" s="1"/>
  <c r="N39" i="13"/>
  <c r="E39" i="13" s="1"/>
  <c r="N38" i="13"/>
  <c r="D38" i="13" s="1"/>
  <c r="N37" i="13"/>
  <c r="E37" i="13" s="1"/>
  <c r="N36" i="13"/>
  <c r="H36" i="13" s="1"/>
  <c r="N35" i="13"/>
  <c r="A35" i="13" s="1"/>
  <c r="N34" i="13"/>
  <c r="J34" i="13" s="1"/>
  <c r="N33" i="13"/>
  <c r="G33" i="13" s="1"/>
  <c r="N32" i="13"/>
  <c r="J32" i="13" s="1"/>
  <c r="N31" i="13"/>
  <c r="E31" i="13" s="1"/>
  <c r="N30" i="13"/>
  <c r="N29" i="13"/>
  <c r="C29" i="13" s="1"/>
  <c r="N28" i="13"/>
  <c r="N27" i="13"/>
  <c r="J27" i="13" s="1"/>
  <c r="N26" i="13"/>
  <c r="H26" i="13" s="1"/>
  <c r="N25" i="13"/>
  <c r="E25" i="13" s="1"/>
  <c r="N24" i="13"/>
  <c r="C24" i="13" s="1"/>
  <c r="N23" i="13"/>
  <c r="H23" i="13" s="1"/>
  <c r="N22" i="13"/>
  <c r="J22" i="13" s="1"/>
  <c r="N21" i="13"/>
  <c r="J21" i="13" s="1"/>
  <c r="N20" i="13"/>
  <c r="J20" i="13" s="1"/>
  <c r="N19" i="13"/>
  <c r="E19" i="13" s="1"/>
  <c r="N18" i="13"/>
  <c r="B18" i="13" s="1"/>
  <c r="N17" i="13"/>
  <c r="C17" i="13" s="1"/>
  <c r="N16" i="13"/>
  <c r="J16" i="13" s="1"/>
  <c r="N15" i="13"/>
  <c r="J15" i="13" s="1"/>
  <c r="N14" i="13"/>
  <c r="F14" i="13" s="1"/>
  <c r="N13" i="13"/>
  <c r="G13" i="13" s="1"/>
  <c r="N12" i="13"/>
  <c r="J12" i="13" s="1"/>
  <c r="N11" i="13"/>
  <c r="G11" i="13" s="1"/>
  <c r="N10" i="13"/>
  <c r="H10" i="13" s="1"/>
  <c r="N9" i="13"/>
  <c r="G9" i="13" s="1"/>
  <c r="N8" i="13"/>
  <c r="C8" i="13" s="1"/>
  <c r="N7" i="13"/>
  <c r="B7" i="13" s="1"/>
  <c r="N6" i="13"/>
  <c r="D6" i="13" s="1"/>
  <c r="A29" i="12"/>
  <c r="A28" i="12"/>
  <c r="A27" i="12"/>
  <c r="A26" i="12"/>
  <c r="L22" i="12"/>
  <c r="A22" i="12"/>
  <c r="A21" i="12"/>
  <c r="E13" i="12"/>
  <c r="F13" i="12" s="1"/>
  <c r="J13" i="12" s="1"/>
  <c r="E12" i="12"/>
  <c r="F12" i="12" s="1"/>
  <c r="J12" i="12" s="1"/>
  <c r="L11" i="12"/>
  <c r="E11" i="12"/>
  <c r="F11" i="12" s="1"/>
  <c r="J11" i="12" s="1"/>
  <c r="E10" i="12"/>
  <c r="F10" i="12" s="1"/>
  <c r="J10" i="12" s="1"/>
  <c r="E9" i="12"/>
  <c r="F9" i="12" s="1"/>
  <c r="J9" i="12" s="1"/>
  <c r="E8" i="12"/>
  <c r="F8" i="12" s="1"/>
  <c r="J8" i="12" s="1"/>
  <c r="G7" i="12"/>
  <c r="E7" i="12"/>
  <c r="E6" i="12"/>
  <c r="F6" i="12" s="1"/>
  <c r="J6" i="12" s="1"/>
  <c r="L5" i="12"/>
  <c r="E5" i="12"/>
  <c r="F5" i="12" s="1"/>
  <c r="J5" i="12" s="1"/>
  <c r="AB161" i="11"/>
  <c r="AB160" i="11"/>
  <c r="AB159" i="11"/>
  <c r="AB158" i="11"/>
  <c r="AB157" i="11"/>
  <c r="AB156" i="11"/>
  <c r="AB155" i="11"/>
  <c r="AB154" i="11"/>
  <c r="AB153" i="11"/>
  <c r="AB152" i="11"/>
  <c r="AB151" i="11"/>
  <c r="AB150" i="11"/>
  <c r="AB149" i="11"/>
  <c r="AB148" i="11"/>
  <c r="AB147" i="11"/>
  <c r="AB146" i="11"/>
  <c r="AB145" i="11"/>
  <c r="AB144" i="11"/>
  <c r="AB143" i="11"/>
  <c r="AB142" i="11"/>
  <c r="AB141" i="11"/>
  <c r="AB140" i="11"/>
  <c r="AB139" i="11"/>
  <c r="AB138" i="11"/>
  <c r="AB137" i="11"/>
  <c r="AB136" i="11"/>
  <c r="AB135" i="11"/>
  <c r="AB134" i="11"/>
  <c r="AB133" i="11"/>
  <c r="AB132" i="11"/>
  <c r="AB131" i="11"/>
  <c r="AB130" i="11"/>
  <c r="AB129" i="11"/>
  <c r="AB128" i="11"/>
  <c r="AB127" i="11"/>
  <c r="AB126" i="11"/>
  <c r="AB125" i="11"/>
  <c r="AB124" i="11"/>
  <c r="AB123" i="11"/>
  <c r="AB122" i="11"/>
  <c r="AB121" i="11"/>
  <c r="AB120" i="11"/>
  <c r="AB119" i="11"/>
  <c r="AB118" i="11"/>
  <c r="AB117" i="11"/>
  <c r="AB116" i="11"/>
  <c r="AB115" i="11"/>
  <c r="AB114" i="11"/>
  <c r="AB113" i="11"/>
  <c r="AB112" i="11"/>
  <c r="AB111" i="11"/>
  <c r="AB110" i="11"/>
  <c r="AB109" i="11"/>
  <c r="AB108" i="11"/>
  <c r="AB107" i="11"/>
  <c r="AB106" i="11"/>
  <c r="AB105" i="11"/>
  <c r="AB104" i="11"/>
  <c r="AB103" i="11"/>
  <c r="AB102" i="11"/>
  <c r="AB101" i="11"/>
  <c r="AB100" i="11"/>
  <c r="AB99" i="11"/>
  <c r="AB98" i="11"/>
  <c r="AB97" i="11"/>
  <c r="AB96" i="11"/>
  <c r="AB95" i="11"/>
  <c r="AB94" i="11"/>
  <c r="AB93" i="11"/>
  <c r="AB92" i="11"/>
  <c r="AB91" i="11"/>
  <c r="AB90" i="11"/>
  <c r="AB89" i="11"/>
  <c r="AB88" i="11"/>
  <c r="AB87" i="11"/>
  <c r="AB86" i="11"/>
  <c r="AB85" i="11"/>
  <c r="AB84" i="11"/>
  <c r="AB83" i="11"/>
  <c r="AB82" i="11"/>
  <c r="AB81" i="11"/>
  <c r="AB80" i="11"/>
  <c r="AB79" i="11"/>
  <c r="AB78" i="11"/>
  <c r="AB77" i="11"/>
  <c r="AB76" i="11"/>
  <c r="AB75" i="11"/>
  <c r="AB74" i="11"/>
  <c r="AB73" i="11"/>
  <c r="AB72" i="11"/>
  <c r="AB71" i="11"/>
  <c r="AB70" i="11"/>
  <c r="AB69" i="11"/>
  <c r="AB68" i="11"/>
  <c r="AB67" i="11"/>
  <c r="AB66" i="11"/>
  <c r="Z66" i="11"/>
  <c r="L66" i="11" s="1"/>
  <c r="AB65" i="11"/>
  <c r="Z65" i="11"/>
  <c r="D65" i="11" s="1"/>
  <c r="AB64" i="11"/>
  <c r="Z64" i="11"/>
  <c r="C64" i="11" s="1"/>
  <c r="AB63" i="11"/>
  <c r="Z63" i="11"/>
  <c r="F63" i="11" s="1"/>
  <c r="AB62" i="11"/>
  <c r="Z62" i="11"/>
  <c r="G62" i="11" s="1"/>
  <c r="AB61" i="11"/>
  <c r="Z61" i="11"/>
  <c r="A61" i="11" s="1"/>
  <c r="J61" i="11" s="1"/>
  <c r="AB60" i="11"/>
  <c r="Z60" i="11"/>
  <c r="L60" i="11" s="1"/>
  <c r="AB59" i="11"/>
  <c r="Z59" i="11"/>
  <c r="I59" i="11" s="1"/>
  <c r="AB58" i="11"/>
  <c r="Z58" i="11"/>
  <c r="C58" i="11" s="1"/>
  <c r="AB57" i="11"/>
  <c r="Z57" i="11"/>
  <c r="F57" i="11" s="1"/>
  <c r="AB56" i="11"/>
  <c r="Z56" i="11"/>
  <c r="G56" i="11" s="1"/>
  <c r="AB55" i="11"/>
  <c r="Z55" i="11"/>
  <c r="A55" i="11" s="1"/>
  <c r="J55" i="11" s="1"/>
  <c r="AB54" i="11"/>
  <c r="Z54" i="11"/>
  <c r="L54" i="11" s="1"/>
  <c r="AB53" i="11"/>
  <c r="Z53" i="11"/>
  <c r="E53" i="11" s="1"/>
  <c r="AB52" i="11"/>
  <c r="Z52" i="11"/>
  <c r="F52" i="11" s="1"/>
  <c r="AB51" i="11"/>
  <c r="Z51" i="11"/>
  <c r="F51" i="11" s="1"/>
  <c r="AB50" i="11"/>
  <c r="Z50" i="11"/>
  <c r="G50" i="11" s="1"/>
  <c r="AB49" i="11"/>
  <c r="Z49" i="11"/>
  <c r="H49" i="11" s="1"/>
  <c r="AB48" i="11"/>
  <c r="Z48" i="11"/>
  <c r="G48" i="11" s="1"/>
  <c r="AB47" i="11"/>
  <c r="Z47" i="11"/>
  <c r="E47" i="11" s="1"/>
  <c r="AB46" i="11"/>
  <c r="Z46" i="11"/>
  <c r="A46" i="11" s="1"/>
  <c r="J46" i="11" s="1"/>
  <c r="AB45" i="11"/>
  <c r="Z45" i="11"/>
  <c r="I45" i="11" s="1"/>
  <c r="AB44" i="11"/>
  <c r="Z44" i="11"/>
  <c r="G44" i="11" s="1"/>
  <c r="AB43" i="11"/>
  <c r="Z43" i="11"/>
  <c r="AB42" i="11"/>
  <c r="Z42" i="11"/>
  <c r="D42" i="11" s="1"/>
  <c r="AB41" i="11"/>
  <c r="Z41" i="11"/>
  <c r="I41" i="11" s="1"/>
  <c r="AB40" i="11"/>
  <c r="Z40" i="11"/>
  <c r="C40" i="11" s="1"/>
  <c r="AB39" i="11"/>
  <c r="Z39" i="11"/>
  <c r="L39" i="11" s="1"/>
  <c r="AB38" i="11"/>
  <c r="Z38" i="11"/>
  <c r="G38" i="11" s="1"/>
  <c r="AB37" i="11"/>
  <c r="Z37" i="11"/>
  <c r="L37" i="11" s="1"/>
  <c r="AB36" i="11"/>
  <c r="Z36" i="11"/>
  <c r="L36" i="11" s="1"/>
  <c r="AB35" i="11"/>
  <c r="Z35" i="11"/>
  <c r="L35" i="11" s="1"/>
  <c r="AB34" i="11"/>
  <c r="Z34" i="11"/>
  <c r="F34" i="11" s="1"/>
  <c r="AB33" i="11"/>
  <c r="Z33" i="11"/>
  <c r="L33" i="11" s="1"/>
  <c r="AB32" i="11"/>
  <c r="Z32" i="11"/>
  <c r="G32" i="11" s="1"/>
  <c r="AB31" i="11"/>
  <c r="Z31" i="11"/>
  <c r="L31" i="11" s="1"/>
  <c r="AB30" i="11"/>
  <c r="Z30" i="11"/>
  <c r="L30" i="11" s="1"/>
  <c r="AB29" i="11"/>
  <c r="Z29" i="11"/>
  <c r="B29" i="11" s="1"/>
  <c r="AB28" i="11"/>
  <c r="Z28" i="11"/>
  <c r="C28" i="11" s="1"/>
  <c r="AB27" i="11"/>
  <c r="Z27" i="11"/>
  <c r="AB26" i="11"/>
  <c r="Z26" i="11"/>
  <c r="G26" i="11" s="1"/>
  <c r="AB25" i="11"/>
  <c r="Z25" i="11"/>
  <c r="F25" i="11" s="1"/>
  <c r="AB24" i="11"/>
  <c r="Z24" i="11"/>
  <c r="D24" i="11" s="1"/>
  <c r="AB23" i="11"/>
  <c r="Z23" i="11"/>
  <c r="A23" i="11" s="1"/>
  <c r="J23" i="11" s="1"/>
  <c r="AB22" i="11"/>
  <c r="Z22" i="11"/>
  <c r="C22" i="11" s="1"/>
  <c r="AB21" i="11"/>
  <c r="Z21" i="11"/>
  <c r="B21" i="11" s="1"/>
  <c r="AB20" i="11"/>
  <c r="Z20" i="11"/>
  <c r="C20" i="11" s="1"/>
  <c r="AB19" i="11"/>
  <c r="Z19" i="11"/>
  <c r="H19" i="11" s="1"/>
  <c r="M19" i="11"/>
  <c r="T19" i="11" s="1"/>
  <c r="AB18" i="11"/>
  <c r="Z18" i="11"/>
  <c r="G18" i="11" s="1"/>
  <c r="M18" i="11"/>
  <c r="O18" i="11" s="1"/>
  <c r="AB17" i="11"/>
  <c r="Z17" i="11"/>
  <c r="E17" i="11" s="1"/>
  <c r="M17" i="11"/>
  <c r="P17" i="11" s="1"/>
  <c r="AB16" i="11"/>
  <c r="Z16" i="11"/>
  <c r="E16" i="11" s="1"/>
  <c r="M16" i="11"/>
  <c r="AB15" i="11"/>
  <c r="Z15" i="11"/>
  <c r="E15" i="11" s="1"/>
  <c r="M15" i="11"/>
  <c r="AB14" i="11"/>
  <c r="Z14" i="11"/>
  <c r="E14" i="11" s="1"/>
  <c r="M14" i="11"/>
  <c r="O14" i="11" s="1"/>
  <c r="AB13" i="11"/>
  <c r="Z13" i="11"/>
  <c r="L13" i="11" s="1"/>
  <c r="M13" i="11"/>
  <c r="AB12" i="11"/>
  <c r="Z12" i="11"/>
  <c r="F12" i="11" s="1"/>
  <c r="M12" i="11"/>
  <c r="Z11" i="11"/>
  <c r="L11" i="11" s="1"/>
  <c r="Z10" i="11"/>
  <c r="F10" i="11" s="1"/>
  <c r="Z9" i="11"/>
  <c r="H9" i="11" s="1"/>
  <c r="Z8" i="11"/>
  <c r="L8" i="11" s="1"/>
  <c r="Z7" i="11"/>
  <c r="L7" i="11" s="1"/>
  <c r="AA4" i="11"/>
  <c r="B4" i="11"/>
  <c r="J4" i="10"/>
  <c r="I4" i="10"/>
  <c r="H4" i="10"/>
  <c r="G4" i="10"/>
  <c r="F4" i="10"/>
  <c r="E4" i="10"/>
  <c r="D4" i="10"/>
  <c r="C4" i="10"/>
  <c r="AA28" i="9"/>
  <c r="AE28" i="9" s="1"/>
  <c r="AA27" i="9"/>
  <c r="AD27" i="9" s="1"/>
  <c r="AA26" i="9"/>
  <c r="AD22" i="6" s="1"/>
  <c r="AA25" i="9"/>
  <c r="AG25" i="9" s="1"/>
  <c r="T21" i="3" s="1"/>
  <c r="AA24" i="9"/>
  <c r="AJ24" i="9" s="1"/>
  <c r="AA23" i="9"/>
  <c r="AD23" i="9" s="1"/>
  <c r="AA22" i="9"/>
  <c r="L18" i="5" s="1"/>
  <c r="AA21" i="9"/>
  <c r="J30" i="2" s="1"/>
  <c r="AA20" i="9"/>
  <c r="AD16" i="6" s="1"/>
  <c r="AA19" i="9"/>
  <c r="AB19" i="9" s="1"/>
  <c r="B15" i="10" s="1"/>
  <c r="AA18" i="9"/>
  <c r="AD14" i="6" s="1"/>
  <c r="AA17" i="9"/>
  <c r="AD13" i="6" s="1"/>
  <c r="AA16" i="9"/>
  <c r="AC16" i="9" s="1"/>
  <c r="AA15" i="9"/>
  <c r="J24" i="2" s="1"/>
  <c r="AA14" i="9"/>
  <c r="J23" i="2" s="1"/>
  <c r="AA13" i="9"/>
  <c r="AF13" i="9" s="1"/>
  <c r="AA12" i="9"/>
  <c r="J21" i="2" s="1"/>
  <c r="AA11" i="9"/>
  <c r="J20" i="2" s="1"/>
  <c r="AA10" i="9"/>
  <c r="AB10" i="9" s="1"/>
  <c r="B6" i="10" s="1"/>
  <c r="AA9" i="9"/>
  <c r="G5" i="9"/>
  <c r="D5" i="9"/>
  <c r="G4" i="9"/>
  <c r="D4" i="9"/>
  <c r="B57" i="16" s="1"/>
  <c r="A1" i="7" s="1"/>
  <c r="B98" i="8"/>
  <c r="B97" i="8"/>
  <c r="B88" i="8"/>
  <c r="B87" i="8"/>
  <c r="B81" i="8"/>
  <c r="B80" i="8"/>
  <c r="B79" i="8"/>
  <c r="B78" i="8"/>
  <c r="B77" i="8"/>
  <c r="B76" i="8"/>
  <c r="B74" i="8"/>
  <c r="B31" i="8"/>
  <c r="B30" i="8"/>
  <c r="B29" i="8"/>
  <c r="B28" i="8"/>
  <c r="B27" i="8"/>
  <c r="L35" i="7"/>
  <c r="E35" i="7" s="1"/>
  <c r="L34" i="7"/>
  <c r="C34" i="7" s="1"/>
  <c r="L33" i="7"/>
  <c r="D33" i="7" s="1"/>
  <c r="L32" i="7"/>
  <c r="E32" i="7" s="1"/>
  <c r="L31" i="7"/>
  <c r="B31" i="7" s="1"/>
  <c r="L30" i="7"/>
  <c r="E30" i="7" s="1"/>
  <c r="A4" i="7"/>
  <c r="A27" i="6"/>
  <c r="AD77" i="4"/>
  <c r="AJ77" i="4" s="1"/>
  <c r="AD76" i="4"/>
  <c r="AI76" i="4" s="1"/>
  <c r="AD75" i="4"/>
  <c r="AD74" i="4"/>
  <c r="AI74" i="4" s="1"/>
  <c r="AD73" i="4"/>
  <c r="AE73" i="4" s="1"/>
  <c r="AD72" i="4"/>
  <c r="AH72" i="4" s="1"/>
  <c r="AD71" i="4"/>
  <c r="AE71" i="4" s="1"/>
  <c r="AD70" i="4"/>
  <c r="AI70" i="4" s="1"/>
  <c r="AD69" i="4"/>
  <c r="AL69" i="4" s="1"/>
  <c r="AD68" i="4"/>
  <c r="AE68" i="4" s="1"/>
  <c r="AD67" i="4"/>
  <c r="AD66" i="4"/>
  <c r="AK66" i="4" s="1"/>
  <c r="AD65" i="4"/>
  <c r="AK65" i="4" s="1"/>
  <c r="AD64" i="4"/>
  <c r="AD63" i="4"/>
  <c r="AH63" i="4" s="1"/>
  <c r="AD62" i="4"/>
  <c r="AL62" i="4" s="1"/>
  <c r="AD61" i="4"/>
  <c r="AF61" i="4" s="1"/>
  <c r="AD60" i="4"/>
  <c r="AK60" i="4" s="1"/>
  <c r="AD59" i="4"/>
  <c r="AL59" i="4" s="1"/>
  <c r="AD58" i="4"/>
  <c r="AK58" i="4" s="1"/>
  <c r="AD57" i="4"/>
  <c r="AF57" i="4" s="1"/>
  <c r="AD56" i="4"/>
  <c r="AD55" i="4"/>
  <c r="AI55" i="4" s="1"/>
  <c r="AD54" i="4"/>
  <c r="AD53" i="4"/>
  <c r="AD52" i="4"/>
  <c r="AH52" i="4" s="1"/>
  <c r="AD51" i="4"/>
  <c r="AD50" i="4"/>
  <c r="AF50" i="4" s="1"/>
  <c r="AD49" i="4"/>
  <c r="AG49" i="4" s="1"/>
  <c r="AD48" i="4"/>
  <c r="AD47" i="4"/>
  <c r="AG47" i="4" s="1"/>
  <c r="AD46" i="4"/>
  <c r="AD45" i="4"/>
  <c r="AL45" i="4" s="1"/>
  <c r="AD44" i="4"/>
  <c r="AF44" i="4" s="1"/>
  <c r="AD43" i="4"/>
  <c r="AI43" i="4" s="1"/>
  <c r="AD42" i="4"/>
  <c r="AD41" i="4"/>
  <c r="AI41" i="4" s="1"/>
  <c r="AD40" i="4"/>
  <c r="AJ40" i="4" s="1"/>
  <c r="AD39" i="4"/>
  <c r="AI39" i="4" s="1"/>
  <c r="AD38" i="4"/>
  <c r="AD37" i="4"/>
  <c r="AH37" i="4" s="1"/>
  <c r="AD36" i="4"/>
  <c r="AK36" i="4" s="1"/>
  <c r="AD35" i="4"/>
  <c r="AK35" i="4" s="1"/>
  <c r="AD34" i="4"/>
  <c r="AD33" i="4"/>
  <c r="AF33" i="4" s="1"/>
  <c r="AD32" i="4"/>
  <c r="AD31" i="4"/>
  <c r="AK31" i="4" s="1"/>
  <c r="AD30" i="4"/>
  <c r="AE30" i="4" s="1"/>
  <c r="AD29" i="4"/>
  <c r="AF29" i="4" s="1"/>
  <c r="AD28" i="4"/>
  <c r="AH28" i="4" s="1"/>
  <c r="AD27" i="4"/>
  <c r="AH27" i="4" s="1"/>
  <c r="AD26" i="4"/>
  <c r="AJ26" i="4" s="1"/>
  <c r="AD25" i="4"/>
  <c r="AJ25" i="4" s="1"/>
  <c r="AD24" i="4"/>
  <c r="AK24" i="4" s="1"/>
  <c r="A24" i="4"/>
  <c r="AD23" i="4"/>
  <c r="AJ23" i="4" s="1"/>
  <c r="A23" i="4"/>
  <c r="T23" i="4" s="1"/>
  <c r="AO22" i="4"/>
  <c r="AN22" i="4"/>
  <c r="AD22" i="4"/>
  <c r="A22" i="4"/>
  <c r="DP22" i="2" s="1"/>
  <c r="AD21" i="4"/>
  <c r="AG21" i="4" s="1"/>
  <c r="A21" i="4"/>
  <c r="M21" i="4" s="1"/>
  <c r="AO20" i="4"/>
  <c r="AN20" i="4"/>
  <c r="AD20" i="4"/>
  <c r="A20" i="4"/>
  <c r="I20" i="4" s="1"/>
  <c r="AD19" i="4"/>
  <c r="A19" i="4"/>
  <c r="DP19" i="2" s="1"/>
  <c r="AO18" i="4"/>
  <c r="AN18" i="4"/>
  <c r="AD18" i="4"/>
  <c r="A18" i="4"/>
  <c r="D18" i="4" s="1"/>
  <c r="AD17" i="4"/>
  <c r="AJ17" i="4" s="1"/>
  <c r="A17" i="4"/>
  <c r="T17" i="4" s="1"/>
  <c r="AO16" i="4"/>
  <c r="AN16" i="4"/>
  <c r="AD16" i="4"/>
  <c r="AL16" i="4" s="1"/>
  <c r="A16" i="4"/>
  <c r="I16" i="4" s="1"/>
  <c r="AD15" i="4"/>
  <c r="AK15" i="4" s="1"/>
  <c r="A15" i="4"/>
  <c r="T15" i="4" s="1"/>
  <c r="AO14" i="4"/>
  <c r="AN14" i="4"/>
  <c r="AD14" i="4"/>
  <c r="A14" i="4"/>
  <c r="AS13" i="4"/>
  <c r="AR13" i="4"/>
  <c r="AD13" i="4"/>
  <c r="AL13" i="4" s="1"/>
  <c r="A13" i="4"/>
  <c r="AC13" i="4" s="1"/>
  <c r="J13" i="4" s="1"/>
  <c r="AS12" i="4"/>
  <c r="AR12" i="4"/>
  <c r="AO12" i="4"/>
  <c r="AN12" i="4"/>
  <c r="AD12" i="4"/>
  <c r="AL12" i="4" s="1"/>
  <c r="A12" i="4"/>
  <c r="I12" i="4" s="1"/>
  <c r="AS11" i="4"/>
  <c r="AR11" i="4"/>
  <c r="AD11" i="4"/>
  <c r="A11" i="4"/>
  <c r="E11" i="4" s="1"/>
  <c r="AS10" i="4"/>
  <c r="AR10" i="4"/>
  <c r="AO10" i="4"/>
  <c r="AN10" i="4"/>
  <c r="AD10" i="4"/>
  <c r="A10" i="4"/>
  <c r="AS9" i="4"/>
  <c r="AR9" i="4"/>
  <c r="AD9" i="4"/>
  <c r="AL9" i="4" s="1"/>
  <c r="A9" i="4"/>
  <c r="AS8" i="4"/>
  <c r="AR8" i="4"/>
  <c r="AO8" i="4"/>
  <c r="AN8" i="4"/>
  <c r="AD8" i="4"/>
  <c r="AL8" i="4" s="1"/>
  <c r="A8" i="4"/>
  <c r="I8" i="4" s="1"/>
  <c r="AS7" i="4"/>
  <c r="AR7" i="4"/>
  <c r="AD7" i="4"/>
  <c r="AI7" i="4" s="1"/>
  <c r="A7" i="4"/>
  <c r="AS6" i="4"/>
  <c r="AR6" i="4"/>
  <c r="AO6" i="4"/>
  <c r="AN6" i="4"/>
  <c r="AD6" i="4"/>
  <c r="AI6" i="4" s="1"/>
  <c r="A6" i="4"/>
  <c r="I6" i="4" s="1"/>
  <c r="AS5" i="4"/>
  <c r="AR5" i="4"/>
  <c r="AD5" i="4"/>
  <c r="AG5" i="4" s="1"/>
  <c r="A5" i="4"/>
  <c r="AC5" i="4" s="1"/>
  <c r="J5" i="4" s="1"/>
  <c r="BH77" i="2"/>
  <c r="BP77" i="2" s="1"/>
  <c r="BH76" i="2"/>
  <c r="BJ76" i="2" s="1"/>
  <c r="BH75" i="2"/>
  <c r="BJ75" i="2" s="1"/>
  <c r="BH74" i="2"/>
  <c r="BH73" i="2"/>
  <c r="BI73" i="2" s="1"/>
  <c r="BH72" i="2"/>
  <c r="BH71" i="2"/>
  <c r="BK71" i="2" s="1"/>
  <c r="BH70" i="2"/>
  <c r="BP70" i="2" s="1"/>
  <c r="BH69" i="2"/>
  <c r="BI69" i="2" s="1"/>
  <c r="BH68" i="2"/>
  <c r="BI68" i="2" s="1"/>
  <c r="BH67" i="2"/>
  <c r="BO67" i="2" s="1"/>
  <c r="BH66" i="2"/>
  <c r="BH65" i="2"/>
  <c r="BO65" i="2" s="1"/>
  <c r="BH64" i="2"/>
  <c r="BN64" i="2" s="1"/>
  <c r="BH63" i="2"/>
  <c r="BL63" i="2" s="1"/>
  <c r="BH62" i="2"/>
  <c r="BP62" i="2" s="1"/>
  <c r="BH61" i="2"/>
  <c r="BM61" i="2" s="1"/>
  <c r="BH60" i="2"/>
  <c r="BO60" i="2" s="1"/>
  <c r="BH59" i="2"/>
  <c r="BI59" i="2" s="1"/>
  <c r="BH58" i="2"/>
  <c r="BO58" i="2" s="1"/>
  <c r="BH57" i="2"/>
  <c r="BK57" i="2" s="1"/>
  <c r="BH56" i="2"/>
  <c r="BK56" i="2" s="1"/>
  <c r="BH55" i="2"/>
  <c r="BP55" i="2" s="1"/>
  <c r="BH54" i="2"/>
  <c r="BH53" i="2"/>
  <c r="BI53" i="2" s="1"/>
  <c r="BH52" i="2"/>
  <c r="BH51" i="2"/>
  <c r="BO51" i="2" s="1"/>
  <c r="BH50" i="2"/>
  <c r="BK50" i="2" s="1"/>
  <c r="BH49" i="2"/>
  <c r="BP49" i="2" s="1"/>
  <c r="BH48" i="2"/>
  <c r="BP48" i="2" s="1"/>
  <c r="BH47" i="2"/>
  <c r="BH46" i="2"/>
  <c r="BH45" i="2"/>
  <c r="D45" i="2"/>
  <c r="BH44" i="2"/>
  <c r="BO44" i="2" s="1"/>
  <c r="D44" i="2"/>
  <c r="BH43" i="2"/>
  <c r="BK43" i="2" s="1"/>
  <c r="D43" i="2"/>
  <c r="BH42" i="2"/>
  <c r="BN42" i="2" s="1"/>
  <c r="BH41" i="2"/>
  <c r="BL41" i="2" s="1"/>
  <c r="T41" i="2"/>
  <c r="T42" i="2" s="1"/>
  <c r="D42" i="2" s="1"/>
  <c r="BH40" i="2"/>
  <c r="BN40" i="2" s="1"/>
  <c r="BH39" i="2"/>
  <c r="BL39" i="2" s="1"/>
  <c r="BH38" i="2"/>
  <c r="BH37" i="2"/>
  <c r="BL37" i="2" s="1"/>
  <c r="BH36" i="2"/>
  <c r="BL36" i="2" s="1"/>
  <c r="BH35" i="2"/>
  <c r="BI35" i="2" s="1"/>
  <c r="BH34" i="2"/>
  <c r="BN34" i="2" s="1"/>
  <c r="BH33" i="2"/>
  <c r="BH32" i="2"/>
  <c r="BK32" i="2" s="1"/>
  <c r="BH31" i="2"/>
  <c r="BH30" i="2"/>
  <c r="BM30" i="2" s="1"/>
  <c r="BH29" i="2"/>
  <c r="BJ29" i="2" s="1"/>
  <c r="BH28" i="2"/>
  <c r="BP28" i="2" s="1"/>
  <c r="BH27" i="2"/>
  <c r="BO27" i="2" s="1"/>
  <c r="BH26" i="2"/>
  <c r="BI26" i="2" s="1"/>
  <c r="BH25" i="2"/>
  <c r="BI25" i="2" s="1"/>
  <c r="BH24" i="2"/>
  <c r="BP24" i="2" s="1"/>
  <c r="BH23" i="2"/>
  <c r="BL23" i="2" s="1"/>
  <c r="BS22" i="2"/>
  <c r="BR22" i="2"/>
  <c r="BH22" i="2"/>
  <c r="BJ22" i="2" s="1"/>
  <c r="BH21" i="2"/>
  <c r="BM21" i="2" s="1"/>
  <c r="BS20" i="2"/>
  <c r="BR20" i="2"/>
  <c r="BH20" i="2"/>
  <c r="BP20" i="2" s="1"/>
  <c r="BH19" i="2"/>
  <c r="BS18" i="2"/>
  <c r="BR18" i="2"/>
  <c r="BH18" i="2"/>
  <c r="BJ18" i="2" s="1"/>
  <c r="BH17" i="2"/>
  <c r="BS16" i="2"/>
  <c r="BR16" i="2"/>
  <c r="BH16" i="2"/>
  <c r="BM16" i="2" s="1"/>
  <c r="BH15" i="2"/>
  <c r="BJ15" i="2" s="1"/>
  <c r="BS14" i="2"/>
  <c r="BR14" i="2"/>
  <c r="BH14" i="2"/>
  <c r="BL14" i="2" s="1"/>
  <c r="BW13" i="2"/>
  <c r="BV13" i="2"/>
  <c r="BH13" i="2"/>
  <c r="BI13" i="2" s="1"/>
  <c r="BW12" i="2"/>
  <c r="BV12" i="2"/>
  <c r="BS12" i="2"/>
  <c r="BR12" i="2"/>
  <c r="BH12" i="2"/>
  <c r="BK12" i="2" s="1"/>
  <c r="BW11" i="2"/>
  <c r="BV11" i="2"/>
  <c r="BH11" i="2"/>
  <c r="BO11" i="2" s="1"/>
  <c r="BW10" i="2"/>
  <c r="BV10" i="2"/>
  <c r="BS10" i="2"/>
  <c r="BR10" i="2"/>
  <c r="BH10" i="2"/>
  <c r="BJ10" i="2" s="1"/>
  <c r="BW9" i="2"/>
  <c r="BV9" i="2"/>
  <c r="BH9" i="2"/>
  <c r="BO9" i="2" s="1"/>
  <c r="BW8" i="2"/>
  <c r="BV8" i="2"/>
  <c r="BS8" i="2"/>
  <c r="BR8" i="2"/>
  <c r="BH8" i="2"/>
  <c r="BO8" i="2" s="1"/>
  <c r="BW7" i="2"/>
  <c r="BV7" i="2"/>
  <c r="BH7" i="2"/>
  <c r="BO7" i="2" s="1"/>
  <c r="BW6" i="2"/>
  <c r="BV6" i="2"/>
  <c r="BS6" i="2"/>
  <c r="BR6" i="2"/>
  <c r="BH6" i="2"/>
  <c r="BN6" i="2" s="1"/>
  <c r="J6" i="2"/>
  <c r="G6" i="2"/>
  <c r="BW5" i="2"/>
  <c r="BV5" i="2"/>
  <c r="BH5" i="2"/>
  <c r="BP5" i="2" s="1"/>
  <c r="G5" i="2"/>
  <c r="J5" i="2" l="1"/>
  <c r="L21" i="5"/>
  <c r="G10" i="12"/>
  <c r="D4" i="11"/>
  <c r="J4" i="11"/>
  <c r="F4" i="11"/>
  <c r="H4" i="11"/>
  <c r="T7" i="15"/>
  <c r="L22" i="5"/>
  <c r="AD19" i="6"/>
  <c r="AI19" i="6" s="1"/>
  <c r="AL23" i="9"/>
  <c r="AK23" i="9"/>
  <c r="BJ11" i="2"/>
  <c r="AJ23" i="9"/>
  <c r="BL11" i="2"/>
  <c r="BM11" i="2"/>
  <c r="J29" i="2"/>
  <c r="AH23" i="9"/>
  <c r="L19" i="5"/>
  <c r="AI23" i="9"/>
  <c r="BN44" i="2"/>
  <c r="BI11" i="2"/>
  <c r="BP44" i="2"/>
  <c r="N20" i="15"/>
  <c r="AK57" i="4"/>
  <c r="BL73" i="2"/>
  <c r="AK37" i="4"/>
  <c r="T11" i="15"/>
  <c r="AJ37" i="4"/>
  <c r="BN63" i="2"/>
  <c r="BN73" i="2"/>
  <c r="O21" i="15"/>
  <c r="S16" i="15"/>
  <c r="S10" i="15"/>
  <c r="S9" i="15"/>
  <c r="S15" i="15"/>
  <c r="S17" i="15"/>
  <c r="O17" i="15" s="1"/>
  <c r="S11" i="15"/>
  <c r="S12" i="15"/>
  <c r="T9" i="15"/>
  <c r="T14" i="15"/>
  <c r="O14" i="15" s="1"/>
  <c r="T10" i="15"/>
  <c r="T15" i="15"/>
  <c r="T16" i="15"/>
  <c r="N21" i="15"/>
  <c r="N18" i="15"/>
  <c r="L8" i="5"/>
  <c r="Q15" i="11"/>
  <c r="Q13" i="11"/>
  <c r="BO5" i="2"/>
  <c r="BM7" i="2"/>
  <c r="BN11" i="2"/>
  <c r="J35" i="2"/>
  <c r="K35" i="2" s="1"/>
  <c r="BN71" i="2"/>
  <c r="N21" i="4"/>
  <c r="BL22" i="2"/>
  <c r="M22" i="4"/>
  <c r="BM22" i="2"/>
  <c r="O22" i="4"/>
  <c r="BN75" i="2"/>
  <c r="E21" i="4"/>
  <c r="AE41" i="4"/>
  <c r="BN7" i="2"/>
  <c r="BP11" i="2"/>
  <c r="P21" i="4"/>
  <c r="BP7" i="2"/>
  <c r="BM44" i="2"/>
  <c r="T21" i="4"/>
  <c r="AJ57" i="4"/>
  <c r="L11" i="5"/>
  <c r="AG23" i="9"/>
  <c r="T19" i="3" s="1"/>
  <c r="BN22" i="2"/>
  <c r="BL75" i="2"/>
  <c r="C21" i="4"/>
  <c r="BM75" i="2"/>
  <c r="D21" i="4"/>
  <c r="BI71" i="2"/>
  <c r="G21" i="4"/>
  <c r="H21" i="4" s="1"/>
  <c r="AL63" i="4"/>
  <c r="AI25" i="9"/>
  <c r="BM5" i="2"/>
  <c r="BI7" i="2"/>
  <c r="BP9" i="2"/>
  <c r="I21" i="4"/>
  <c r="AH21" i="9"/>
  <c r="BM12" i="2"/>
  <c r="BI14" i="2"/>
  <c r="DP21" i="2"/>
  <c r="BN30" i="2"/>
  <c r="BM37" i="2"/>
  <c r="BP51" i="2"/>
  <c r="BP68" i="2"/>
  <c r="BP73" i="2"/>
  <c r="J18" i="4"/>
  <c r="AD17" i="6"/>
  <c r="BI15" i="2"/>
  <c r="AI52" i="4"/>
  <c r="AL70" i="4"/>
  <c r="BI12" i="2"/>
  <c r="DP23" i="2"/>
  <c r="BI37" i="2"/>
  <c r="I15" i="4"/>
  <c r="AC20" i="4"/>
  <c r="AJ29" i="4"/>
  <c r="AL73" i="4"/>
  <c r="AI21" i="9"/>
  <c r="BN12" i="2"/>
  <c r="BK14" i="2"/>
  <c r="DP17" i="2"/>
  <c r="J22" i="2"/>
  <c r="BP30" i="2"/>
  <c r="BN37" i="2"/>
  <c r="N18" i="4"/>
  <c r="BP59" i="2"/>
  <c r="BO73" i="2"/>
  <c r="AC15" i="4"/>
  <c r="J15" i="4" s="1"/>
  <c r="AL29" i="4"/>
  <c r="BO12" i="2"/>
  <c r="BO37" i="2"/>
  <c r="B22" i="4"/>
  <c r="AJ52" i="4"/>
  <c r="L16" i="5"/>
  <c r="BK5" i="2"/>
  <c r="BP12" i="2"/>
  <c r="BK22" i="2"/>
  <c r="BK75" i="2"/>
  <c r="B21" i="4"/>
  <c r="J22" i="4"/>
  <c r="AI77" i="4"/>
  <c r="BJ20" i="2"/>
  <c r="BI29" i="2"/>
  <c r="BL57" i="2"/>
  <c r="AJ36" i="4"/>
  <c r="AL52" i="4"/>
  <c r="AF21" i="9"/>
  <c r="BO16" i="2"/>
  <c r="BK20" i="2"/>
  <c r="BK29" i="2"/>
  <c r="BO57" i="2"/>
  <c r="AI17" i="4"/>
  <c r="J20" i="4"/>
  <c r="AG29" i="4"/>
  <c r="AG21" i="9"/>
  <c r="T17" i="3" s="1"/>
  <c r="BJ16" i="2"/>
  <c r="AE29" i="4"/>
  <c r="L17" i="5"/>
  <c r="BP16" i="2"/>
  <c r="BL29" i="2"/>
  <c r="O20" i="4"/>
  <c r="AI29" i="4"/>
  <c r="BL12" i="2"/>
  <c r="BK30" i="2"/>
  <c r="BK37" i="2"/>
  <c r="G18" i="4"/>
  <c r="H18" i="4" s="1"/>
  <c r="AL37" i="4"/>
  <c r="H7" i="12"/>
  <c r="H10" i="12"/>
  <c r="I13" i="12"/>
  <c r="G13" i="12"/>
  <c r="H5" i="12"/>
  <c r="I7" i="12"/>
  <c r="I10" i="12"/>
  <c r="D15" i="12"/>
  <c r="I5" i="12"/>
  <c r="D8" i="12"/>
  <c r="D11" i="12"/>
  <c r="H11" i="12"/>
  <c r="D12" i="12"/>
  <c r="H6" i="12"/>
  <c r="I6" i="12"/>
  <c r="G9" i="12"/>
  <c r="G12" i="12"/>
  <c r="H9" i="12"/>
  <c r="D6" i="12"/>
  <c r="I11" i="12"/>
  <c r="D7" i="12"/>
  <c r="F7" i="12" s="1"/>
  <c r="J7" i="12" s="1"/>
  <c r="D10" i="12"/>
  <c r="I12" i="12"/>
  <c r="G8" i="12"/>
  <c r="AJ15" i="9"/>
  <c r="AK15" i="9" s="1"/>
  <c r="H8" i="12"/>
  <c r="G6" i="12"/>
  <c r="D13" i="12"/>
  <c r="D9" i="12"/>
  <c r="C26" i="12"/>
  <c r="C10" i="12"/>
  <c r="B27" i="12"/>
  <c r="AJ9" i="9"/>
  <c r="AK9" i="9" s="1"/>
  <c r="C5" i="12"/>
  <c r="I9" i="12"/>
  <c r="G5" i="12"/>
  <c r="L16" i="12"/>
  <c r="G11" i="12"/>
  <c r="D26" i="12"/>
  <c r="C6" i="12"/>
  <c r="C8" i="12"/>
  <c r="C19" i="12"/>
  <c r="C12" i="12"/>
  <c r="C28" i="12"/>
  <c r="C7" i="12"/>
  <c r="C9" i="12"/>
  <c r="C11" i="12"/>
  <c r="C13" i="12"/>
  <c r="B21" i="12"/>
  <c r="H12" i="12"/>
  <c r="C24" i="12"/>
  <c r="C25" i="12"/>
  <c r="D27" i="12"/>
  <c r="D20" i="12"/>
  <c r="B28" i="12"/>
  <c r="D23" i="12"/>
  <c r="D25" i="12"/>
  <c r="BL6" i="2"/>
  <c r="BI28" i="2"/>
  <c r="AE31" i="4"/>
  <c r="AH40" i="4"/>
  <c r="AF45" i="4"/>
  <c r="AF65" i="4"/>
  <c r="BM6" i="2"/>
  <c r="BI18" i="2"/>
  <c r="BI21" i="2"/>
  <c r="J31" i="2"/>
  <c r="K31" i="2" s="1"/>
  <c r="J36" i="2"/>
  <c r="K36" i="2" s="1"/>
  <c r="BJ39" i="2"/>
  <c r="BM60" i="2"/>
  <c r="AH31" i="4"/>
  <c r="AF35" i="4"/>
  <c r="AI40" i="4"/>
  <c r="AH65" i="4"/>
  <c r="BO6" i="2"/>
  <c r="BJ21" i="2"/>
  <c r="BN60" i="2"/>
  <c r="AI31" i="4"/>
  <c r="AL35" i="4"/>
  <c r="AJ65" i="4"/>
  <c r="AD20" i="6"/>
  <c r="AJ20" i="6" s="1"/>
  <c r="BL5" i="2"/>
  <c r="BP6" i="2"/>
  <c r="BK21" i="2"/>
  <c r="B16" i="4"/>
  <c r="I18" i="4"/>
  <c r="M20" i="4"/>
  <c r="AJ31" i="4"/>
  <c r="AD21" i="6"/>
  <c r="AE21" i="6" s="1"/>
  <c r="B20" i="12"/>
  <c r="BN5" i="2"/>
  <c r="DP18" i="2"/>
  <c r="BN21" i="2"/>
  <c r="BJ27" i="2"/>
  <c r="BJ37" i="2"/>
  <c r="BM73" i="2"/>
  <c r="AJ12" i="4"/>
  <c r="M18" i="4"/>
  <c r="T20" i="4"/>
  <c r="AF49" i="4"/>
  <c r="AG55" i="4"/>
  <c r="L20" i="5"/>
  <c r="C21" i="12"/>
  <c r="D21" i="12"/>
  <c r="BP21" i="2"/>
  <c r="BM23" i="2"/>
  <c r="BL27" i="2"/>
  <c r="BK34" i="2"/>
  <c r="B15" i="4"/>
  <c r="T18" i="4"/>
  <c r="AG33" i="4"/>
  <c r="AG43" i="4"/>
  <c r="AJ55" i="4"/>
  <c r="AK68" i="4"/>
  <c r="H5" i="9"/>
  <c r="N17" i="11"/>
  <c r="BN23" i="2"/>
  <c r="BM27" i="2"/>
  <c r="BL34" i="2"/>
  <c r="C15" i="4"/>
  <c r="O15" i="4" s="1"/>
  <c r="AI33" i="4"/>
  <c r="AH43" i="4"/>
  <c r="AK55" i="4"/>
  <c r="AD8" i="6"/>
  <c r="AF8" i="6" s="1"/>
  <c r="O17" i="11"/>
  <c r="BL21" i="2"/>
  <c r="J33" i="2"/>
  <c r="K33" i="2" s="1"/>
  <c r="D16" i="4"/>
  <c r="BO21" i="2"/>
  <c r="BK27" i="2"/>
  <c r="BO23" i="2"/>
  <c r="BM34" i="2"/>
  <c r="E15" i="4"/>
  <c r="AJ33" i="4"/>
  <c r="BL7" i="2"/>
  <c r="BK11" i="2"/>
  <c r="BP23" i="2"/>
  <c r="J28" i="2"/>
  <c r="K28" i="2" s="1"/>
  <c r="BP37" i="2"/>
  <c r="BO63" i="2"/>
  <c r="G15" i="4"/>
  <c r="H15" i="4" s="1"/>
  <c r="AL33" i="4"/>
  <c r="AK70" i="4"/>
  <c r="AD15" i="6"/>
  <c r="AH15" i="6" s="1"/>
  <c r="AC21" i="9"/>
  <c r="N7" i="15"/>
  <c r="N9" i="15"/>
  <c r="BI17" i="2"/>
  <c r="BM17" i="2"/>
  <c r="BL17" i="2"/>
  <c r="BK17" i="2"/>
  <c r="BJ17" i="2"/>
  <c r="BI19" i="2"/>
  <c r="BL19" i="2"/>
  <c r="BP19" i="2"/>
  <c r="BO19" i="2"/>
  <c r="BN19" i="2"/>
  <c r="BM19" i="2"/>
  <c r="BN33" i="2"/>
  <c r="BP33" i="2"/>
  <c r="BO33" i="2"/>
  <c r="BK45" i="2"/>
  <c r="BO45" i="2"/>
  <c r="BN45" i="2"/>
  <c r="BM45" i="2"/>
  <c r="BL45" i="2"/>
  <c r="C5" i="4"/>
  <c r="O5" i="4" s="1"/>
  <c r="AE6" i="4"/>
  <c r="AH7" i="4"/>
  <c r="B11" i="4"/>
  <c r="B19" i="4"/>
  <c r="J24" i="4"/>
  <c r="G24" i="4"/>
  <c r="H24" i="4" s="1"/>
  <c r="AC24" i="4"/>
  <c r="O24" i="4"/>
  <c r="N24" i="4"/>
  <c r="M24" i="4"/>
  <c r="AE27" i="4"/>
  <c r="AK51" i="4"/>
  <c r="AG51" i="4"/>
  <c r="AF51" i="4"/>
  <c r="AL51" i="4"/>
  <c r="AI64" i="4"/>
  <c r="AF64" i="4"/>
  <c r="AE64" i="4"/>
  <c r="AJ64" i="4"/>
  <c r="AG64" i="4"/>
  <c r="AG69" i="4"/>
  <c r="BL33" i="2"/>
  <c r="BJ40" i="2"/>
  <c r="BL43" i="2"/>
  <c r="BN46" i="2"/>
  <c r="BP46" i="2"/>
  <c r="BO46" i="2"/>
  <c r="BJ50" i="2"/>
  <c r="BN58" i="2"/>
  <c r="BN69" i="2"/>
  <c r="BI76" i="2"/>
  <c r="AF5" i="4"/>
  <c r="AK6" i="4"/>
  <c r="AK27" i="4"/>
  <c r="AJ38" i="4"/>
  <c r="AI38" i="4"/>
  <c r="AL38" i="4"/>
  <c r="AJ47" i="4"/>
  <c r="AI75" i="4"/>
  <c r="AG75" i="4"/>
  <c r="AF75" i="4"/>
  <c r="AL75" i="4"/>
  <c r="AK75" i="4"/>
  <c r="AJ75" i="4"/>
  <c r="AH75" i="4"/>
  <c r="AF28" i="9"/>
  <c r="BK18" i="2"/>
  <c r="BO18" i="2"/>
  <c r="BN18" i="2"/>
  <c r="BM18" i="2"/>
  <c r="BL18" i="2"/>
  <c r="DP24" i="2"/>
  <c r="BO28" i="2"/>
  <c r="BJ28" i="2"/>
  <c r="BN28" i="2"/>
  <c r="BM28" i="2"/>
  <c r="BL28" i="2"/>
  <c r="BK28" i="2"/>
  <c r="BM33" i="2"/>
  <c r="BK40" i="2"/>
  <c r="BN43" i="2"/>
  <c r="BI46" i="2"/>
  <c r="BM59" i="2"/>
  <c r="BJ59" i="2"/>
  <c r="BO59" i="2"/>
  <c r="BN59" i="2"/>
  <c r="BL59" i="2"/>
  <c r="BK59" i="2"/>
  <c r="BP69" i="2"/>
  <c r="AL6" i="4"/>
  <c r="AJ24" i="4"/>
  <c r="AE38" i="4"/>
  <c r="AK47" i="4"/>
  <c r="AE75" i="4"/>
  <c r="AG28" i="9"/>
  <c r="T24" i="3" s="1"/>
  <c r="Q17" i="11"/>
  <c r="T17" i="11"/>
  <c r="R17" i="11"/>
  <c r="S17" i="11"/>
  <c r="BN17" i="2"/>
  <c r="BJ19" i="2"/>
  <c r="BI24" i="2"/>
  <c r="BM24" i="2"/>
  <c r="BL24" i="2"/>
  <c r="BK24" i="2"/>
  <c r="BJ24" i="2"/>
  <c r="BI33" i="2"/>
  <c r="BI45" i="2"/>
  <c r="BI54" i="2"/>
  <c r="BL54" i="2"/>
  <c r="BP54" i="2"/>
  <c r="BO54" i="2"/>
  <c r="BN54" i="2"/>
  <c r="BM54" i="2"/>
  <c r="BP72" i="2"/>
  <c r="BM72" i="2"/>
  <c r="BN72" i="2"/>
  <c r="AF6" i="4"/>
  <c r="AK9" i="4"/>
  <c r="AE13" i="4"/>
  <c r="AI13" i="4"/>
  <c r="AH13" i="4"/>
  <c r="AG13" i="4"/>
  <c r="AF13" i="4"/>
  <c r="M19" i="4"/>
  <c r="B24" i="4"/>
  <c r="AF27" i="4"/>
  <c r="AE51" i="4"/>
  <c r="AE60" i="4"/>
  <c r="AH69" i="4"/>
  <c r="AC28" i="9"/>
  <c r="R18" i="11"/>
  <c r="AB17" i="9"/>
  <c r="B13" i="10" s="1"/>
  <c r="BL40" i="2"/>
  <c r="AK17" i="4"/>
  <c r="AL17" i="4"/>
  <c r="AF38" i="4"/>
  <c r="AH48" i="4"/>
  <c r="AF48" i="4"/>
  <c r="AL48" i="4"/>
  <c r="AK48" i="4"/>
  <c r="AI48" i="4"/>
  <c r="AH53" i="4"/>
  <c r="AI53" i="4"/>
  <c r="AG53" i="4"/>
  <c r="AL53" i="4"/>
  <c r="AK53" i="4"/>
  <c r="AJ53" i="4"/>
  <c r="BK46" i="2"/>
  <c r="BJ63" i="2"/>
  <c r="BI67" i="2"/>
  <c r="I14" i="4"/>
  <c r="G14" i="4"/>
  <c r="H14" i="4" s="1"/>
  <c r="AE53" i="4"/>
  <c r="BP18" i="2"/>
  <c r="BM20" i="2"/>
  <c r="J26" i="2"/>
  <c r="K26" i="2" s="1"/>
  <c r="BN31" i="2"/>
  <c r="BP31" i="2"/>
  <c r="BO31" i="2"/>
  <c r="BL46" i="2"/>
  <c r="BJ56" i="2"/>
  <c r="BI60" i="2"/>
  <c r="BP60" i="2"/>
  <c r="BK63" i="2"/>
  <c r="BL67" i="2"/>
  <c r="BJ74" i="2"/>
  <c r="BP74" i="2"/>
  <c r="BM77" i="2"/>
  <c r="D14" i="4"/>
  <c r="AF17" i="4"/>
  <c r="AI18" i="4"/>
  <c r="AF18" i="4"/>
  <c r="AL18" i="4"/>
  <c r="AJ18" i="4"/>
  <c r="AH18" i="4"/>
  <c r="AG18" i="4"/>
  <c r="AK32" i="4"/>
  <c r="AH32" i="4"/>
  <c r="AL32" i="4"/>
  <c r="AF36" i="4"/>
  <c r="AE40" i="4"/>
  <c r="AL40" i="4"/>
  <c r="AK40" i="4"/>
  <c r="AJ43" i="4"/>
  <c r="AF53" i="4"/>
  <c r="AE58" i="4"/>
  <c r="AE63" i="4"/>
  <c r="AJ76" i="4"/>
  <c r="BO17" i="2"/>
  <c r="BK19" i="2"/>
  <c r="BN24" i="2"/>
  <c r="BJ33" i="2"/>
  <c r="BJ43" i="2"/>
  <c r="BJ45" i="2"/>
  <c r="BM50" i="2"/>
  <c r="BN50" i="2"/>
  <c r="BP50" i="2"/>
  <c r="BO50" i="2"/>
  <c r="BJ54" i="2"/>
  <c r="BK69" i="2"/>
  <c r="AK5" i="4"/>
  <c r="AJ5" i="4"/>
  <c r="AL5" i="4"/>
  <c r="AH6" i="4"/>
  <c r="AJ13" i="4"/>
  <c r="O19" i="4"/>
  <c r="C24" i="4"/>
  <c r="AG27" i="4"/>
  <c r="AL34" i="4"/>
  <c r="AI34" i="4"/>
  <c r="AJ60" i="4"/>
  <c r="AI69" i="4"/>
  <c r="AG74" i="4"/>
  <c r="AD28" i="9"/>
  <c r="M24" i="5" s="1"/>
  <c r="U24" i="5" s="1"/>
  <c r="S18" i="11"/>
  <c r="E24" i="4"/>
  <c r="AJ56" i="4"/>
  <c r="AH56" i="4"/>
  <c r="AK56" i="4"/>
  <c r="AK69" i="4"/>
  <c r="AF17" i="9"/>
  <c r="A23" i="10"/>
  <c r="D23" i="10" s="1"/>
  <c r="AF27" i="9"/>
  <c r="AE27" i="9"/>
  <c r="L23" i="5"/>
  <c r="AN27" i="9"/>
  <c r="AK27" i="9"/>
  <c r="AH27" i="9"/>
  <c r="AG27" i="9"/>
  <c r="T23" i="3" s="1"/>
  <c r="AD23" i="6"/>
  <c r="AH23" i="6" s="1"/>
  <c r="BP29" i="2"/>
  <c r="BM29" i="2"/>
  <c r="BO29" i="2"/>
  <c r="BN29" i="2"/>
  <c r="BL31" i="2"/>
  <c r="BM46" i="2"/>
  <c r="BJ60" i="2"/>
  <c r="BI74" i="2"/>
  <c r="BO77" i="2"/>
  <c r="AG17" i="4"/>
  <c r="AF25" i="4"/>
  <c r="AG36" i="4"/>
  <c r="AF40" i="4"/>
  <c r="AJ44" i="4"/>
  <c r="AI44" i="4"/>
  <c r="AI58" i="4"/>
  <c r="AF63" i="4"/>
  <c r="AH17" i="9"/>
  <c r="AB27" i="9"/>
  <c r="B23" i="10" s="1"/>
  <c r="B5" i="4"/>
  <c r="D5" i="4"/>
  <c r="T5" i="4"/>
  <c r="CL5" i="4" s="1"/>
  <c r="I5" i="4"/>
  <c r="G5" i="4"/>
  <c r="H5" i="4" s="1"/>
  <c r="E5" i="4"/>
  <c r="BP17" i="2"/>
  <c r="BO24" i="2"/>
  <c r="BK33" i="2"/>
  <c r="BI40" i="2"/>
  <c r="BO40" i="2"/>
  <c r="BP40" i="2"/>
  <c r="BP45" i="2"/>
  <c r="BI50" i="2"/>
  <c r="BK54" i="2"/>
  <c r="BL58" i="2"/>
  <c r="BL69" i="2"/>
  <c r="BK76" i="2"/>
  <c r="BO76" i="2"/>
  <c r="BN76" i="2"/>
  <c r="BM76" i="2"/>
  <c r="BL76" i="2"/>
  <c r="AE5" i="4"/>
  <c r="AK13" i="4"/>
  <c r="AJ27" i="4"/>
  <c r="AH34" i="4"/>
  <c r="AH61" i="4"/>
  <c r="AG61" i="4"/>
  <c r="AK61" i="4"/>
  <c r="AI61" i="4"/>
  <c r="BJ46" i="2"/>
  <c r="BL50" i="2"/>
  <c r="BN56" i="2"/>
  <c r="BO56" i="2"/>
  <c r="BI63" i="2"/>
  <c r="BP63" i="2"/>
  <c r="BL70" i="2"/>
  <c r="BI70" i="2"/>
  <c r="BN70" i="2"/>
  <c r="BM70" i="2"/>
  <c r="BK70" i="2"/>
  <c r="BJ70" i="2"/>
  <c r="BP76" i="2"/>
  <c r="AH5" i="4"/>
  <c r="BM40" i="2"/>
  <c r="BI56" i="2"/>
  <c r="BO70" i="2"/>
  <c r="AI5" i="4"/>
  <c r="AE15" i="4"/>
  <c r="AJ15" i="4"/>
  <c r="AI15" i="4"/>
  <c r="AH15" i="4"/>
  <c r="AG15" i="4"/>
  <c r="AE17" i="4"/>
  <c r="CL24" i="4"/>
  <c r="BL56" i="2"/>
  <c r="BL60" i="2"/>
  <c r="BM63" i="2"/>
  <c r="BM68" i="2"/>
  <c r="BJ68" i="2"/>
  <c r="BO68" i="2"/>
  <c r="BN68" i="2"/>
  <c r="BL68" i="2"/>
  <c r="BK68" i="2"/>
  <c r="AH17" i="4"/>
  <c r="AK20" i="4"/>
  <c r="AH20" i="4"/>
  <c r="AI36" i="4"/>
  <c r="AG40" i="4"/>
  <c r="AI59" i="4"/>
  <c r="AF59" i="4"/>
  <c r="AE59" i="4"/>
  <c r="AK59" i="4"/>
  <c r="AJ59" i="4"/>
  <c r="AH59" i="4"/>
  <c r="AG59" i="4"/>
  <c r="AI10" i="9"/>
  <c r="AD6" i="6"/>
  <c r="AE6" i="6" s="1"/>
  <c r="AJ18" i="9"/>
  <c r="AK18" i="9" s="1"/>
  <c r="J27" i="2"/>
  <c r="AC27" i="9"/>
  <c r="M23" i="5" s="1"/>
  <c r="O23" i="5" s="1"/>
  <c r="BJ38" i="2"/>
  <c r="BN38" i="2"/>
  <c r="BK38" i="2"/>
  <c r="A7" i="10"/>
  <c r="F7" i="10" s="1"/>
  <c r="AJ11" i="9"/>
  <c r="AK11" i="9" s="1"/>
  <c r="AF11" i="9"/>
  <c r="L7" i="5"/>
  <c r="AI28" i="9"/>
  <c r="L24" i="5"/>
  <c r="AH28" i="9"/>
  <c r="A24" i="10"/>
  <c r="C24" i="10" s="1"/>
  <c r="AL28" i="9"/>
  <c r="AK28" i="9"/>
  <c r="AD24" i="6"/>
  <c r="AE24" i="6" s="1"/>
  <c r="J37" i="2"/>
  <c r="K37" i="2" s="1"/>
  <c r="AJ28" i="9"/>
  <c r="Q18" i="11"/>
  <c r="T18" i="11"/>
  <c r="BI23" i="2"/>
  <c r="BI44" i="2"/>
  <c r="AI8" i="4"/>
  <c r="C20" i="4"/>
  <c r="E23" i="4"/>
  <c r="AG26" i="4"/>
  <c r="AI28" i="4"/>
  <c r="AG30" i="4"/>
  <c r="AE37" i="4"/>
  <c r="AF68" i="4"/>
  <c r="AE70" i="4"/>
  <c r="AG73" i="4"/>
  <c r="L9" i="5"/>
  <c r="AD19" i="9"/>
  <c r="AB23" i="9"/>
  <c r="B19" i="10" s="1"/>
  <c r="AK24" i="9"/>
  <c r="D24" i="12"/>
  <c r="DP20" i="2"/>
  <c r="BJ23" i="2"/>
  <c r="BJ44" i="2"/>
  <c r="D20" i="4"/>
  <c r="J23" i="4"/>
  <c r="AH26" i="4"/>
  <c r="AK28" i="4"/>
  <c r="AH30" i="4"/>
  <c r="AF37" i="4"/>
  <c r="AG68" i="4"/>
  <c r="AG70" i="4"/>
  <c r="AH73" i="4"/>
  <c r="AJ19" i="9"/>
  <c r="AK19" i="9" s="1"/>
  <c r="AC23" i="9"/>
  <c r="M19" i="5" s="1"/>
  <c r="AM19" i="5" s="1"/>
  <c r="A20" i="10"/>
  <c r="F20" i="10" s="1"/>
  <c r="C20" i="12"/>
  <c r="D28" i="12"/>
  <c r="N12" i="15"/>
  <c r="BI5" i="2"/>
  <c r="BJ6" i="2"/>
  <c r="BJ7" i="2"/>
  <c r="BJ12" i="2"/>
  <c r="BO13" i="2"/>
  <c r="BI22" i="2"/>
  <c r="BK23" i="2"/>
  <c r="J32" i="2"/>
  <c r="K32" i="2" s="1"/>
  <c r="J34" i="2"/>
  <c r="K34" i="2" s="1"/>
  <c r="BK44" i="2"/>
  <c r="BJ57" i="2"/>
  <c r="BJ73" i="2"/>
  <c r="BI75" i="2"/>
  <c r="AE12" i="4"/>
  <c r="C18" i="4"/>
  <c r="G20" i="4"/>
  <c r="H20" i="4" s="1"/>
  <c r="N23" i="4"/>
  <c r="AI26" i="4"/>
  <c r="AL28" i="4"/>
  <c r="AJ30" i="4"/>
  <c r="AE33" i="4"/>
  <c r="AJ35" i="4"/>
  <c r="AG37" i="4"/>
  <c r="AH39" i="4"/>
  <c r="AG45" i="4"/>
  <c r="AG52" i="4"/>
  <c r="AE57" i="4"/>
  <c r="AI68" i="4"/>
  <c r="AH70" i="4"/>
  <c r="AJ73" i="4"/>
  <c r="L15" i="5"/>
  <c r="AD9" i="6"/>
  <c r="AH9" i="6" s="1"/>
  <c r="AE23" i="9"/>
  <c r="AC25" i="9"/>
  <c r="BJ5" i="2"/>
  <c r="BK6" i="2"/>
  <c r="BK7" i="2"/>
  <c r="BP13" i="2"/>
  <c r="BL44" i="2"/>
  <c r="BK73" i="2"/>
  <c r="AF12" i="4"/>
  <c r="AI37" i="4"/>
  <c r="AJ68" i="4"/>
  <c r="AK73" i="4"/>
  <c r="AF23" i="9"/>
  <c r="B25" i="12"/>
  <c r="N8" i="15"/>
  <c r="S7" i="15"/>
  <c r="O7" i="15" s="1"/>
  <c r="N13" i="15"/>
  <c r="AI13" i="9"/>
  <c r="N14" i="15"/>
  <c r="N10" i="15"/>
  <c r="C27" i="12"/>
  <c r="D19" i="12"/>
  <c r="B24" i="12"/>
  <c r="N19" i="15"/>
  <c r="A19" i="10"/>
  <c r="J19" i="10" s="1"/>
  <c r="N11" i="15"/>
  <c r="N16" i="15"/>
  <c r="N19" i="11"/>
  <c r="P19" i="11"/>
  <c r="R19" i="11"/>
  <c r="S19" i="11"/>
  <c r="N18" i="11"/>
  <c r="P18" i="11"/>
  <c r="N15" i="11"/>
  <c r="N13" i="11"/>
  <c r="O13" i="11"/>
  <c r="P13" i="11"/>
  <c r="T12" i="15"/>
  <c r="O8" i="15"/>
  <c r="O18" i="15"/>
  <c r="O13" i="15"/>
  <c r="O19" i="15"/>
  <c r="N17" i="15"/>
  <c r="N15" i="15"/>
  <c r="A1" i="9"/>
  <c r="A1" i="1"/>
  <c r="A1" i="3"/>
  <c r="M5" i="2"/>
  <c r="A1" i="4"/>
  <c r="M6" i="2"/>
  <c r="H4" i="9"/>
  <c r="A1" i="6"/>
  <c r="A1" i="5"/>
  <c r="A1" i="8"/>
  <c r="A1" i="2"/>
  <c r="B67" i="13"/>
  <c r="J91" i="13"/>
  <c r="C82" i="13"/>
  <c r="D32" i="13"/>
  <c r="A67" i="13"/>
  <c r="D67" i="13"/>
  <c r="A82" i="13"/>
  <c r="D65" i="13"/>
  <c r="E93" i="13"/>
  <c r="G47" i="13"/>
  <c r="B57" i="13"/>
  <c r="F93" i="13"/>
  <c r="H6" i="13"/>
  <c r="J41" i="13"/>
  <c r="E67" i="13"/>
  <c r="C32" i="13"/>
  <c r="F67" i="13"/>
  <c r="A62" i="13"/>
  <c r="H43" i="13"/>
  <c r="H53" i="13"/>
  <c r="I53" i="13" s="1"/>
  <c r="C56" i="13"/>
  <c r="H77" i="13"/>
  <c r="I77" i="13" s="1"/>
  <c r="B85" i="13"/>
  <c r="C118" i="13"/>
  <c r="G6" i="13"/>
  <c r="C43" i="13"/>
  <c r="D49" i="13"/>
  <c r="J63" i="13"/>
  <c r="D85" i="13"/>
  <c r="A98" i="13"/>
  <c r="F69" i="13"/>
  <c r="F85" i="13"/>
  <c r="G50" i="13"/>
  <c r="H69" i="13"/>
  <c r="I69" i="13" s="1"/>
  <c r="H85" i="13"/>
  <c r="I85" i="13" s="1"/>
  <c r="E110" i="13"/>
  <c r="J140" i="13"/>
  <c r="B31" i="13"/>
  <c r="B59" i="13"/>
  <c r="E86" i="13"/>
  <c r="B93" i="13"/>
  <c r="F101" i="13"/>
  <c r="F133" i="13"/>
  <c r="G86" i="13"/>
  <c r="J123" i="13"/>
  <c r="C31" i="13"/>
  <c r="B47" i="13"/>
  <c r="F31" i="13"/>
  <c r="D47" i="13"/>
  <c r="J53" i="13"/>
  <c r="D61" i="13"/>
  <c r="F87" i="13"/>
  <c r="J135" i="13"/>
  <c r="D31" i="13"/>
  <c r="E24" i="13"/>
  <c r="J31" i="13"/>
  <c r="F47" i="13"/>
  <c r="H61" i="13"/>
  <c r="I61" i="13" s="1"/>
  <c r="J83" i="13"/>
  <c r="J87" i="13"/>
  <c r="E137" i="13"/>
  <c r="A13" i="13"/>
  <c r="D13" i="13"/>
  <c r="F17" i="13"/>
  <c r="H13" i="13"/>
  <c r="I13" i="13" s="1"/>
  <c r="H17" i="13"/>
  <c r="H24" i="13"/>
  <c r="D45" i="13"/>
  <c r="H49" i="13"/>
  <c r="I49" i="13" s="1"/>
  <c r="G56" i="13"/>
  <c r="B61" i="13"/>
  <c r="A66" i="13"/>
  <c r="E69" i="13"/>
  <c r="J75" i="13"/>
  <c r="F83" i="13"/>
  <c r="D93" i="13"/>
  <c r="J110" i="13"/>
  <c r="B118" i="13"/>
  <c r="D144" i="13"/>
  <c r="H149" i="13"/>
  <c r="I149" i="13" s="1"/>
  <c r="J13" i="13"/>
  <c r="D35" i="13"/>
  <c r="H41" i="13"/>
  <c r="J45" i="13"/>
  <c r="E54" i="13"/>
  <c r="E66" i="13"/>
  <c r="B81" i="13"/>
  <c r="D81" i="13"/>
  <c r="E118" i="13"/>
  <c r="H25" i="13"/>
  <c r="G35" i="13"/>
  <c r="A55" i="13"/>
  <c r="J61" i="13"/>
  <c r="D77" i="13"/>
  <c r="H81" i="13"/>
  <c r="I81" i="13" s="1"/>
  <c r="G93" i="13"/>
  <c r="E98" i="13"/>
  <c r="J118" i="13"/>
  <c r="B132" i="13"/>
  <c r="H137" i="13"/>
  <c r="I137" i="13" s="1"/>
  <c r="G25" i="13"/>
  <c r="F35" i="13"/>
  <c r="B15" i="13"/>
  <c r="D20" i="13"/>
  <c r="J25" i="13"/>
  <c r="J35" i="13"/>
  <c r="A42" i="13"/>
  <c r="F51" i="13"/>
  <c r="B55" i="13"/>
  <c r="A58" i="13"/>
  <c r="A70" i="13"/>
  <c r="E77" i="13"/>
  <c r="J81" i="13"/>
  <c r="H93" i="13"/>
  <c r="I93" i="13" s="1"/>
  <c r="C113" i="13"/>
  <c r="D132" i="13"/>
  <c r="D147" i="13"/>
  <c r="J51" i="13"/>
  <c r="C55" i="13"/>
  <c r="E58" i="13"/>
  <c r="J93" i="13"/>
  <c r="H113" i="13"/>
  <c r="I113" i="13" s="1"/>
  <c r="D125" i="13"/>
  <c r="G132" i="13"/>
  <c r="E147" i="13"/>
  <c r="D55" i="13"/>
  <c r="E90" i="13"/>
  <c r="C100" i="13"/>
  <c r="B120" i="13"/>
  <c r="H125" i="13"/>
  <c r="I125" i="13" s="1"/>
  <c r="H147" i="13"/>
  <c r="I147" i="13" s="1"/>
  <c r="G55" i="13"/>
  <c r="D120" i="13"/>
  <c r="C15" i="13"/>
  <c r="B6" i="13"/>
  <c r="B13" i="13"/>
  <c r="B33" i="13"/>
  <c r="C38" i="13"/>
  <c r="J43" i="13"/>
  <c r="A53" i="13"/>
  <c r="H55" i="13"/>
  <c r="I55" i="13" s="1"/>
  <c r="D59" i="13"/>
  <c r="J67" i="13"/>
  <c r="E79" i="13"/>
  <c r="E82" i="13"/>
  <c r="J85" i="13"/>
  <c r="B95" i="13"/>
  <c r="A101" i="13"/>
  <c r="A110" i="13"/>
  <c r="E120" i="13"/>
  <c r="H126" i="13"/>
  <c r="I126" i="13" s="1"/>
  <c r="F148" i="13"/>
  <c r="F15" i="13"/>
  <c r="F6" i="13"/>
  <c r="C13" i="13"/>
  <c r="E17" i="13"/>
  <c r="E33" i="13"/>
  <c r="J38" i="13"/>
  <c r="D53" i="13"/>
  <c r="J55" i="13"/>
  <c r="G59" i="13"/>
  <c r="G74" i="13"/>
  <c r="F79" i="13"/>
  <c r="D95" i="13"/>
  <c r="C101" i="13"/>
  <c r="D110" i="13"/>
  <c r="D116" i="13"/>
  <c r="G120" i="13"/>
  <c r="D134" i="13"/>
  <c r="H148" i="13"/>
  <c r="I148" i="13" s="1"/>
  <c r="J33" i="13"/>
  <c r="H79" i="13"/>
  <c r="I79" i="13" s="1"/>
  <c r="B83" i="13"/>
  <c r="J95" i="13"/>
  <c r="E13" i="13"/>
  <c r="G17" i="13"/>
  <c r="G24" i="13"/>
  <c r="B45" i="13"/>
  <c r="F49" i="13"/>
  <c r="B69" i="13"/>
  <c r="H75" i="13"/>
  <c r="I75" i="13" s="1"/>
  <c r="D83" i="13"/>
  <c r="I110" i="13"/>
  <c r="E121" i="13"/>
  <c r="G149" i="13"/>
  <c r="J37" i="13"/>
  <c r="J39" i="13"/>
  <c r="G49" i="13"/>
  <c r="F59" i="13"/>
  <c r="C67" i="13"/>
  <c r="D69" i="13"/>
  <c r="J71" i="13"/>
  <c r="E74" i="13"/>
  <c r="F77" i="13"/>
  <c r="G79" i="13"/>
  <c r="H87" i="13"/>
  <c r="I87" i="13" s="1"/>
  <c r="A90" i="13"/>
  <c r="G92" i="13"/>
  <c r="E94" i="13"/>
  <c r="J97" i="13"/>
  <c r="E102" i="13"/>
  <c r="D108" i="13"/>
  <c r="J113" i="13"/>
  <c r="G119" i="13"/>
  <c r="H121" i="13"/>
  <c r="I121" i="13" s="1"/>
  <c r="F124" i="13"/>
  <c r="J125" i="13"/>
  <c r="B130" i="13"/>
  <c r="C133" i="13"/>
  <c r="G135" i="13"/>
  <c r="J137" i="13"/>
  <c r="G144" i="13"/>
  <c r="D146" i="13"/>
  <c r="J150" i="13"/>
  <c r="G19" i="13"/>
  <c r="D23" i="13"/>
  <c r="J26" i="13"/>
  <c r="H7" i="13"/>
  <c r="E9" i="13"/>
  <c r="H19" i="13"/>
  <c r="J23" i="13"/>
  <c r="J119" i="13"/>
  <c r="H124" i="13"/>
  <c r="I124" i="13" s="1"/>
  <c r="C130" i="13"/>
  <c r="E133" i="13"/>
  <c r="H135" i="13"/>
  <c r="I135" i="13" s="1"/>
  <c r="J144" i="13"/>
  <c r="E146" i="13"/>
  <c r="H39" i="13"/>
  <c r="J7" i="13"/>
  <c r="J9" i="13"/>
  <c r="J19" i="13"/>
  <c r="B8" i="13"/>
  <c r="F10" i="13"/>
  <c r="H15" i="13"/>
  <c r="J17" i="13"/>
  <c r="A29" i="13"/>
  <c r="D33" i="13"/>
  <c r="A38" i="13"/>
  <c r="E42" i="13"/>
  <c r="J49" i="13"/>
  <c r="D57" i="13"/>
  <c r="J59" i="13"/>
  <c r="C62" i="13"/>
  <c r="E65" i="13"/>
  <c r="G72" i="13"/>
  <c r="J74" i="13"/>
  <c r="J77" i="13"/>
  <c r="J79" i="13"/>
  <c r="B101" i="13"/>
  <c r="G103" i="13"/>
  <c r="D122" i="13"/>
  <c r="F146" i="13"/>
  <c r="E62" i="13"/>
  <c r="F65" i="13"/>
  <c r="B91" i="13"/>
  <c r="F122" i="13"/>
  <c r="J126" i="13"/>
  <c r="C131" i="13"/>
  <c r="H133" i="13"/>
  <c r="I133" i="13" s="1"/>
  <c r="B145" i="13"/>
  <c r="G146" i="13"/>
  <c r="J152" i="13"/>
  <c r="E57" i="13"/>
  <c r="E8" i="13"/>
  <c r="A11" i="13"/>
  <c r="F13" i="13"/>
  <c r="D16" i="13"/>
  <c r="B26" i="13"/>
  <c r="D29" i="13"/>
  <c r="G31" i="13"/>
  <c r="H33" i="13"/>
  <c r="I33" i="13" s="1"/>
  <c r="A37" i="13"/>
  <c r="E38" i="13"/>
  <c r="A41" i="13"/>
  <c r="A43" i="13"/>
  <c r="E45" i="13"/>
  <c r="J47" i="13"/>
  <c r="A50" i="13"/>
  <c r="E53" i="13"/>
  <c r="E55" i="13"/>
  <c r="H57" i="13"/>
  <c r="I57" i="13" s="1"/>
  <c r="G62" i="13"/>
  <c r="H65" i="13"/>
  <c r="I65" i="13" s="1"/>
  <c r="G67" i="13"/>
  <c r="J69" i="13"/>
  <c r="A73" i="13"/>
  <c r="B75" i="13"/>
  <c r="A78" i="13"/>
  <c r="G80" i="13"/>
  <c r="B89" i="13"/>
  <c r="C91" i="13"/>
  <c r="F95" i="13"/>
  <c r="G98" i="13"/>
  <c r="D101" i="13"/>
  <c r="C104" i="13"/>
  <c r="B110" i="13"/>
  <c r="A113" i="13"/>
  <c r="A116" i="13"/>
  <c r="F118" i="13"/>
  <c r="G122" i="13"/>
  <c r="A125" i="13"/>
  <c r="D131" i="13"/>
  <c r="J133" i="13"/>
  <c r="H136" i="13"/>
  <c r="I136" i="13" s="1"/>
  <c r="C145" i="13"/>
  <c r="E149" i="13"/>
  <c r="A26" i="13"/>
  <c r="B29" i="13"/>
  <c r="A7" i="13"/>
  <c r="F8" i="13"/>
  <c r="F21" i="13"/>
  <c r="A25" i="13"/>
  <c r="C26" i="13"/>
  <c r="E29" i="13"/>
  <c r="H31" i="13"/>
  <c r="B37" i="13"/>
  <c r="G38" i="13"/>
  <c r="B41" i="13"/>
  <c r="B43" i="13"/>
  <c r="H45" i="13"/>
  <c r="I45" i="13" s="1"/>
  <c r="E50" i="13"/>
  <c r="F53" i="13"/>
  <c r="J57" i="13"/>
  <c r="A61" i="13"/>
  <c r="J62" i="13"/>
  <c r="J65" i="13"/>
  <c r="B73" i="13"/>
  <c r="F75" i="13"/>
  <c r="E78" i="13"/>
  <c r="A86" i="13"/>
  <c r="C89" i="13"/>
  <c r="D91" i="13"/>
  <c r="H95" i="13"/>
  <c r="I95" i="13" s="1"/>
  <c r="E101" i="13"/>
  <c r="E104" i="13"/>
  <c r="C110" i="13"/>
  <c r="B113" i="13"/>
  <c r="C116" i="13"/>
  <c r="I118" i="13"/>
  <c r="J122" i="13"/>
  <c r="B125" i="13"/>
  <c r="I127" i="13"/>
  <c r="F131" i="13"/>
  <c r="D145" i="13"/>
  <c r="C147" i="13"/>
  <c r="F149" i="13"/>
  <c r="B19" i="13"/>
  <c r="D73" i="13"/>
  <c r="D89" i="13"/>
  <c r="E91" i="13"/>
  <c r="B99" i="13"/>
  <c r="E145" i="13"/>
  <c r="D7" i="13"/>
  <c r="H8" i="13"/>
  <c r="A12" i="13"/>
  <c r="A17" i="13"/>
  <c r="C19" i="13"/>
  <c r="E22" i="13"/>
  <c r="C25" i="13"/>
  <c r="E26" i="13"/>
  <c r="G29" i="13"/>
  <c r="E41" i="13"/>
  <c r="D43" i="13"/>
  <c r="A49" i="13"/>
  <c r="J50" i="13"/>
  <c r="B63" i="13"/>
  <c r="E70" i="13"/>
  <c r="F73" i="13"/>
  <c r="B79" i="13"/>
  <c r="E89" i="13"/>
  <c r="F91" i="13"/>
  <c r="F99" i="13"/>
  <c r="G101" i="13"/>
  <c r="D113" i="13"/>
  <c r="G116" i="13"/>
  <c r="H120" i="13"/>
  <c r="I120" i="13" s="1"/>
  <c r="E123" i="13"/>
  <c r="E125" i="13"/>
  <c r="A128" i="13"/>
  <c r="F134" i="13"/>
  <c r="F145" i="13"/>
  <c r="C7" i="13"/>
  <c r="G8" i="13"/>
  <c r="B25" i="13"/>
  <c r="D26" i="13"/>
  <c r="F29" i="13"/>
  <c r="C37" i="13"/>
  <c r="D41" i="13"/>
  <c r="D37" i="13"/>
  <c r="E7" i="13"/>
  <c r="B12" i="13"/>
  <c r="B17" i="13"/>
  <c r="D19" i="13"/>
  <c r="F61" i="13"/>
  <c r="F63" i="13"/>
  <c r="C68" i="13"/>
  <c r="H73" i="13"/>
  <c r="I73" i="13" s="1"/>
  <c r="C79" i="13"/>
  <c r="E81" i="13"/>
  <c r="F89" i="13"/>
  <c r="G91" i="13"/>
  <c r="H99" i="13"/>
  <c r="I99" i="13" s="1"/>
  <c r="H101" i="13"/>
  <c r="I101" i="13" s="1"/>
  <c r="E106" i="13"/>
  <c r="F110" i="13"/>
  <c r="E113" i="13"/>
  <c r="H116" i="13"/>
  <c r="I116" i="13" s="1"/>
  <c r="A119" i="13"/>
  <c r="G123" i="13"/>
  <c r="F125" i="13"/>
  <c r="C128" i="13"/>
  <c r="G134" i="13"/>
  <c r="F137" i="13"/>
  <c r="H145" i="13"/>
  <c r="I145" i="13" s="1"/>
  <c r="F147" i="13"/>
  <c r="D8" i="13"/>
  <c r="D25" i="13"/>
  <c r="G26" i="13"/>
  <c r="I26" i="13" s="1"/>
  <c r="H29" i="13"/>
  <c r="F37" i="13"/>
  <c r="B39" i="13"/>
  <c r="F41" i="13"/>
  <c r="F43" i="13"/>
  <c r="A46" i="13"/>
  <c r="B49" i="13"/>
  <c r="F7" i="13"/>
  <c r="J8" i="13"/>
  <c r="H12" i="13"/>
  <c r="D17" i="13"/>
  <c r="F19" i="13"/>
  <c r="B23" i="13"/>
  <c r="F25" i="13"/>
  <c r="J29" i="13"/>
  <c r="A32" i="13"/>
  <c r="B35" i="13"/>
  <c r="G37" i="13"/>
  <c r="D39" i="13"/>
  <c r="G41" i="13"/>
  <c r="G43" i="13"/>
  <c r="E46" i="13"/>
  <c r="C49" i="13"/>
  <c r="B51" i="13"/>
  <c r="A54" i="13"/>
  <c r="G61" i="13"/>
  <c r="H63" i="13"/>
  <c r="I63" i="13" s="1"/>
  <c r="G68" i="13"/>
  <c r="B71" i="13"/>
  <c r="J73" i="13"/>
  <c r="D79" i="13"/>
  <c r="F81" i="13"/>
  <c r="B87" i="13"/>
  <c r="H89" i="13"/>
  <c r="I89" i="13" s="1"/>
  <c r="H91" i="13"/>
  <c r="I91" i="13" s="1"/>
  <c r="D97" i="13"/>
  <c r="J99" i="13"/>
  <c r="G106" i="13"/>
  <c r="G110" i="13"/>
  <c r="F113" i="13"/>
  <c r="C119" i="13"/>
  <c r="C121" i="13"/>
  <c r="H123" i="13"/>
  <c r="I123" i="13" s="1"/>
  <c r="G125" i="13"/>
  <c r="J128" i="13"/>
  <c r="E132" i="13"/>
  <c r="J134" i="13"/>
  <c r="G137" i="13"/>
  <c r="B144" i="13"/>
  <c r="J145" i="13"/>
  <c r="G147" i="13"/>
  <c r="J149" i="13"/>
  <c r="H37" i="13"/>
  <c r="F39" i="13"/>
  <c r="F46" i="13"/>
  <c r="D71" i="13"/>
  <c r="D87" i="13"/>
  <c r="J89" i="13"/>
  <c r="A94" i="13"/>
  <c r="F97" i="13"/>
  <c r="J116" i="13"/>
  <c r="D119" i="13"/>
  <c r="G7" i="13"/>
  <c r="F71" i="13"/>
  <c r="A74" i="13"/>
  <c r="C94" i="13"/>
  <c r="H97" i="13"/>
  <c r="I97" i="13" s="1"/>
  <c r="A102" i="13"/>
  <c r="F121" i="13"/>
  <c r="E135" i="13"/>
  <c r="E144" i="13"/>
  <c r="C146" i="13"/>
  <c r="J147" i="13"/>
  <c r="H150" i="13"/>
  <c r="I150" i="13" s="1"/>
  <c r="AC11" i="4"/>
  <c r="J11" i="4" s="1"/>
  <c r="L26" i="7"/>
  <c r="A26" i="7" s="1"/>
  <c r="Z12" i="14"/>
  <c r="D34" i="7"/>
  <c r="C33" i="7"/>
  <c r="B34" i="7"/>
  <c r="Z10" i="14"/>
  <c r="E34" i="7"/>
  <c r="C32" i="7"/>
  <c r="L24" i="7"/>
  <c r="A24" i="7" s="1"/>
  <c r="L13" i="7"/>
  <c r="E13" i="7" s="1"/>
  <c r="L8" i="7"/>
  <c r="F8" i="7" s="1"/>
  <c r="L21" i="7"/>
  <c r="F21" i="7" s="1"/>
  <c r="L14" i="7"/>
  <c r="L9" i="7"/>
  <c r="E9" i="7" s="1"/>
  <c r="L7" i="7"/>
  <c r="G7" i="7" s="1"/>
  <c r="L25" i="7"/>
  <c r="F25" i="7" s="1"/>
  <c r="L23" i="7"/>
  <c r="G23" i="7" s="1"/>
  <c r="L18" i="7"/>
  <c r="A18" i="7" s="1"/>
  <c r="L19" i="7"/>
  <c r="K19" i="7" s="1"/>
  <c r="L15" i="7"/>
  <c r="E15" i="7" s="1"/>
  <c r="L20" i="7"/>
  <c r="E20" i="7" s="1"/>
  <c r="L22" i="7"/>
  <c r="J22" i="7" s="1"/>
  <c r="L12" i="7"/>
  <c r="E12" i="7" s="1"/>
  <c r="L16" i="7"/>
  <c r="A16" i="7" s="1"/>
  <c r="L11" i="7"/>
  <c r="I11" i="7" s="1"/>
  <c r="D32" i="7"/>
  <c r="D29" i="14"/>
  <c r="I32" i="14"/>
  <c r="H35" i="14"/>
  <c r="AC8" i="4"/>
  <c r="J8" i="4" s="1"/>
  <c r="L10" i="7"/>
  <c r="H10" i="7" s="1"/>
  <c r="L17" i="7"/>
  <c r="E17" i="7" s="1"/>
  <c r="B33" i="7"/>
  <c r="Z9" i="14"/>
  <c r="F29" i="14"/>
  <c r="J32" i="14"/>
  <c r="I35" i="14"/>
  <c r="J35" i="14"/>
  <c r="G29" i="14"/>
  <c r="C30" i="7"/>
  <c r="E33" i="7"/>
  <c r="Z6" i="14"/>
  <c r="Z8" i="14"/>
  <c r="I29" i="14"/>
  <c r="A33" i="14"/>
  <c r="B30" i="7"/>
  <c r="D30" i="7"/>
  <c r="J29" i="14"/>
  <c r="G33" i="14"/>
  <c r="D36" i="14"/>
  <c r="Z7" i="14"/>
  <c r="Z13" i="14"/>
  <c r="H33" i="14"/>
  <c r="J36" i="14"/>
  <c r="J30" i="14"/>
  <c r="J33" i="14"/>
  <c r="E37" i="14"/>
  <c r="B34" i="14"/>
  <c r="B32" i="7"/>
  <c r="Z11" i="14"/>
  <c r="E32" i="14"/>
  <c r="H34" i="14"/>
  <c r="F38" i="14"/>
  <c r="B29" i="14"/>
  <c r="F32" i="14"/>
  <c r="C29" i="14"/>
  <c r="G32" i="14"/>
  <c r="C35" i="14"/>
  <c r="CL15" i="4"/>
  <c r="DP15" i="2"/>
  <c r="AB18" i="9"/>
  <c r="B14" i="10" s="1"/>
  <c r="AC18" i="9"/>
  <c r="AD18" i="9"/>
  <c r="L14" i="5"/>
  <c r="AE18" i="9"/>
  <c r="B14" i="4"/>
  <c r="AG18" i="9"/>
  <c r="T14" i="3" s="1"/>
  <c r="AH18" i="9"/>
  <c r="AI18" i="9"/>
  <c r="I13" i="4"/>
  <c r="AF16" i="9"/>
  <c r="A12" i="10"/>
  <c r="F12" i="10" s="1"/>
  <c r="AD12" i="6"/>
  <c r="AG12" i="6" s="1"/>
  <c r="AG16" i="9"/>
  <c r="T12" i="3" s="1"/>
  <c r="AH16" i="9"/>
  <c r="AI16" i="9"/>
  <c r="AJ16" i="9"/>
  <c r="AK16" i="9" s="1"/>
  <c r="D12" i="4"/>
  <c r="L12" i="5"/>
  <c r="G12" i="4"/>
  <c r="H12" i="4" s="1"/>
  <c r="J25" i="2"/>
  <c r="C11" i="4"/>
  <c r="O11" i="4" s="1"/>
  <c r="D11" i="4"/>
  <c r="F11" i="4" s="1"/>
  <c r="A11" i="10"/>
  <c r="D11" i="10" s="1"/>
  <c r="G11" i="4"/>
  <c r="H11" i="4" s="1"/>
  <c r="I11" i="4"/>
  <c r="T11" i="4"/>
  <c r="DP11" i="2" s="1"/>
  <c r="AC15" i="9"/>
  <c r="AD15" i="9"/>
  <c r="AG15" i="9"/>
  <c r="T11" i="3" s="1"/>
  <c r="AH15" i="9"/>
  <c r="AB14" i="9"/>
  <c r="B10" i="10" s="1"/>
  <c r="AC14" i="9"/>
  <c r="AD10" i="6"/>
  <c r="AI10" i="6" s="1"/>
  <c r="AJ10" i="6" s="1"/>
  <c r="L10" i="5"/>
  <c r="AJ13" i="9"/>
  <c r="AK13" i="9" s="1"/>
  <c r="A9" i="10"/>
  <c r="H9" i="10" s="1"/>
  <c r="AB13" i="9"/>
  <c r="B9" i="10" s="1"/>
  <c r="AC13" i="9"/>
  <c r="AD13" i="9"/>
  <c r="AE13" i="9"/>
  <c r="B8" i="4"/>
  <c r="C8" i="4"/>
  <c r="O8" i="4" s="1"/>
  <c r="D8" i="4"/>
  <c r="E8" i="4"/>
  <c r="G8" i="4"/>
  <c r="H8" i="4" s="1"/>
  <c r="AG11" i="9"/>
  <c r="T7" i="3" s="1"/>
  <c r="AB11" i="9"/>
  <c r="B7" i="10" s="1"/>
  <c r="A6" i="2"/>
  <c r="AJ10" i="9"/>
  <c r="AK10" i="9" s="1"/>
  <c r="A6" i="10"/>
  <c r="F6" i="10" s="1"/>
  <c r="AF19" i="6"/>
  <c r="AC10" i="9"/>
  <c r="AD10" i="9"/>
  <c r="J19" i="2"/>
  <c r="K19" i="2" s="1"/>
  <c r="AE10" i="9"/>
  <c r="AF10" i="9"/>
  <c r="C6" i="4"/>
  <c r="AG10" i="9"/>
  <c r="L6" i="5"/>
  <c r="G6" i="4"/>
  <c r="H6" i="4" s="1"/>
  <c r="AH10" i="9"/>
  <c r="Z21" i="14"/>
  <c r="Z22" i="14"/>
  <c r="Z20" i="14"/>
  <c r="Z19" i="14"/>
  <c r="Z25" i="14"/>
  <c r="Z24" i="14"/>
  <c r="Z18" i="14"/>
  <c r="Z23" i="14"/>
  <c r="A5" i="2"/>
  <c r="AF21" i="6"/>
  <c r="AB9" i="9"/>
  <c r="B5" i="10" s="1"/>
  <c r="AG9" i="9"/>
  <c r="T5" i="3" s="1"/>
  <c r="AG21" i="6"/>
  <c r="AD9" i="9"/>
  <c r="L5" i="5"/>
  <c r="AE16" i="6"/>
  <c r="AH16" i="6"/>
  <c r="J18" i="2"/>
  <c r="AD5" i="6"/>
  <c r="AI5" i="6" s="1"/>
  <c r="AI16" i="6"/>
  <c r="AJ16" i="6" s="1"/>
  <c r="T13" i="11"/>
  <c r="S12" i="11"/>
  <c r="S16" i="11"/>
  <c r="R13" i="11"/>
  <c r="R15" i="11"/>
  <c r="S13" i="11"/>
  <c r="S15" i="11"/>
  <c r="I62" i="11"/>
  <c r="A47" i="11"/>
  <c r="J47" i="11" s="1"/>
  <c r="H47" i="11"/>
  <c r="I19" i="11"/>
  <c r="F62" i="11"/>
  <c r="B47" i="11"/>
  <c r="F31" i="11"/>
  <c r="A54" i="11"/>
  <c r="J54" i="11" s="1"/>
  <c r="L34" i="11"/>
  <c r="C47" i="11"/>
  <c r="I29" i="11"/>
  <c r="A34" i="11"/>
  <c r="J34" i="11" s="1"/>
  <c r="L53" i="11"/>
  <c r="B34" i="11"/>
  <c r="A7" i="11"/>
  <c r="J7" i="11" s="1"/>
  <c r="C34" i="11"/>
  <c r="E7" i="11"/>
  <c r="D34" i="11"/>
  <c r="H7" i="11"/>
  <c r="H34" i="11"/>
  <c r="L10" i="11"/>
  <c r="H20" i="11"/>
  <c r="F41" i="11"/>
  <c r="C46" i="11"/>
  <c r="E24" i="11"/>
  <c r="G41" i="11"/>
  <c r="D46" i="11"/>
  <c r="H62" i="11"/>
  <c r="F24" i="11"/>
  <c r="B39" i="11"/>
  <c r="I46" i="11"/>
  <c r="G58" i="11"/>
  <c r="A35" i="11"/>
  <c r="J35" i="11" s="1"/>
  <c r="D21" i="11"/>
  <c r="H24" i="11"/>
  <c r="H21" i="11"/>
  <c r="L24" i="11"/>
  <c r="L29" i="11"/>
  <c r="G35" i="11"/>
  <c r="H35" i="11"/>
  <c r="F40" i="11"/>
  <c r="L63" i="11"/>
  <c r="G40" i="11"/>
  <c r="B18" i="11"/>
  <c r="L21" i="11"/>
  <c r="F8" i="11"/>
  <c r="H30" i="11"/>
  <c r="G47" i="11"/>
  <c r="H64" i="11"/>
  <c r="G34" i="11"/>
  <c r="C41" i="11"/>
  <c r="L64" i="11"/>
  <c r="F9" i="11"/>
  <c r="L22" i="11"/>
  <c r="G9" i="11"/>
  <c r="D41" i="11"/>
  <c r="L47" i="11"/>
  <c r="A57" i="11"/>
  <c r="J57" i="11" s="1"/>
  <c r="E8" i="11"/>
  <c r="I10" i="11"/>
  <c r="E41" i="11"/>
  <c r="C53" i="11"/>
  <c r="D57" i="11"/>
  <c r="D62" i="11"/>
  <c r="H58" i="11"/>
  <c r="I35" i="11"/>
  <c r="L58" i="11"/>
  <c r="A66" i="11"/>
  <c r="J66" i="11" s="1"/>
  <c r="C7" i="11"/>
  <c r="D9" i="11"/>
  <c r="A64" i="11"/>
  <c r="J64" i="11" s="1"/>
  <c r="B7" i="11"/>
  <c r="D18" i="11"/>
  <c r="B23" i="11"/>
  <c r="D40" i="11"/>
  <c r="D7" i="11"/>
  <c r="E9" i="11"/>
  <c r="C23" i="11"/>
  <c r="G24" i="11"/>
  <c r="I28" i="11"/>
  <c r="I34" i="11"/>
  <c r="E40" i="11"/>
  <c r="B46" i="11"/>
  <c r="F47" i="11"/>
  <c r="I50" i="11"/>
  <c r="A53" i="11"/>
  <c r="J53" i="11" s="1"/>
  <c r="A62" i="11"/>
  <c r="J62" i="11" s="1"/>
  <c r="K62" i="11" s="1"/>
  <c r="B64" i="11"/>
  <c r="C59" i="11"/>
  <c r="E59" i="11"/>
  <c r="I7" i="11"/>
  <c r="I9" i="11"/>
  <c r="F16" i="11"/>
  <c r="E22" i="11"/>
  <c r="F23" i="11"/>
  <c r="H29" i="11"/>
  <c r="F37" i="11"/>
  <c r="H40" i="11"/>
  <c r="G46" i="11"/>
  <c r="K46" i="11" s="1"/>
  <c r="I47" i="11"/>
  <c r="A51" i="11"/>
  <c r="J51" i="11" s="1"/>
  <c r="G57" i="11"/>
  <c r="F59" i="11"/>
  <c r="D22" i="11"/>
  <c r="E23" i="11"/>
  <c r="G16" i="11"/>
  <c r="F22" i="11"/>
  <c r="G23" i="11"/>
  <c r="K23" i="11" s="1"/>
  <c r="I40" i="11"/>
  <c r="H46" i="11"/>
  <c r="D51" i="11"/>
  <c r="G59" i="11"/>
  <c r="G22" i="11"/>
  <c r="H23" i="11"/>
  <c r="A65" i="11"/>
  <c r="J65" i="11" s="1"/>
  <c r="G51" i="11"/>
  <c r="C8" i="11"/>
  <c r="G10" i="11"/>
  <c r="B15" i="11"/>
  <c r="I16" i="11"/>
  <c r="H22" i="11"/>
  <c r="I23" i="11"/>
  <c r="E35" i="11"/>
  <c r="A44" i="11"/>
  <c r="J44" i="11" s="1"/>
  <c r="K44" i="11" s="1"/>
  <c r="L46" i="11"/>
  <c r="I51" i="11"/>
  <c r="C54" i="11"/>
  <c r="D58" i="11"/>
  <c r="B65" i="11"/>
  <c r="D23" i="11"/>
  <c r="B8" i="11"/>
  <c r="E10" i="11"/>
  <c r="A15" i="11"/>
  <c r="J15" i="11" s="1"/>
  <c r="H16" i="11"/>
  <c r="D8" i="11"/>
  <c r="H10" i="11"/>
  <c r="C15" i="11"/>
  <c r="L16" i="11"/>
  <c r="I22" i="11"/>
  <c r="L23" i="11"/>
  <c r="L26" i="11"/>
  <c r="F35" i="11"/>
  <c r="L44" i="11"/>
  <c r="L51" i="11"/>
  <c r="F58" i="11"/>
  <c r="C60" i="11"/>
  <c r="F17" i="11"/>
  <c r="L25" i="11"/>
  <c r="D13" i="11"/>
  <c r="B14" i="11"/>
  <c r="L17" i="11"/>
  <c r="H14" i="11"/>
  <c r="F15" i="11"/>
  <c r="A16" i="11"/>
  <c r="J16" i="11" s="1"/>
  <c r="K16" i="11" s="1"/>
  <c r="H18" i="11"/>
  <c r="A19" i="11"/>
  <c r="J19" i="11" s="1"/>
  <c r="A25" i="11"/>
  <c r="J25" i="11" s="1"/>
  <c r="F26" i="11"/>
  <c r="D28" i="11"/>
  <c r="C29" i="11"/>
  <c r="C32" i="11"/>
  <c r="D38" i="11"/>
  <c r="L40" i="11"/>
  <c r="D44" i="11"/>
  <c r="B50" i="11"/>
  <c r="G52" i="11"/>
  <c r="F53" i="11"/>
  <c r="H56" i="11"/>
  <c r="L57" i="11"/>
  <c r="F64" i="11"/>
  <c r="E65" i="11"/>
  <c r="F66" i="11"/>
  <c r="L20" i="11"/>
  <c r="C13" i="11"/>
  <c r="A14" i="11"/>
  <c r="J14" i="11" s="1"/>
  <c r="I17" i="11"/>
  <c r="F38" i="11"/>
  <c r="L41" i="11"/>
  <c r="F44" i="11"/>
  <c r="A48" i="11"/>
  <c r="J48" i="11" s="1"/>
  <c r="K48" i="11" s="1"/>
  <c r="C50" i="11"/>
  <c r="H52" i="11"/>
  <c r="G53" i="11"/>
  <c r="I56" i="11"/>
  <c r="L59" i="11"/>
  <c r="A63" i="11"/>
  <c r="J63" i="11" s="1"/>
  <c r="G64" i="11"/>
  <c r="F65" i="11"/>
  <c r="G17" i="11"/>
  <c r="A10" i="11"/>
  <c r="J10" i="11" s="1"/>
  <c r="K10" i="11" s="1"/>
  <c r="E12" i="11"/>
  <c r="I14" i="11"/>
  <c r="G15" i="11"/>
  <c r="B16" i="11"/>
  <c r="E25" i="11"/>
  <c r="I26" i="11"/>
  <c r="F28" i="11"/>
  <c r="E29" i="11"/>
  <c r="D63" i="11"/>
  <c r="G65" i="11"/>
  <c r="H17" i="11"/>
  <c r="B26" i="11"/>
  <c r="G8" i="11"/>
  <c r="H13" i="11"/>
  <c r="C14" i="11"/>
  <c r="D15" i="11"/>
  <c r="E18" i="11"/>
  <c r="I8" i="11"/>
  <c r="D25" i="11"/>
  <c r="H26" i="11"/>
  <c r="E28" i="11"/>
  <c r="D29" i="11"/>
  <c r="H38" i="11"/>
  <c r="A40" i="11"/>
  <c r="J40" i="11" s="1"/>
  <c r="B9" i="11"/>
  <c r="C10" i="11"/>
  <c r="I15" i="11"/>
  <c r="D16" i="11"/>
  <c r="D17" i="11"/>
  <c r="F19" i="11"/>
  <c r="A20" i="11"/>
  <c r="J20" i="11" s="1"/>
  <c r="A22" i="11"/>
  <c r="J22" i="11" s="1"/>
  <c r="H25" i="11"/>
  <c r="G28" i="11"/>
  <c r="F29" i="11"/>
  <c r="A31" i="11"/>
  <c r="J31" i="11" s="1"/>
  <c r="H32" i="11"/>
  <c r="E34" i="11"/>
  <c r="C35" i="11"/>
  <c r="I44" i="11"/>
  <c r="E46" i="11"/>
  <c r="D47" i="11"/>
  <c r="F48" i="11"/>
  <c r="F50" i="11"/>
  <c r="I53" i="11"/>
  <c r="D55" i="11"/>
  <c r="A58" i="11"/>
  <c r="J58" i="11" s="1"/>
  <c r="A59" i="11"/>
  <c r="J59" i="11" s="1"/>
  <c r="B62" i="11"/>
  <c r="I63" i="11"/>
  <c r="I64" i="11"/>
  <c r="H65" i="11"/>
  <c r="I18" i="11"/>
  <c r="B19" i="11"/>
  <c r="D32" i="11"/>
  <c r="A9" i="11"/>
  <c r="J9" i="11" s="1"/>
  <c r="B10" i="11"/>
  <c r="H15" i="11"/>
  <c r="C16" i="11"/>
  <c r="C17" i="11"/>
  <c r="L18" i="11"/>
  <c r="D19" i="11"/>
  <c r="F32" i="11"/>
  <c r="B35" i="11"/>
  <c r="H44" i="11"/>
  <c r="D48" i="11"/>
  <c r="D50" i="11"/>
  <c r="I52" i="11"/>
  <c r="H53" i="11"/>
  <c r="B55" i="11"/>
  <c r="I38" i="11"/>
  <c r="B40" i="11"/>
  <c r="A41" i="11"/>
  <c r="J41" i="11" s="1"/>
  <c r="A8" i="11"/>
  <c r="J8" i="11" s="1"/>
  <c r="C9" i="11"/>
  <c r="D10" i="11"/>
  <c r="L15" i="11"/>
  <c r="B20" i="11"/>
  <c r="B22" i="11"/>
  <c r="H28" i="11"/>
  <c r="G29" i="11"/>
  <c r="E31" i="11"/>
  <c r="I32" i="11"/>
  <c r="D35" i="11"/>
  <c r="A37" i="11"/>
  <c r="J37" i="11" s="1"/>
  <c r="B41" i="11"/>
  <c r="F42" i="11"/>
  <c r="F46" i="11"/>
  <c r="H50" i="11"/>
  <c r="L52" i="11"/>
  <c r="H55" i="11"/>
  <c r="L56" i="11"/>
  <c r="B58" i="11"/>
  <c r="B59" i="11"/>
  <c r="A60" i="11"/>
  <c r="J60" i="11" s="1"/>
  <c r="C62" i="11"/>
  <c r="I65" i="11"/>
  <c r="H31" i="11"/>
  <c r="L32" i="11"/>
  <c r="L38" i="11"/>
  <c r="A52" i="11"/>
  <c r="J52" i="11" s="1"/>
  <c r="E58" i="11"/>
  <c r="D59" i="11"/>
  <c r="D60" i="11"/>
  <c r="L65" i="11"/>
  <c r="D49" i="11"/>
  <c r="B52" i="11"/>
  <c r="A56" i="11"/>
  <c r="J56" i="11" s="1"/>
  <c r="K56" i="11" s="1"/>
  <c r="F60" i="11"/>
  <c r="L28" i="11"/>
  <c r="L45" i="11"/>
  <c r="E49" i="11"/>
  <c r="L50" i="11"/>
  <c r="C52" i="11"/>
  <c r="B53" i="11"/>
  <c r="B56" i="11"/>
  <c r="A38" i="11"/>
  <c r="J38" i="11" s="1"/>
  <c r="K38" i="11" s="1"/>
  <c r="D52" i="11"/>
  <c r="C56" i="11"/>
  <c r="C26" i="11"/>
  <c r="A28" i="11"/>
  <c r="J28" i="11" s="1"/>
  <c r="A29" i="11"/>
  <c r="J29" i="11" s="1"/>
  <c r="A32" i="11"/>
  <c r="J32" i="11" s="1"/>
  <c r="K32" i="11" s="1"/>
  <c r="B38" i="11"/>
  <c r="G39" i="11"/>
  <c r="H41" i="11"/>
  <c r="B44" i="11"/>
  <c r="E52" i="11"/>
  <c r="D53" i="11"/>
  <c r="D54" i="11"/>
  <c r="D56" i="11"/>
  <c r="I57" i="11"/>
  <c r="I58" i="11"/>
  <c r="H59" i="11"/>
  <c r="L62" i="11"/>
  <c r="D64" i="11"/>
  <c r="C65" i="11"/>
  <c r="C66" i="11"/>
  <c r="B13" i="11"/>
  <c r="A26" i="11"/>
  <c r="J26" i="11" s="1"/>
  <c r="K26" i="11" s="1"/>
  <c r="H8" i="11"/>
  <c r="L9" i="11"/>
  <c r="F14" i="11"/>
  <c r="F18" i="11"/>
  <c r="I21" i="11"/>
  <c r="D26" i="11"/>
  <c r="B28" i="11"/>
  <c r="D30" i="11"/>
  <c r="B32" i="11"/>
  <c r="C38" i="11"/>
  <c r="I39" i="11"/>
  <c r="C44" i="11"/>
  <c r="A50" i="11"/>
  <c r="J50" i="11" s="1"/>
  <c r="K50" i="11" s="1"/>
  <c r="F54" i="11"/>
  <c r="F56" i="11"/>
  <c r="E64" i="11"/>
  <c r="D66" i="11"/>
  <c r="BJ32" i="2"/>
  <c r="BI42" i="2"/>
  <c r="BO52" i="2"/>
  <c r="BN52" i="2"/>
  <c r="BP52" i="2"/>
  <c r="BM52" i="2"/>
  <c r="BL52" i="2"/>
  <c r="BK52" i="2"/>
  <c r="BJ52" i="2"/>
  <c r="BO61" i="2"/>
  <c r="BN61" i="2"/>
  <c r="BK61" i="2"/>
  <c r="BJ61" i="2"/>
  <c r="BI61" i="2"/>
  <c r="BP61" i="2"/>
  <c r="BI66" i="2"/>
  <c r="BP66" i="2"/>
  <c r="BN66" i="2"/>
  <c r="BM66" i="2"/>
  <c r="BO66" i="2"/>
  <c r="BL66" i="2"/>
  <c r="BK66" i="2"/>
  <c r="B7" i="4"/>
  <c r="I7" i="4"/>
  <c r="C7" i="4"/>
  <c r="M7" i="4" s="1"/>
  <c r="T7" i="4"/>
  <c r="DP7" i="2" s="1"/>
  <c r="E7" i="4"/>
  <c r="G7" i="4"/>
  <c r="H7" i="4" s="1"/>
  <c r="AC7" i="4"/>
  <c r="J7" i="4" s="1"/>
  <c r="D7" i="4"/>
  <c r="AL10" i="4"/>
  <c r="AG10" i="4"/>
  <c r="AH10" i="4"/>
  <c r="AK10" i="4"/>
  <c r="AJ10" i="4"/>
  <c r="AI10" i="4"/>
  <c r="AF10" i="4"/>
  <c r="AE10" i="4"/>
  <c r="AH14" i="4"/>
  <c r="AF14" i="4"/>
  <c r="AL14" i="4"/>
  <c r="AJ14" i="4"/>
  <c r="AI14" i="4"/>
  <c r="AE14" i="4"/>
  <c r="AK14" i="4"/>
  <c r="AG14" i="4"/>
  <c r="BM26" i="2"/>
  <c r="BO26" i="2"/>
  <c r="BN26" i="2"/>
  <c r="BL26" i="2"/>
  <c r="BK36" i="2"/>
  <c r="BI36" i="2"/>
  <c r="BJ36" i="2"/>
  <c r="BP36" i="2"/>
  <c r="BN36" i="2"/>
  <c r="BO36" i="2"/>
  <c r="BK47" i="2"/>
  <c r="BP47" i="2"/>
  <c r="BO47" i="2"/>
  <c r="BN47" i="2"/>
  <c r="BM47" i="2"/>
  <c r="BL47" i="2"/>
  <c r="BI47" i="2"/>
  <c r="BJ47" i="2"/>
  <c r="BI52" i="2"/>
  <c r="BL61" i="2"/>
  <c r="BJ66" i="2"/>
  <c r="BJ26" i="2"/>
  <c r="BM36" i="2"/>
  <c r="BJ48" i="2"/>
  <c r="AI22" i="4"/>
  <c r="AG22" i="4"/>
  <c r="AE22" i="4"/>
  <c r="AL22" i="4"/>
  <c r="AF22" i="4"/>
  <c r="AK22" i="4"/>
  <c r="AJ22" i="4"/>
  <c r="BN8" i="2"/>
  <c r="BP14" i="2"/>
  <c r="BO14" i="2"/>
  <c r="BJ14" i="2"/>
  <c r="BN14" i="2"/>
  <c r="BM14" i="2"/>
  <c r="BK26" i="2"/>
  <c r="BL48" i="2"/>
  <c r="BM53" i="2"/>
  <c r="BO53" i="2"/>
  <c r="BL53" i="2"/>
  <c r="BK53" i="2"/>
  <c r="BP53" i="2"/>
  <c r="BJ53" i="2"/>
  <c r="BN53" i="2"/>
  <c r="BM62" i="2"/>
  <c r="BO62" i="2"/>
  <c r="BL62" i="2"/>
  <c r="BK62" i="2"/>
  <c r="BN62" i="2"/>
  <c r="BJ62" i="2"/>
  <c r="BI62" i="2"/>
  <c r="AH22" i="4"/>
  <c r="BP26" i="2"/>
  <c r="BP39" i="2"/>
  <c r="BK39" i="2"/>
  <c r="BN39" i="2"/>
  <c r="BO39" i="2"/>
  <c r="BO48" i="2"/>
  <c r="BI55" i="2"/>
  <c r="BO55" i="2"/>
  <c r="BN55" i="2"/>
  <c r="BM55" i="2"/>
  <c r="BK55" i="2"/>
  <c r="BL55" i="2"/>
  <c r="BI64" i="2"/>
  <c r="BL64" i="2"/>
  <c r="BK64" i="2"/>
  <c r="BJ64" i="2"/>
  <c r="BP64" i="2"/>
  <c r="BO64" i="2"/>
  <c r="BM8" i="2"/>
  <c r="BL8" i="2"/>
  <c r="BK8" i="2"/>
  <c r="BJ8" i="2"/>
  <c r="BI8" i="2"/>
  <c r="BL10" i="2"/>
  <c r="BO10" i="2"/>
  <c r="BP10" i="2"/>
  <c r="BP8" i="2"/>
  <c r="BI10" i="2"/>
  <c r="BK15" i="2"/>
  <c r="BP15" i="2"/>
  <c r="BN15" i="2"/>
  <c r="BO15" i="2"/>
  <c r="BI39" i="2"/>
  <c r="D41" i="2"/>
  <c r="BJ55" i="2"/>
  <c r="BM64" i="2"/>
  <c r="AC9" i="4"/>
  <c r="J9" i="4" s="1"/>
  <c r="E9" i="4"/>
  <c r="D9" i="4"/>
  <c r="B9" i="4"/>
  <c r="T9" i="4"/>
  <c r="CL9" i="4" s="1"/>
  <c r="I9" i="4"/>
  <c r="G9" i="4"/>
  <c r="H9" i="4" s="1"/>
  <c r="C9" i="4"/>
  <c r="M9" i="4" s="1"/>
  <c r="BO32" i="2"/>
  <c r="BM32" i="2"/>
  <c r="BL32" i="2"/>
  <c r="BI32" i="2"/>
  <c r="BN32" i="2"/>
  <c r="BP32" i="2"/>
  <c r="BK42" i="2"/>
  <c r="BO42" i="2"/>
  <c r="BM42" i="2"/>
  <c r="BL42" i="2"/>
  <c r="BJ42" i="2"/>
  <c r="BP42" i="2"/>
  <c r="BM65" i="2"/>
  <c r="BP65" i="2"/>
  <c r="BL65" i="2"/>
  <c r="BK65" i="2"/>
  <c r="BJ65" i="2"/>
  <c r="BN9" i="2"/>
  <c r="BJ9" i="2"/>
  <c r="BM9" i="2"/>
  <c r="BL9" i="2"/>
  <c r="BK9" i="2"/>
  <c r="BM10" i="2"/>
  <c r="BL15" i="2"/>
  <c r="BM39" i="2"/>
  <c r="BI51" i="2"/>
  <c r="BN51" i="2"/>
  <c r="BM51" i="2"/>
  <c r="BL51" i="2"/>
  <c r="BK51" i="2"/>
  <c r="BJ51" i="2"/>
  <c r="BI65" i="2"/>
  <c r="BN48" i="2"/>
  <c r="BI48" i="2"/>
  <c r="BM48" i="2"/>
  <c r="BK48" i="2"/>
  <c r="BK10" i="2"/>
  <c r="BJ35" i="2"/>
  <c r="BO35" i="2"/>
  <c r="BN35" i="2"/>
  <c r="BM35" i="2"/>
  <c r="BK35" i="2"/>
  <c r="BL35" i="2"/>
  <c r="BI9" i="2"/>
  <c r="BN10" i="2"/>
  <c r="BM15" i="2"/>
  <c r="BL25" i="2"/>
  <c r="BO25" i="2"/>
  <c r="BM25" i="2"/>
  <c r="BK25" i="2"/>
  <c r="BP25" i="2"/>
  <c r="BJ25" i="2"/>
  <c r="BN25" i="2"/>
  <c r="BL30" i="2"/>
  <c r="BJ30" i="2"/>
  <c r="BI30" i="2"/>
  <c r="BO30" i="2"/>
  <c r="BP35" i="2"/>
  <c r="BN65" i="2"/>
  <c r="BM49" i="2"/>
  <c r="BK49" i="2"/>
  <c r="BJ49" i="2"/>
  <c r="BN27" i="2"/>
  <c r="BP27" i="2"/>
  <c r="BM31" i="2"/>
  <c r="BK31" i="2"/>
  <c r="BJ31" i="2"/>
  <c r="BO38" i="2"/>
  <c r="BP38" i="2"/>
  <c r="BM38" i="2"/>
  <c r="BL38" i="2"/>
  <c r="BM43" i="2"/>
  <c r="BP43" i="2"/>
  <c r="BO43" i="2"/>
  <c r="BI49" i="2"/>
  <c r="BP58" i="2"/>
  <c r="BI72" i="2"/>
  <c r="BI77" i="2"/>
  <c r="BN77" i="2"/>
  <c r="BL77" i="2"/>
  <c r="BK77" i="2"/>
  <c r="T6" i="4"/>
  <c r="DP6" i="2" s="1"/>
  <c r="AH9" i="4"/>
  <c r="AG9" i="4"/>
  <c r="AE9" i="4"/>
  <c r="AJ9" i="4"/>
  <c r="AF9" i="4"/>
  <c r="D10" i="4"/>
  <c r="T10" i="4"/>
  <c r="DP10" i="2" s="1"/>
  <c r="G10" i="4"/>
  <c r="H10" i="4" s="1"/>
  <c r="B10" i="4"/>
  <c r="I10" i="4"/>
  <c r="AC10" i="4"/>
  <c r="J10" i="4" s="1"/>
  <c r="C10" i="4"/>
  <c r="O10" i="4" s="1"/>
  <c r="BK13" i="2"/>
  <c r="BJ13" i="2"/>
  <c r="BJ41" i="2"/>
  <c r="BM41" i="2"/>
  <c r="BK41" i="2"/>
  <c r="BI41" i="2"/>
  <c r="BL13" i="2"/>
  <c r="BP22" i="2"/>
  <c r="BO22" i="2"/>
  <c r="BI27" i="2"/>
  <c r="BI31" i="2"/>
  <c r="BI38" i="2"/>
  <c r="BN41" i="2"/>
  <c r="BI43" i="2"/>
  <c r="BL49" i="2"/>
  <c r="BJ72" i="2"/>
  <c r="BJ77" i="2"/>
  <c r="AI9" i="4"/>
  <c r="E10" i="4"/>
  <c r="BM13" i="2"/>
  <c r="BI34" i="2"/>
  <c r="BP34" i="2"/>
  <c r="BO34" i="2"/>
  <c r="BO41" i="2"/>
  <c r="N5" i="4"/>
  <c r="BN16" i="2"/>
  <c r="BL16" i="2"/>
  <c r="BK16" i="2"/>
  <c r="BL20" i="2"/>
  <c r="BO20" i="2"/>
  <c r="BN20" i="2"/>
  <c r="BN49" i="2"/>
  <c r="BK72" i="2"/>
  <c r="BI6" i="2"/>
  <c r="BN13" i="2"/>
  <c r="BI16" i="2"/>
  <c r="BI20" i="2"/>
  <c r="BJ34" i="2"/>
  <c r="BP41" i="2"/>
  <c r="BO49" i="2"/>
  <c r="BM67" i="2"/>
  <c r="BK67" i="2"/>
  <c r="BJ67" i="2"/>
  <c r="BJ69" i="2"/>
  <c r="BL72" i="2"/>
  <c r="BL74" i="2"/>
  <c r="BO74" i="2"/>
  <c r="BM74" i="2"/>
  <c r="BK74" i="2"/>
  <c r="AC6" i="4"/>
  <c r="J6" i="4" s="1"/>
  <c r="E6" i="4"/>
  <c r="D6" i="4"/>
  <c r="B6" i="4"/>
  <c r="AK11" i="4"/>
  <c r="AI11" i="4"/>
  <c r="AJ11" i="4"/>
  <c r="AG11" i="4"/>
  <c r="AF11" i="4"/>
  <c r="AH11" i="4"/>
  <c r="AE11" i="4"/>
  <c r="AL11" i="4"/>
  <c r="AH21" i="4"/>
  <c r="AL21" i="4"/>
  <c r="AE21" i="4"/>
  <c r="AJ21" i="4"/>
  <c r="AI21" i="4"/>
  <c r="AF21" i="4"/>
  <c r="AK42" i="4"/>
  <c r="AL42" i="4"/>
  <c r="AE42" i="4"/>
  <c r="AI42" i="4"/>
  <c r="AJ42" i="4"/>
  <c r="AH42" i="4"/>
  <c r="AG42" i="4"/>
  <c r="AF42" i="4"/>
  <c r="AK54" i="4"/>
  <c r="AH54" i="4"/>
  <c r="AI54" i="4"/>
  <c r="AL54" i="4"/>
  <c r="AF54" i="4"/>
  <c r="AJ54" i="4"/>
  <c r="AG54" i="4"/>
  <c r="AE54" i="4"/>
  <c r="BN67" i="2"/>
  <c r="BM69" i="2"/>
  <c r="BO71" i="2"/>
  <c r="BP71" i="2"/>
  <c r="BM71" i="2"/>
  <c r="BL71" i="2"/>
  <c r="BO72" i="2"/>
  <c r="BN74" i="2"/>
  <c r="AK21" i="4"/>
  <c r="AK46" i="4"/>
  <c r="AJ46" i="4"/>
  <c r="AG46" i="4"/>
  <c r="AI46" i="4"/>
  <c r="AE46" i="4"/>
  <c r="AH46" i="4"/>
  <c r="AF46" i="4"/>
  <c r="AL46" i="4"/>
  <c r="BM58" i="2"/>
  <c r="BK58" i="2"/>
  <c r="BJ58" i="2"/>
  <c r="AL7" i="4"/>
  <c r="AG7" i="4"/>
  <c r="AE7" i="4"/>
  <c r="AK7" i="4"/>
  <c r="AJ7" i="4"/>
  <c r="AJ16" i="4"/>
  <c r="AH16" i="4"/>
  <c r="AK16" i="4"/>
  <c r="AG16" i="4"/>
  <c r="AF16" i="4"/>
  <c r="AE16" i="4"/>
  <c r="BM56" i="2"/>
  <c r="BP56" i="2"/>
  <c r="BI57" i="2"/>
  <c r="BP57" i="2"/>
  <c r="BN57" i="2"/>
  <c r="BM57" i="2"/>
  <c r="BI58" i="2"/>
  <c r="BK60" i="2"/>
  <c r="BP67" i="2"/>
  <c r="BO69" i="2"/>
  <c r="BJ71" i="2"/>
  <c r="BO75" i="2"/>
  <c r="BP75" i="2"/>
  <c r="AF7" i="4"/>
  <c r="AK8" i="4"/>
  <c r="AF8" i="4"/>
  <c r="AH8" i="4"/>
  <c r="AE8" i="4"/>
  <c r="AJ8" i="4"/>
  <c r="AG8" i="4"/>
  <c r="AI16" i="4"/>
  <c r="AH19" i="4"/>
  <c r="AJ19" i="4"/>
  <c r="AL19" i="4"/>
  <c r="AK19" i="4"/>
  <c r="AE19" i="4"/>
  <c r="AI19" i="4"/>
  <c r="AG19" i="4"/>
  <c r="AF19" i="4"/>
  <c r="AJ6" i="4"/>
  <c r="AG6" i="4"/>
  <c r="AC12" i="4"/>
  <c r="J12" i="4" s="1"/>
  <c r="C12" i="4"/>
  <c r="T12" i="4"/>
  <c r="DP12" i="2" s="1"/>
  <c r="E12" i="4"/>
  <c r="B12" i="4"/>
  <c r="CL19" i="4"/>
  <c r="J19" i="4"/>
  <c r="I19" i="4"/>
  <c r="AC19" i="4"/>
  <c r="N19" i="4"/>
  <c r="T19" i="4"/>
  <c r="E19" i="4"/>
  <c r="G19" i="4"/>
  <c r="H19" i="4" s="1"/>
  <c r="D19" i="4"/>
  <c r="P19" i="4"/>
  <c r="T22" i="4"/>
  <c r="G22" i="4"/>
  <c r="H22" i="4" s="1"/>
  <c r="C22" i="4"/>
  <c r="N22" i="4"/>
  <c r="AC22" i="4"/>
  <c r="E22" i="4"/>
  <c r="D22" i="4"/>
  <c r="CL22" i="4"/>
  <c r="P22" i="4"/>
  <c r="I22" i="4"/>
  <c r="AK50" i="4"/>
  <c r="AE50" i="4"/>
  <c r="AG50" i="4"/>
  <c r="AL50" i="4"/>
  <c r="AJ50" i="4"/>
  <c r="AI50" i="4"/>
  <c r="B13" i="4"/>
  <c r="T13" i="4"/>
  <c r="DP13" i="2" s="1"/>
  <c r="E13" i="4"/>
  <c r="G13" i="4"/>
  <c r="H13" i="4" s="1"/>
  <c r="K13" i="4" s="1"/>
  <c r="V13" i="4" s="1"/>
  <c r="C13" i="4"/>
  <c r="O13" i="4" s="1"/>
  <c r="D17" i="4"/>
  <c r="CL17" i="4"/>
  <c r="C17" i="4"/>
  <c r="M17" i="4" s="1"/>
  <c r="G17" i="4"/>
  <c r="H17" i="4" s="1"/>
  <c r="AC17" i="4"/>
  <c r="J17" i="4" s="1"/>
  <c r="I17" i="4"/>
  <c r="E17" i="4"/>
  <c r="AF23" i="4"/>
  <c r="AK23" i="4"/>
  <c r="AH23" i="4"/>
  <c r="AI23" i="4"/>
  <c r="AE23" i="4"/>
  <c r="AL23" i="4"/>
  <c r="D13" i="4"/>
  <c r="B17" i="4"/>
  <c r="C19" i="4"/>
  <c r="AG23" i="4"/>
  <c r="AH50" i="4"/>
  <c r="AC16" i="4"/>
  <c r="J16" i="4" s="1"/>
  <c r="E16" i="4"/>
  <c r="T16" i="4"/>
  <c r="DP16" i="2" s="1"/>
  <c r="G16" i="4"/>
  <c r="H16" i="4" s="1"/>
  <c r="C16" i="4"/>
  <c r="M16" i="4" s="1"/>
  <c r="AI71" i="4"/>
  <c r="AJ71" i="4"/>
  <c r="AF71" i="4"/>
  <c r="AK71" i="4"/>
  <c r="AG71" i="4"/>
  <c r="AL71" i="4"/>
  <c r="AH71" i="4"/>
  <c r="AL39" i="4"/>
  <c r="AJ39" i="4"/>
  <c r="AG39" i="4"/>
  <c r="AK39" i="4"/>
  <c r="AE39" i="4"/>
  <c r="AI67" i="4"/>
  <c r="AK67" i="4"/>
  <c r="AG67" i="4"/>
  <c r="AE67" i="4"/>
  <c r="AJ67" i="4"/>
  <c r="AL67" i="4"/>
  <c r="AH67" i="4"/>
  <c r="AI20" i="4"/>
  <c r="AE20" i="4"/>
  <c r="AG20" i="4"/>
  <c r="AF20" i="4"/>
  <c r="AL20" i="4"/>
  <c r="AJ20" i="4"/>
  <c r="AF39" i="4"/>
  <c r="AF67" i="4"/>
  <c r="AH12" i="4"/>
  <c r="AF15" i="4"/>
  <c r="AL15" i="4"/>
  <c r="AI35" i="4"/>
  <c r="AG35" i="4"/>
  <c r="AH35" i="4"/>
  <c r="AE35" i="4"/>
  <c r="AH49" i="4"/>
  <c r="AL49" i="4"/>
  <c r="AK49" i="4"/>
  <c r="AE49" i="4"/>
  <c r="AJ49" i="4"/>
  <c r="AI49" i="4"/>
  <c r="AF47" i="4"/>
  <c r="AH47" i="4"/>
  <c r="AL47" i="4"/>
  <c r="AI47" i="4"/>
  <c r="AH41" i="4"/>
  <c r="AG41" i="4"/>
  <c r="AJ41" i="4"/>
  <c r="AF41" i="4"/>
  <c r="AL41" i="4"/>
  <c r="AK41" i="4"/>
  <c r="AE47" i="4"/>
  <c r="AF66" i="4"/>
  <c r="AG66" i="4"/>
  <c r="AL66" i="4"/>
  <c r="AE66" i="4"/>
  <c r="AJ66" i="4"/>
  <c r="AI66" i="4"/>
  <c r="AH66" i="4"/>
  <c r="AI24" i="4"/>
  <c r="AH24" i="4"/>
  <c r="AF24" i="4"/>
  <c r="AG24" i="4"/>
  <c r="AE24" i="4"/>
  <c r="AH45" i="4"/>
  <c r="AK45" i="4"/>
  <c r="AI45" i="4"/>
  <c r="AE45" i="4"/>
  <c r="AF74" i="4"/>
  <c r="AK74" i="4"/>
  <c r="AJ74" i="4"/>
  <c r="AH74" i="4"/>
  <c r="AL74" i="4"/>
  <c r="AE74" i="4"/>
  <c r="O23" i="4"/>
  <c r="C23" i="4"/>
  <c r="M23" i="4"/>
  <c r="D23" i="4"/>
  <c r="G23" i="4"/>
  <c r="H23" i="4" s="1"/>
  <c r="B23" i="4"/>
  <c r="P23" i="4"/>
  <c r="I23" i="4"/>
  <c r="CL23" i="4"/>
  <c r="AC23" i="4"/>
  <c r="AH25" i="4"/>
  <c r="AG25" i="4"/>
  <c r="AL25" i="4"/>
  <c r="AE25" i="4"/>
  <c r="AK25" i="4"/>
  <c r="AF62" i="4"/>
  <c r="AE62" i="4"/>
  <c r="AK62" i="4"/>
  <c r="AI62" i="4"/>
  <c r="AJ62" i="4"/>
  <c r="AI8" i="6"/>
  <c r="AJ8" i="6" s="1"/>
  <c r="AG8" i="6"/>
  <c r="AE8" i="6"/>
  <c r="AG62" i="4"/>
  <c r="AL72" i="4"/>
  <c r="AE72" i="4"/>
  <c r="AJ72" i="4"/>
  <c r="AK72" i="4"/>
  <c r="AG72" i="4"/>
  <c r="AI72" i="4"/>
  <c r="AL77" i="4"/>
  <c r="AK77" i="4"/>
  <c r="AH77" i="4"/>
  <c r="AG77" i="4"/>
  <c r="AF77" i="4"/>
  <c r="AH8" i="6"/>
  <c r="AG12" i="4"/>
  <c r="AK12" i="4"/>
  <c r="AI12" i="4"/>
  <c r="AC14" i="4"/>
  <c r="J14" i="4" s="1"/>
  <c r="E14" i="4"/>
  <c r="F14" i="4" s="1"/>
  <c r="C14" i="4"/>
  <c r="T14" i="4"/>
  <c r="AL24" i="4"/>
  <c r="AI25" i="4"/>
  <c r="AF43" i="4"/>
  <c r="AK43" i="4"/>
  <c r="AE43" i="4"/>
  <c r="AL43" i="4"/>
  <c r="AJ45" i="4"/>
  <c r="AF58" i="4"/>
  <c r="AH58" i="4"/>
  <c r="AG58" i="4"/>
  <c r="AL58" i="4"/>
  <c r="AJ58" i="4"/>
  <c r="AL60" i="4"/>
  <c r="AH60" i="4"/>
  <c r="AI60" i="4"/>
  <c r="AG60" i="4"/>
  <c r="AF60" i="4"/>
  <c r="AH62" i="4"/>
  <c r="AF72" i="4"/>
  <c r="AE77" i="4"/>
  <c r="AC18" i="4"/>
  <c r="E18" i="4"/>
  <c r="F18" i="4" s="1"/>
  <c r="O18" i="4"/>
  <c r="CL20" i="4"/>
  <c r="E20" i="4"/>
  <c r="N20" i="4"/>
  <c r="P20" i="4"/>
  <c r="AK26" i="4"/>
  <c r="AL26" i="4"/>
  <c r="AF26" i="4"/>
  <c r="AE28" i="4"/>
  <c r="AG28" i="4"/>
  <c r="AJ28" i="4"/>
  <c r="AE32" i="4"/>
  <c r="AJ32" i="4"/>
  <c r="AF32" i="4"/>
  <c r="AI32" i="4"/>
  <c r="AK34" i="4"/>
  <c r="AE34" i="4"/>
  <c r="AJ34" i="4"/>
  <c r="AG34" i="4"/>
  <c r="AL55" i="4"/>
  <c r="AH55" i="4"/>
  <c r="AE55" i="4"/>
  <c r="AG14" i="6"/>
  <c r="AE14" i="6"/>
  <c r="AH14" i="6"/>
  <c r="M5" i="4"/>
  <c r="T8" i="4"/>
  <c r="B18" i="4"/>
  <c r="P18" i="4"/>
  <c r="AE18" i="4"/>
  <c r="B20" i="4"/>
  <c r="AE26" i="4"/>
  <c r="AF28" i="4"/>
  <c r="AK30" i="4"/>
  <c r="AI30" i="4"/>
  <c r="AF30" i="4"/>
  <c r="AL30" i="4"/>
  <c r="AG32" i="4"/>
  <c r="AF34" i="4"/>
  <c r="AE44" i="4"/>
  <c r="AG44" i="4"/>
  <c r="AK44" i="4"/>
  <c r="AL44" i="4"/>
  <c r="AH44" i="4"/>
  <c r="AF55" i="4"/>
  <c r="AF14" i="6"/>
  <c r="AI14" i="6"/>
  <c r="AJ14" i="6" s="1"/>
  <c r="AG22" i="6"/>
  <c r="AF22" i="6"/>
  <c r="AJ22" i="6"/>
  <c r="AI22" i="6"/>
  <c r="AH22" i="6"/>
  <c r="AE22" i="6"/>
  <c r="M8" i="4"/>
  <c r="AK18" i="4"/>
  <c r="CL18" i="4"/>
  <c r="AF31" i="4"/>
  <c r="AL31" i="4"/>
  <c r="AG31" i="4"/>
  <c r="AE52" i="4"/>
  <c r="AK52" i="4"/>
  <c r="AF52" i="4"/>
  <c r="AL56" i="4"/>
  <c r="AE56" i="4"/>
  <c r="AF56" i="4"/>
  <c r="AI56" i="4"/>
  <c r="AG56" i="4"/>
  <c r="AG65" i="4"/>
  <c r="AI65" i="4"/>
  <c r="AL65" i="4"/>
  <c r="AE65" i="4"/>
  <c r="AF13" i="6"/>
  <c r="AH13" i="6"/>
  <c r="AG13" i="6"/>
  <c r="AE13" i="6"/>
  <c r="AI13" i="6"/>
  <c r="AJ13" i="6" s="1"/>
  <c r="AI27" i="4"/>
  <c r="AE36" i="4"/>
  <c r="AL36" i="4"/>
  <c r="AI57" i="4"/>
  <c r="AH57" i="4"/>
  <c r="AL57" i="4"/>
  <c r="AL76" i="4"/>
  <c r="AH76" i="4"/>
  <c r="AF76" i="4"/>
  <c r="AG76" i="4"/>
  <c r="AE76" i="4"/>
  <c r="D15" i="4"/>
  <c r="CL21" i="4"/>
  <c r="J21" i="4"/>
  <c r="K21" i="4" s="1"/>
  <c r="Y21" i="4" s="1"/>
  <c r="O21" i="4"/>
  <c r="AC21" i="4"/>
  <c r="P24" i="4"/>
  <c r="D24" i="4"/>
  <c r="I24" i="4"/>
  <c r="T24" i="4"/>
  <c r="AL27" i="4"/>
  <c r="AH33" i="4"/>
  <c r="AK33" i="4"/>
  <c r="AH36" i="4"/>
  <c r="AK38" i="4"/>
  <c r="AH38" i="4"/>
  <c r="AG38" i="4"/>
  <c r="AG57" i="4"/>
  <c r="AL61" i="4"/>
  <c r="AE61" i="4"/>
  <c r="AJ61" i="4"/>
  <c r="AI63" i="4"/>
  <c r="AG63" i="4"/>
  <c r="AK63" i="4"/>
  <c r="AJ63" i="4"/>
  <c r="AF69" i="4"/>
  <c r="AJ69" i="4"/>
  <c r="AE69" i="4"/>
  <c r="AK76" i="4"/>
  <c r="AI51" i="4"/>
  <c r="AH51" i="4"/>
  <c r="AJ51" i="4"/>
  <c r="AL64" i="4"/>
  <c r="AK64" i="4"/>
  <c r="AH64" i="4"/>
  <c r="AH29" i="4"/>
  <c r="AK29" i="4"/>
  <c r="AE48" i="4"/>
  <c r="AJ48" i="4"/>
  <c r="AG48" i="4"/>
  <c r="D31" i="7"/>
  <c r="E31" i="7"/>
  <c r="C31" i="7"/>
  <c r="AL68" i="4"/>
  <c r="AH68" i="4"/>
  <c r="AI73" i="4"/>
  <c r="AF73" i="4"/>
  <c r="AJ21" i="6"/>
  <c r="AH21" i="6"/>
  <c r="AI21" i="6"/>
  <c r="G7" i="10"/>
  <c r="I7" i="10"/>
  <c r="J7" i="10"/>
  <c r="AJ20" i="9"/>
  <c r="AK20" i="9" s="1"/>
  <c r="AE20" i="9"/>
  <c r="AB20" i="9"/>
  <c r="B16" i="10" s="1"/>
  <c r="A16" i="10"/>
  <c r="AH20" i="9"/>
  <c r="AG20" i="9"/>
  <c r="T16" i="3" s="1"/>
  <c r="AD20" i="9"/>
  <c r="AF20" i="9"/>
  <c r="AC20" i="9"/>
  <c r="AD17" i="9"/>
  <c r="AJ17" i="9"/>
  <c r="AK17" i="9" s="1"/>
  <c r="AI17" i="9"/>
  <c r="AG17" i="9"/>
  <c r="T13" i="3" s="1"/>
  <c r="AC17" i="9"/>
  <c r="L13" i="5"/>
  <c r="A13" i="10"/>
  <c r="AE17" i="9"/>
  <c r="AI20" i="9"/>
  <c r="AF12" i="9"/>
  <c r="A8" i="10"/>
  <c r="AE12" i="9"/>
  <c r="AG12" i="9"/>
  <c r="AB12" i="9"/>
  <c r="B8" i="10" s="1"/>
  <c r="AJ12" i="9"/>
  <c r="AK12" i="9" s="1"/>
  <c r="AD12" i="9"/>
  <c r="AC12" i="9"/>
  <c r="AI12" i="9"/>
  <c r="AH12" i="9"/>
  <c r="A10" i="10"/>
  <c r="AJ14" i="9"/>
  <c r="AK14" i="9" s="1"/>
  <c r="AI14" i="9"/>
  <c r="AF14" i="9"/>
  <c r="AH14" i="9"/>
  <c r="AD14" i="9"/>
  <c r="AG14" i="9"/>
  <c r="T10" i="3" s="1"/>
  <c r="AE14" i="9"/>
  <c r="AF24" i="9"/>
  <c r="AH24" i="9"/>
  <c r="AG24" i="9"/>
  <c r="T20" i="3" s="1"/>
  <c r="AI24" i="9"/>
  <c r="AC24" i="9"/>
  <c r="AL24" i="9"/>
  <c r="AD24" i="9"/>
  <c r="AN24" i="9"/>
  <c r="AE24" i="9"/>
  <c r="AB24" i="9"/>
  <c r="B20" i="10" s="1"/>
  <c r="AF70" i="4"/>
  <c r="AJ70" i="4"/>
  <c r="AN22" i="9"/>
  <c r="AB22" i="9"/>
  <c r="B18" i="10" s="1"/>
  <c r="A18" i="10"/>
  <c r="AJ22" i="9"/>
  <c r="AI22" i="9"/>
  <c r="AL22" i="9"/>
  <c r="AG22" i="9"/>
  <c r="T18" i="3" s="1"/>
  <c r="AK22" i="9"/>
  <c r="AH22" i="9"/>
  <c r="AD22" i="9"/>
  <c r="AC22" i="9"/>
  <c r="AD18" i="6"/>
  <c r="AF22" i="9"/>
  <c r="AE22" i="9"/>
  <c r="AF16" i="6"/>
  <c r="AG16" i="6"/>
  <c r="A5" i="10"/>
  <c r="AI9" i="9"/>
  <c r="AF9" i="9"/>
  <c r="AH9" i="9"/>
  <c r="AE9" i="9"/>
  <c r="AC9" i="9"/>
  <c r="AJ26" i="9"/>
  <c r="AE26" i="9"/>
  <c r="AD26" i="9"/>
  <c r="AB26" i="9"/>
  <c r="B22" i="10" s="1"/>
  <c r="AN26" i="9"/>
  <c r="AK26" i="9"/>
  <c r="AL26" i="9"/>
  <c r="AG26" i="9"/>
  <c r="T22" i="3" s="1"/>
  <c r="AH26" i="9"/>
  <c r="AC26" i="9"/>
  <c r="AI26" i="9"/>
  <c r="AF26" i="9"/>
  <c r="A22" i="10"/>
  <c r="B35" i="7"/>
  <c r="D35" i="7"/>
  <c r="C35" i="7"/>
  <c r="AD11" i="9"/>
  <c r="AC11" i="9"/>
  <c r="AH11" i="9"/>
  <c r="AI11" i="9"/>
  <c r="AD7" i="6"/>
  <c r="AE11" i="9"/>
  <c r="S14" i="11"/>
  <c r="Q14" i="11"/>
  <c r="T14" i="11"/>
  <c r="R14" i="11"/>
  <c r="P14" i="11"/>
  <c r="N14" i="11"/>
  <c r="C12" i="11"/>
  <c r="I12" i="11"/>
  <c r="A12" i="11"/>
  <c r="J12" i="11" s="1"/>
  <c r="H12" i="11"/>
  <c r="B12" i="11"/>
  <c r="L12" i="11"/>
  <c r="G12" i="11"/>
  <c r="D12" i="11"/>
  <c r="N6" i="11"/>
  <c r="N7" i="11"/>
  <c r="N5" i="11"/>
  <c r="N10" i="11"/>
  <c r="N9" i="11"/>
  <c r="N8" i="11"/>
  <c r="A21" i="10"/>
  <c r="AH25" i="9"/>
  <c r="AL25" i="9"/>
  <c r="AE25" i="9"/>
  <c r="AB25" i="9"/>
  <c r="B21" i="10" s="1"/>
  <c r="AN25" i="9"/>
  <c r="AF25" i="9"/>
  <c r="AD25" i="9"/>
  <c r="AJ25" i="9"/>
  <c r="E27" i="11"/>
  <c r="C27" i="11"/>
  <c r="I27" i="11"/>
  <c r="D27" i="11"/>
  <c r="B27" i="11"/>
  <c r="A27" i="11"/>
  <c r="J27" i="11" s="1"/>
  <c r="L27" i="11"/>
  <c r="H27" i="11"/>
  <c r="G27" i="11"/>
  <c r="F27" i="11"/>
  <c r="AK25" i="9"/>
  <c r="F11" i="11"/>
  <c r="D11" i="11"/>
  <c r="I11" i="11"/>
  <c r="H11" i="11"/>
  <c r="G11" i="11"/>
  <c r="E11" i="11"/>
  <c r="C11" i="11"/>
  <c r="B11" i="11"/>
  <c r="A11" i="11"/>
  <c r="J11" i="11" s="1"/>
  <c r="AE15" i="9"/>
  <c r="AB15" i="9"/>
  <c r="B11" i="10" s="1"/>
  <c r="AI15" i="9"/>
  <c r="AD11" i="6"/>
  <c r="AF15" i="9"/>
  <c r="A15" i="10"/>
  <c r="AH19" i="9"/>
  <c r="AG19" i="9"/>
  <c r="AF19" i="9"/>
  <c r="AI19" i="9"/>
  <c r="AC19" i="9"/>
  <c r="I13" i="11"/>
  <c r="O12" i="11"/>
  <c r="P12" i="11"/>
  <c r="T12" i="11"/>
  <c r="Q12" i="11"/>
  <c r="AE19" i="9"/>
  <c r="AE21" i="9"/>
  <c r="AD21" i="9"/>
  <c r="AB21" i="9"/>
  <c r="B17" i="10" s="1"/>
  <c r="AJ21" i="9"/>
  <c r="AK21" i="9" s="1"/>
  <c r="H12" i="10"/>
  <c r="E12" i="10"/>
  <c r="N12" i="11"/>
  <c r="P16" i="11"/>
  <c r="O16" i="11"/>
  <c r="N16" i="11"/>
  <c r="T16" i="11"/>
  <c r="R16" i="11"/>
  <c r="A17" i="10"/>
  <c r="H19" i="10"/>
  <c r="R12" i="11"/>
  <c r="Q16" i="11"/>
  <c r="E13" i="11"/>
  <c r="G13" i="11"/>
  <c r="A13" i="11"/>
  <c r="J13" i="11" s="1"/>
  <c r="F13" i="11"/>
  <c r="T15" i="11"/>
  <c r="P15" i="11"/>
  <c r="O15" i="11"/>
  <c r="I33" i="11"/>
  <c r="E9" i="10"/>
  <c r="E33" i="11"/>
  <c r="C33" i="11"/>
  <c r="F33" i="11"/>
  <c r="D33" i="11"/>
  <c r="H33" i="11"/>
  <c r="G33" i="11"/>
  <c r="B33" i="11"/>
  <c r="A33" i="11"/>
  <c r="J33" i="11" s="1"/>
  <c r="G20" i="11"/>
  <c r="E20" i="11"/>
  <c r="F20" i="11"/>
  <c r="D20" i="11"/>
  <c r="I20" i="11"/>
  <c r="C36" i="11"/>
  <c r="AH13" i="9"/>
  <c r="AG13" i="9"/>
  <c r="T9" i="3" s="1"/>
  <c r="AB16" i="9"/>
  <c r="B12" i="10" s="1"/>
  <c r="AE16" i="9"/>
  <c r="AD16" i="9"/>
  <c r="M12" i="5" s="1"/>
  <c r="AL27" i="9"/>
  <c r="AJ27" i="9"/>
  <c r="AI27" i="9"/>
  <c r="I9" i="10"/>
  <c r="I36" i="11"/>
  <c r="E36" i="11"/>
  <c r="G36" i="11"/>
  <c r="B36" i="11"/>
  <c r="A36" i="11"/>
  <c r="J36" i="11" s="1"/>
  <c r="H36" i="11"/>
  <c r="F36" i="11"/>
  <c r="D36" i="11"/>
  <c r="I43" i="11"/>
  <c r="G43" i="11"/>
  <c r="F43" i="11"/>
  <c r="C43" i="11"/>
  <c r="L43" i="11"/>
  <c r="H43" i="11"/>
  <c r="E43" i="11"/>
  <c r="I61" i="11"/>
  <c r="G61" i="11"/>
  <c r="K61" i="11" s="1"/>
  <c r="F61" i="11"/>
  <c r="E61" i="11"/>
  <c r="C61" i="11"/>
  <c r="L61" i="11"/>
  <c r="H61" i="11"/>
  <c r="D61" i="11"/>
  <c r="B61" i="11"/>
  <c r="I37" i="11"/>
  <c r="G37" i="11"/>
  <c r="C37" i="11"/>
  <c r="D37" i="11"/>
  <c r="B37" i="11"/>
  <c r="D45" i="11"/>
  <c r="A1" i="24"/>
  <c r="A1" i="14"/>
  <c r="A1" i="23"/>
  <c r="A1" i="21"/>
  <c r="A1" i="22"/>
  <c r="A1" i="20"/>
  <c r="A1" i="19"/>
  <c r="A1" i="17"/>
  <c r="A1" i="15"/>
  <c r="A1" i="16"/>
  <c r="A1" i="18"/>
  <c r="A1" i="13"/>
  <c r="A1" i="12"/>
  <c r="A14" i="10"/>
  <c r="AF18" i="9"/>
  <c r="AN23" i="9"/>
  <c r="AN28" i="9"/>
  <c r="AB28" i="9"/>
  <c r="B24" i="10" s="1"/>
  <c r="A1" i="10"/>
  <c r="A1" i="11"/>
  <c r="F7" i="11"/>
  <c r="E19" i="11"/>
  <c r="C19" i="11"/>
  <c r="L19" i="11"/>
  <c r="A21" i="11"/>
  <c r="J21" i="11" s="1"/>
  <c r="A24" i="11"/>
  <c r="J24" i="11" s="1"/>
  <c r="I30" i="11"/>
  <c r="E30" i="11"/>
  <c r="G30" i="11"/>
  <c r="B30" i="11"/>
  <c r="A30" i="11"/>
  <c r="J30" i="11" s="1"/>
  <c r="C42" i="11"/>
  <c r="G45" i="11"/>
  <c r="G7" i="11"/>
  <c r="G14" i="11"/>
  <c r="D14" i="11"/>
  <c r="A17" i="11"/>
  <c r="J17" i="11" s="1"/>
  <c r="B17" i="11"/>
  <c r="G19" i="11"/>
  <c r="A39" i="11"/>
  <c r="J39" i="11" s="1"/>
  <c r="H39" i="11"/>
  <c r="L42" i="11"/>
  <c r="I42" i="11"/>
  <c r="H42" i="11"/>
  <c r="E42" i="11"/>
  <c r="G42" i="11"/>
  <c r="B42" i="11"/>
  <c r="A42" i="11"/>
  <c r="J42" i="11" s="1"/>
  <c r="F45" i="11"/>
  <c r="E45" i="11"/>
  <c r="C45" i="11"/>
  <c r="B45" i="11"/>
  <c r="H45" i="11"/>
  <c r="A45" i="11"/>
  <c r="J45" i="11" s="1"/>
  <c r="L14" i="11"/>
  <c r="I25" i="11"/>
  <c r="G25" i="11"/>
  <c r="C25" i="11"/>
  <c r="B25" i="11"/>
  <c r="C30" i="11"/>
  <c r="E37" i="11"/>
  <c r="A43" i="11"/>
  <c r="J43" i="11" s="1"/>
  <c r="E39" i="11"/>
  <c r="C39" i="11"/>
  <c r="F39" i="11"/>
  <c r="D39" i="11"/>
  <c r="B43" i="11"/>
  <c r="I49" i="11"/>
  <c r="G49" i="11"/>
  <c r="F49" i="11"/>
  <c r="C49" i="11"/>
  <c r="L49" i="11"/>
  <c r="B49" i="11"/>
  <c r="A49" i="11"/>
  <c r="J49" i="11" s="1"/>
  <c r="E21" i="11"/>
  <c r="C21" i="11"/>
  <c r="G21" i="11"/>
  <c r="F21" i="11"/>
  <c r="I24" i="11"/>
  <c r="C24" i="11"/>
  <c r="B24" i="11"/>
  <c r="F30" i="11"/>
  <c r="I31" i="11"/>
  <c r="G31" i="11"/>
  <c r="C31" i="11"/>
  <c r="D31" i="11"/>
  <c r="B31" i="11"/>
  <c r="H37" i="11"/>
  <c r="D43" i="11"/>
  <c r="C29" i="12"/>
  <c r="B29" i="12"/>
  <c r="D29" i="12"/>
  <c r="D30" i="12"/>
  <c r="C30" i="12"/>
  <c r="B30" i="12"/>
  <c r="L48" i="11"/>
  <c r="I48" i="11"/>
  <c r="H48" i="11"/>
  <c r="E48" i="11"/>
  <c r="B48" i="11"/>
  <c r="C22" i="12"/>
  <c r="B22" i="12"/>
  <c r="D22" i="12"/>
  <c r="C18" i="11"/>
  <c r="A18" i="11"/>
  <c r="J18" i="11" s="1"/>
  <c r="K18" i="11" s="1"/>
  <c r="Q19" i="11"/>
  <c r="O19" i="11"/>
  <c r="C48" i="11"/>
  <c r="I55" i="11"/>
  <c r="G55" i="11"/>
  <c r="K55" i="11" s="1"/>
  <c r="F55" i="11"/>
  <c r="E55" i="11"/>
  <c r="C55" i="11"/>
  <c r="L55" i="11"/>
  <c r="G63" i="11"/>
  <c r="E6" i="13"/>
  <c r="H9" i="13"/>
  <c r="I9" i="13" s="1"/>
  <c r="J11" i="13"/>
  <c r="A14" i="13"/>
  <c r="D15" i="13"/>
  <c r="G16" i="13"/>
  <c r="H20" i="13"/>
  <c r="A22" i="13"/>
  <c r="G23" i="13"/>
  <c r="I23" i="13" s="1"/>
  <c r="H27" i="13"/>
  <c r="H30" i="13"/>
  <c r="C44" i="13"/>
  <c r="F64" i="13"/>
  <c r="E64" i="13"/>
  <c r="D64" i="13"/>
  <c r="B64" i="13"/>
  <c r="A64" i="13"/>
  <c r="J64" i="13"/>
  <c r="H64" i="13"/>
  <c r="I64" i="13" s="1"/>
  <c r="G64" i="13"/>
  <c r="H51" i="11"/>
  <c r="B54" i="11"/>
  <c r="H57" i="11"/>
  <c r="B60" i="11"/>
  <c r="H63" i="11"/>
  <c r="B66" i="11"/>
  <c r="J10" i="13"/>
  <c r="B14" i="13"/>
  <c r="E15" i="13"/>
  <c r="A18" i="13"/>
  <c r="C22" i="13"/>
  <c r="F40" i="13"/>
  <c r="D40" i="13"/>
  <c r="B40" i="13"/>
  <c r="A40" i="13"/>
  <c r="J40" i="13"/>
  <c r="H40" i="13"/>
  <c r="C14" i="13"/>
  <c r="A27" i="13"/>
  <c r="G27" i="13"/>
  <c r="D30" i="13"/>
  <c r="C30" i="13"/>
  <c r="J30" i="13"/>
  <c r="J44" i="13"/>
  <c r="H44" i="13"/>
  <c r="I44" i="13" s="1"/>
  <c r="F44" i="13"/>
  <c r="E44" i="13"/>
  <c r="D44" i="13"/>
  <c r="B44" i="13"/>
  <c r="A44" i="13"/>
  <c r="B60" i="13"/>
  <c r="A60" i="13"/>
  <c r="J60" i="13"/>
  <c r="H60" i="13"/>
  <c r="I60" i="13" s="1"/>
  <c r="F60" i="13"/>
  <c r="E60" i="13"/>
  <c r="D60" i="13"/>
  <c r="C60" i="13"/>
  <c r="D14" i="13"/>
  <c r="B16" i="13"/>
  <c r="H16" i="13"/>
  <c r="C18" i="13"/>
  <c r="F20" i="13"/>
  <c r="B20" i="13"/>
  <c r="F22" i="13"/>
  <c r="E23" i="13"/>
  <c r="C23" i="13"/>
  <c r="C28" i="13"/>
  <c r="G32" i="13"/>
  <c r="A34" i="13"/>
  <c r="E54" i="11"/>
  <c r="E60" i="11"/>
  <c r="E66" i="11"/>
  <c r="B23" i="12"/>
  <c r="A10" i="13"/>
  <c r="B11" i="13"/>
  <c r="C12" i="13"/>
  <c r="E14" i="13"/>
  <c r="E18" i="13"/>
  <c r="B21" i="13"/>
  <c r="G22" i="13"/>
  <c r="A24" i="13"/>
  <c r="D28" i="13"/>
  <c r="H32" i="13"/>
  <c r="C34" i="13"/>
  <c r="A36" i="13"/>
  <c r="C23" i="12"/>
  <c r="J6" i="13"/>
  <c r="A9" i="13"/>
  <c r="B10" i="13"/>
  <c r="C11" i="13"/>
  <c r="D12" i="13"/>
  <c r="G14" i="13"/>
  <c r="F18" i="13"/>
  <c r="D21" i="13"/>
  <c r="B24" i="13"/>
  <c r="E28" i="13"/>
  <c r="E34" i="13"/>
  <c r="C36" i="13"/>
  <c r="G54" i="11"/>
  <c r="G60" i="11"/>
  <c r="G66" i="11"/>
  <c r="A8" i="13"/>
  <c r="B9" i="13"/>
  <c r="C10" i="13"/>
  <c r="D11" i="13"/>
  <c r="E12" i="13"/>
  <c r="H14" i="13"/>
  <c r="A15" i="13"/>
  <c r="G15" i="13"/>
  <c r="G18" i="13"/>
  <c r="E21" i="13"/>
  <c r="F28" i="13"/>
  <c r="F34" i="13"/>
  <c r="E36" i="13"/>
  <c r="C52" i="13"/>
  <c r="B51" i="11"/>
  <c r="H54" i="11"/>
  <c r="B57" i="11"/>
  <c r="H60" i="11"/>
  <c r="B63" i="11"/>
  <c r="H66" i="11"/>
  <c r="B19" i="12"/>
  <c r="B26" i="12"/>
  <c r="C9" i="13"/>
  <c r="D10" i="13"/>
  <c r="E11" i="13"/>
  <c r="F12" i="13"/>
  <c r="A16" i="13"/>
  <c r="H18" i="13"/>
  <c r="A20" i="13"/>
  <c r="H22" i="13"/>
  <c r="D22" i="13"/>
  <c r="B22" i="13"/>
  <c r="B27" i="13"/>
  <c r="G28" i="13"/>
  <c r="A30" i="13"/>
  <c r="F32" i="13"/>
  <c r="E32" i="13"/>
  <c r="B32" i="13"/>
  <c r="G36" i="13"/>
  <c r="I36" i="13" s="1"/>
  <c r="E26" i="11"/>
  <c r="E32" i="11"/>
  <c r="E38" i="11"/>
  <c r="E44" i="11"/>
  <c r="E50" i="11"/>
  <c r="C51" i="11"/>
  <c r="I54" i="11"/>
  <c r="E56" i="11"/>
  <c r="C57" i="11"/>
  <c r="I60" i="11"/>
  <c r="E62" i="11"/>
  <c r="C63" i="11"/>
  <c r="I66" i="11"/>
  <c r="A6" i="13"/>
  <c r="D9" i="13"/>
  <c r="E10" i="13"/>
  <c r="F11" i="13"/>
  <c r="G12" i="13"/>
  <c r="J14" i="13"/>
  <c r="C16" i="13"/>
  <c r="C20" i="13"/>
  <c r="H21" i="13"/>
  <c r="A23" i="13"/>
  <c r="C27" i="13"/>
  <c r="B30" i="13"/>
  <c r="C48" i="13"/>
  <c r="F52" i="13"/>
  <c r="E52" i="13"/>
  <c r="D52" i="13"/>
  <c r="B52" i="13"/>
  <c r="A52" i="13"/>
  <c r="J52" i="13"/>
  <c r="H52" i="13"/>
  <c r="I52" i="13" s="1"/>
  <c r="D18" i="13"/>
  <c r="J18" i="13"/>
  <c r="D27" i="13"/>
  <c r="B28" i="13"/>
  <c r="A28" i="13"/>
  <c r="J28" i="13"/>
  <c r="H28" i="13"/>
  <c r="E30" i="13"/>
  <c r="H34" i="13"/>
  <c r="G34" i="13"/>
  <c r="D34" i="13"/>
  <c r="B34" i="13"/>
  <c r="B36" i="13"/>
  <c r="J36" i="13"/>
  <c r="F36" i="13"/>
  <c r="D36" i="13"/>
  <c r="C40" i="13"/>
  <c r="E51" i="11"/>
  <c r="E57" i="11"/>
  <c r="E63" i="11"/>
  <c r="C6" i="13"/>
  <c r="F9" i="13"/>
  <c r="G10" i="13"/>
  <c r="I10" i="13" s="1"/>
  <c r="H11" i="13"/>
  <c r="I11" i="13" s="1"/>
  <c r="E16" i="13"/>
  <c r="E20" i="13"/>
  <c r="E27" i="13"/>
  <c r="F30" i="13"/>
  <c r="B48" i="13"/>
  <c r="A48" i="13"/>
  <c r="J48" i="13"/>
  <c r="H48" i="13"/>
  <c r="I48" i="13" s="1"/>
  <c r="F48" i="13"/>
  <c r="E48" i="13"/>
  <c r="D48" i="13"/>
  <c r="F16" i="13"/>
  <c r="G20" i="13"/>
  <c r="G21" i="13"/>
  <c r="C21" i="13"/>
  <c r="A21" i="13"/>
  <c r="F23" i="13"/>
  <c r="J24" i="13"/>
  <c r="F24" i="13"/>
  <c r="D24" i="13"/>
  <c r="F27" i="13"/>
  <c r="G30" i="13"/>
  <c r="G40" i="13"/>
  <c r="C64" i="13"/>
  <c r="C72" i="13"/>
  <c r="G76" i="13"/>
  <c r="C84" i="13"/>
  <c r="G88" i="13"/>
  <c r="C96" i="13"/>
  <c r="G100" i="13"/>
  <c r="B105" i="13"/>
  <c r="G107" i="13"/>
  <c r="B111" i="13"/>
  <c r="D114" i="13"/>
  <c r="C114" i="13"/>
  <c r="G117" i="13"/>
  <c r="F117" i="13"/>
  <c r="C117" i="13"/>
  <c r="AF16" i="14"/>
  <c r="AF13" i="14"/>
  <c r="AF9" i="14"/>
  <c r="AF23" i="14"/>
  <c r="AF19" i="14"/>
  <c r="AF12" i="14"/>
  <c r="AF8" i="14"/>
  <c r="AF15" i="14"/>
  <c r="AF22" i="14"/>
  <c r="AF18" i="14"/>
  <c r="AF11" i="14"/>
  <c r="AF7" i="14"/>
  <c r="AF10" i="14"/>
  <c r="AF6" i="14"/>
  <c r="AF24" i="14"/>
  <c r="AF20" i="14"/>
  <c r="F26" i="13"/>
  <c r="A33" i="13"/>
  <c r="C35" i="13"/>
  <c r="F38" i="13"/>
  <c r="G39" i="13"/>
  <c r="J42" i="13"/>
  <c r="A45" i="13"/>
  <c r="B46" i="13"/>
  <c r="C47" i="13"/>
  <c r="F50" i="13"/>
  <c r="G51" i="13"/>
  <c r="J54" i="13"/>
  <c r="A57" i="13"/>
  <c r="B58" i="13"/>
  <c r="C59" i="13"/>
  <c r="E61" i="13"/>
  <c r="F62" i="13"/>
  <c r="G63" i="13"/>
  <c r="J66" i="13"/>
  <c r="A69" i="13"/>
  <c r="B70" i="13"/>
  <c r="C71" i="13"/>
  <c r="D72" i="13"/>
  <c r="E73" i="13"/>
  <c r="F74" i="13"/>
  <c r="G75" i="13"/>
  <c r="H76" i="13"/>
  <c r="I76" i="13" s="1"/>
  <c r="J78" i="13"/>
  <c r="A81" i="13"/>
  <c r="B82" i="13"/>
  <c r="C83" i="13"/>
  <c r="D84" i="13"/>
  <c r="E85" i="13"/>
  <c r="F86" i="13"/>
  <c r="G87" i="13"/>
  <c r="H88" i="13"/>
  <c r="I88" i="13" s="1"/>
  <c r="J90" i="13"/>
  <c r="A93" i="13"/>
  <c r="B94" i="13"/>
  <c r="C95" i="13"/>
  <c r="D96" i="13"/>
  <c r="E97" i="13"/>
  <c r="F98" i="13"/>
  <c r="G99" i="13"/>
  <c r="H100" i="13"/>
  <c r="I100" i="13" s="1"/>
  <c r="J102" i="13"/>
  <c r="A104" i="13"/>
  <c r="D105" i="13"/>
  <c r="F106" i="13"/>
  <c r="H107" i="13"/>
  <c r="I107" i="13" s="1"/>
  <c r="J108" i="13"/>
  <c r="C111" i="13"/>
  <c r="G112" i="13"/>
  <c r="B115" i="13"/>
  <c r="C46" i="13"/>
  <c r="H51" i="13"/>
  <c r="I51" i="13" s="1"/>
  <c r="A56" i="13"/>
  <c r="C58" i="13"/>
  <c r="A68" i="13"/>
  <c r="C70" i="13"/>
  <c r="E72" i="13"/>
  <c r="A80" i="13"/>
  <c r="E84" i="13"/>
  <c r="A92" i="13"/>
  <c r="E96" i="13"/>
  <c r="E105" i="13"/>
  <c r="D111" i="13"/>
  <c r="H112" i="13"/>
  <c r="I112" i="13" s="1"/>
  <c r="C115" i="13"/>
  <c r="A19" i="13"/>
  <c r="A31" i="13"/>
  <c r="C33" i="13"/>
  <c r="E35" i="13"/>
  <c r="H38" i="13"/>
  <c r="C45" i="13"/>
  <c r="D46" i="13"/>
  <c r="E47" i="13"/>
  <c r="H50" i="13"/>
  <c r="I50" i="13" s="1"/>
  <c r="B56" i="13"/>
  <c r="C57" i="13"/>
  <c r="D58" i="13"/>
  <c r="E59" i="13"/>
  <c r="H62" i="13"/>
  <c r="I62" i="13" s="1"/>
  <c r="B68" i="13"/>
  <c r="C69" i="13"/>
  <c r="D70" i="13"/>
  <c r="E71" i="13"/>
  <c r="F72" i="13"/>
  <c r="G73" i="13"/>
  <c r="H74" i="13"/>
  <c r="I74" i="13" s="1"/>
  <c r="J76" i="13"/>
  <c r="B80" i="13"/>
  <c r="C81" i="13"/>
  <c r="D82" i="13"/>
  <c r="E83" i="13"/>
  <c r="F84" i="13"/>
  <c r="G85" i="13"/>
  <c r="H86" i="13"/>
  <c r="I86" i="13" s="1"/>
  <c r="J88" i="13"/>
  <c r="B92" i="13"/>
  <c r="D94" i="13"/>
  <c r="E95" i="13"/>
  <c r="F96" i="13"/>
  <c r="G97" i="13"/>
  <c r="H98" i="13"/>
  <c r="I98" i="13" s="1"/>
  <c r="J100" i="13"/>
  <c r="B103" i="13"/>
  <c r="D104" i="13"/>
  <c r="F105" i="13"/>
  <c r="H106" i="13"/>
  <c r="I106" i="13" s="1"/>
  <c r="J107" i="13"/>
  <c r="A109" i="13"/>
  <c r="E111" i="13"/>
  <c r="F115" i="13"/>
  <c r="C80" i="13"/>
  <c r="G84" i="13"/>
  <c r="C92" i="13"/>
  <c r="G96" i="13"/>
  <c r="C103" i="13"/>
  <c r="G105" i="13"/>
  <c r="B109" i="13"/>
  <c r="F111" i="13"/>
  <c r="B112" i="13"/>
  <c r="A112" i="13"/>
  <c r="J112" i="13"/>
  <c r="A114" i="13"/>
  <c r="G115" i="13"/>
  <c r="B42" i="13"/>
  <c r="B54" i="13"/>
  <c r="D56" i="13"/>
  <c r="F58" i="13"/>
  <c r="A65" i="13"/>
  <c r="B66" i="13"/>
  <c r="D68" i="13"/>
  <c r="F70" i="13"/>
  <c r="G71" i="13"/>
  <c r="H72" i="13"/>
  <c r="I72" i="13" s="1"/>
  <c r="A77" i="13"/>
  <c r="B78" i="13"/>
  <c r="D80" i="13"/>
  <c r="F82" i="13"/>
  <c r="G83" i="13"/>
  <c r="H84" i="13"/>
  <c r="I84" i="13" s="1"/>
  <c r="J86" i="13"/>
  <c r="A89" i="13"/>
  <c r="B90" i="13"/>
  <c r="D92" i="13"/>
  <c r="F94" i="13"/>
  <c r="G95" i="13"/>
  <c r="H96" i="13"/>
  <c r="I96" i="13" s="1"/>
  <c r="J98" i="13"/>
  <c r="B102" i="13"/>
  <c r="D103" i="13"/>
  <c r="F104" i="13"/>
  <c r="H105" i="13"/>
  <c r="I105" i="13" s="1"/>
  <c r="J106" i="13"/>
  <c r="A108" i="13"/>
  <c r="C109" i="13"/>
  <c r="G111" i="13"/>
  <c r="B114" i="13"/>
  <c r="H115" i="13"/>
  <c r="I115" i="13" s="1"/>
  <c r="A117" i="13"/>
  <c r="F33" i="13"/>
  <c r="H35" i="13"/>
  <c r="C42" i="13"/>
  <c r="F45" i="13"/>
  <c r="G46" i="13"/>
  <c r="H47" i="13"/>
  <c r="I47" i="13" s="1"/>
  <c r="B53" i="13"/>
  <c r="C54" i="13"/>
  <c r="E56" i="13"/>
  <c r="F57" i="13"/>
  <c r="G58" i="13"/>
  <c r="H59" i="13"/>
  <c r="I59" i="13" s="1"/>
  <c r="B65" i="13"/>
  <c r="C66" i="13"/>
  <c r="E68" i="13"/>
  <c r="G70" i="13"/>
  <c r="H71" i="13"/>
  <c r="I71" i="13" s="1"/>
  <c r="A76" i="13"/>
  <c r="B77" i="13"/>
  <c r="C78" i="13"/>
  <c r="E80" i="13"/>
  <c r="G82" i="13"/>
  <c r="H83" i="13"/>
  <c r="I83" i="13" s="1"/>
  <c r="A88" i="13"/>
  <c r="C90" i="13"/>
  <c r="E92" i="13"/>
  <c r="G94" i="13"/>
  <c r="A100" i="13"/>
  <c r="C102" i="13"/>
  <c r="E103" i="13"/>
  <c r="G104" i="13"/>
  <c r="B108" i="13"/>
  <c r="D109" i="13"/>
  <c r="H111" i="13"/>
  <c r="I111" i="13" s="1"/>
  <c r="E114" i="13"/>
  <c r="B117" i="13"/>
  <c r="A39" i="13"/>
  <c r="D42" i="13"/>
  <c r="H46" i="13"/>
  <c r="A51" i="13"/>
  <c r="C53" i="13"/>
  <c r="D54" i="13"/>
  <c r="F56" i="13"/>
  <c r="H58" i="13"/>
  <c r="I58" i="13" s="1"/>
  <c r="A63" i="13"/>
  <c r="C65" i="13"/>
  <c r="D66" i="13"/>
  <c r="F68" i="13"/>
  <c r="H70" i="13"/>
  <c r="I70" i="13" s="1"/>
  <c r="J72" i="13"/>
  <c r="A75" i="13"/>
  <c r="B76" i="13"/>
  <c r="C77" i="13"/>
  <c r="D78" i="13"/>
  <c r="F80" i="13"/>
  <c r="H82" i="13"/>
  <c r="I82" i="13" s="1"/>
  <c r="J84" i="13"/>
  <c r="A87" i="13"/>
  <c r="B88" i="13"/>
  <c r="D90" i="13"/>
  <c r="F92" i="13"/>
  <c r="H94" i="13"/>
  <c r="I94" i="13" s="1"/>
  <c r="J96" i="13"/>
  <c r="A99" i="13"/>
  <c r="B100" i="13"/>
  <c r="D102" i="13"/>
  <c r="F103" i="13"/>
  <c r="H104" i="13"/>
  <c r="I104" i="13" s="1"/>
  <c r="J105" i="13"/>
  <c r="A107" i="13"/>
  <c r="C108" i="13"/>
  <c r="E109" i="13"/>
  <c r="F114" i="13"/>
  <c r="D117" i="13"/>
  <c r="C76" i="13"/>
  <c r="C88" i="13"/>
  <c r="B107" i="13"/>
  <c r="F109" i="13"/>
  <c r="G114" i="13"/>
  <c r="E115" i="13"/>
  <c r="D115" i="13"/>
  <c r="A115" i="13"/>
  <c r="E117" i="13"/>
  <c r="AF21" i="14"/>
  <c r="B38" i="13"/>
  <c r="C39" i="13"/>
  <c r="F42" i="13"/>
  <c r="B50" i="13"/>
  <c r="C51" i="13"/>
  <c r="F54" i="13"/>
  <c r="H56" i="13"/>
  <c r="I56" i="13" s="1"/>
  <c r="B62" i="13"/>
  <c r="C63" i="13"/>
  <c r="F66" i="13"/>
  <c r="H68" i="13"/>
  <c r="I68" i="13" s="1"/>
  <c r="B74" i="13"/>
  <c r="C75" i="13"/>
  <c r="D76" i="13"/>
  <c r="F78" i="13"/>
  <c r="H80" i="13"/>
  <c r="I80" i="13" s="1"/>
  <c r="A85" i="13"/>
  <c r="B86" i="13"/>
  <c r="C87" i="13"/>
  <c r="D88" i="13"/>
  <c r="F90" i="13"/>
  <c r="H92" i="13"/>
  <c r="I92" i="13" s="1"/>
  <c r="A97" i="13"/>
  <c r="B98" i="13"/>
  <c r="C99" i="13"/>
  <c r="D100" i="13"/>
  <c r="F102" i="13"/>
  <c r="H103" i="13"/>
  <c r="I103" i="13" s="1"/>
  <c r="J104" i="13"/>
  <c r="A106" i="13"/>
  <c r="C107" i="13"/>
  <c r="E108" i="13"/>
  <c r="H109" i="13"/>
  <c r="I109" i="13" s="1"/>
  <c r="C112" i="13"/>
  <c r="H114" i="13"/>
  <c r="I114" i="13" s="1"/>
  <c r="H117" i="13"/>
  <c r="I117" i="13" s="1"/>
  <c r="G42" i="13"/>
  <c r="I42" i="13" s="1"/>
  <c r="C50" i="13"/>
  <c r="D51" i="13"/>
  <c r="G54" i="13"/>
  <c r="D63" i="13"/>
  <c r="G66" i="13"/>
  <c r="A72" i="13"/>
  <c r="C74" i="13"/>
  <c r="D75" i="13"/>
  <c r="E76" i="13"/>
  <c r="G78" i="13"/>
  <c r="A84" i="13"/>
  <c r="C86" i="13"/>
  <c r="E88" i="13"/>
  <c r="G90" i="13"/>
  <c r="A96" i="13"/>
  <c r="B97" i="13"/>
  <c r="C98" i="13"/>
  <c r="D99" i="13"/>
  <c r="E100" i="13"/>
  <c r="G102" i="13"/>
  <c r="B106" i="13"/>
  <c r="D107" i="13"/>
  <c r="G108" i="13"/>
  <c r="D112" i="13"/>
  <c r="J103" i="13"/>
  <c r="A105" i="13"/>
  <c r="C106" i="13"/>
  <c r="F107" i="13"/>
  <c r="H108" i="13"/>
  <c r="I108" i="13" s="1"/>
  <c r="J109" i="13"/>
  <c r="A111" i="13"/>
  <c r="E112" i="13"/>
  <c r="J114" i="13"/>
  <c r="J117" i="13"/>
  <c r="AF25" i="14"/>
  <c r="A131" i="13"/>
  <c r="F136" i="13"/>
  <c r="H138" i="13"/>
  <c r="I138" i="13" s="1"/>
  <c r="I139" i="13"/>
  <c r="A143" i="13"/>
  <c r="I151" i="13"/>
  <c r="A155" i="13"/>
  <c r="A118" i="13"/>
  <c r="B119" i="13"/>
  <c r="C120" i="13"/>
  <c r="D121" i="13"/>
  <c r="E122" i="13"/>
  <c r="F123" i="13"/>
  <c r="G124" i="13"/>
  <c r="J127" i="13"/>
  <c r="A130" i="13"/>
  <c r="B131" i="13"/>
  <c r="C132" i="13"/>
  <c r="D133" i="13"/>
  <c r="E134" i="13"/>
  <c r="F135" i="13"/>
  <c r="G136" i="13"/>
  <c r="J139" i="13"/>
  <c r="A142" i="13"/>
  <c r="B143" i="13"/>
  <c r="C144" i="13"/>
  <c r="G148" i="13"/>
  <c r="J151" i="13"/>
  <c r="A154" i="13"/>
  <c r="B155" i="13"/>
  <c r="A32" i="14"/>
  <c r="B33" i="14"/>
  <c r="C34" i="14"/>
  <c r="D35" i="14"/>
  <c r="E36" i="14"/>
  <c r="F37" i="14"/>
  <c r="G38" i="14"/>
  <c r="A129" i="13"/>
  <c r="J138" i="13"/>
  <c r="A141" i="13"/>
  <c r="B142" i="13"/>
  <c r="C143" i="13"/>
  <c r="A153" i="13"/>
  <c r="B154" i="13"/>
  <c r="C155" i="13"/>
  <c r="A31" i="14"/>
  <c r="B32" i="14"/>
  <c r="C33" i="14"/>
  <c r="D34" i="14"/>
  <c r="E35" i="14"/>
  <c r="F36" i="14"/>
  <c r="G37" i="14"/>
  <c r="H38" i="14"/>
  <c r="B129" i="13"/>
  <c r="A140" i="13"/>
  <c r="B141" i="13"/>
  <c r="C142" i="13"/>
  <c r="D143" i="13"/>
  <c r="A152" i="13"/>
  <c r="B153" i="13"/>
  <c r="C154" i="13"/>
  <c r="D155" i="13"/>
  <c r="AF14" i="14"/>
  <c r="AF17" i="14"/>
  <c r="A30" i="14"/>
  <c r="B31" i="14"/>
  <c r="C32" i="14"/>
  <c r="D33" i="14"/>
  <c r="E34" i="14"/>
  <c r="F35" i="14"/>
  <c r="G36" i="14"/>
  <c r="H37" i="14"/>
  <c r="I38" i="14"/>
  <c r="B116" i="13"/>
  <c r="D118" i="13"/>
  <c r="E119" i="13"/>
  <c r="F120" i="13"/>
  <c r="G121" i="13"/>
  <c r="H122" i="13"/>
  <c r="I122" i="13" s="1"/>
  <c r="J124" i="13"/>
  <c r="A127" i="13"/>
  <c r="B128" i="13"/>
  <c r="C129" i="13"/>
  <c r="D130" i="13"/>
  <c r="E131" i="13"/>
  <c r="F132" i="13"/>
  <c r="G133" i="13"/>
  <c r="H134" i="13"/>
  <c r="I134" i="13" s="1"/>
  <c r="J136" i="13"/>
  <c r="A139" i="13"/>
  <c r="B140" i="13"/>
  <c r="C141" i="13"/>
  <c r="D142" i="13"/>
  <c r="E143" i="13"/>
  <c r="F144" i="13"/>
  <c r="G145" i="13"/>
  <c r="H146" i="13"/>
  <c r="I146" i="13" s="1"/>
  <c r="J148" i="13"/>
  <c r="A151" i="13"/>
  <c r="B152" i="13"/>
  <c r="C153" i="13"/>
  <c r="D154" i="13"/>
  <c r="E155" i="13"/>
  <c r="A29" i="14"/>
  <c r="B30" i="14"/>
  <c r="C31" i="14"/>
  <c r="D32" i="14"/>
  <c r="E33" i="14"/>
  <c r="F34" i="14"/>
  <c r="G35" i="14"/>
  <c r="H36" i="14"/>
  <c r="I37" i="14"/>
  <c r="J38" i="14"/>
  <c r="A126" i="13"/>
  <c r="B127" i="13"/>
  <c r="D129" i="13"/>
  <c r="E130" i="13"/>
  <c r="A138" i="13"/>
  <c r="B139" i="13"/>
  <c r="C140" i="13"/>
  <c r="D141" i="13"/>
  <c r="E142" i="13"/>
  <c r="F143" i="13"/>
  <c r="A150" i="13"/>
  <c r="B151" i="13"/>
  <c r="C152" i="13"/>
  <c r="D153" i="13"/>
  <c r="E154" i="13"/>
  <c r="F155" i="13"/>
  <c r="C30" i="14"/>
  <c r="D31" i="14"/>
  <c r="F33" i="14"/>
  <c r="G34" i="14"/>
  <c r="I36" i="14"/>
  <c r="J37" i="14"/>
  <c r="B126" i="13"/>
  <c r="C127" i="13"/>
  <c r="D128" i="13"/>
  <c r="E129" i="13"/>
  <c r="F130" i="13"/>
  <c r="G131" i="13"/>
  <c r="H132" i="13"/>
  <c r="I132" i="13" s="1"/>
  <c r="A137" i="13"/>
  <c r="B138" i="13"/>
  <c r="C139" i="13"/>
  <c r="D140" i="13"/>
  <c r="E141" i="13"/>
  <c r="F142" i="13"/>
  <c r="G143" i="13"/>
  <c r="H144" i="13"/>
  <c r="I144" i="13" s="1"/>
  <c r="J146" i="13"/>
  <c r="A149" i="13"/>
  <c r="B150" i="13"/>
  <c r="C151" i="13"/>
  <c r="D152" i="13"/>
  <c r="E153" i="13"/>
  <c r="F154" i="13"/>
  <c r="G155" i="13"/>
  <c r="D30" i="14"/>
  <c r="E31" i="14"/>
  <c r="E116" i="13"/>
  <c r="G118" i="13"/>
  <c r="H119" i="13"/>
  <c r="I119" i="13" s="1"/>
  <c r="J121" i="13"/>
  <c r="A124" i="13"/>
  <c r="C126" i="13"/>
  <c r="D127" i="13"/>
  <c r="E128" i="13"/>
  <c r="F129" i="13"/>
  <c r="G130" i="13"/>
  <c r="H131" i="13"/>
  <c r="I131" i="13" s="1"/>
  <c r="A136" i="13"/>
  <c r="B137" i="13"/>
  <c r="C138" i="13"/>
  <c r="D139" i="13"/>
  <c r="E140" i="13"/>
  <c r="F141" i="13"/>
  <c r="G142" i="13"/>
  <c r="H143" i="13"/>
  <c r="I143" i="13" s="1"/>
  <c r="A148" i="13"/>
  <c r="B149" i="13"/>
  <c r="C150" i="13"/>
  <c r="D151" i="13"/>
  <c r="E152" i="13"/>
  <c r="F153" i="13"/>
  <c r="G154" i="13"/>
  <c r="H155" i="13"/>
  <c r="I155" i="13" s="1"/>
  <c r="E30" i="14"/>
  <c r="F31" i="14"/>
  <c r="I34" i="14"/>
  <c r="A38" i="14"/>
  <c r="J120" i="13"/>
  <c r="A123" i="13"/>
  <c r="B124" i="13"/>
  <c r="D126" i="13"/>
  <c r="E127" i="13"/>
  <c r="F128" i="13"/>
  <c r="G129" i="13"/>
  <c r="H130" i="13"/>
  <c r="I130" i="13" s="1"/>
  <c r="J132" i="13"/>
  <c r="A135" i="13"/>
  <c r="B136" i="13"/>
  <c r="C137" i="13"/>
  <c r="D138" i="13"/>
  <c r="E139" i="13"/>
  <c r="F140" i="13"/>
  <c r="G141" i="13"/>
  <c r="H142" i="13"/>
  <c r="I142" i="13" s="1"/>
  <c r="A147" i="13"/>
  <c r="B148" i="13"/>
  <c r="C149" i="13"/>
  <c r="D150" i="13"/>
  <c r="E151" i="13"/>
  <c r="F152" i="13"/>
  <c r="G153" i="13"/>
  <c r="H154" i="13"/>
  <c r="I154" i="13" s="1"/>
  <c r="E29" i="14"/>
  <c r="F30" i="14"/>
  <c r="G31" i="14"/>
  <c r="J34" i="14"/>
  <c r="A37" i="14"/>
  <c r="B38" i="14"/>
  <c r="A122" i="13"/>
  <c r="B123" i="13"/>
  <c r="C124" i="13"/>
  <c r="E126" i="13"/>
  <c r="F127" i="13"/>
  <c r="G128" i="13"/>
  <c r="H129" i="13"/>
  <c r="I129" i="13" s="1"/>
  <c r="A134" i="13"/>
  <c r="B135" i="13"/>
  <c r="C136" i="13"/>
  <c r="E138" i="13"/>
  <c r="F139" i="13"/>
  <c r="G140" i="13"/>
  <c r="H141" i="13"/>
  <c r="I141" i="13" s="1"/>
  <c r="A146" i="13"/>
  <c r="C148" i="13"/>
  <c r="E150" i="13"/>
  <c r="F151" i="13"/>
  <c r="G152" i="13"/>
  <c r="H153" i="13"/>
  <c r="I153" i="13" s="1"/>
  <c r="G30" i="14"/>
  <c r="H31" i="14"/>
  <c r="A36" i="14"/>
  <c r="B37" i="14"/>
  <c r="C38" i="14"/>
  <c r="A121" i="13"/>
  <c r="B122" i="13"/>
  <c r="C123" i="13"/>
  <c r="D124" i="13"/>
  <c r="F126" i="13"/>
  <c r="G127" i="13"/>
  <c r="A133" i="13"/>
  <c r="B134" i="13"/>
  <c r="C135" i="13"/>
  <c r="D136" i="13"/>
  <c r="F138" i="13"/>
  <c r="G139" i="13"/>
  <c r="D148" i="13"/>
  <c r="F150" i="13"/>
  <c r="G151" i="13"/>
  <c r="H30" i="14"/>
  <c r="I31" i="14"/>
  <c r="A35" i="14"/>
  <c r="B36" i="14"/>
  <c r="C37" i="14"/>
  <c r="D38" i="14"/>
  <c r="AG19" i="6" l="1"/>
  <c r="AE19" i="6"/>
  <c r="AJ19" i="6"/>
  <c r="AH19" i="6"/>
  <c r="O10" i="15"/>
  <c r="C6" i="10"/>
  <c r="H23" i="10"/>
  <c r="G6" i="10"/>
  <c r="C23" i="10"/>
  <c r="O11" i="15"/>
  <c r="K5" i="4"/>
  <c r="U5" i="4" s="1"/>
  <c r="O16" i="15"/>
  <c r="O15" i="15"/>
  <c r="O12" i="15"/>
  <c r="O9" i="15"/>
  <c r="I46" i="13"/>
  <c r="I43" i="13"/>
  <c r="I41" i="13"/>
  <c r="I40" i="13"/>
  <c r="I39" i="13"/>
  <c r="I38" i="13"/>
  <c r="I37" i="13"/>
  <c r="I35" i="13"/>
  <c r="I34" i="13"/>
  <c r="F23" i="4"/>
  <c r="F21" i="4"/>
  <c r="K18" i="4"/>
  <c r="Q18" i="4" s="1"/>
  <c r="R18" i="4" s="1"/>
  <c r="K20" i="4"/>
  <c r="Y20" i="4" s="1"/>
  <c r="M15" i="5"/>
  <c r="T15" i="5" s="1"/>
  <c r="M17" i="5"/>
  <c r="X17" i="5" s="1"/>
  <c r="F5" i="4"/>
  <c r="F24" i="4"/>
  <c r="F15" i="4"/>
  <c r="AL21" i="9"/>
  <c r="M21" i="5"/>
  <c r="U21" i="5" s="1"/>
  <c r="F20" i="4"/>
  <c r="N17" i="4"/>
  <c r="K17" i="4"/>
  <c r="W17" i="4" s="1"/>
  <c r="O17" i="4"/>
  <c r="K30" i="2"/>
  <c r="K15" i="4"/>
  <c r="Z15" i="4" s="1"/>
  <c r="AG17" i="6"/>
  <c r="AF17" i="6"/>
  <c r="J23" i="10"/>
  <c r="F23" i="10"/>
  <c r="G23" i="10"/>
  <c r="E23" i="10"/>
  <c r="D9" i="10"/>
  <c r="I23" i="10"/>
  <c r="AH17" i="6"/>
  <c r="D19" i="10"/>
  <c r="E19" i="10"/>
  <c r="I19" i="10"/>
  <c r="F9" i="10"/>
  <c r="AE12" i="6"/>
  <c r="J24" i="10"/>
  <c r="I24" i="10"/>
  <c r="G24" i="10"/>
  <c r="AF6" i="6"/>
  <c r="D6" i="10"/>
  <c r="D24" i="10"/>
  <c r="D7" i="10"/>
  <c r="AI6" i="6"/>
  <c r="AJ6" i="6" s="1"/>
  <c r="H24" i="10"/>
  <c r="E24" i="10"/>
  <c r="E7" i="10"/>
  <c r="AF23" i="6"/>
  <c r="AH10" i="6"/>
  <c r="AJ23" i="6"/>
  <c r="AE23" i="6"/>
  <c r="F24" i="10"/>
  <c r="J11" i="10"/>
  <c r="C11" i="10"/>
  <c r="C7" i="10"/>
  <c r="AG23" i="6"/>
  <c r="AE17" i="6"/>
  <c r="E11" i="10"/>
  <c r="H7" i="10"/>
  <c r="AH6" i="6"/>
  <c r="AI17" i="6"/>
  <c r="AJ17" i="6" s="1"/>
  <c r="DP5" i="2"/>
  <c r="AI23" i="6"/>
  <c r="K17" i="11"/>
  <c r="G9" i="10"/>
  <c r="O9" i="4"/>
  <c r="AG15" i="6"/>
  <c r="G20" i="10"/>
  <c r="P5" i="4"/>
  <c r="E20" i="10"/>
  <c r="AE20" i="6"/>
  <c r="AF10" i="6"/>
  <c r="AG24" i="6"/>
  <c r="AG20" i="6"/>
  <c r="AE10" i="6"/>
  <c r="K22" i="4"/>
  <c r="W22" i="4" s="1"/>
  <c r="AG10" i="6"/>
  <c r="K18" i="2"/>
  <c r="H20" i="10"/>
  <c r="AG6" i="6"/>
  <c r="M11" i="4"/>
  <c r="I20" i="10"/>
  <c r="AI15" i="6"/>
  <c r="AJ15" i="6" s="1"/>
  <c r="AH24" i="6"/>
  <c r="AJ24" i="6"/>
  <c r="E26" i="12"/>
  <c r="E25" i="12"/>
  <c r="E19" i="12"/>
  <c r="E24" i="12"/>
  <c r="E28" i="12"/>
  <c r="E27" i="12"/>
  <c r="E20" i="12"/>
  <c r="E23" i="12"/>
  <c r="G19" i="10"/>
  <c r="D20" i="10"/>
  <c r="AI24" i="6"/>
  <c r="E21" i="12"/>
  <c r="C19" i="10"/>
  <c r="C20" i="10"/>
  <c r="AF24" i="6"/>
  <c r="K14" i="4"/>
  <c r="V14" i="4" s="1"/>
  <c r="AE9" i="6"/>
  <c r="B20" i="7"/>
  <c r="AE15" i="6"/>
  <c r="J20" i="10"/>
  <c r="F16" i="4"/>
  <c r="AF9" i="6"/>
  <c r="K24" i="4"/>
  <c r="V24" i="4" s="1"/>
  <c r="J12" i="10"/>
  <c r="I11" i="10"/>
  <c r="F11" i="10"/>
  <c r="AF20" i="6"/>
  <c r="C12" i="10"/>
  <c r="H11" i="10"/>
  <c r="AG9" i="6"/>
  <c r="AI20" i="6"/>
  <c r="G12" i="10"/>
  <c r="G11" i="10"/>
  <c r="AH20" i="6"/>
  <c r="AF15" i="6"/>
  <c r="AI9" i="6"/>
  <c r="AJ9" i="6" s="1"/>
  <c r="E29" i="12"/>
  <c r="CL10" i="4"/>
  <c r="F19" i="10"/>
  <c r="M15" i="4"/>
  <c r="K23" i="4"/>
  <c r="X23" i="4" s="1"/>
  <c r="E30" i="12"/>
  <c r="AF12" i="6"/>
  <c r="AH12" i="6"/>
  <c r="D12" i="10"/>
  <c r="Z19" i="5"/>
  <c r="A15" i="7"/>
  <c r="X19" i="5"/>
  <c r="AI19" i="5"/>
  <c r="AH19" i="5"/>
  <c r="AG19" i="5"/>
  <c r="AK19" i="5"/>
  <c r="W19" i="5"/>
  <c r="J20" i="7"/>
  <c r="A20" i="7"/>
  <c r="D20" i="7"/>
  <c r="AC19" i="5"/>
  <c r="S19" i="5"/>
  <c r="V19" i="5"/>
  <c r="N19" i="5"/>
  <c r="P19" i="5" s="1"/>
  <c r="AE19" i="5"/>
  <c r="AB19" i="5"/>
  <c r="AJ19" i="5"/>
  <c r="AQ19" i="5"/>
  <c r="AO19" i="5"/>
  <c r="AP19" i="5"/>
  <c r="Y19" i="5"/>
  <c r="AF19" i="5"/>
  <c r="T19" i="5"/>
  <c r="AL19" i="5"/>
  <c r="U19" i="5"/>
  <c r="AD19" i="5"/>
  <c r="G20" i="7"/>
  <c r="C24" i="7"/>
  <c r="J24" i="7"/>
  <c r="E24" i="7"/>
  <c r="I32" i="13"/>
  <c r="I31" i="13"/>
  <c r="I30" i="13"/>
  <c r="I29" i="13"/>
  <c r="I28" i="13"/>
  <c r="I27" i="13"/>
  <c r="I25" i="13"/>
  <c r="I24" i="13"/>
  <c r="I22" i="13"/>
  <c r="I21" i="13"/>
  <c r="I6" i="13"/>
  <c r="I20" i="13"/>
  <c r="I15" i="13"/>
  <c r="I14" i="13"/>
  <c r="I17" i="13"/>
  <c r="I19" i="13"/>
  <c r="I18" i="13"/>
  <c r="I12" i="13"/>
  <c r="I8" i="13"/>
  <c r="I7" i="13"/>
  <c r="I16" i="13"/>
  <c r="E22" i="7"/>
  <c r="Y24" i="5"/>
  <c r="V24" i="5"/>
  <c r="AL24" i="5"/>
  <c r="AB24" i="5"/>
  <c r="X24" i="5"/>
  <c r="W24" i="5"/>
  <c r="AO24" i="5"/>
  <c r="T24" i="5"/>
  <c r="N24" i="5"/>
  <c r="P24" i="5" s="1"/>
  <c r="AA24" i="5"/>
  <c r="S24" i="5"/>
  <c r="AM24" i="5"/>
  <c r="AD24" i="5"/>
  <c r="AH24" i="5"/>
  <c r="AE24" i="5"/>
  <c r="AG24" i="5"/>
  <c r="AF24" i="5"/>
  <c r="AQ24" i="5"/>
  <c r="AI24" i="5"/>
  <c r="Z24" i="5"/>
  <c r="O24" i="5"/>
  <c r="AJ24" i="5"/>
  <c r="AP24" i="5"/>
  <c r="O19" i="5"/>
  <c r="AD23" i="5"/>
  <c r="D16" i="7"/>
  <c r="I26" i="7"/>
  <c r="D11" i="7"/>
  <c r="B22" i="7"/>
  <c r="H22" i="7"/>
  <c r="AN24" i="5"/>
  <c r="AK24" i="5"/>
  <c r="AC24" i="5"/>
  <c r="X23" i="5"/>
  <c r="T23" i="5"/>
  <c r="AA23" i="5"/>
  <c r="B26" i="7"/>
  <c r="F26" i="7"/>
  <c r="I20" i="7"/>
  <c r="E8" i="7"/>
  <c r="AB23" i="5"/>
  <c r="D26" i="7"/>
  <c r="E26" i="7"/>
  <c r="J7" i="7"/>
  <c r="D23" i="7"/>
  <c r="J21" i="7"/>
  <c r="F23" i="7"/>
  <c r="D21" i="7"/>
  <c r="A12" i="7"/>
  <c r="G21" i="7"/>
  <c r="B18" i="7"/>
  <c r="AP23" i="5"/>
  <c r="N23" i="5"/>
  <c r="P23" i="5" s="1"/>
  <c r="AO23" i="5"/>
  <c r="W23" i="5"/>
  <c r="AI23" i="5"/>
  <c r="AK23" i="5"/>
  <c r="AN23" i="5"/>
  <c r="V23" i="5"/>
  <c r="AL23" i="5"/>
  <c r="Y23" i="5"/>
  <c r="AE23" i="5"/>
  <c r="AL15" i="9"/>
  <c r="H21" i="7"/>
  <c r="H16" i="7"/>
  <c r="A21" i="7"/>
  <c r="J16" i="7"/>
  <c r="B21" i="7"/>
  <c r="F16" i="7"/>
  <c r="K21" i="7"/>
  <c r="B7" i="7"/>
  <c r="F7" i="7"/>
  <c r="B23" i="7"/>
  <c r="D18" i="7"/>
  <c r="E25" i="7"/>
  <c r="G9" i="7"/>
  <c r="H7" i="7"/>
  <c r="E7" i="7"/>
  <c r="A23" i="7"/>
  <c r="E18" i="7"/>
  <c r="G26" i="7"/>
  <c r="A10" i="7"/>
  <c r="I23" i="7"/>
  <c r="J26" i="7"/>
  <c r="E16" i="7"/>
  <c r="K23" i="7"/>
  <c r="K18" i="7"/>
  <c r="K12" i="7"/>
  <c r="C21" i="7"/>
  <c r="K26" i="7"/>
  <c r="K11" i="4"/>
  <c r="Z11" i="4" s="1"/>
  <c r="M5" i="5"/>
  <c r="Z5" i="5" s="1"/>
  <c r="AA19" i="5"/>
  <c r="AN19" i="5"/>
  <c r="F12" i="4"/>
  <c r="H19" i="7"/>
  <c r="C26" i="7"/>
  <c r="Z23" i="5"/>
  <c r="K8" i="4"/>
  <c r="Y8" i="4" s="1"/>
  <c r="H26" i="7"/>
  <c r="AL11" i="9"/>
  <c r="AQ23" i="5"/>
  <c r="AC23" i="5"/>
  <c r="AF23" i="5"/>
  <c r="AG23" i="5"/>
  <c r="U23" i="5"/>
  <c r="AJ23" i="5"/>
  <c r="AM23" i="5"/>
  <c r="S23" i="5"/>
  <c r="AH23" i="5"/>
  <c r="A19" i="7"/>
  <c r="B25" i="7"/>
  <c r="I18" i="7"/>
  <c r="B19" i="7"/>
  <c r="E10" i="7"/>
  <c r="I7" i="7"/>
  <c r="A25" i="7"/>
  <c r="E23" i="7"/>
  <c r="G18" i="7"/>
  <c r="F19" i="7"/>
  <c r="D7" i="7"/>
  <c r="K25" i="7"/>
  <c r="D12" i="7"/>
  <c r="H18" i="7"/>
  <c r="C19" i="7"/>
  <c r="I19" i="7"/>
  <c r="G8" i="7"/>
  <c r="C17" i="7"/>
  <c r="B12" i="7"/>
  <c r="C18" i="7"/>
  <c r="J19" i="7"/>
  <c r="B8" i="7"/>
  <c r="D17" i="7"/>
  <c r="C12" i="7"/>
  <c r="A8" i="7"/>
  <c r="C23" i="7"/>
  <c r="F12" i="7"/>
  <c r="D22" i="7"/>
  <c r="F18" i="7"/>
  <c r="D19" i="7"/>
  <c r="I8" i="7"/>
  <c r="H13" i="7"/>
  <c r="H12" i="7"/>
  <c r="A22" i="7"/>
  <c r="G19" i="7"/>
  <c r="C8" i="7"/>
  <c r="K13" i="7"/>
  <c r="A17" i="7"/>
  <c r="B17" i="7"/>
  <c r="A7" i="7"/>
  <c r="F20" i="7"/>
  <c r="H23" i="7"/>
  <c r="J12" i="7"/>
  <c r="F22" i="7"/>
  <c r="J18" i="7"/>
  <c r="E19" i="7"/>
  <c r="K8" i="7"/>
  <c r="H17" i="7"/>
  <c r="J23" i="7"/>
  <c r="F8" i="4"/>
  <c r="K12" i="4"/>
  <c r="L12" i="4" s="1"/>
  <c r="M20" i="5"/>
  <c r="AL20" i="5" s="1"/>
  <c r="M16" i="5"/>
  <c r="O16" i="5" s="1"/>
  <c r="Z16" i="5" s="1"/>
  <c r="F13" i="4"/>
  <c r="X13" i="4" s="1"/>
  <c r="M10" i="5"/>
  <c r="Z10" i="5" s="1"/>
  <c r="M18" i="5"/>
  <c r="X18" i="5" s="1"/>
  <c r="F17" i="4"/>
  <c r="M22" i="5"/>
  <c r="AQ22" i="5" s="1"/>
  <c r="J15" i="7"/>
  <c r="D15" i="7"/>
  <c r="B15" i="7"/>
  <c r="C15" i="7"/>
  <c r="I15" i="7"/>
  <c r="H15" i="7"/>
  <c r="G15" i="7"/>
  <c r="F15" i="7"/>
  <c r="K17" i="7"/>
  <c r="F17" i="7"/>
  <c r="J17" i="7"/>
  <c r="I17" i="7"/>
  <c r="G17" i="7"/>
  <c r="D25" i="7"/>
  <c r="K15" i="7"/>
  <c r="C16" i="7"/>
  <c r="E21" i="7"/>
  <c r="M6" i="5"/>
  <c r="AH6" i="5" s="1"/>
  <c r="K10" i="7"/>
  <c r="F10" i="7"/>
  <c r="C10" i="7"/>
  <c r="B10" i="7"/>
  <c r="J10" i="7"/>
  <c r="I10" i="7"/>
  <c r="G10" i="7"/>
  <c r="D10" i="7"/>
  <c r="F9" i="4"/>
  <c r="M9" i="5"/>
  <c r="AB9" i="5" s="1"/>
  <c r="J25" i="7"/>
  <c r="I25" i="7"/>
  <c r="C25" i="7"/>
  <c r="I21" i="7"/>
  <c r="K7" i="7"/>
  <c r="C7" i="7"/>
  <c r="K6" i="4"/>
  <c r="Q6" i="4" s="1"/>
  <c r="M14" i="5"/>
  <c r="AK14" i="5" s="1"/>
  <c r="H9" i="7"/>
  <c r="B9" i="7"/>
  <c r="A9" i="7"/>
  <c r="K9" i="7"/>
  <c r="I9" i="7"/>
  <c r="J9" i="7"/>
  <c r="F9" i="7"/>
  <c r="D9" i="7"/>
  <c r="C9" i="7"/>
  <c r="A11" i="7"/>
  <c r="H11" i="7"/>
  <c r="G11" i="7"/>
  <c r="B11" i="7"/>
  <c r="F11" i="7"/>
  <c r="K11" i="7"/>
  <c r="J11" i="7"/>
  <c r="E14" i="7"/>
  <c r="B14" i="7"/>
  <c r="A14" i="7"/>
  <c r="J14" i="7"/>
  <c r="I14" i="7"/>
  <c r="G14" i="7"/>
  <c r="H14" i="7"/>
  <c r="K14" i="7"/>
  <c r="F14" i="7"/>
  <c r="D14" i="7"/>
  <c r="C14" i="7"/>
  <c r="G16" i="7"/>
  <c r="B16" i="7"/>
  <c r="K16" i="7"/>
  <c r="I16" i="7"/>
  <c r="C11" i="7"/>
  <c r="H25" i="7"/>
  <c r="I12" i="7"/>
  <c r="G12" i="7"/>
  <c r="J8" i="7"/>
  <c r="H8" i="7"/>
  <c r="D8" i="7"/>
  <c r="I22" i="7"/>
  <c r="G22" i="7"/>
  <c r="K22" i="7"/>
  <c r="C22" i="7"/>
  <c r="G13" i="7"/>
  <c r="F13" i="7"/>
  <c r="C13" i="7"/>
  <c r="D13" i="7"/>
  <c r="J13" i="7"/>
  <c r="I13" i="7"/>
  <c r="B13" i="7"/>
  <c r="A13" i="7"/>
  <c r="E11" i="7"/>
  <c r="G25" i="7"/>
  <c r="H20" i="7"/>
  <c r="K20" i="7"/>
  <c r="C20" i="7"/>
  <c r="G24" i="7"/>
  <c r="K24" i="7"/>
  <c r="F24" i="7"/>
  <c r="D24" i="7"/>
  <c r="B24" i="7"/>
  <c r="H24" i="7"/>
  <c r="I24" i="7"/>
  <c r="CL16" i="4"/>
  <c r="I12" i="10"/>
  <c r="AI12" i="6"/>
  <c r="AJ12" i="6" s="1"/>
  <c r="K27" i="2"/>
  <c r="AL18" i="9"/>
  <c r="J6" i="10"/>
  <c r="I6" i="10"/>
  <c r="H6" i="10"/>
  <c r="AL17" i="9"/>
  <c r="E6" i="10"/>
  <c r="M13" i="5"/>
  <c r="Y13" i="5" s="1"/>
  <c r="AL16" i="9"/>
  <c r="M11" i="5"/>
  <c r="C9" i="10"/>
  <c r="J9" i="10"/>
  <c r="CL11" i="4"/>
  <c r="K10" i="4"/>
  <c r="W10" i="4" s="1"/>
  <c r="K23" i="2"/>
  <c r="DP9" i="2"/>
  <c r="K22" i="2"/>
  <c r="N13" i="4"/>
  <c r="CL7" i="4"/>
  <c r="K20" i="2"/>
  <c r="M7" i="5"/>
  <c r="V7" i="5" s="1"/>
  <c r="M6" i="4"/>
  <c r="N8" i="4"/>
  <c r="P8" i="4" s="1"/>
  <c r="N6" i="4"/>
  <c r="O6" i="4"/>
  <c r="N15" i="4"/>
  <c r="N11" i="4"/>
  <c r="AE5" i="6"/>
  <c r="N9" i="4"/>
  <c r="AL10" i="9"/>
  <c r="T6" i="3"/>
  <c r="N12" i="4"/>
  <c r="AF5" i="6"/>
  <c r="AG5" i="6"/>
  <c r="AH5" i="6"/>
  <c r="AL9" i="9"/>
  <c r="K51" i="11"/>
  <c r="K66" i="11"/>
  <c r="K47" i="11"/>
  <c r="K54" i="11"/>
  <c r="K35" i="11"/>
  <c r="K63" i="11"/>
  <c r="K31" i="11"/>
  <c r="K59" i="11"/>
  <c r="K57" i="11"/>
  <c r="K7" i="11"/>
  <c r="K9" i="11"/>
  <c r="K29" i="11"/>
  <c r="K14" i="11"/>
  <c r="K34" i="11"/>
  <c r="K40" i="11"/>
  <c r="K24" i="11"/>
  <c r="K58" i="11"/>
  <c r="K41" i="11"/>
  <c r="K64" i="11"/>
  <c r="K22" i="11"/>
  <c r="K53" i="11"/>
  <c r="K20" i="11"/>
  <c r="K15" i="11"/>
  <c r="K25" i="11"/>
  <c r="K8" i="11"/>
  <c r="K52" i="11"/>
  <c r="K65" i="11"/>
  <c r="K45" i="11"/>
  <c r="K39" i="11"/>
  <c r="K21" i="11"/>
  <c r="K37" i="11"/>
  <c r="K19" i="11"/>
  <c r="K28" i="11"/>
  <c r="K12" i="11"/>
  <c r="K60" i="11"/>
  <c r="F8" i="14"/>
  <c r="E8" i="14"/>
  <c r="D8" i="14"/>
  <c r="C8" i="14"/>
  <c r="N8" i="14"/>
  <c r="B8" i="14"/>
  <c r="M8" i="14"/>
  <c r="A8" i="14"/>
  <c r="O8" i="14" s="1"/>
  <c r="L8" i="14"/>
  <c r="K8" i="14"/>
  <c r="J8" i="14"/>
  <c r="I8" i="14"/>
  <c r="H8" i="14"/>
  <c r="G8" i="14"/>
  <c r="L21" i="4"/>
  <c r="X21" i="4"/>
  <c r="W21" i="4"/>
  <c r="Q21" i="4"/>
  <c r="Z21" i="4"/>
  <c r="U21" i="4"/>
  <c r="AA21" i="4"/>
  <c r="I21" i="10"/>
  <c r="H21" i="10"/>
  <c r="E21" i="10"/>
  <c r="D21" i="10"/>
  <c r="C21" i="10"/>
  <c r="J21" i="10"/>
  <c r="G21" i="10"/>
  <c r="F21" i="10"/>
  <c r="C22" i="10"/>
  <c r="D22" i="10"/>
  <c r="H22" i="10"/>
  <c r="I22" i="10"/>
  <c r="G22" i="10"/>
  <c r="E22" i="10"/>
  <c r="J22" i="10"/>
  <c r="F22" i="10"/>
  <c r="CL14" i="4"/>
  <c r="DP14" i="2"/>
  <c r="F12" i="14"/>
  <c r="E12" i="14"/>
  <c r="D12" i="14"/>
  <c r="C12" i="14"/>
  <c r="N12" i="14"/>
  <c r="B12" i="14"/>
  <c r="M12" i="14"/>
  <c r="A12" i="14"/>
  <c r="O12" i="14" s="1"/>
  <c r="L12" i="14"/>
  <c r="K12" i="14"/>
  <c r="J12" i="14"/>
  <c r="I12" i="14"/>
  <c r="H12" i="14"/>
  <c r="G12" i="14"/>
  <c r="K33" i="11"/>
  <c r="AL20" i="9"/>
  <c r="V21" i="4"/>
  <c r="CL13" i="4"/>
  <c r="O7" i="4"/>
  <c r="K21" i="14"/>
  <c r="J21" i="14"/>
  <c r="I21" i="14"/>
  <c r="H21" i="14"/>
  <c r="G21" i="14"/>
  <c r="F21" i="14"/>
  <c r="E21" i="14"/>
  <c r="D21" i="14"/>
  <c r="C21" i="14"/>
  <c r="N21" i="14"/>
  <c r="B21" i="14"/>
  <c r="M21" i="14"/>
  <c r="A21" i="14"/>
  <c r="O21" i="14" s="1"/>
  <c r="L21" i="14"/>
  <c r="E19" i="14"/>
  <c r="D19" i="14"/>
  <c r="C19" i="14"/>
  <c r="N19" i="14"/>
  <c r="B19" i="14"/>
  <c r="M19" i="14"/>
  <c r="A19" i="14"/>
  <c r="O19" i="14" s="1"/>
  <c r="L19" i="14"/>
  <c r="K19" i="14"/>
  <c r="J19" i="14"/>
  <c r="I19" i="14"/>
  <c r="H19" i="14"/>
  <c r="G19" i="14"/>
  <c r="F19" i="14"/>
  <c r="K27" i="11"/>
  <c r="I8" i="10"/>
  <c r="D8" i="10"/>
  <c r="C8" i="10"/>
  <c r="F8" i="10"/>
  <c r="J8" i="10"/>
  <c r="E8" i="10"/>
  <c r="H8" i="10"/>
  <c r="G8" i="10"/>
  <c r="N16" i="4"/>
  <c r="Z13" i="4"/>
  <c r="K36" i="11"/>
  <c r="E17" i="10"/>
  <c r="J17" i="10"/>
  <c r="I17" i="10"/>
  <c r="F17" i="10"/>
  <c r="D17" i="10"/>
  <c r="H17" i="10"/>
  <c r="G17" i="10"/>
  <c r="C17" i="10"/>
  <c r="N20" i="14"/>
  <c r="B20" i="14"/>
  <c r="M20" i="14"/>
  <c r="A20" i="14"/>
  <c r="O20" i="14" s="1"/>
  <c r="L20" i="14"/>
  <c r="K20" i="14"/>
  <c r="J20" i="14"/>
  <c r="I20" i="14"/>
  <c r="H20" i="14"/>
  <c r="G20" i="14"/>
  <c r="F20" i="14"/>
  <c r="E20" i="14"/>
  <c r="D20" i="14"/>
  <c r="C20" i="14"/>
  <c r="E23" i="14"/>
  <c r="D23" i="14"/>
  <c r="C23" i="14"/>
  <c r="N23" i="14"/>
  <c r="B23" i="14"/>
  <c r="M23" i="14"/>
  <c r="A23" i="14"/>
  <c r="O23" i="14" s="1"/>
  <c r="L23" i="14"/>
  <c r="K23" i="14"/>
  <c r="J23" i="14"/>
  <c r="I23" i="14"/>
  <c r="H23" i="14"/>
  <c r="G23" i="14"/>
  <c r="F23" i="14"/>
  <c r="K13" i="11"/>
  <c r="AL19" i="9"/>
  <c r="T15" i="3"/>
  <c r="AG7" i="6"/>
  <c r="AF7" i="6"/>
  <c r="AI7" i="6"/>
  <c r="AJ7" i="6" s="1"/>
  <c r="AE7" i="6"/>
  <c r="AH7" i="6"/>
  <c r="AL13" i="9"/>
  <c r="O14" i="4"/>
  <c r="M14" i="4"/>
  <c r="N14" i="4"/>
  <c r="M13" i="4"/>
  <c r="F6" i="4"/>
  <c r="AH11" i="6"/>
  <c r="AI11" i="6"/>
  <c r="AJ11" i="6" s="1"/>
  <c r="AG11" i="6"/>
  <c r="AF11" i="6"/>
  <c r="AE11" i="6"/>
  <c r="L14" i="14"/>
  <c r="K14" i="14"/>
  <c r="J14" i="14"/>
  <c r="I14" i="14"/>
  <c r="H14" i="14"/>
  <c r="G14" i="14"/>
  <c r="F14" i="14"/>
  <c r="E14" i="14"/>
  <c r="D14" i="14"/>
  <c r="C14" i="14"/>
  <c r="N14" i="14"/>
  <c r="B14" i="14"/>
  <c r="M14" i="14"/>
  <c r="A14" i="14"/>
  <c r="O14" i="14" s="1"/>
  <c r="AL12" i="9"/>
  <c r="T8" i="3"/>
  <c r="N24" i="14"/>
  <c r="B24" i="14"/>
  <c r="M24" i="14"/>
  <c r="A24" i="14"/>
  <c r="O24" i="14" s="1"/>
  <c r="L24" i="14"/>
  <c r="K24" i="14"/>
  <c r="J24" i="14"/>
  <c r="I24" i="14"/>
  <c r="H24" i="14"/>
  <c r="G24" i="14"/>
  <c r="F24" i="14"/>
  <c r="E24" i="14"/>
  <c r="D24" i="14"/>
  <c r="C24" i="14"/>
  <c r="F7" i="4"/>
  <c r="G18" i="10"/>
  <c r="E18" i="10"/>
  <c r="J18" i="10"/>
  <c r="I18" i="10"/>
  <c r="F18" i="10"/>
  <c r="H18" i="10"/>
  <c r="D18" i="10"/>
  <c r="C18" i="10"/>
  <c r="C10" i="10"/>
  <c r="I10" i="10"/>
  <c r="H10" i="10"/>
  <c r="G10" i="10"/>
  <c r="J10" i="10"/>
  <c r="D10" i="10"/>
  <c r="F10" i="10"/>
  <c r="E10" i="10"/>
  <c r="O12" i="4"/>
  <c r="M12" i="4"/>
  <c r="K24" i="2"/>
  <c r="F10" i="4"/>
  <c r="D15" i="10"/>
  <c r="I15" i="10"/>
  <c r="H15" i="10"/>
  <c r="F15" i="10"/>
  <c r="J15" i="10"/>
  <c r="C15" i="10"/>
  <c r="G15" i="10"/>
  <c r="E15" i="10"/>
  <c r="E22" i="12"/>
  <c r="I13" i="10"/>
  <c r="G13" i="10"/>
  <c r="F13" i="10"/>
  <c r="C13" i="10"/>
  <c r="J13" i="10"/>
  <c r="H13" i="10"/>
  <c r="E13" i="10"/>
  <c r="D13" i="10"/>
  <c r="M10" i="4"/>
  <c r="N10" i="4"/>
  <c r="K7" i="4"/>
  <c r="N7" i="4"/>
  <c r="K29" i="2"/>
  <c r="L10" i="14"/>
  <c r="K10" i="14"/>
  <c r="J10" i="14"/>
  <c r="I10" i="14"/>
  <c r="H10" i="14"/>
  <c r="G10" i="14"/>
  <c r="F10" i="14"/>
  <c r="E10" i="14"/>
  <c r="D10" i="14"/>
  <c r="C10" i="14"/>
  <c r="N10" i="14"/>
  <c r="B10" i="14"/>
  <c r="M10" i="14"/>
  <c r="A10" i="14"/>
  <c r="O10" i="14" s="1"/>
  <c r="K43" i="11"/>
  <c r="C5" i="10"/>
  <c r="F5" i="10"/>
  <c r="E5" i="10"/>
  <c r="J5" i="10"/>
  <c r="I5" i="10"/>
  <c r="D5" i="10"/>
  <c r="H5" i="10"/>
  <c r="G5" i="10"/>
  <c r="K16" i="4"/>
  <c r="F19" i="4"/>
  <c r="C9" i="14"/>
  <c r="N9" i="14"/>
  <c r="B9" i="14"/>
  <c r="M9" i="14"/>
  <c r="A9" i="14"/>
  <c r="O9" i="14" s="1"/>
  <c r="L9" i="14"/>
  <c r="K9" i="14"/>
  <c r="J9" i="14"/>
  <c r="I9" i="14"/>
  <c r="H9" i="14"/>
  <c r="G9" i="14"/>
  <c r="F9" i="14"/>
  <c r="E9" i="14"/>
  <c r="D9" i="14"/>
  <c r="K30" i="11"/>
  <c r="K25" i="14"/>
  <c r="J25" i="14"/>
  <c r="I25" i="14"/>
  <c r="H25" i="14"/>
  <c r="G25" i="14"/>
  <c r="F25" i="14"/>
  <c r="E25" i="14"/>
  <c r="D25" i="14"/>
  <c r="C25" i="14"/>
  <c r="N25" i="14"/>
  <c r="B25" i="14"/>
  <c r="M25" i="14"/>
  <c r="A25" i="14"/>
  <c r="O25" i="14" s="1"/>
  <c r="L25" i="14"/>
  <c r="D16" i="14"/>
  <c r="C16" i="14"/>
  <c r="N16" i="14"/>
  <c r="B16" i="14"/>
  <c r="M16" i="14"/>
  <c r="A16" i="14"/>
  <c r="O16" i="14" s="1"/>
  <c r="L16" i="14"/>
  <c r="K16" i="14"/>
  <c r="J16" i="14"/>
  <c r="I16" i="14"/>
  <c r="H16" i="14"/>
  <c r="G16" i="14"/>
  <c r="F16" i="14"/>
  <c r="E16" i="14"/>
  <c r="K49" i="11"/>
  <c r="AG18" i="6"/>
  <c r="AF18" i="6"/>
  <c r="AE18" i="6"/>
  <c r="AI18" i="6"/>
  <c r="AJ18" i="6"/>
  <c r="AH18" i="6"/>
  <c r="DP8" i="2"/>
  <c r="CL8" i="4"/>
  <c r="F22" i="4"/>
  <c r="CL12" i="4"/>
  <c r="K25" i="2"/>
  <c r="L6" i="14"/>
  <c r="K6" i="14"/>
  <c r="J6" i="14"/>
  <c r="I6" i="14"/>
  <c r="H6" i="14"/>
  <c r="G6" i="14"/>
  <c r="F6" i="14"/>
  <c r="E6" i="14"/>
  <c r="D6" i="14"/>
  <c r="C6" i="14"/>
  <c r="N6" i="14"/>
  <c r="B6" i="14"/>
  <c r="M6" i="14"/>
  <c r="A6" i="14"/>
  <c r="O6" i="14" s="1"/>
  <c r="C13" i="14"/>
  <c r="N13" i="14"/>
  <c r="B13" i="14"/>
  <c r="M13" i="14"/>
  <c r="A13" i="14"/>
  <c r="O13" i="14" s="1"/>
  <c r="L13" i="14"/>
  <c r="K13" i="14"/>
  <c r="J13" i="14"/>
  <c r="I13" i="14"/>
  <c r="H13" i="14"/>
  <c r="G13" i="14"/>
  <c r="F13" i="14"/>
  <c r="E13" i="14"/>
  <c r="D13" i="14"/>
  <c r="I7" i="14"/>
  <c r="H7" i="14"/>
  <c r="G7" i="14"/>
  <c r="F7" i="14"/>
  <c r="E7" i="14"/>
  <c r="D7" i="14"/>
  <c r="C7" i="14"/>
  <c r="N7" i="14"/>
  <c r="B7" i="14"/>
  <c r="M7" i="14"/>
  <c r="A7" i="14"/>
  <c r="O7" i="14" s="1"/>
  <c r="L7" i="14"/>
  <c r="K7" i="14"/>
  <c r="J7" i="14"/>
  <c r="I11" i="14"/>
  <c r="H11" i="14"/>
  <c r="G11" i="14"/>
  <c r="F11" i="14"/>
  <c r="E11" i="14"/>
  <c r="D11" i="14"/>
  <c r="C11" i="14"/>
  <c r="N11" i="14"/>
  <c r="B11" i="14"/>
  <c r="M11" i="14"/>
  <c r="A11" i="14"/>
  <c r="O11" i="14" s="1"/>
  <c r="L11" i="14"/>
  <c r="K11" i="14"/>
  <c r="J11" i="14"/>
  <c r="H18" i="14"/>
  <c r="G18" i="14"/>
  <c r="F18" i="14"/>
  <c r="E18" i="14"/>
  <c r="D18" i="14"/>
  <c r="C18" i="14"/>
  <c r="N18" i="14"/>
  <c r="B18" i="14"/>
  <c r="M18" i="14"/>
  <c r="A18" i="14"/>
  <c r="O18" i="14" s="1"/>
  <c r="L18" i="14"/>
  <c r="K18" i="14"/>
  <c r="J18" i="14"/>
  <c r="I18" i="14"/>
  <c r="K42" i="11"/>
  <c r="J14" i="10"/>
  <c r="I14" i="10"/>
  <c r="F14" i="10"/>
  <c r="C14" i="10"/>
  <c r="G14" i="10"/>
  <c r="E14" i="10"/>
  <c r="D14" i="10"/>
  <c r="H14" i="10"/>
  <c r="K11" i="11"/>
  <c r="AL14" i="9"/>
  <c r="M8" i="5"/>
  <c r="C16" i="10"/>
  <c r="G16" i="10"/>
  <c r="F16" i="10"/>
  <c r="E16" i="10"/>
  <c r="I16" i="10"/>
  <c r="J16" i="10"/>
  <c r="H16" i="10"/>
  <c r="D16" i="10"/>
  <c r="O16" i="4"/>
  <c r="AJ5" i="6"/>
  <c r="K19" i="4"/>
  <c r="CL6" i="4"/>
  <c r="K9" i="4"/>
  <c r="L17" i="14"/>
  <c r="K17" i="14"/>
  <c r="J17" i="14"/>
  <c r="I17" i="14"/>
  <c r="H17" i="14"/>
  <c r="G17" i="14"/>
  <c r="F17" i="14"/>
  <c r="E17" i="14"/>
  <c r="D17" i="14"/>
  <c r="C17" i="14"/>
  <c r="N17" i="14"/>
  <c r="B17" i="14"/>
  <c r="M17" i="14"/>
  <c r="A17" i="14"/>
  <c r="O17" i="14" s="1"/>
  <c r="H15" i="14"/>
  <c r="G15" i="14"/>
  <c r="F15" i="14"/>
  <c r="E15" i="14"/>
  <c r="D15" i="14"/>
  <c r="C15" i="14"/>
  <c r="N15" i="14"/>
  <c r="B15" i="14"/>
  <c r="M15" i="14"/>
  <c r="A15" i="14"/>
  <c r="O15" i="14" s="1"/>
  <c r="L15" i="14"/>
  <c r="K15" i="14"/>
  <c r="J15" i="14"/>
  <c r="I15" i="14"/>
  <c r="H22" i="14"/>
  <c r="G22" i="14"/>
  <c r="F22" i="14"/>
  <c r="E22" i="14"/>
  <c r="D22" i="14"/>
  <c r="C22" i="14"/>
  <c r="N22" i="14"/>
  <c r="B22" i="14"/>
  <c r="M22" i="14"/>
  <c r="A22" i="14"/>
  <c r="O22" i="14" s="1"/>
  <c r="L22" i="14"/>
  <c r="K22" i="14"/>
  <c r="J22" i="14"/>
  <c r="I22" i="14"/>
  <c r="X12" i="5"/>
  <c r="AE12" i="5"/>
  <c r="AM12" i="5"/>
  <c r="Y12" i="5"/>
  <c r="AF12" i="5"/>
  <c r="O12" i="5"/>
  <c r="AJ12" i="5" s="1"/>
  <c r="AN12" i="5"/>
  <c r="V12" i="5"/>
  <c r="AL12" i="5"/>
  <c r="T12" i="5"/>
  <c r="AD12" i="5"/>
  <c r="AA12" i="5"/>
  <c r="AP12" i="5"/>
  <c r="AG12" i="5"/>
  <c r="AC12" i="5"/>
  <c r="N12" i="5"/>
  <c r="P12" i="5" s="1"/>
  <c r="AQ12" i="5"/>
  <c r="AO12" i="5"/>
  <c r="AK12" i="5"/>
  <c r="AI12" i="5"/>
  <c r="AB12" i="5"/>
  <c r="Z12" i="5"/>
  <c r="W12" i="5"/>
  <c r="AH12" i="5"/>
  <c r="S12" i="5"/>
  <c r="U12" i="5"/>
  <c r="L13" i="4"/>
  <c r="Q13" i="4"/>
  <c r="Y13" i="4"/>
  <c r="W13" i="4"/>
  <c r="U13" i="4"/>
  <c r="K21" i="2"/>
  <c r="Y5" i="4" l="1"/>
  <c r="Q5" i="4"/>
  <c r="S5" i="4" s="1"/>
  <c r="CM5" i="4" s="1"/>
  <c r="X5" i="4"/>
  <c r="V5" i="4"/>
  <c r="Z5" i="4"/>
  <c r="L5" i="4"/>
  <c r="W5" i="4"/>
  <c r="P11" i="4"/>
  <c r="W20" i="4"/>
  <c r="U20" i="4"/>
  <c r="X20" i="4"/>
  <c r="Q20" i="4"/>
  <c r="R20" i="4" s="1"/>
  <c r="AA20" i="4"/>
  <c r="AB20" i="4" s="1"/>
  <c r="L20" i="4"/>
  <c r="Z20" i="4"/>
  <c r="V20" i="4"/>
  <c r="Y21" i="5"/>
  <c r="U15" i="4"/>
  <c r="AM17" i="5"/>
  <c r="AF17" i="5"/>
  <c r="Y17" i="5"/>
  <c r="AA17" i="5"/>
  <c r="S17" i="5"/>
  <c r="W17" i="5"/>
  <c r="AN17" i="5"/>
  <c r="AD17" i="5"/>
  <c r="AG17" i="5"/>
  <c r="AH17" i="5"/>
  <c r="AL17" i="5"/>
  <c r="N17" i="5"/>
  <c r="P17" i="5" s="1"/>
  <c r="AQ17" i="5"/>
  <c r="AC17" i="5"/>
  <c r="AI17" i="5"/>
  <c r="Z17" i="5"/>
  <c r="AO17" i="5"/>
  <c r="AP17" i="5"/>
  <c r="T17" i="5"/>
  <c r="O17" i="5"/>
  <c r="AJ17" i="5" s="1"/>
  <c r="AK17" i="5"/>
  <c r="U17" i="5"/>
  <c r="AB17" i="5"/>
  <c r="V17" i="5"/>
  <c r="V18" i="4"/>
  <c r="X18" i="4"/>
  <c r="L18" i="4"/>
  <c r="AA18" i="4"/>
  <c r="AB18" i="4" s="1"/>
  <c r="Z18" i="4"/>
  <c r="S18" i="4"/>
  <c r="BM18" i="4" s="1"/>
  <c r="W18" i="4"/>
  <c r="Y18" i="4"/>
  <c r="U18" i="4"/>
  <c r="AK21" i="5"/>
  <c r="AH21" i="5"/>
  <c r="AO21" i="5"/>
  <c r="AA21" i="5"/>
  <c r="AG21" i="5"/>
  <c r="AN21" i="5"/>
  <c r="T21" i="5"/>
  <c r="Z21" i="5"/>
  <c r="L22" i="4"/>
  <c r="Y15" i="4"/>
  <c r="W15" i="4"/>
  <c r="X15" i="4"/>
  <c r="U17" i="4"/>
  <c r="S15" i="5"/>
  <c r="AP15" i="5"/>
  <c r="U24" i="4"/>
  <c r="AC15" i="5"/>
  <c r="O15" i="5"/>
  <c r="AE15" i="5" s="1"/>
  <c r="AJ15" i="5"/>
  <c r="AG15" i="5"/>
  <c r="AL15" i="5"/>
  <c r="AF15" i="5"/>
  <c r="W24" i="4"/>
  <c r="Y24" i="4"/>
  <c r="AN15" i="5"/>
  <c r="AD15" i="5"/>
  <c r="L15" i="4"/>
  <c r="V15" i="5"/>
  <c r="AB15" i="5"/>
  <c r="V15" i="4"/>
  <c r="X24" i="4"/>
  <c r="Q24" i="4"/>
  <c r="S24" i="4" s="1"/>
  <c r="AH15" i="5"/>
  <c r="AQ15" i="5"/>
  <c r="Q15" i="4"/>
  <c r="AO15" i="5"/>
  <c r="X15" i="5"/>
  <c r="AM15" i="5"/>
  <c r="Z15" i="5"/>
  <c r="AK15" i="5"/>
  <c r="L24" i="4"/>
  <c r="AI15" i="5"/>
  <c r="N15" i="5"/>
  <c r="P15" i="5" s="1"/>
  <c r="W15" i="5"/>
  <c r="U15" i="5"/>
  <c r="AA15" i="5"/>
  <c r="Y15" i="5"/>
  <c r="X17" i="4"/>
  <c r="V17" i="4"/>
  <c r="Z24" i="4"/>
  <c r="AA24" i="4"/>
  <c r="T24" i="2" s="1"/>
  <c r="Z22" i="4"/>
  <c r="Y17" i="4"/>
  <c r="L17" i="4"/>
  <c r="Z17" i="4"/>
  <c r="Q17" i="4"/>
  <c r="X22" i="4"/>
  <c r="AB21" i="5"/>
  <c r="W21" i="5"/>
  <c r="AE21" i="5"/>
  <c r="AM21" i="5"/>
  <c r="N21" i="5"/>
  <c r="P21" i="5" s="1"/>
  <c r="AJ21" i="5"/>
  <c r="AQ21" i="5"/>
  <c r="V21" i="5"/>
  <c r="Q22" i="4"/>
  <c r="R22" i="4" s="1"/>
  <c r="AI21" i="5"/>
  <c r="O21" i="5"/>
  <c r="V22" i="4"/>
  <c r="AL21" i="5"/>
  <c r="AC21" i="5"/>
  <c r="S21" i="5"/>
  <c r="X21" i="5"/>
  <c r="AP21" i="5"/>
  <c r="AD21" i="5"/>
  <c r="AF21" i="5"/>
  <c r="L23" i="4"/>
  <c r="Y23" i="4"/>
  <c r="Z14" i="4"/>
  <c r="W23" i="4"/>
  <c r="Z23" i="4"/>
  <c r="P17" i="4"/>
  <c r="P9" i="4"/>
  <c r="AA22" i="4"/>
  <c r="AB22" i="4" s="1"/>
  <c r="U22" i="4"/>
  <c r="Y22" i="4"/>
  <c r="W14" i="4"/>
  <c r="P15" i="4"/>
  <c r="L14" i="4"/>
  <c r="Q14" i="4"/>
  <c r="Y14" i="4"/>
  <c r="U14" i="4"/>
  <c r="X14" i="4"/>
  <c r="U23" i="4"/>
  <c r="Q23" i="4"/>
  <c r="S23" i="4" s="1"/>
  <c r="AA23" i="4"/>
  <c r="AB23" i="4" s="1"/>
  <c r="V23" i="4"/>
  <c r="P6" i="4"/>
  <c r="S6" i="4" s="1"/>
  <c r="AD22" i="5"/>
  <c r="AO22" i="5"/>
  <c r="AI22" i="5"/>
  <c r="Z22" i="5"/>
  <c r="S22" i="5"/>
  <c r="AN22" i="5"/>
  <c r="AP22" i="5"/>
  <c r="AC22" i="5"/>
  <c r="AG22" i="5"/>
  <c r="N22" i="5"/>
  <c r="P22" i="5" s="1"/>
  <c r="T22" i="5"/>
  <c r="X22" i="5"/>
  <c r="V22" i="5"/>
  <c r="AJ16" i="5"/>
  <c r="AB16" i="5"/>
  <c r="AP20" i="5"/>
  <c r="T18" i="5"/>
  <c r="N16" i="5"/>
  <c r="P16" i="5" s="1"/>
  <c r="AF16" i="5"/>
  <c r="AH16" i="5"/>
  <c r="N5" i="5"/>
  <c r="P5" i="5" s="1"/>
  <c r="V16" i="5"/>
  <c r="L8" i="4"/>
  <c r="AG18" i="5"/>
  <c r="AQ5" i="5"/>
  <c r="W5" i="5"/>
  <c r="O18" i="5"/>
  <c r="AD5" i="5"/>
  <c r="AE5" i="5"/>
  <c r="AM5" i="5"/>
  <c r="T5" i="5"/>
  <c r="X16" i="5"/>
  <c r="AL18" i="5"/>
  <c r="AI16" i="5"/>
  <c r="AA18" i="5"/>
  <c r="AO18" i="5"/>
  <c r="N18" i="5"/>
  <c r="P18" i="5" s="1"/>
  <c r="Q8" i="4"/>
  <c r="S8" i="4" s="1"/>
  <c r="S5" i="5"/>
  <c r="O5" i="5"/>
  <c r="AA5" i="5" s="1"/>
  <c r="V5" i="5"/>
  <c r="AP18" i="5"/>
  <c r="AJ5" i="5"/>
  <c r="AP5" i="5"/>
  <c r="AK18" i="5"/>
  <c r="AO5" i="5"/>
  <c r="X5" i="5"/>
  <c r="AC5" i="5"/>
  <c r="AI5" i="5"/>
  <c r="Y5" i="5"/>
  <c r="AF5" i="5"/>
  <c r="AK5" i="5"/>
  <c r="U5" i="5"/>
  <c r="V18" i="5"/>
  <c r="AM18" i="5"/>
  <c r="AB5" i="5"/>
  <c r="AG5" i="5"/>
  <c r="AH5" i="5"/>
  <c r="AN5" i="5"/>
  <c r="AL5" i="5"/>
  <c r="V11" i="4"/>
  <c r="AD7" i="5"/>
  <c r="AF7" i="5"/>
  <c r="AH20" i="5"/>
  <c r="AE20" i="5"/>
  <c r="AK16" i="5"/>
  <c r="U16" i="5"/>
  <c r="AA22" i="5"/>
  <c r="AH22" i="5"/>
  <c r="S16" i="5"/>
  <c r="O22" i="5"/>
  <c r="AQ16" i="5"/>
  <c r="AA16" i="5"/>
  <c r="AD16" i="5"/>
  <c r="U22" i="5"/>
  <c r="Y22" i="5"/>
  <c r="AK22" i="5"/>
  <c r="AM16" i="5"/>
  <c r="X11" i="4"/>
  <c r="Z20" i="5"/>
  <c r="T20" i="5"/>
  <c r="AD20" i="5"/>
  <c r="N20" i="5"/>
  <c r="P20" i="5" s="1"/>
  <c r="AL16" i="5"/>
  <c r="W16" i="5"/>
  <c r="AN16" i="5"/>
  <c r="W8" i="4"/>
  <c r="O20" i="5"/>
  <c r="AO16" i="5"/>
  <c r="AP16" i="5"/>
  <c r="AI20" i="5"/>
  <c r="AE16" i="5"/>
  <c r="AC16" i="5"/>
  <c r="X20" i="5"/>
  <c r="AB20" i="5"/>
  <c r="AG16" i="5"/>
  <c r="Y16" i="5"/>
  <c r="AA20" i="5"/>
  <c r="T16" i="5"/>
  <c r="AJ20" i="5"/>
  <c r="AF20" i="5"/>
  <c r="X8" i="4"/>
  <c r="Y11" i="4"/>
  <c r="Z8" i="4"/>
  <c r="Q11" i="4"/>
  <c r="U8" i="4"/>
  <c r="L11" i="4"/>
  <c r="U11" i="4"/>
  <c r="V8" i="4"/>
  <c r="W11" i="4"/>
  <c r="U10" i="4"/>
  <c r="AN10" i="5"/>
  <c r="AQ10" i="5"/>
  <c r="AA10" i="5"/>
  <c r="AP10" i="5"/>
  <c r="T10" i="5"/>
  <c r="X10" i="5"/>
  <c r="S10" i="5"/>
  <c r="X13" i="5"/>
  <c r="AD10" i="5"/>
  <c r="N10" i="5"/>
  <c r="P10" i="5" s="1"/>
  <c r="AB10" i="5"/>
  <c r="W12" i="4"/>
  <c r="AJ18" i="5"/>
  <c r="Y18" i="5"/>
  <c r="Z18" i="5"/>
  <c r="AE18" i="5"/>
  <c r="AN18" i="5"/>
  <c r="AI10" i="5"/>
  <c r="W18" i="5"/>
  <c r="AC18" i="5"/>
  <c r="Z12" i="4"/>
  <c r="AF18" i="5"/>
  <c r="AH18" i="5"/>
  <c r="AQ18" i="5"/>
  <c r="AI18" i="5"/>
  <c r="AB18" i="5"/>
  <c r="AD18" i="5"/>
  <c r="U12" i="4"/>
  <c r="X12" i="4"/>
  <c r="Q12" i="4"/>
  <c r="V12" i="4"/>
  <c r="Y12" i="4"/>
  <c r="S18" i="5"/>
  <c r="U18" i="5"/>
  <c r="AQ13" i="5"/>
  <c r="AN9" i="5"/>
  <c r="AI9" i="5"/>
  <c r="AE22" i="5"/>
  <c r="AB22" i="5"/>
  <c r="AG20" i="5"/>
  <c r="AQ20" i="5"/>
  <c r="AJ9" i="5"/>
  <c r="AO9" i="5"/>
  <c r="AF22" i="5"/>
  <c r="W22" i="5"/>
  <c r="AK20" i="5"/>
  <c r="W20" i="5"/>
  <c r="AJ22" i="5"/>
  <c r="AM22" i="5"/>
  <c r="AM20" i="5"/>
  <c r="AN20" i="5"/>
  <c r="V13" i="5"/>
  <c r="N9" i="5"/>
  <c r="P9" i="5" s="1"/>
  <c r="AO20" i="5"/>
  <c r="AC20" i="5"/>
  <c r="W9" i="5"/>
  <c r="U20" i="5"/>
  <c r="Y20" i="5"/>
  <c r="AL22" i="5"/>
  <c r="S20" i="5"/>
  <c r="V20" i="5"/>
  <c r="AK10" i="5"/>
  <c r="AQ9" i="5"/>
  <c r="AM9" i="5"/>
  <c r="V10" i="4"/>
  <c r="Z10" i="4"/>
  <c r="AP6" i="5"/>
  <c r="AN6" i="5"/>
  <c r="AE13" i="5"/>
  <c r="AC9" i="5"/>
  <c r="AP13" i="5"/>
  <c r="Y9" i="5"/>
  <c r="N13" i="5"/>
  <c r="P13" i="5" s="1"/>
  <c r="V6" i="5"/>
  <c r="AA9" i="5"/>
  <c r="AF9" i="5"/>
  <c r="X6" i="4"/>
  <c r="V6" i="4"/>
  <c r="AC10" i="5"/>
  <c r="AO10" i="5"/>
  <c r="W10" i="5"/>
  <c r="AL10" i="5"/>
  <c r="AJ10" i="5"/>
  <c r="U10" i="5"/>
  <c r="AM10" i="5"/>
  <c r="Q10" i="4"/>
  <c r="V10" i="5"/>
  <c r="AG10" i="5"/>
  <c r="Y10" i="4"/>
  <c r="L10" i="4"/>
  <c r="Y10" i="5"/>
  <c r="O10" i="5"/>
  <c r="AE10" i="5" s="1"/>
  <c r="AF10" i="5"/>
  <c r="AH10" i="5"/>
  <c r="AA14" i="5"/>
  <c r="AL9" i="5"/>
  <c r="Z9" i="5"/>
  <c r="X9" i="5"/>
  <c r="V9" i="5"/>
  <c r="AI6" i="5"/>
  <c r="AJ6" i="5"/>
  <c r="AE6" i="5"/>
  <c r="W6" i="5"/>
  <c r="AO6" i="5"/>
  <c r="N6" i="5"/>
  <c r="P6" i="5" s="1"/>
  <c r="X6" i="5"/>
  <c r="O6" i="5"/>
  <c r="AK6" i="5" s="1"/>
  <c r="AP9" i="5"/>
  <c r="U9" i="5"/>
  <c r="AH9" i="5"/>
  <c r="AK7" i="5"/>
  <c r="W7" i="5"/>
  <c r="AJ7" i="5"/>
  <c r="X7" i="5"/>
  <c r="AA7" i="5"/>
  <c r="AL6" i="5"/>
  <c r="Z6" i="5"/>
  <c r="AN7" i="5"/>
  <c r="AL7" i="5"/>
  <c r="S7" i="5"/>
  <c r="Y7" i="5"/>
  <c r="AP7" i="5"/>
  <c r="U6" i="4"/>
  <c r="AB6" i="5"/>
  <c r="AN14" i="5"/>
  <c r="O7" i="5"/>
  <c r="AE7" i="5" s="1"/>
  <c r="Z7" i="5"/>
  <c r="Y6" i="4"/>
  <c r="Y6" i="5"/>
  <c r="AJ14" i="5"/>
  <c r="AC14" i="5"/>
  <c r="Z6" i="4"/>
  <c r="AC6" i="5"/>
  <c r="AL14" i="5"/>
  <c r="AO7" i="5"/>
  <c r="AM7" i="5"/>
  <c r="W6" i="4"/>
  <c r="AG6" i="5"/>
  <c r="AF6" i="5"/>
  <c r="AD6" i="5"/>
  <c r="AI7" i="5"/>
  <c r="AQ7" i="5"/>
  <c r="U7" i="5"/>
  <c r="N7" i="5"/>
  <c r="P7" i="5" s="1"/>
  <c r="AC7" i="5"/>
  <c r="AG7" i="5"/>
  <c r="T7" i="5"/>
  <c r="AB7" i="5"/>
  <c r="AJ13" i="5"/>
  <c r="L6" i="4"/>
  <c r="U6" i="5"/>
  <c r="AQ6" i="5"/>
  <c r="AK9" i="5"/>
  <c r="T9" i="5"/>
  <c r="AG9" i="5"/>
  <c r="S9" i="5"/>
  <c r="O9" i="5"/>
  <c r="AE9" i="5" s="1"/>
  <c r="AH7" i="5"/>
  <c r="AM6" i="5"/>
  <c r="S6" i="5"/>
  <c r="AP14" i="5"/>
  <c r="X14" i="5"/>
  <c r="AH14" i="5"/>
  <c r="V14" i="5"/>
  <c r="AG14" i="5"/>
  <c r="Z14" i="5"/>
  <c r="AI14" i="5"/>
  <c r="U14" i="5"/>
  <c r="AM14" i="5"/>
  <c r="O14" i="5"/>
  <c r="AE14" i="5" s="1"/>
  <c r="AO14" i="5"/>
  <c r="AB14" i="5"/>
  <c r="N14" i="5"/>
  <c r="P14" i="5" s="1"/>
  <c r="AF14" i="5"/>
  <c r="AQ14" i="5"/>
  <c r="AD14" i="5"/>
  <c r="W14" i="5"/>
  <c r="T14" i="5"/>
  <c r="Y14" i="5"/>
  <c r="S14" i="5"/>
  <c r="T6" i="5"/>
  <c r="AD9" i="5"/>
  <c r="AM18" i="9"/>
  <c r="R18" i="9" s="1"/>
  <c r="AM13" i="5"/>
  <c r="AL13" i="5"/>
  <c r="O13" i="5"/>
  <c r="AK13" i="5" s="1"/>
  <c r="AN13" i="5"/>
  <c r="AF13" i="5"/>
  <c r="W13" i="5"/>
  <c r="Z13" i="5"/>
  <c r="T13" i="5"/>
  <c r="AI13" i="5"/>
  <c r="AC13" i="5"/>
  <c r="U13" i="5"/>
  <c r="AG13" i="5"/>
  <c r="AO13" i="5"/>
  <c r="AH13" i="5"/>
  <c r="S13" i="5"/>
  <c r="AB13" i="5"/>
  <c r="AA13" i="5"/>
  <c r="AD13" i="5"/>
  <c r="Y11" i="5"/>
  <c r="AI11" i="5"/>
  <c r="O11" i="5"/>
  <c r="AF11" i="5" s="1"/>
  <c r="AH11" i="5"/>
  <c r="AB11" i="5"/>
  <c r="AK11" i="5"/>
  <c r="X11" i="5"/>
  <c r="T11" i="5"/>
  <c r="AL11" i="5"/>
  <c r="AG11" i="5"/>
  <c r="AC11" i="5"/>
  <c r="AQ11" i="5"/>
  <c r="N11" i="5"/>
  <c r="P11" i="5" s="1"/>
  <c r="AE11" i="5"/>
  <c r="S11" i="5"/>
  <c r="AP11" i="5"/>
  <c r="Z11" i="5"/>
  <c r="AN11" i="5"/>
  <c r="U11" i="5"/>
  <c r="AJ11" i="5"/>
  <c r="V11" i="5"/>
  <c r="AD11" i="5"/>
  <c r="AM11" i="5"/>
  <c r="W11" i="5"/>
  <c r="AO11" i="5"/>
  <c r="AA11" i="5"/>
  <c r="AM14" i="9"/>
  <c r="T14" i="9" s="1"/>
  <c r="AM21" i="9"/>
  <c r="Q21" i="9" s="1"/>
  <c r="AM23" i="9"/>
  <c r="D23" i="9" s="1"/>
  <c r="AM9" i="9"/>
  <c r="Q9" i="9" s="1"/>
  <c r="AM20" i="9"/>
  <c r="M20" i="9" s="1"/>
  <c r="P13" i="4"/>
  <c r="R13" i="4" s="1"/>
  <c r="P16" i="4"/>
  <c r="P7" i="4"/>
  <c r="P12" i="4"/>
  <c r="P10" i="4"/>
  <c r="AA13" i="4"/>
  <c r="T13" i="2" s="1"/>
  <c r="AM28" i="9"/>
  <c r="AM26" i="9"/>
  <c r="AM19" i="9"/>
  <c r="AM16" i="9"/>
  <c r="P14" i="4"/>
  <c r="AB21" i="4"/>
  <c r="T21" i="2"/>
  <c r="Q7" i="4"/>
  <c r="Y7" i="4"/>
  <c r="L7" i="4"/>
  <c r="V7" i="4"/>
  <c r="Z7" i="4"/>
  <c r="U7" i="4"/>
  <c r="W7" i="4"/>
  <c r="X7" i="4"/>
  <c r="AM24" i="9"/>
  <c r="AM27" i="9"/>
  <c r="CK18" i="4"/>
  <c r="DO18" i="2"/>
  <c r="AM13" i="9"/>
  <c r="AM10" i="9"/>
  <c r="AM22" i="9"/>
  <c r="AM15" i="9"/>
  <c r="Q16" i="4"/>
  <c r="L16" i="4"/>
  <c r="U16" i="4"/>
  <c r="Y16" i="4"/>
  <c r="X16" i="4"/>
  <c r="V16" i="4"/>
  <c r="Z16" i="4"/>
  <c r="W16" i="4"/>
  <c r="S21" i="4"/>
  <c r="R21" i="4"/>
  <c r="U13" i="3"/>
  <c r="U21" i="3"/>
  <c r="U7" i="3"/>
  <c r="U6" i="3"/>
  <c r="U12" i="3"/>
  <c r="U11" i="3"/>
  <c r="U10" i="3"/>
  <c r="U14" i="3"/>
  <c r="U5" i="3"/>
  <c r="U20" i="3"/>
  <c r="U9" i="3"/>
  <c r="U24" i="3"/>
  <c r="U8" i="3"/>
  <c r="U23" i="3"/>
  <c r="U16" i="3"/>
  <c r="U19" i="3"/>
  <c r="U17" i="3"/>
  <c r="U22" i="3"/>
  <c r="U15" i="3"/>
  <c r="U18" i="3"/>
  <c r="AM11" i="9"/>
  <c r="AM25" i="9"/>
  <c r="L19" i="4"/>
  <c r="Y19" i="4"/>
  <c r="X19" i="4"/>
  <c r="Q19" i="4"/>
  <c r="AA19" i="4"/>
  <c r="V19" i="4"/>
  <c r="W19" i="4"/>
  <c r="Z19" i="4"/>
  <c r="U19" i="4"/>
  <c r="Q9" i="4"/>
  <c r="L9" i="4"/>
  <c r="X9" i="4"/>
  <c r="Y9" i="4"/>
  <c r="Z9" i="4"/>
  <c r="W9" i="4"/>
  <c r="U9" i="4"/>
  <c r="V9" i="4"/>
  <c r="AM12" i="9"/>
  <c r="AM17" i="9"/>
  <c r="X10" i="4"/>
  <c r="AK14" i="6"/>
  <c r="AK7" i="6"/>
  <c r="AK23" i="6"/>
  <c r="AK13" i="6"/>
  <c r="AK12" i="6"/>
  <c r="AK21" i="6"/>
  <c r="AK20" i="6"/>
  <c r="AK19" i="6"/>
  <c r="AK8" i="6"/>
  <c r="AK18" i="6"/>
  <c r="AK22" i="6"/>
  <c r="AK15" i="6"/>
  <c r="AK10" i="6"/>
  <c r="AK11" i="6"/>
  <c r="AK17" i="6"/>
  <c r="AK16" i="6"/>
  <c r="AK24" i="6"/>
  <c r="AK5" i="6"/>
  <c r="AK9" i="6"/>
  <c r="AK6" i="6"/>
  <c r="AG8" i="5"/>
  <c r="U8" i="5"/>
  <c r="AP8" i="5"/>
  <c r="AC8" i="5"/>
  <c r="O8" i="5"/>
  <c r="AE8" i="5" s="1"/>
  <c r="AM8" i="5"/>
  <c r="Y8" i="5"/>
  <c r="AK8" i="5"/>
  <c r="V8" i="5"/>
  <c r="AH8" i="5"/>
  <c r="AO8" i="5"/>
  <c r="W8" i="5"/>
  <c r="AF8" i="5"/>
  <c r="AB8" i="5"/>
  <c r="AQ8" i="5"/>
  <c r="AD8" i="5"/>
  <c r="Z8" i="5"/>
  <c r="X8" i="5"/>
  <c r="T8" i="5"/>
  <c r="S8" i="5"/>
  <c r="AN8" i="5"/>
  <c r="AL8" i="5"/>
  <c r="AJ8" i="5"/>
  <c r="AA8" i="5"/>
  <c r="N8" i="5"/>
  <c r="P8" i="5" s="1"/>
  <c r="AI8" i="5"/>
  <c r="AT2" i="6"/>
  <c r="R5" i="4" l="1"/>
  <c r="DO5" i="2" s="1"/>
  <c r="AA6" i="5"/>
  <c r="R11" i="4"/>
  <c r="CK11" i="4" s="1"/>
  <c r="AA5" i="4"/>
  <c r="T5" i="2" s="1"/>
  <c r="S17" i="4"/>
  <c r="CM17" i="4" s="1"/>
  <c r="AE17" i="5"/>
  <c r="E7" i="5" s="1"/>
  <c r="M12" i="2" s="1"/>
  <c r="S20" i="4"/>
  <c r="DJ20" i="2" s="1"/>
  <c r="T20" i="2"/>
  <c r="AB24" i="4"/>
  <c r="CY18" i="2"/>
  <c r="BQ18" i="4"/>
  <c r="DC18" i="2"/>
  <c r="DA18" i="2"/>
  <c r="CB18" i="4"/>
  <c r="DQ18" i="2"/>
  <c r="BU18" i="4"/>
  <c r="BP18" i="4"/>
  <c r="BF18" i="4"/>
  <c r="CF18" i="4"/>
  <c r="CG18" i="2"/>
  <c r="DF18" i="2"/>
  <c r="BZ18" i="2"/>
  <c r="CI18" i="2"/>
  <c r="DM18" i="2"/>
  <c r="CR18" i="2"/>
  <c r="BE18" i="4"/>
  <c r="CV18" i="2"/>
  <c r="BH18" i="4"/>
  <c r="BK18" i="4"/>
  <c r="AZ18" i="4"/>
  <c r="CN18" i="2"/>
  <c r="CE18" i="2"/>
  <c r="DK18" i="2"/>
  <c r="CO18" i="2"/>
  <c r="CD18" i="4"/>
  <c r="AU18" i="4"/>
  <c r="BY18" i="2"/>
  <c r="BC18" i="4"/>
  <c r="CD18" i="2"/>
  <c r="CA18" i="4"/>
  <c r="CU18" i="2"/>
  <c r="CJ18" i="4"/>
  <c r="DL18" i="2"/>
  <c r="CH18" i="2"/>
  <c r="BZ18" i="4"/>
  <c r="CC18" i="4"/>
  <c r="BS18" i="4"/>
  <c r="AW18" i="4"/>
  <c r="BL18" i="4"/>
  <c r="DB18" i="2"/>
  <c r="BJ18" i="4"/>
  <c r="BA18" i="4"/>
  <c r="CT18" i="2"/>
  <c r="CZ18" i="2"/>
  <c r="DH18" i="2"/>
  <c r="CJ18" i="2"/>
  <c r="CA18" i="2"/>
  <c r="DG18" i="2"/>
  <c r="CC18" i="2"/>
  <c r="BX18" i="4"/>
  <c r="CL18" i="2"/>
  <c r="BB18" i="4"/>
  <c r="BN18" i="4"/>
  <c r="AX18" i="4"/>
  <c r="CB18" i="2"/>
  <c r="CS18" i="2"/>
  <c r="CH18" i="4"/>
  <c r="DN18" i="2"/>
  <c r="DE18" i="2"/>
  <c r="BY18" i="4"/>
  <c r="BV18" i="4"/>
  <c r="CE18" i="4"/>
  <c r="CI18" i="4"/>
  <c r="BO18" i="4"/>
  <c r="CW18" i="2"/>
  <c r="CX18" i="2"/>
  <c r="CQ18" i="2"/>
  <c r="CG18" i="4"/>
  <c r="DJ18" i="2"/>
  <c r="BR18" i="4"/>
  <c r="BG18" i="4"/>
  <c r="CK18" i="2"/>
  <c r="AY18" i="4"/>
  <c r="CM18" i="4"/>
  <c r="AV18" i="4"/>
  <c r="DI18" i="2"/>
  <c r="DD18" i="2"/>
  <c r="CP18" i="2"/>
  <c r="BT18" i="4"/>
  <c r="CM18" i="2"/>
  <c r="BI18" i="4"/>
  <c r="BW18" i="4"/>
  <c r="CF18" i="2"/>
  <c r="BD18" i="4"/>
  <c r="T18" i="2"/>
  <c r="R24" i="4"/>
  <c r="CK24" i="4" s="1"/>
  <c r="R17" i="4"/>
  <c r="CK17" i="4" s="1"/>
  <c r="AA15" i="4"/>
  <c r="AN19" i="9" s="1"/>
  <c r="S22" i="4"/>
  <c r="DF22" i="2" s="1"/>
  <c r="CK5" i="4"/>
  <c r="R23" i="4"/>
  <c r="CK23" i="4" s="1"/>
  <c r="AA17" i="4"/>
  <c r="AB17" i="4" s="1"/>
  <c r="R15" i="4"/>
  <c r="CK15" i="4" s="1"/>
  <c r="AA14" i="4"/>
  <c r="AB14" i="4" s="1"/>
  <c r="S15" i="4"/>
  <c r="T22" i="2"/>
  <c r="R14" i="4"/>
  <c r="DO14" i="2" s="1"/>
  <c r="R6" i="4"/>
  <c r="CK6" i="4" s="1"/>
  <c r="T23" i="2"/>
  <c r="DQ5" i="2"/>
  <c r="R8" i="4"/>
  <c r="CK8" i="4" s="1"/>
  <c r="S11" i="4"/>
  <c r="CM11" i="4" s="1"/>
  <c r="AA11" i="4"/>
  <c r="AB11" i="4" s="1"/>
  <c r="AA8" i="4"/>
  <c r="AN12" i="9" s="1"/>
  <c r="R12" i="4"/>
  <c r="CK12" i="4" s="1"/>
  <c r="AA12" i="4"/>
  <c r="T12" i="2" s="1"/>
  <c r="G20" i="9"/>
  <c r="E20" i="9"/>
  <c r="R20" i="9"/>
  <c r="H20" i="9"/>
  <c r="J20" i="9" s="1"/>
  <c r="D20" i="9"/>
  <c r="Q20" i="9"/>
  <c r="T20" i="9"/>
  <c r="F20" i="9"/>
  <c r="AA10" i="4"/>
  <c r="T10" i="2" s="1"/>
  <c r="E18" i="9"/>
  <c r="A20" i="9"/>
  <c r="S20" i="9" s="1"/>
  <c r="K18" i="9"/>
  <c r="T18" i="9"/>
  <c r="AA6" i="4"/>
  <c r="AN10" i="9" s="1"/>
  <c r="S10" i="4"/>
  <c r="D18" i="9"/>
  <c r="Q18" i="9"/>
  <c r="H18" i="9"/>
  <c r="J18" i="9" s="1"/>
  <c r="M18" i="9"/>
  <c r="A18" i="9"/>
  <c r="S18" i="9" s="1"/>
  <c r="G8" i="5"/>
  <c r="O13" i="2" s="1"/>
  <c r="C18" i="9"/>
  <c r="F18" i="9"/>
  <c r="G18" i="9"/>
  <c r="DO11" i="2"/>
  <c r="D6" i="5"/>
  <c r="L11" i="2" s="1"/>
  <c r="L18" i="9"/>
  <c r="B18" i="9"/>
  <c r="E23" i="9"/>
  <c r="G23" i="9"/>
  <c r="C8" i="5"/>
  <c r="K13" i="2" s="1"/>
  <c r="C5" i="5"/>
  <c r="K10" i="2" s="1"/>
  <c r="C9" i="9"/>
  <c r="L9" i="9"/>
  <c r="G14" i="9"/>
  <c r="F9" i="9"/>
  <c r="A9" i="9"/>
  <c r="N9" i="9" s="1"/>
  <c r="H14" i="9"/>
  <c r="J14" i="9" s="1"/>
  <c r="M9" i="9"/>
  <c r="G9" i="9"/>
  <c r="D14" i="9"/>
  <c r="B14" i="9"/>
  <c r="H9" i="9"/>
  <c r="I9" i="9" s="1"/>
  <c r="E9" i="5"/>
  <c r="M14" i="2" s="1"/>
  <c r="S13" i="4"/>
  <c r="CM13" i="2" s="1"/>
  <c r="C23" i="9"/>
  <c r="A14" i="9"/>
  <c r="O14" i="9" s="1"/>
  <c r="B9" i="9"/>
  <c r="E14" i="9"/>
  <c r="D9" i="9"/>
  <c r="B20" i="9"/>
  <c r="Q23" i="9"/>
  <c r="C20" i="9"/>
  <c r="M23" i="9"/>
  <c r="I23" i="9"/>
  <c r="D8" i="5"/>
  <c r="L13" i="2" s="1"/>
  <c r="G6" i="5"/>
  <c r="O11" i="2" s="1"/>
  <c r="E5" i="5"/>
  <c r="M10" i="2" s="1"/>
  <c r="R9" i="9"/>
  <c r="Q14" i="9"/>
  <c r="B23" i="9"/>
  <c r="K9" i="9"/>
  <c r="K20" i="9"/>
  <c r="F9" i="5"/>
  <c r="N14" i="2" s="1"/>
  <c r="T23" i="9"/>
  <c r="L23" i="9"/>
  <c r="F7" i="5"/>
  <c r="N12" i="2" s="1"/>
  <c r="E9" i="9"/>
  <c r="R14" i="9"/>
  <c r="K23" i="9"/>
  <c r="R23" i="9"/>
  <c r="J23" i="9"/>
  <c r="K14" i="9"/>
  <c r="T9" i="9"/>
  <c r="L14" i="9"/>
  <c r="A23" i="9"/>
  <c r="P23" i="9" s="1"/>
  <c r="F23" i="9"/>
  <c r="H23" i="9"/>
  <c r="L20" i="9"/>
  <c r="Q8" i="5"/>
  <c r="G19" i="5" s="1"/>
  <c r="F6" i="5"/>
  <c r="N11" i="2" s="1"/>
  <c r="D7" i="5"/>
  <c r="L12" i="2" s="1"/>
  <c r="C7" i="5"/>
  <c r="K12" i="2" s="1"/>
  <c r="G7" i="5"/>
  <c r="O12" i="2" s="1"/>
  <c r="F8" i="5"/>
  <c r="N13" i="2" s="1"/>
  <c r="G5" i="5"/>
  <c r="O10" i="2" s="1"/>
  <c r="D9" i="5"/>
  <c r="L14" i="2" s="1"/>
  <c r="F5" i="5"/>
  <c r="N10" i="2" s="1"/>
  <c r="D5" i="5"/>
  <c r="L10" i="2" s="1"/>
  <c r="C6" i="5"/>
  <c r="K11" i="2" s="1"/>
  <c r="C9" i="5"/>
  <c r="K14" i="2" s="1"/>
  <c r="E8" i="5"/>
  <c r="M13" i="2" s="1"/>
  <c r="E6" i="5"/>
  <c r="M11" i="2" s="1"/>
  <c r="C14" i="9"/>
  <c r="F14" i="9"/>
  <c r="M14" i="9"/>
  <c r="G9" i="5"/>
  <c r="O14" i="2" s="1"/>
  <c r="A21" i="9"/>
  <c r="O21" i="9" s="1"/>
  <c r="C21" i="9"/>
  <c r="R21" i="9"/>
  <c r="F21" i="9"/>
  <c r="E21" i="9"/>
  <c r="M21" i="9"/>
  <c r="K21" i="9"/>
  <c r="B21" i="9"/>
  <c r="D21" i="9"/>
  <c r="L21" i="9"/>
  <c r="G21" i="9"/>
  <c r="H21" i="9"/>
  <c r="I21" i="9" s="1"/>
  <c r="T21" i="9"/>
  <c r="S12" i="4"/>
  <c r="R10" i="4"/>
  <c r="CK10" i="4" s="1"/>
  <c r="S14" i="4"/>
  <c r="Q17" i="5"/>
  <c r="F28" i="5" s="1"/>
  <c r="AA16" i="4"/>
  <c r="AB16" i="4" s="1"/>
  <c r="AN17" i="9"/>
  <c r="AB13" i="4"/>
  <c r="AA7" i="4"/>
  <c r="AB7" i="4" s="1"/>
  <c r="AA9" i="4"/>
  <c r="AN13" i="9" s="1"/>
  <c r="CK21" i="4"/>
  <c r="DO21" i="2"/>
  <c r="CM8" i="4"/>
  <c r="DQ8" i="2"/>
  <c r="G48" i="6"/>
  <c r="D48" i="6"/>
  <c r="F48" i="6"/>
  <c r="AN22" i="6"/>
  <c r="AM22" i="6"/>
  <c r="AL22" i="6"/>
  <c r="C48" i="6"/>
  <c r="M23" i="6"/>
  <c r="E48" i="6"/>
  <c r="A48" i="6"/>
  <c r="K48" i="6" s="1"/>
  <c r="L23" i="6"/>
  <c r="K23" i="6"/>
  <c r="AO22" i="6"/>
  <c r="B48" i="6"/>
  <c r="Y10" i="3"/>
  <c r="D10" i="3"/>
  <c r="B10" i="3"/>
  <c r="A10" i="3"/>
  <c r="E10" i="3"/>
  <c r="Z10" i="3"/>
  <c r="J10" i="3"/>
  <c r="H10" i="3"/>
  <c r="AB10" i="3" s="1"/>
  <c r="C10" i="3"/>
  <c r="I10" i="3"/>
  <c r="AD10" i="3" s="1"/>
  <c r="AA10" i="3"/>
  <c r="L16" i="9"/>
  <c r="K16" i="9"/>
  <c r="F16" i="9"/>
  <c r="R16" i="9"/>
  <c r="C16" i="9"/>
  <c r="H16" i="9"/>
  <c r="I16" i="9" s="1"/>
  <c r="E16" i="9"/>
  <c r="B16" i="9"/>
  <c r="Q16" i="9"/>
  <c r="D16" i="9"/>
  <c r="A16" i="9"/>
  <c r="T16" i="9"/>
  <c r="M16" i="9"/>
  <c r="G16" i="9"/>
  <c r="Y16" i="3"/>
  <c r="E16" i="3"/>
  <c r="A16" i="3"/>
  <c r="J16" i="3"/>
  <c r="I16" i="3"/>
  <c r="AD16" i="3" s="1"/>
  <c r="D16" i="3"/>
  <c r="C16" i="3"/>
  <c r="Z16" i="3"/>
  <c r="H16" i="3"/>
  <c r="AB16" i="3" s="1"/>
  <c r="AA16" i="3"/>
  <c r="B16" i="3"/>
  <c r="G16" i="3" s="1"/>
  <c r="D19" i="9"/>
  <c r="A19" i="9"/>
  <c r="M19" i="9"/>
  <c r="K19" i="9"/>
  <c r="H19" i="9"/>
  <c r="I19" i="9" s="1"/>
  <c r="T19" i="9"/>
  <c r="E19" i="9"/>
  <c r="G19" i="9"/>
  <c r="F19" i="9"/>
  <c r="Q19" i="9"/>
  <c r="L19" i="9"/>
  <c r="R19" i="9"/>
  <c r="C19" i="9"/>
  <c r="B19" i="9"/>
  <c r="DQ6" i="2"/>
  <c r="CM6" i="4"/>
  <c r="Q21" i="5"/>
  <c r="AA17" i="3"/>
  <c r="B17" i="3"/>
  <c r="A17" i="3"/>
  <c r="J17" i="3"/>
  <c r="Z17" i="3"/>
  <c r="I17" i="3"/>
  <c r="AD17" i="3" s="1"/>
  <c r="H17" i="3"/>
  <c r="AB17" i="3" s="1"/>
  <c r="E17" i="3"/>
  <c r="Y17" i="3"/>
  <c r="D17" i="3"/>
  <c r="C17" i="3"/>
  <c r="Y12" i="3"/>
  <c r="E12" i="3"/>
  <c r="B12" i="3"/>
  <c r="D12" i="3"/>
  <c r="AA12" i="3"/>
  <c r="C12" i="3"/>
  <c r="I12" i="3"/>
  <c r="AD12" i="3" s="1"/>
  <c r="J12" i="3"/>
  <c r="A12" i="3"/>
  <c r="Z12" i="3"/>
  <c r="H12" i="3"/>
  <c r="AB12" i="3" s="1"/>
  <c r="CM21" i="4"/>
  <c r="DQ21" i="2"/>
  <c r="DM21" i="2"/>
  <c r="CW21" i="2"/>
  <c r="CF21" i="2"/>
  <c r="DH21" i="2"/>
  <c r="CN21" i="2"/>
  <c r="CM21" i="2"/>
  <c r="DG21" i="2"/>
  <c r="DD21" i="2"/>
  <c r="CL21" i="2"/>
  <c r="DA21" i="2"/>
  <c r="CK21" i="2"/>
  <c r="CC21" i="4"/>
  <c r="CZ21" i="2"/>
  <c r="CJ21" i="2"/>
  <c r="DJ21" i="2"/>
  <c r="BZ21" i="2"/>
  <c r="CY21" i="2"/>
  <c r="CI21" i="2"/>
  <c r="BU21" i="4"/>
  <c r="DI21" i="2"/>
  <c r="BY21" i="2"/>
  <c r="CX21" i="2"/>
  <c r="BS21" i="4"/>
  <c r="DK21" i="2"/>
  <c r="CV21" i="2"/>
  <c r="CA21" i="2"/>
  <c r="CU21" i="2"/>
  <c r="CT21" i="2"/>
  <c r="CQ21" i="2"/>
  <c r="DN21" i="2"/>
  <c r="CH21" i="2"/>
  <c r="DL21" i="2"/>
  <c r="CD21" i="2"/>
  <c r="BN21" i="4"/>
  <c r="BK21" i="4"/>
  <c r="CF21" i="4"/>
  <c r="BF21" i="4"/>
  <c r="CE21" i="4"/>
  <c r="BB21" i="4"/>
  <c r="AV21" i="4"/>
  <c r="BL21" i="4"/>
  <c r="BD21" i="4"/>
  <c r="CG21" i="4"/>
  <c r="DE21" i="2"/>
  <c r="BX21" i="4"/>
  <c r="DC21" i="2"/>
  <c r="BT21" i="4"/>
  <c r="CS21" i="2"/>
  <c r="BE21" i="4"/>
  <c r="CP21" i="2"/>
  <c r="BG21" i="4"/>
  <c r="CG21" i="2"/>
  <c r="BV21" i="4"/>
  <c r="CC21" i="2"/>
  <c r="CB21" i="4"/>
  <c r="BY21" i="4"/>
  <c r="BA21" i="4"/>
  <c r="CJ21" i="4"/>
  <c r="BM21" i="4"/>
  <c r="BJ21" i="4"/>
  <c r="BW21" i="4"/>
  <c r="AZ21" i="4"/>
  <c r="CD21" i="4"/>
  <c r="AY21" i="4"/>
  <c r="AU21" i="4"/>
  <c r="BP21" i="4"/>
  <c r="DB21" i="2"/>
  <c r="CH21" i="4"/>
  <c r="BQ21" i="4"/>
  <c r="BH21" i="4"/>
  <c r="CO21" i="2"/>
  <c r="BI21" i="4"/>
  <c r="BR21" i="4"/>
  <c r="AW21" i="4"/>
  <c r="DF21" i="2"/>
  <c r="CB21" i="2"/>
  <c r="BC21" i="4"/>
  <c r="CI21" i="4"/>
  <c r="CR21" i="2"/>
  <c r="BZ21" i="4"/>
  <c r="CA21" i="4"/>
  <c r="BO21" i="4"/>
  <c r="CE21" i="2"/>
  <c r="AX21" i="4"/>
  <c r="AA21" i="3"/>
  <c r="G21" i="3"/>
  <c r="V21" i="3"/>
  <c r="B21" i="3"/>
  <c r="U66" i="2" s="1"/>
  <c r="I21" i="3"/>
  <c r="AD21" i="3" s="1"/>
  <c r="Z21" i="3"/>
  <c r="D21" i="3"/>
  <c r="Y21" i="3"/>
  <c r="C21" i="3"/>
  <c r="X21" i="3"/>
  <c r="K21" i="3"/>
  <c r="J21" i="3"/>
  <c r="H21" i="3"/>
  <c r="AB21" i="3" s="1"/>
  <c r="E21" i="3"/>
  <c r="W21" i="3"/>
  <c r="A21" i="3"/>
  <c r="S9" i="4"/>
  <c r="R9" i="4"/>
  <c r="H15" i="3"/>
  <c r="W15" i="3" s="1"/>
  <c r="B15" i="3"/>
  <c r="G15" i="3" s="1"/>
  <c r="J15" i="3"/>
  <c r="I15" i="3"/>
  <c r="AD15" i="3" s="1"/>
  <c r="E15" i="3"/>
  <c r="D15" i="3"/>
  <c r="C15" i="3"/>
  <c r="AA15" i="3"/>
  <c r="A15" i="3"/>
  <c r="Z15" i="3"/>
  <c r="Y15" i="3"/>
  <c r="Q10" i="5"/>
  <c r="CK20" i="4"/>
  <c r="DO20" i="2"/>
  <c r="F31" i="6"/>
  <c r="AO5" i="6"/>
  <c r="E31" i="6"/>
  <c r="L6" i="6"/>
  <c r="A31" i="6"/>
  <c r="B31" i="6"/>
  <c r="AM5" i="6"/>
  <c r="G31" i="6"/>
  <c r="D31" i="6"/>
  <c r="C31" i="6"/>
  <c r="M6" i="6"/>
  <c r="K6" i="6"/>
  <c r="AN5" i="6"/>
  <c r="AL5" i="6"/>
  <c r="C47" i="6"/>
  <c r="AO21" i="6"/>
  <c r="D47" i="6"/>
  <c r="F47" i="6"/>
  <c r="AL21" i="6"/>
  <c r="E47" i="6"/>
  <c r="L22" i="6"/>
  <c r="M22" i="6"/>
  <c r="G47" i="6"/>
  <c r="K22" i="6"/>
  <c r="B47" i="6"/>
  <c r="AN21" i="6"/>
  <c r="A47" i="6"/>
  <c r="K47" i="6" s="1"/>
  <c r="AM21" i="6"/>
  <c r="Q11" i="5"/>
  <c r="Q7" i="5"/>
  <c r="CK22" i="4"/>
  <c r="DO22" i="2"/>
  <c r="A23" i="3"/>
  <c r="H23" i="3"/>
  <c r="AB23" i="3" s="1"/>
  <c r="J23" i="3"/>
  <c r="G23" i="3"/>
  <c r="K23" i="3"/>
  <c r="I23" i="3"/>
  <c r="AD23" i="3" s="1"/>
  <c r="E23" i="3"/>
  <c r="AA23" i="3"/>
  <c r="B23" i="3"/>
  <c r="U68" i="2" s="1"/>
  <c r="Z23" i="3"/>
  <c r="Y23" i="3"/>
  <c r="X23" i="3"/>
  <c r="W23" i="3"/>
  <c r="D23" i="3"/>
  <c r="V23" i="3"/>
  <c r="C23" i="3"/>
  <c r="C50" i="6"/>
  <c r="A50" i="6"/>
  <c r="K50" i="6" s="1"/>
  <c r="AM24" i="6"/>
  <c r="E50" i="6"/>
  <c r="AO24" i="6"/>
  <c r="AN24" i="6"/>
  <c r="AL24" i="6"/>
  <c r="G50" i="6"/>
  <c r="B50" i="6"/>
  <c r="M25" i="6"/>
  <c r="L25" i="6"/>
  <c r="K25" i="6"/>
  <c r="F50" i="6"/>
  <c r="D50" i="6"/>
  <c r="AM12" i="6"/>
  <c r="E38" i="6"/>
  <c r="AO12" i="6"/>
  <c r="G38" i="6"/>
  <c r="B38" i="6"/>
  <c r="F38" i="6"/>
  <c r="L13" i="6"/>
  <c r="A38" i="6"/>
  <c r="AL12" i="6"/>
  <c r="D38" i="6"/>
  <c r="C38" i="6"/>
  <c r="M13" i="6"/>
  <c r="AN12" i="6"/>
  <c r="K13" i="6"/>
  <c r="Q19" i="5"/>
  <c r="Q15" i="5"/>
  <c r="D25" i="9"/>
  <c r="T25" i="9"/>
  <c r="G25" i="9"/>
  <c r="F25" i="9"/>
  <c r="J25" i="9"/>
  <c r="E25" i="9"/>
  <c r="Q25" i="9"/>
  <c r="A25" i="9"/>
  <c r="C25" i="9"/>
  <c r="B25" i="9"/>
  <c r="R25" i="9"/>
  <c r="L25" i="9"/>
  <c r="I25" i="9"/>
  <c r="H25" i="9"/>
  <c r="K25" i="9"/>
  <c r="M25" i="9"/>
  <c r="Y8" i="3"/>
  <c r="E8" i="3"/>
  <c r="AA8" i="3"/>
  <c r="C8" i="3"/>
  <c r="B8" i="3"/>
  <c r="G8" i="3" s="1"/>
  <c r="I8" i="3"/>
  <c r="AD8" i="3" s="1"/>
  <c r="H8" i="3"/>
  <c r="AB8" i="3" s="1"/>
  <c r="Z8" i="3"/>
  <c r="J8" i="3"/>
  <c r="A8" i="3"/>
  <c r="A13" i="2" s="1"/>
  <c r="D8" i="3"/>
  <c r="B13" i="3"/>
  <c r="G13" i="3" s="1"/>
  <c r="A13" i="3"/>
  <c r="J13" i="3"/>
  <c r="I13" i="3"/>
  <c r="AD13" i="3" s="1"/>
  <c r="H13" i="3"/>
  <c r="AB13" i="3" s="1"/>
  <c r="E13" i="3"/>
  <c r="D13" i="3"/>
  <c r="AA13" i="3"/>
  <c r="C13" i="3"/>
  <c r="Z13" i="3"/>
  <c r="Y13" i="3"/>
  <c r="S7" i="4"/>
  <c r="R7" i="4"/>
  <c r="K10" i="9"/>
  <c r="T10" i="9"/>
  <c r="F10" i="9"/>
  <c r="Q10" i="9"/>
  <c r="L10" i="9"/>
  <c r="E10" i="9"/>
  <c r="B10" i="9"/>
  <c r="A10" i="9"/>
  <c r="C10" i="9"/>
  <c r="M10" i="9"/>
  <c r="G10" i="9"/>
  <c r="H10" i="9"/>
  <c r="I10" i="9" s="1"/>
  <c r="D10" i="9"/>
  <c r="R10" i="9"/>
  <c r="A32" i="6"/>
  <c r="AM6" i="6"/>
  <c r="K7" i="6"/>
  <c r="G32" i="6"/>
  <c r="D32" i="6"/>
  <c r="C32" i="6"/>
  <c r="E32" i="6"/>
  <c r="AO6" i="6"/>
  <c r="AL6" i="6"/>
  <c r="L7" i="6"/>
  <c r="B32" i="6"/>
  <c r="F32" i="6"/>
  <c r="M7" i="6"/>
  <c r="AN6" i="6"/>
  <c r="G45" i="6"/>
  <c r="B45" i="6"/>
  <c r="K20" i="6"/>
  <c r="A45" i="6"/>
  <c r="K45" i="6" s="1"/>
  <c r="AL19" i="6"/>
  <c r="L20" i="6"/>
  <c r="D45" i="6"/>
  <c r="C45" i="6"/>
  <c r="AM19" i="6"/>
  <c r="E45" i="6"/>
  <c r="F45" i="6"/>
  <c r="AO19" i="6"/>
  <c r="AN19" i="6"/>
  <c r="M20" i="6"/>
  <c r="B12" i="9"/>
  <c r="M12" i="9"/>
  <c r="A12" i="9"/>
  <c r="K12" i="9"/>
  <c r="H12" i="9"/>
  <c r="I12" i="9" s="1"/>
  <c r="L12" i="9"/>
  <c r="G12" i="9"/>
  <c r="D12" i="9"/>
  <c r="T12" i="9"/>
  <c r="R12" i="9"/>
  <c r="F12" i="9"/>
  <c r="E12" i="9"/>
  <c r="C12" i="9"/>
  <c r="Q12" i="9"/>
  <c r="Q22" i="5"/>
  <c r="Q16" i="5"/>
  <c r="R19" i="4"/>
  <c r="S19" i="4"/>
  <c r="A19" i="3"/>
  <c r="H19" i="3"/>
  <c r="AB19" i="3" s="1"/>
  <c r="AA19" i="3"/>
  <c r="E19" i="3"/>
  <c r="Y19" i="3"/>
  <c r="C19" i="3"/>
  <c r="W19" i="3"/>
  <c r="V19" i="3"/>
  <c r="J19" i="3"/>
  <c r="I19" i="3"/>
  <c r="AD19" i="3" s="1"/>
  <c r="G19" i="3"/>
  <c r="B19" i="3"/>
  <c r="U64" i="2" s="1"/>
  <c r="Z19" i="3"/>
  <c r="X19" i="3"/>
  <c r="K19" i="3"/>
  <c r="D19" i="3"/>
  <c r="Z6" i="3"/>
  <c r="E6" i="3"/>
  <c r="Y6" i="3"/>
  <c r="D6" i="3"/>
  <c r="J6" i="3"/>
  <c r="I6" i="3"/>
  <c r="AD6" i="3" s="1"/>
  <c r="H6" i="3"/>
  <c r="AB6" i="3" s="1"/>
  <c r="B6" i="3"/>
  <c r="A6" i="3"/>
  <c r="A11" i="2" s="1"/>
  <c r="AA6" i="3"/>
  <c r="C6" i="3"/>
  <c r="D13" i="9"/>
  <c r="C13" i="9"/>
  <c r="G13" i="9"/>
  <c r="R13" i="9"/>
  <c r="B13" i="9"/>
  <c r="L13" i="9"/>
  <c r="K13" i="9"/>
  <c r="H13" i="9"/>
  <c r="I13" i="9" s="1"/>
  <c r="E13" i="9"/>
  <c r="T13" i="9"/>
  <c r="M13" i="9"/>
  <c r="F13" i="9"/>
  <c r="Q13" i="9"/>
  <c r="A13" i="9"/>
  <c r="C35" i="6"/>
  <c r="B35" i="6"/>
  <c r="AN9" i="6"/>
  <c r="AL9" i="6"/>
  <c r="D35" i="6"/>
  <c r="E35" i="6"/>
  <c r="A35" i="6"/>
  <c r="M10" i="6"/>
  <c r="AO9" i="6"/>
  <c r="AM9" i="6"/>
  <c r="G35" i="6"/>
  <c r="F35" i="6"/>
  <c r="L10" i="6"/>
  <c r="K10" i="6"/>
  <c r="G46" i="6"/>
  <c r="AM20" i="6"/>
  <c r="A46" i="6"/>
  <c r="K46" i="6" s="1"/>
  <c r="K21" i="6"/>
  <c r="B46" i="6"/>
  <c r="AO20" i="6"/>
  <c r="F46" i="6"/>
  <c r="M21" i="6"/>
  <c r="L21" i="6"/>
  <c r="AN20" i="6"/>
  <c r="C46" i="6"/>
  <c r="AL20" i="6"/>
  <c r="E46" i="6"/>
  <c r="D46" i="6"/>
  <c r="Q5" i="5"/>
  <c r="H7" i="3"/>
  <c r="AB7" i="3" s="1"/>
  <c r="AA7" i="3"/>
  <c r="Y7" i="3"/>
  <c r="D7" i="3"/>
  <c r="C7" i="3"/>
  <c r="Z7" i="3"/>
  <c r="J7" i="3"/>
  <c r="I7" i="3"/>
  <c r="AD7" i="3" s="1"/>
  <c r="E7" i="3"/>
  <c r="A7" i="3"/>
  <c r="A12" i="2" s="1"/>
  <c r="B7" i="3"/>
  <c r="B42" i="6"/>
  <c r="AM16" i="6"/>
  <c r="D42" i="6"/>
  <c r="K17" i="6"/>
  <c r="E42" i="6"/>
  <c r="A42" i="6"/>
  <c r="M17" i="6"/>
  <c r="L17" i="6"/>
  <c r="AO16" i="6"/>
  <c r="AL16" i="6"/>
  <c r="AN16" i="6"/>
  <c r="G42" i="6"/>
  <c r="F42" i="6"/>
  <c r="C42" i="6"/>
  <c r="B39" i="6"/>
  <c r="AM13" i="6"/>
  <c r="M14" i="6"/>
  <c r="E39" i="6"/>
  <c r="F39" i="6"/>
  <c r="K14" i="6"/>
  <c r="AO13" i="6"/>
  <c r="C39" i="6"/>
  <c r="G39" i="6"/>
  <c r="D39" i="6"/>
  <c r="A39" i="6"/>
  <c r="L14" i="6"/>
  <c r="AN13" i="6"/>
  <c r="AL13" i="6"/>
  <c r="Q6" i="5"/>
  <c r="Q12" i="5"/>
  <c r="L11" i="9"/>
  <c r="K11" i="9"/>
  <c r="Q11" i="9"/>
  <c r="C11" i="9"/>
  <c r="G11" i="9"/>
  <c r="R11" i="9"/>
  <c r="M11" i="9"/>
  <c r="E11" i="9"/>
  <c r="D11" i="9"/>
  <c r="B11" i="9"/>
  <c r="A11" i="9"/>
  <c r="T11" i="9"/>
  <c r="H11" i="9"/>
  <c r="I11" i="9" s="1"/>
  <c r="F11" i="9"/>
  <c r="J24" i="3"/>
  <c r="Y24" i="3"/>
  <c r="E24" i="3"/>
  <c r="V24" i="3"/>
  <c r="I24" i="3"/>
  <c r="AD24" i="3" s="1"/>
  <c r="H24" i="3"/>
  <c r="AB24" i="3" s="1"/>
  <c r="C24" i="3"/>
  <c r="B24" i="3"/>
  <c r="U69" i="2" s="1"/>
  <c r="AA24" i="3"/>
  <c r="A24" i="3"/>
  <c r="W24" i="3"/>
  <c r="K24" i="3"/>
  <c r="G24" i="3"/>
  <c r="X24" i="3"/>
  <c r="D24" i="3"/>
  <c r="Z24" i="3"/>
  <c r="R26" i="9"/>
  <c r="F26" i="9"/>
  <c r="L26" i="9"/>
  <c r="K26" i="9"/>
  <c r="G26" i="9"/>
  <c r="C26" i="9"/>
  <c r="M26" i="9"/>
  <c r="J26" i="9"/>
  <c r="E26" i="9"/>
  <c r="D26" i="9"/>
  <c r="A26" i="9"/>
  <c r="T26" i="9"/>
  <c r="H26" i="9"/>
  <c r="B26" i="9"/>
  <c r="Q26" i="9"/>
  <c r="I26" i="9"/>
  <c r="Q13" i="5"/>
  <c r="Q24" i="5"/>
  <c r="B9" i="3"/>
  <c r="G9" i="3" s="1"/>
  <c r="Z9" i="3"/>
  <c r="E9" i="3"/>
  <c r="C9" i="3"/>
  <c r="A9" i="3"/>
  <c r="A14" i="2" s="1"/>
  <c r="Y9" i="3"/>
  <c r="I9" i="3"/>
  <c r="AD9" i="3" s="1"/>
  <c r="H9" i="3"/>
  <c r="AB9" i="3" s="1"/>
  <c r="D9" i="3"/>
  <c r="AA9" i="3"/>
  <c r="J9" i="3"/>
  <c r="CM24" i="4"/>
  <c r="DQ24" i="2"/>
  <c r="BS24" i="4"/>
  <c r="CB24" i="4"/>
  <c r="BB24" i="4"/>
  <c r="DK24" i="2"/>
  <c r="BL24" i="4"/>
  <c r="CP24" i="2"/>
  <c r="DD24" i="2"/>
  <c r="BE24" i="4"/>
  <c r="BI24" i="4"/>
  <c r="BY24" i="4"/>
  <c r="CX24" i="2"/>
  <c r="BF24" i="4"/>
  <c r="DG24" i="2"/>
  <c r="DB24" i="2"/>
  <c r="BZ24" i="4"/>
  <c r="DL24" i="2"/>
  <c r="AY24" i="4"/>
  <c r="CK24" i="2"/>
  <c r="DM24" i="2"/>
  <c r="CQ24" i="2"/>
  <c r="CV24" i="2"/>
  <c r="BK24" i="4"/>
  <c r="CZ24" i="2"/>
  <c r="BW24" i="4"/>
  <c r="CT24" i="2"/>
  <c r="BY24" i="2"/>
  <c r="CU24" i="2"/>
  <c r="DJ24" i="2"/>
  <c r="CF24" i="4"/>
  <c r="CJ24" i="4"/>
  <c r="CN24" i="2"/>
  <c r="BJ24" i="4"/>
  <c r="CW24" i="2"/>
  <c r="CD24" i="2"/>
  <c r="CL24" i="2"/>
  <c r="BT24" i="4"/>
  <c r="BU24" i="4"/>
  <c r="CB24" i="2"/>
  <c r="BA24" i="4"/>
  <c r="CJ24" i="2"/>
  <c r="DI24" i="2"/>
  <c r="CG24" i="2"/>
  <c r="BH24" i="4"/>
  <c r="BC24" i="4"/>
  <c r="CA24" i="4"/>
  <c r="DN24" i="2"/>
  <c r="CI24" i="4"/>
  <c r="CS24" i="2"/>
  <c r="CH24" i="2"/>
  <c r="AV24" i="4"/>
  <c r="CE24" i="4"/>
  <c r="BG24" i="4"/>
  <c r="DA24" i="2"/>
  <c r="DC24" i="2"/>
  <c r="CC24" i="2"/>
  <c r="CF24" i="2"/>
  <c r="CD24" i="4"/>
  <c r="BO24" i="4"/>
  <c r="BV24" i="4"/>
  <c r="CM24" i="2"/>
  <c r="CI24" i="2"/>
  <c r="DH24" i="2"/>
  <c r="CY24" i="2"/>
  <c r="BD24" i="4"/>
  <c r="BP24" i="4"/>
  <c r="BM24" i="4"/>
  <c r="AX24" i="4"/>
  <c r="BX24" i="4"/>
  <c r="CA24" i="2"/>
  <c r="CE24" i="2"/>
  <c r="BQ24" i="4"/>
  <c r="AZ24" i="4"/>
  <c r="BN24" i="4"/>
  <c r="BZ24" i="2"/>
  <c r="CC24" i="4"/>
  <c r="CR24" i="2"/>
  <c r="CO24" i="2"/>
  <c r="CH24" i="4"/>
  <c r="AW24" i="4"/>
  <c r="CG24" i="4"/>
  <c r="AU24" i="4"/>
  <c r="BR24" i="4"/>
  <c r="DF24" i="2"/>
  <c r="DE24" i="2"/>
  <c r="R16" i="4"/>
  <c r="S16" i="4"/>
  <c r="T27" i="9"/>
  <c r="H27" i="9"/>
  <c r="Q27" i="9"/>
  <c r="D27" i="9"/>
  <c r="C27" i="9"/>
  <c r="E27" i="9"/>
  <c r="L27" i="9"/>
  <c r="M27" i="9"/>
  <c r="G27" i="9"/>
  <c r="A27" i="9"/>
  <c r="R27" i="9"/>
  <c r="I27" i="9"/>
  <c r="K27" i="9"/>
  <c r="J27" i="9"/>
  <c r="F27" i="9"/>
  <c r="B27" i="9"/>
  <c r="CM23" i="4"/>
  <c r="DQ23" i="2"/>
  <c r="BV23" i="4"/>
  <c r="BT23" i="4"/>
  <c r="CF23" i="4"/>
  <c r="BZ23" i="4"/>
  <c r="BN23" i="4"/>
  <c r="CZ23" i="2"/>
  <c r="DK23" i="2"/>
  <c r="BI23" i="4"/>
  <c r="BA23" i="4"/>
  <c r="BF23" i="4"/>
  <c r="DD23" i="2"/>
  <c r="BL23" i="4"/>
  <c r="CI23" i="2"/>
  <c r="CA23" i="2"/>
  <c r="AV23" i="4"/>
  <c r="DI23" i="2"/>
  <c r="BX23" i="4"/>
  <c r="CQ23" i="2"/>
  <c r="BC23" i="4"/>
  <c r="CT23" i="2"/>
  <c r="DJ23" i="2"/>
  <c r="CD23" i="4"/>
  <c r="CW23" i="2"/>
  <c r="AX23" i="4"/>
  <c r="CD23" i="2"/>
  <c r="AY23" i="4"/>
  <c r="CR23" i="2"/>
  <c r="BZ23" i="2"/>
  <c r="BP23" i="4"/>
  <c r="CK23" i="2"/>
  <c r="BQ23" i="4"/>
  <c r="BW23" i="4"/>
  <c r="DE23" i="2"/>
  <c r="CO23" i="2"/>
  <c r="DG23" i="2"/>
  <c r="BB23" i="4"/>
  <c r="BY23" i="2"/>
  <c r="BD23" i="4"/>
  <c r="DC23" i="2"/>
  <c r="CM23" i="2"/>
  <c r="CN23" i="2"/>
  <c r="CV23" i="2"/>
  <c r="BY23" i="4"/>
  <c r="BR23" i="4"/>
  <c r="AW23" i="4"/>
  <c r="CP23" i="2"/>
  <c r="CL23" i="2"/>
  <c r="DH23" i="2"/>
  <c r="CX23" i="2"/>
  <c r="CH23" i="2"/>
  <c r="CE23" i="4"/>
  <c r="BJ23" i="4"/>
  <c r="AZ23" i="4"/>
  <c r="CC23" i="4"/>
  <c r="CC23" i="2"/>
  <c r="DB23" i="2"/>
  <c r="DN23" i="2"/>
  <c r="BS23" i="4"/>
  <c r="BU23" i="4"/>
  <c r="CJ23" i="4"/>
  <c r="DF23" i="2"/>
  <c r="BO23" i="4"/>
  <c r="DA23" i="2"/>
  <c r="CG23" i="2"/>
  <c r="AU23" i="4"/>
  <c r="CB23" i="4"/>
  <c r="CG23" i="4"/>
  <c r="CF23" i="2"/>
  <c r="CU23" i="2"/>
  <c r="CY23" i="2"/>
  <c r="DM23" i="2"/>
  <c r="CI23" i="4"/>
  <c r="BK23" i="4"/>
  <c r="BH23" i="4"/>
  <c r="CA23" i="4"/>
  <c r="CB23" i="2"/>
  <c r="CE23" i="2"/>
  <c r="BG23" i="4"/>
  <c r="BE23" i="4"/>
  <c r="BM23" i="4"/>
  <c r="CS23" i="2"/>
  <c r="DL23" i="2"/>
  <c r="CJ23" i="2"/>
  <c r="CH23" i="4"/>
  <c r="J28" i="9"/>
  <c r="I28" i="9"/>
  <c r="H28" i="9"/>
  <c r="Q28" i="9"/>
  <c r="B28" i="9"/>
  <c r="K28" i="9"/>
  <c r="D28" i="9"/>
  <c r="C28" i="9"/>
  <c r="R28" i="9"/>
  <c r="M28" i="9"/>
  <c r="G28" i="9"/>
  <c r="E28" i="9"/>
  <c r="L28" i="9"/>
  <c r="T28" i="9"/>
  <c r="F28" i="9"/>
  <c r="A28" i="9"/>
  <c r="F37" i="6"/>
  <c r="K12" i="6"/>
  <c r="L12" i="6"/>
  <c r="A37" i="6"/>
  <c r="AL11" i="6"/>
  <c r="AN11" i="6"/>
  <c r="D37" i="6"/>
  <c r="M12" i="6"/>
  <c r="AO11" i="6"/>
  <c r="E37" i="6"/>
  <c r="C37" i="6"/>
  <c r="B37" i="6"/>
  <c r="G37" i="6"/>
  <c r="AM11" i="6"/>
  <c r="B33" i="6"/>
  <c r="K8" i="6"/>
  <c r="F33" i="6"/>
  <c r="D33" i="6"/>
  <c r="AO7" i="6"/>
  <c r="A33" i="6"/>
  <c r="M8" i="6"/>
  <c r="L8" i="6"/>
  <c r="G33" i="6"/>
  <c r="E33" i="6"/>
  <c r="C33" i="6"/>
  <c r="AL7" i="6"/>
  <c r="AN7" i="6"/>
  <c r="AM7" i="6"/>
  <c r="Q20" i="5"/>
  <c r="Q18" i="5"/>
  <c r="J20" i="3"/>
  <c r="Y20" i="3"/>
  <c r="E20" i="3"/>
  <c r="G20" i="3"/>
  <c r="AA20" i="3"/>
  <c r="D20" i="3"/>
  <c r="X20" i="3"/>
  <c r="B20" i="3"/>
  <c r="U65" i="2" s="1"/>
  <c r="W20" i="3"/>
  <c r="A20" i="3"/>
  <c r="C20" i="3"/>
  <c r="Z20" i="3"/>
  <c r="V20" i="3"/>
  <c r="K20" i="3"/>
  <c r="H20" i="3"/>
  <c r="AB20" i="3" s="1"/>
  <c r="I20" i="3"/>
  <c r="AD20" i="3" s="1"/>
  <c r="T15" i="9"/>
  <c r="H15" i="9"/>
  <c r="I15" i="9" s="1"/>
  <c r="G15" i="9"/>
  <c r="K15" i="9"/>
  <c r="F15" i="9"/>
  <c r="M15" i="9"/>
  <c r="A15" i="9"/>
  <c r="Q15" i="9"/>
  <c r="C15" i="9"/>
  <c r="L15" i="9"/>
  <c r="E15" i="9"/>
  <c r="D15" i="9"/>
  <c r="R15" i="9"/>
  <c r="B15" i="9"/>
  <c r="B24" i="9"/>
  <c r="A24" i="9"/>
  <c r="M24" i="9"/>
  <c r="K24" i="9"/>
  <c r="H24" i="9"/>
  <c r="T24" i="9"/>
  <c r="E24" i="9"/>
  <c r="R24" i="9"/>
  <c r="Q24" i="9"/>
  <c r="J24" i="9"/>
  <c r="L24" i="9"/>
  <c r="G24" i="9"/>
  <c r="I24" i="9"/>
  <c r="F24" i="9"/>
  <c r="D24" i="9"/>
  <c r="C24" i="9"/>
  <c r="AO18" i="6"/>
  <c r="B44" i="6"/>
  <c r="M19" i="6"/>
  <c r="AM18" i="6"/>
  <c r="A44" i="6"/>
  <c r="K44" i="6" s="1"/>
  <c r="G44" i="6"/>
  <c r="F44" i="6"/>
  <c r="D44" i="6"/>
  <c r="C44" i="6"/>
  <c r="L19" i="6"/>
  <c r="K19" i="6"/>
  <c r="AN18" i="6"/>
  <c r="AL18" i="6"/>
  <c r="E44" i="6"/>
  <c r="Q23" i="5"/>
  <c r="H11" i="3"/>
  <c r="AB11" i="3" s="1"/>
  <c r="C11" i="3"/>
  <c r="A11" i="3"/>
  <c r="E11" i="3"/>
  <c r="D11" i="3"/>
  <c r="AA11" i="3"/>
  <c r="B11" i="3"/>
  <c r="G11" i="3" s="1"/>
  <c r="Z11" i="3"/>
  <c r="Y11" i="3"/>
  <c r="J11" i="3"/>
  <c r="I11" i="3"/>
  <c r="AD11" i="3" s="1"/>
  <c r="AB19" i="4"/>
  <c r="T19" i="2"/>
  <c r="K24" i="6"/>
  <c r="L24" i="6"/>
  <c r="G49" i="6"/>
  <c r="C49" i="6"/>
  <c r="AL23" i="6"/>
  <c r="F49" i="6"/>
  <c r="M24" i="6"/>
  <c r="AN23" i="6"/>
  <c r="B49" i="6"/>
  <c r="AO23" i="6"/>
  <c r="A49" i="6"/>
  <c r="K49" i="6" s="1"/>
  <c r="AM23" i="6"/>
  <c r="E49" i="6"/>
  <c r="D49" i="6"/>
  <c r="B36" i="6"/>
  <c r="M11" i="6"/>
  <c r="AM10" i="6"/>
  <c r="D36" i="6"/>
  <c r="F36" i="6"/>
  <c r="E36" i="6"/>
  <c r="AL10" i="6"/>
  <c r="G36" i="6"/>
  <c r="C36" i="6"/>
  <c r="A36" i="6"/>
  <c r="K11" i="6"/>
  <c r="L11" i="6"/>
  <c r="AN10" i="6"/>
  <c r="AO10" i="6"/>
  <c r="F40" i="6"/>
  <c r="B40" i="6"/>
  <c r="E40" i="6"/>
  <c r="M15" i="6"/>
  <c r="AN14" i="6"/>
  <c r="AM14" i="6"/>
  <c r="AL14" i="6"/>
  <c r="G40" i="6"/>
  <c r="D40" i="6"/>
  <c r="C40" i="6"/>
  <c r="AO14" i="6"/>
  <c r="A40" i="6"/>
  <c r="K15" i="6"/>
  <c r="L15" i="6"/>
  <c r="Q9" i="5"/>
  <c r="B5" i="3"/>
  <c r="G5" i="3" s="1"/>
  <c r="H5" i="3"/>
  <c r="AA5" i="3"/>
  <c r="Z5" i="3"/>
  <c r="E5" i="3"/>
  <c r="A5" i="3"/>
  <c r="A10" i="2" s="1"/>
  <c r="Y5" i="3"/>
  <c r="J5" i="3"/>
  <c r="I5" i="3"/>
  <c r="AD5" i="3" s="1"/>
  <c r="D5" i="3"/>
  <c r="C5" i="3"/>
  <c r="J22" i="9"/>
  <c r="Q22" i="9"/>
  <c r="D22" i="9"/>
  <c r="C22" i="9"/>
  <c r="T22" i="9"/>
  <c r="E22" i="9"/>
  <c r="L22" i="9"/>
  <c r="I22" i="9"/>
  <c r="H22" i="9"/>
  <c r="B22" i="9"/>
  <c r="R22" i="9"/>
  <c r="M22" i="9"/>
  <c r="G22" i="9"/>
  <c r="K22" i="9"/>
  <c r="F22" i="9"/>
  <c r="A22" i="9"/>
  <c r="CK13" i="4"/>
  <c r="DO13" i="2"/>
  <c r="X22" i="3"/>
  <c r="D22" i="3"/>
  <c r="K22" i="3"/>
  <c r="J22" i="3"/>
  <c r="H22" i="3"/>
  <c r="AB22" i="3" s="1"/>
  <c r="AA22" i="3"/>
  <c r="E22" i="3"/>
  <c r="W22" i="3"/>
  <c r="V22" i="3"/>
  <c r="G22" i="3"/>
  <c r="C22" i="3"/>
  <c r="B22" i="3"/>
  <c r="U67" i="2" s="1"/>
  <c r="A22" i="3"/>
  <c r="I22" i="3"/>
  <c r="AD22" i="3" s="1"/>
  <c r="Y22" i="3"/>
  <c r="Z22" i="3"/>
  <c r="F34" i="6"/>
  <c r="AM8" i="6"/>
  <c r="AO8" i="6"/>
  <c r="E34" i="6"/>
  <c r="D34" i="6"/>
  <c r="C34" i="6"/>
  <c r="G34" i="6"/>
  <c r="A34" i="6"/>
  <c r="L9" i="6"/>
  <c r="AL8" i="6"/>
  <c r="M9" i="6"/>
  <c r="B34" i="6"/>
  <c r="AN8" i="6"/>
  <c r="K9" i="6"/>
  <c r="L17" i="9"/>
  <c r="Q17" i="9"/>
  <c r="D17" i="9"/>
  <c r="C17" i="9"/>
  <c r="T17" i="9"/>
  <c r="E17" i="9"/>
  <c r="K17" i="9"/>
  <c r="M17" i="9"/>
  <c r="R17" i="9"/>
  <c r="H17" i="9"/>
  <c r="I17" i="9" s="1"/>
  <c r="B17" i="9"/>
  <c r="A17" i="9"/>
  <c r="G17" i="9"/>
  <c r="F17" i="9"/>
  <c r="Q14" i="5"/>
  <c r="F43" i="6"/>
  <c r="D43" i="6"/>
  <c r="L18" i="6"/>
  <c r="E43" i="6"/>
  <c r="AN17" i="6"/>
  <c r="A43" i="6"/>
  <c r="M18" i="6"/>
  <c r="K18" i="6"/>
  <c r="AO17" i="6"/>
  <c r="AL17" i="6"/>
  <c r="G43" i="6"/>
  <c r="C43" i="6"/>
  <c r="B43" i="6"/>
  <c r="AM17" i="6"/>
  <c r="K16" i="6"/>
  <c r="G41" i="6"/>
  <c r="F41" i="6"/>
  <c r="L16" i="6"/>
  <c r="A41" i="6"/>
  <c r="M16" i="6"/>
  <c r="E41" i="6"/>
  <c r="B41" i="6"/>
  <c r="AO15" i="6"/>
  <c r="AL15" i="6"/>
  <c r="D41" i="6"/>
  <c r="C41" i="6"/>
  <c r="AN15" i="6"/>
  <c r="AM15" i="6"/>
  <c r="X18" i="3"/>
  <c r="D18" i="3"/>
  <c r="K18" i="3"/>
  <c r="Z18" i="3"/>
  <c r="C18" i="3"/>
  <c r="W18" i="3"/>
  <c r="A18" i="3"/>
  <c r="Y18" i="3"/>
  <c r="V18" i="3"/>
  <c r="J18" i="3"/>
  <c r="G18" i="3"/>
  <c r="E18" i="3"/>
  <c r="B18" i="3"/>
  <c r="U63" i="2" s="1"/>
  <c r="AA18" i="3"/>
  <c r="I18" i="3"/>
  <c r="AD18" i="3" s="1"/>
  <c r="H18" i="3"/>
  <c r="AB18" i="3" s="1"/>
  <c r="C14" i="3"/>
  <c r="A14" i="3"/>
  <c r="J14" i="3"/>
  <c r="D14" i="3"/>
  <c r="AA14" i="3"/>
  <c r="B14" i="3"/>
  <c r="G14" i="3" s="1"/>
  <c r="Z14" i="3"/>
  <c r="I14" i="3"/>
  <c r="AD14" i="3" s="1"/>
  <c r="H14" i="3"/>
  <c r="AB14" i="3" s="1"/>
  <c r="Y14" i="3"/>
  <c r="E14" i="3"/>
  <c r="BU5" i="4" l="1"/>
  <c r="CU5" i="2"/>
  <c r="BI5" i="4"/>
  <c r="BS5" i="4"/>
  <c r="CF5" i="4"/>
  <c r="BC5" i="4"/>
  <c r="BD5" i="4"/>
  <c r="AW5" i="4"/>
  <c r="BF5" i="4"/>
  <c r="DC5" i="2"/>
  <c r="AN9" i="9"/>
  <c r="BB5" i="4"/>
  <c r="BO5" i="4"/>
  <c r="CB5" i="2"/>
  <c r="CH5" i="4"/>
  <c r="DD5" i="2"/>
  <c r="CJ5" i="4"/>
  <c r="AY5" i="4"/>
  <c r="DB5" i="2"/>
  <c r="DM5" i="2"/>
  <c r="BJ5" i="4"/>
  <c r="CY5" i="2"/>
  <c r="CG5" i="4"/>
  <c r="DA5" i="2"/>
  <c r="CT5" i="2"/>
  <c r="AB5" i="4"/>
  <c r="DK5" i="2"/>
  <c r="CC5" i="4"/>
  <c r="BV5" i="4"/>
  <c r="BG5" i="4"/>
  <c r="DJ5" i="2"/>
  <c r="CH5" i="2"/>
  <c r="CJ5" i="2"/>
  <c r="BZ5" i="4"/>
  <c r="DL5" i="2"/>
  <c r="BA5" i="4"/>
  <c r="CV5" i="2"/>
  <c r="CQ5" i="2"/>
  <c r="BQ5" i="4"/>
  <c r="CF5" i="2"/>
  <c r="AV5" i="4"/>
  <c r="CD5" i="2"/>
  <c r="CX5" i="2"/>
  <c r="BZ5" i="2"/>
  <c r="BR5" i="4"/>
  <c r="BX5" i="4"/>
  <c r="AU5" i="4"/>
  <c r="AZ5" i="4"/>
  <c r="CI5" i="4"/>
  <c r="CL5" i="2"/>
  <c r="CE5" i="2"/>
  <c r="BY5" i="2"/>
  <c r="CA5" i="2"/>
  <c r="DN5" i="2"/>
  <c r="BY5" i="4"/>
  <c r="CO5" i="2"/>
  <c r="BP5" i="4"/>
  <c r="BT5" i="4"/>
  <c r="DE5" i="2"/>
  <c r="BN5" i="4"/>
  <c r="CP5" i="2"/>
  <c r="DG5" i="2"/>
  <c r="CD5" i="4"/>
  <c r="CA5" i="4"/>
  <c r="CC5" i="2"/>
  <c r="CN5" i="2"/>
  <c r="BM5" i="4"/>
  <c r="CZ5" i="2"/>
  <c r="BK5" i="4"/>
  <c r="BH5" i="4"/>
  <c r="BL5" i="4"/>
  <c r="CK5" i="2"/>
  <c r="CM5" i="2"/>
  <c r="CW5" i="2"/>
  <c r="CG5" i="2"/>
  <c r="AX5" i="4"/>
  <c r="DH5" i="2"/>
  <c r="CS5" i="2"/>
  <c r="BW5" i="4"/>
  <c r="DF5" i="2"/>
  <c r="CI5" i="2"/>
  <c r="CR5" i="2"/>
  <c r="DI5" i="2"/>
  <c r="CB5" i="4"/>
  <c r="CE5" i="4"/>
  <c r="BE5" i="4"/>
  <c r="DQ17" i="2"/>
  <c r="CZ20" i="2"/>
  <c r="AZ20" i="4"/>
  <c r="DE20" i="2"/>
  <c r="BK20" i="4"/>
  <c r="CM20" i="2"/>
  <c r="BE20" i="4"/>
  <c r="DC20" i="2"/>
  <c r="BB20" i="4"/>
  <c r="BV20" i="4"/>
  <c r="BW20" i="4"/>
  <c r="CC20" i="2"/>
  <c r="BP20" i="4"/>
  <c r="DB20" i="2"/>
  <c r="BS20" i="4"/>
  <c r="CL20" i="2"/>
  <c r="BO20" i="4"/>
  <c r="CT20" i="2"/>
  <c r="BD20" i="4"/>
  <c r="BT20" i="4"/>
  <c r="CK20" i="2"/>
  <c r="CH20" i="2"/>
  <c r="BC20" i="4"/>
  <c r="CV20" i="2"/>
  <c r="CB20" i="2"/>
  <c r="DH20" i="2"/>
  <c r="CG20" i="2"/>
  <c r="BZ20" i="4"/>
  <c r="BR20" i="4"/>
  <c r="AV20" i="4"/>
  <c r="BQ20" i="4"/>
  <c r="DM20" i="2"/>
  <c r="BX20" i="4"/>
  <c r="CI20" i="4"/>
  <c r="CA20" i="2"/>
  <c r="CG20" i="4"/>
  <c r="CN20" i="2"/>
  <c r="CI20" i="2"/>
  <c r="BJ20" i="4"/>
  <c r="AU20" i="4"/>
  <c r="BY20" i="2"/>
  <c r="AW20" i="4"/>
  <c r="CE20" i="2"/>
  <c r="DQ20" i="2"/>
  <c r="DF20" i="2"/>
  <c r="CA20" i="4"/>
  <c r="CY20" i="2"/>
  <c r="CC20" i="4"/>
  <c r="BU20" i="4"/>
  <c r="DN20" i="2"/>
  <c r="CH20" i="4"/>
  <c r="CM20" i="4"/>
  <c r="DL20" i="2"/>
  <c r="CD20" i="4"/>
  <c r="DA20" i="2"/>
  <c r="CD20" i="2"/>
  <c r="DD20" i="2"/>
  <c r="BA20" i="4"/>
  <c r="BL20" i="4"/>
  <c r="DG20" i="2"/>
  <c r="CJ20" i="4"/>
  <c r="DI20" i="2"/>
  <c r="AX20" i="4"/>
  <c r="CJ20" i="2"/>
  <c r="CF20" i="2"/>
  <c r="CP20" i="2"/>
  <c r="BZ20" i="2"/>
  <c r="BF20" i="4"/>
  <c r="BG20" i="4"/>
  <c r="CR20" i="2"/>
  <c r="BM20" i="4"/>
  <c r="CW20" i="2"/>
  <c r="CO20" i="2"/>
  <c r="CB20" i="4"/>
  <c r="CQ20" i="2"/>
  <c r="CF20" i="4"/>
  <c r="CX20" i="2"/>
  <c r="BH20" i="4"/>
  <c r="AY20" i="4"/>
  <c r="CS20" i="2"/>
  <c r="BI20" i="4"/>
  <c r="CU20" i="2"/>
  <c r="BN20" i="4"/>
  <c r="CE20" i="4"/>
  <c r="DK20" i="2"/>
  <c r="BY20" i="4"/>
  <c r="CE22" i="2"/>
  <c r="DO23" i="2"/>
  <c r="DO17" i="2"/>
  <c r="CT22" i="2"/>
  <c r="BR22" i="4"/>
  <c r="DG15" i="2"/>
  <c r="DA22" i="2"/>
  <c r="CM22" i="4"/>
  <c r="BE22" i="4"/>
  <c r="BW22" i="4"/>
  <c r="BM17" i="4"/>
  <c r="CI17" i="2"/>
  <c r="AX17" i="4"/>
  <c r="BL17" i="4"/>
  <c r="CT17" i="2"/>
  <c r="DO24" i="2"/>
  <c r="BY22" i="2"/>
  <c r="BV22" i="4"/>
  <c r="BM22" i="4"/>
  <c r="BZ17" i="4"/>
  <c r="CI22" i="4"/>
  <c r="BP22" i="4"/>
  <c r="BN22" i="4"/>
  <c r="CO22" i="2"/>
  <c r="BT22" i="4"/>
  <c r="CB22" i="4"/>
  <c r="AZ22" i="4"/>
  <c r="CS22" i="2"/>
  <c r="CM22" i="2"/>
  <c r="CD22" i="4"/>
  <c r="AV22" i="4"/>
  <c r="CP22" i="2"/>
  <c r="BO22" i="4"/>
  <c r="BI22" i="4"/>
  <c r="CL22" i="2"/>
  <c r="BD22" i="4"/>
  <c r="BF22" i="4"/>
  <c r="AU22" i="4"/>
  <c r="BA22" i="4"/>
  <c r="CD22" i="2"/>
  <c r="DH22" i="2"/>
  <c r="BU22" i="4"/>
  <c r="CY22" i="2"/>
  <c r="BP17" i="4"/>
  <c r="CU22" i="2"/>
  <c r="CF22" i="2"/>
  <c r="BB22" i="4"/>
  <c r="DQ22" i="2"/>
  <c r="CG22" i="2"/>
  <c r="AY22" i="4"/>
  <c r="CV22" i="2"/>
  <c r="DC22" i="2"/>
  <c r="CH22" i="2"/>
  <c r="CH22" i="4"/>
  <c r="BL22" i="4"/>
  <c r="DG22" i="2"/>
  <c r="DB22" i="2"/>
  <c r="BD17" i="4"/>
  <c r="BZ22" i="4"/>
  <c r="DJ17" i="2"/>
  <c r="CJ22" i="4"/>
  <c r="CQ22" i="2"/>
  <c r="CX17" i="2"/>
  <c r="BQ17" i="4"/>
  <c r="AZ17" i="4"/>
  <c r="CI17" i="4"/>
  <c r="BK17" i="4"/>
  <c r="CH17" i="2"/>
  <c r="CU17" i="2"/>
  <c r="CA17" i="4"/>
  <c r="AY17" i="4"/>
  <c r="CW17" i="2"/>
  <c r="DH17" i="2"/>
  <c r="CS17" i="2"/>
  <c r="BV17" i="4"/>
  <c r="DM17" i="2"/>
  <c r="BJ17" i="4"/>
  <c r="DB17" i="2"/>
  <c r="DL17" i="2"/>
  <c r="BU17" i="4"/>
  <c r="DA17" i="2"/>
  <c r="CR17" i="2"/>
  <c r="BR17" i="4"/>
  <c r="BG17" i="4"/>
  <c r="CC17" i="2"/>
  <c r="CG17" i="2"/>
  <c r="DN17" i="2"/>
  <c r="AU17" i="4"/>
  <c r="CC17" i="4"/>
  <c r="CK17" i="2"/>
  <c r="BZ17" i="2"/>
  <c r="DC17" i="2"/>
  <c r="CO17" i="2"/>
  <c r="BX17" i="4"/>
  <c r="BJ22" i="4"/>
  <c r="BQ22" i="4"/>
  <c r="CG22" i="4"/>
  <c r="DJ22" i="2"/>
  <c r="BH22" i="4"/>
  <c r="AX22" i="4"/>
  <c r="DL22" i="2"/>
  <c r="CV17" i="2"/>
  <c r="CJ17" i="4"/>
  <c r="DF17" i="2"/>
  <c r="CE17" i="2"/>
  <c r="DD22" i="2"/>
  <c r="AW22" i="4"/>
  <c r="DM22" i="2"/>
  <c r="BS22" i="4"/>
  <c r="CC22" i="2"/>
  <c r="BZ22" i="2"/>
  <c r="CE22" i="4"/>
  <c r="DN22" i="2"/>
  <c r="CA22" i="4"/>
  <c r="BX22" i="4"/>
  <c r="BT17" i="4"/>
  <c r="CZ17" i="2"/>
  <c r="BE17" i="4"/>
  <c r="CB17" i="4"/>
  <c r="CZ22" i="2"/>
  <c r="CN22" i="2"/>
  <c r="CF22" i="4"/>
  <c r="DI22" i="2"/>
  <c r="BG22" i="4"/>
  <c r="CR22" i="2"/>
  <c r="CM15" i="2"/>
  <c r="CA22" i="2"/>
  <c r="BY22" i="4"/>
  <c r="AB15" i="4"/>
  <c r="CW22" i="2"/>
  <c r="CI22" i="2"/>
  <c r="CX22" i="2"/>
  <c r="T15" i="2"/>
  <c r="BC22" i="4"/>
  <c r="CB22" i="2"/>
  <c r="CC22" i="4"/>
  <c r="CP17" i="2"/>
  <c r="CE17" i="4"/>
  <c r="DK17" i="2"/>
  <c r="BS17" i="4"/>
  <c r="CA17" i="2"/>
  <c r="CQ17" i="2"/>
  <c r="AV17" i="4"/>
  <c r="CF17" i="4"/>
  <c r="CJ17" i="2"/>
  <c r="BI17" i="4"/>
  <c r="BB17" i="4"/>
  <c r="BN17" i="4"/>
  <c r="BC17" i="4"/>
  <c r="BY17" i="2"/>
  <c r="CY17" i="2"/>
  <c r="CD17" i="2"/>
  <c r="BA17" i="4"/>
  <c r="BF17" i="4"/>
  <c r="DE17" i="2"/>
  <c r="BY17" i="4"/>
  <c r="BO17" i="4"/>
  <c r="CH17" i="4"/>
  <c r="CB17" i="2"/>
  <c r="CF17" i="2"/>
  <c r="AW17" i="4"/>
  <c r="CN17" i="2"/>
  <c r="DG17" i="2"/>
  <c r="BH17" i="4"/>
  <c r="DD17" i="2"/>
  <c r="DI17" i="2"/>
  <c r="CM17" i="2"/>
  <c r="CL17" i="2"/>
  <c r="CG17" i="4"/>
  <c r="BW17" i="4"/>
  <c r="CD17" i="4"/>
  <c r="CY15" i="2"/>
  <c r="BV15" i="4"/>
  <c r="DK15" i="2"/>
  <c r="CS15" i="2"/>
  <c r="BN15" i="4"/>
  <c r="AN21" i="9"/>
  <c r="CL15" i="2"/>
  <c r="T17" i="2"/>
  <c r="DM15" i="2"/>
  <c r="CW15" i="2"/>
  <c r="BA15" i="4"/>
  <c r="CJ22" i="2"/>
  <c r="DE22" i="2"/>
  <c r="BK22" i="4"/>
  <c r="DK22" i="2"/>
  <c r="CK22" i="2"/>
  <c r="BQ15" i="4"/>
  <c r="BW15" i="4"/>
  <c r="DF15" i="2"/>
  <c r="BO15" i="4"/>
  <c r="CT15" i="2"/>
  <c r="CP15" i="2"/>
  <c r="CZ15" i="2"/>
  <c r="BP15" i="4"/>
  <c r="BM15" i="4"/>
  <c r="CJ15" i="4"/>
  <c r="DO15" i="2"/>
  <c r="CA15" i="4"/>
  <c r="BZ15" i="2"/>
  <c r="CC15" i="2"/>
  <c r="CG15" i="4"/>
  <c r="BG15" i="4"/>
  <c r="CD15" i="4"/>
  <c r="BD15" i="4"/>
  <c r="CS14" i="2"/>
  <c r="CB15" i="2"/>
  <c r="CQ15" i="2"/>
  <c r="BX15" i="4"/>
  <c r="CN15" i="2"/>
  <c r="CE15" i="2"/>
  <c r="DJ15" i="2"/>
  <c r="CK15" i="2"/>
  <c r="BH15" i="4"/>
  <c r="CD15" i="2"/>
  <c r="AU15" i="4"/>
  <c r="DL15" i="2"/>
  <c r="CV15" i="2"/>
  <c r="AW15" i="4"/>
  <c r="CE15" i="4"/>
  <c r="DE15" i="2"/>
  <c r="DQ15" i="2"/>
  <c r="CF15" i="2"/>
  <c r="BT15" i="4"/>
  <c r="AY15" i="4"/>
  <c r="CO15" i="2"/>
  <c r="CH15" i="2"/>
  <c r="AZ15" i="4"/>
  <c r="CA15" i="2"/>
  <c r="CM15" i="4"/>
  <c r="CU15" i="2"/>
  <c r="CJ15" i="2"/>
  <c r="BB15" i="4"/>
  <c r="DA15" i="2"/>
  <c r="BY15" i="2"/>
  <c r="CI15" i="2"/>
  <c r="BI15" i="4"/>
  <c r="CB15" i="4"/>
  <c r="CG15" i="2"/>
  <c r="BS15" i="4"/>
  <c r="AX15" i="4"/>
  <c r="CX15" i="2"/>
  <c r="BU15" i="4"/>
  <c r="AV15" i="4"/>
  <c r="BY15" i="4"/>
  <c r="BF15" i="4"/>
  <c r="DC15" i="2"/>
  <c r="DH15" i="2"/>
  <c r="CH15" i="4"/>
  <c r="BZ15" i="4"/>
  <c r="DB15" i="2"/>
  <c r="CR15" i="2"/>
  <c r="BK15" i="4"/>
  <c r="BL15" i="4"/>
  <c r="DI15" i="2"/>
  <c r="BJ15" i="4"/>
  <c r="BE15" i="4"/>
  <c r="BC15" i="4"/>
  <c r="CI15" i="4"/>
  <c r="CF15" i="4"/>
  <c r="CC15" i="4"/>
  <c r="DD15" i="2"/>
  <c r="DN15" i="2"/>
  <c r="BR15" i="4"/>
  <c r="X17" i="3"/>
  <c r="K43" i="6"/>
  <c r="V17" i="3"/>
  <c r="W17" i="3"/>
  <c r="G17" i="3"/>
  <c r="U62" i="2" s="1"/>
  <c r="J21" i="9"/>
  <c r="T14" i="2"/>
  <c r="AN18" i="9"/>
  <c r="CK14" i="4"/>
  <c r="DO6" i="2"/>
  <c r="DO8" i="2"/>
  <c r="DQ11" i="2"/>
  <c r="O18" i="9"/>
  <c r="N18" i="9"/>
  <c r="DO12" i="2"/>
  <c r="P18" i="9"/>
  <c r="CX8" i="2"/>
  <c r="BD13" i="4"/>
  <c r="CT13" i="2"/>
  <c r="CF13" i="2"/>
  <c r="BS13" i="4"/>
  <c r="CC13" i="2"/>
  <c r="DM8" i="2"/>
  <c r="CD8" i="2"/>
  <c r="CS8" i="2"/>
  <c r="T8" i="2"/>
  <c r="CT8" i="2"/>
  <c r="DF8" i="2"/>
  <c r="BA6" i="4"/>
  <c r="BD8" i="4"/>
  <c r="CJ6" i="4"/>
  <c r="BC6" i="4"/>
  <c r="BQ6" i="4"/>
  <c r="AZ8" i="4"/>
  <c r="DN6" i="2"/>
  <c r="CF6" i="4"/>
  <c r="BO8" i="4"/>
  <c r="CC6" i="4"/>
  <c r="BT8" i="4"/>
  <c r="CH8" i="4"/>
  <c r="CD6" i="2"/>
  <c r="DA6" i="2"/>
  <c r="BD6" i="4"/>
  <c r="AU8" i="4"/>
  <c r="CC8" i="4"/>
  <c r="DM11" i="2"/>
  <c r="BX11" i="4"/>
  <c r="CD11" i="2"/>
  <c r="BP11" i="4"/>
  <c r="CL8" i="2"/>
  <c r="BH8" i="4"/>
  <c r="DG8" i="2"/>
  <c r="CB8" i="2"/>
  <c r="CA8" i="2"/>
  <c r="DN8" i="2"/>
  <c r="CA8" i="4"/>
  <c r="BS8" i="4"/>
  <c r="CP8" i="2"/>
  <c r="CQ8" i="2"/>
  <c r="CB6" i="4"/>
  <c r="BW8" i="4"/>
  <c r="DH8" i="2"/>
  <c r="CG8" i="2"/>
  <c r="CK8" i="2"/>
  <c r="BA8" i="4"/>
  <c r="BX6" i="4"/>
  <c r="BU8" i="4"/>
  <c r="BQ8" i="4"/>
  <c r="CB8" i="4"/>
  <c r="BX8" i="4"/>
  <c r="CW8" i="2"/>
  <c r="DC8" i="2"/>
  <c r="BM6" i="4"/>
  <c r="BK6" i="4"/>
  <c r="BO6" i="4"/>
  <c r="BN8" i="4"/>
  <c r="BB8" i="4"/>
  <c r="CD8" i="4"/>
  <c r="CC8" i="2"/>
  <c r="CJ8" i="2"/>
  <c r="BJ8" i="4"/>
  <c r="BQ12" i="4"/>
  <c r="AX8" i="4"/>
  <c r="CZ8" i="2"/>
  <c r="CN8" i="2"/>
  <c r="CM8" i="2"/>
  <c r="BI8" i="4"/>
  <c r="CR8" i="2"/>
  <c r="BY8" i="4"/>
  <c r="BZ8" i="4"/>
  <c r="BG8" i="4"/>
  <c r="CO8" i="2"/>
  <c r="BM8" i="4"/>
  <c r="BZ8" i="2"/>
  <c r="DJ8" i="2"/>
  <c r="AV8" i="4"/>
  <c r="CJ8" i="4"/>
  <c r="DB8" i="2"/>
  <c r="DE8" i="2"/>
  <c r="AW8" i="4"/>
  <c r="BF8" i="4"/>
  <c r="DL8" i="2"/>
  <c r="CY8" i="2"/>
  <c r="CF8" i="2"/>
  <c r="BL8" i="4"/>
  <c r="AY8" i="4"/>
  <c r="BC8" i="4"/>
  <c r="DA8" i="2"/>
  <c r="DD8" i="2"/>
  <c r="DG11" i="2"/>
  <c r="DD11" i="2"/>
  <c r="BY11" i="2"/>
  <c r="CJ11" i="2"/>
  <c r="CY11" i="2"/>
  <c r="DJ6" i="2"/>
  <c r="AU6" i="4"/>
  <c r="S9" i="9"/>
  <c r="DI8" i="2"/>
  <c r="CG8" i="4"/>
  <c r="BY8" i="2"/>
  <c r="CH8" i="2"/>
  <c r="BE8" i="4"/>
  <c r="CE8" i="2"/>
  <c r="CU8" i="2"/>
  <c r="BU11" i="4"/>
  <c r="CC11" i="2"/>
  <c r="CP11" i="2"/>
  <c r="DH11" i="2"/>
  <c r="BH11" i="4"/>
  <c r="CB11" i="2"/>
  <c r="BN11" i="4"/>
  <c r="DJ11" i="2"/>
  <c r="AW11" i="4"/>
  <c r="DK8" i="2"/>
  <c r="BK8" i="4"/>
  <c r="CV8" i="2"/>
  <c r="AB8" i="4"/>
  <c r="BM11" i="4"/>
  <c r="CI11" i="4"/>
  <c r="CI8" i="4"/>
  <c r="BP8" i="4"/>
  <c r="BR8" i="4"/>
  <c r="CE8" i="4"/>
  <c r="CF8" i="4"/>
  <c r="BV8" i="4"/>
  <c r="CI8" i="2"/>
  <c r="CA11" i="4"/>
  <c r="CA11" i="2"/>
  <c r="BD11" i="4"/>
  <c r="CB11" i="4"/>
  <c r="CI11" i="2"/>
  <c r="BQ11" i="4"/>
  <c r="CC11" i="4"/>
  <c r="AU11" i="4"/>
  <c r="CX11" i="2"/>
  <c r="BI11" i="4"/>
  <c r="DB11" i="2"/>
  <c r="CO11" i="2"/>
  <c r="BS11" i="4"/>
  <c r="AN15" i="9"/>
  <c r="CK11" i="2"/>
  <c r="BK11" i="4"/>
  <c r="DK11" i="2"/>
  <c r="CW11" i="2"/>
  <c r="BE11" i="4"/>
  <c r="CD6" i="4"/>
  <c r="BG6" i="4"/>
  <c r="DE11" i="2"/>
  <c r="CT11" i="2"/>
  <c r="BF11" i="4"/>
  <c r="CE11" i="4"/>
  <c r="BZ11" i="4"/>
  <c r="CS11" i="2"/>
  <c r="DF11" i="2"/>
  <c r="BC11" i="4"/>
  <c r="DN11" i="2"/>
  <c r="CR11" i="2"/>
  <c r="DL11" i="2"/>
  <c r="BL11" i="4"/>
  <c r="CE11" i="2"/>
  <c r="BO11" i="4"/>
  <c r="CQ11" i="2"/>
  <c r="CH11" i="2"/>
  <c r="DA11" i="2"/>
  <c r="S23" i="9"/>
  <c r="BZ11" i="2"/>
  <c r="CL11" i="2"/>
  <c r="CG11" i="4"/>
  <c r="BG11" i="4"/>
  <c r="AX11" i="4"/>
  <c r="BT11" i="4"/>
  <c r="DC11" i="2"/>
  <c r="BV6" i="4"/>
  <c r="DK6" i="2"/>
  <c r="N23" i="9"/>
  <c r="CN11" i="2"/>
  <c r="CZ11" i="2"/>
  <c r="CH11" i="4"/>
  <c r="CM11" i="2"/>
  <c r="BJ11" i="4"/>
  <c r="CF11" i="4"/>
  <c r="DI11" i="2"/>
  <c r="BW11" i="4"/>
  <c r="AY11" i="4"/>
  <c r="CJ11" i="4"/>
  <c r="CU11" i="2"/>
  <c r="CD11" i="4"/>
  <c r="BV11" i="4"/>
  <c r="BY11" i="4"/>
  <c r="CV11" i="2"/>
  <c r="BL6" i="4"/>
  <c r="BA11" i="4"/>
  <c r="BR11" i="4"/>
  <c r="AZ11" i="4"/>
  <c r="AV11" i="4"/>
  <c r="CF11" i="2"/>
  <c r="BB11" i="4"/>
  <c r="CG11" i="2"/>
  <c r="T11" i="2"/>
  <c r="AN16" i="9"/>
  <c r="CW13" i="2"/>
  <c r="CG14" i="2"/>
  <c r="O23" i="9"/>
  <c r="I18" i="9"/>
  <c r="AB12" i="4"/>
  <c r="I20" i="9"/>
  <c r="O20" i="9"/>
  <c r="N20" i="9"/>
  <c r="P20" i="9"/>
  <c r="BP10" i="4"/>
  <c r="AX10" i="4"/>
  <c r="AN14" i="9"/>
  <c r="AB10" i="4"/>
  <c r="BW13" i="4"/>
  <c r="F19" i="3"/>
  <c r="CW12" i="2"/>
  <c r="CO10" i="2"/>
  <c r="DE13" i="2"/>
  <c r="DJ12" i="2"/>
  <c r="CK12" i="2"/>
  <c r="BG10" i="4"/>
  <c r="CD13" i="4"/>
  <c r="C19" i="5"/>
  <c r="DD10" i="2"/>
  <c r="CR10" i="2"/>
  <c r="DF6" i="2"/>
  <c r="CI6" i="4"/>
  <c r="DC6" i="2"/>
  <c r="BL10" i="4"/>
  <c r="BX10" i="4"/>
  <c r="CF10" i="4"/>
  <c r="BS10" i="4"/>
  <c r="DI10" i="2"/>
  <c r="CC10" i="4"/>
  <c r="BD10" i="4"/>
  <c r="CJ10" i="2"/>
  <c r="BF10" i="4"/>
  <c r="DM10" i="2"/>
  <c r="CJ10" i="4"/>
  <c r="BU10" i="4"/>
  <c r="CG10" i="2"/>
  <c r="BT6" i="4"/>
  <c r="CA6" i="2"/>
  <c r="CA10" i="2"/>
  <c r="CH10" i="2"/>
  <c r="CC10" i="2"/>
  <c r="CW10" i="2"/>
  <c r="BQ10" i="4"/>
  <c r="CB10" i="4"/>
  <c r="CE10" i="4"/>
  <c r="BR10" i="4"/>
  <c r="CB10" i="2"/>
  <c r="CL10" i="2"/>
  <c r="CV10" i="2"/>
  <c r="CH10" i="4"/>
  <c r="BY10" i="2"/>
  <c r="DE6" i="2"/>
  <c r="AV10" i="4"/>
  <c r="DJ10" i="2"/>
  <c r="DK10" i="2"/>
  <c r="AW10" i="4"/>
  <c r="DL10" i="2"/>
  <c r="BZ10" i="2"/>
  <c r="BB10" i="4"/>
  <c r="BI10" i="4"/>
  <c r="CT10" i="2"/>
  <c r="CJ6" i="2"/>
  <c r="CX6" i="2"/>
  <c r="CM10" i="4"/>
  <c r="CT6" i="2"/>
  <c r="CH6" i="2"/>
  <c r="BI6" i="4"/>
  <c r="BZ6" i="4"/>
  <c r="AY6" i="4"/>
  <c r="BA10" i="4"/>
  <c r="DC10" i="2"/>
  <c r="CY10" i="2"/>
  <c r="DN10" i="2"/>
  <c r="BT10" i="4"/>
  <c r="CD10" i="2"/>
  <c r="CX10" i="2"/>
  <c r="CQ10" i="2"/>
  <c r="DF10" i="2"/>
  <c r="DB6" i="2"/>
  <c r="CW6" i="2"/>
  <c r="DQ10" i="2"/>
  <c r="CM6" i="2"/>
  <c r="CV6" i="2"/>
  <c r="DG10" i="2"/>
  <c r="BP6" i="4"/>
  <c r="CR6" i="2"/>
  <c r="CQ6" i="2"/>
  <c r="CL6" i="2"/>
  <c r="CE6" i="4"/>
  <c r="AZ6" i="4"/>
  <c r="AV6" i="4"/>
  <c r="BV10" i="4"/>
  <c r="BN10" i="4"/>
  <c r="DE10" i="2"/>
  <c r="CF10" i="2"/>
  <c r="CK10" i="2"/>
  <c r="CI10" i="2"/>
  <c r="CE10" i="2"/>
  <c r="BY6" i="2"/>
  <c r="BJ6" i="4"/>
  <c r="DH6" i="2"/>
  <c r="DG6" i="2"/>
  <c r="CG6" i="4"/>
  <c r="DL6" i="2"/>
  <c r="BH6" i="4"/>
  <c r="CB6" i="2"/>
  <c r="BR6" i="4"/>
  <c r="BZ10" i="4"/>
  <c r="CD10" i="4"/>
  <c r="BO10" i="4"/>
  <c r="BH10" i="4"/>
  <c r="CP6" i="2"/>
  <c r="BF14" i="4"/>
  <c r="CY6" i="2"/>
  <c r="AW6" i="4"/>
  <c r="DI6" i="2"/>
  <c r="BC10" i="4"/>
  <c r="BJ10" i="4"/>
  <c r="BY10" i="4"/>
  <c r="BM10" i="4"/>
  <c r="AZ10" i="4"/>
  <c r="AY10" i="4"/>
  <c r="CU10" i="2"/>
  <c r="AB6" i="4"/>
  <c r="DA10" i="2"/>
  <c r="BW10" i="4"/>
  <c r="AU10" i="4"/>
  <c r="BE10" i="4"/>
  <c r="CZ10" i="2"/>
  <c r="BN6" i="4"/>
  <c r="BE6" i="4"/>
  <c r="CC6" i="2"/>
  <c r="AX6" i="4"/>
  <c r="DH10" i="2"/>
  <c r="DB10" i="2"/>
  <c r="DM6" i="2"/>
  <c r="BW6" i="4"/>
  <c r="BY6" i="4"/>
  <c r="CI6" i="2"/>
  <c r="CN6" i="2"/>
  <c r="DO10" i="2"/>
  <c r="DD6" i="2"/>
  <c r="CS6" i="2"/>
  <c r="CW14" i="2"/>
  <c r="CO6" i="2"/>
  <c r="BU6" i="4"/>
  <c r="CU6" i="2"/>
  <c r="CS10" i="2"/>
  <c r="CP10" i="2"/>
  <c r="CG10" i="4"/>
  <c r="CN10" i="2"/>
  <c r="CM10" i="2"/>
  <c r="CI10" i="4"/>
  <c r="CA10" i="4"/>
  <c r="BS6" i="4"/>
  <c r="J9" i="9"/>
  <c r="CX13" i="2"/>
  <c r="BQ13" i="4"/>
  <c r="AU13" i="4"/>
  <c r="BX13" i="4"/>
  <c r="CF13" i="4"/>
  <c r="DM13" i="2"/>
  <c r="CJ13" i="2"/>
  <c r="BU13" i="4"/>
  <c r="BJ13" i="4"/>
  <c r="CV13" i="2"/>
  <c r="CP13" i="2"/>
  <c r="CC13" i="4"/>
  <c r="BP13" i="4"/>
  <c r="CM13" i="4"/>
  <c r="DI13" i="2"/>
  <c r="BZ13" i="2"/>
  <c r="BV13" i="4"/>
  <c r="BY13" i="2"/>
  <c r="DQ13" i="2"/>
  <c r="BE13" i="4"/>
  <c r="DH13" i="2"/>
  <c r="BM13" i="4"/>
  <c r="DL13" i="2"/>
  <c r="DA13" i="2"/>
  <c r="CZ6" i="2"/>
  <c r="CK6" i="2"/>
  <c r="CR13" i="2"/>
  <c r="CI13" i="2"/>
  <c r="AX13" i="4"/>
  <c r="CB13" i="2"/>
  <c r="CK13" i="2"/>
  <c r="AZ13" i="4"/>
  <c r="CG13" i="4"/>
  <c r="CH13" i="2"/>
  <c r="CA13" i="2"/>
  <c r="BK13" i="4"/>
  <c r="BF6" i="4"/>
  <c r="BZ6" i="2"/>
  <c r="BB6" i="4"/>
  <c r="AV13" i="4"/>
  <c r="AW13" i="4"/>
  <c r="BT13" i="4"/>
  <c r="BA13" i="4"/>
  <c r="BY13" i="4"/>
  <c r="CL13" i="2"/>
  <c r="BB13" i="4"/>
  <c r="CA13" i="4"/>
  <c r="CD13" i="2"/>
  <c r="BI13" i="4"/>
  <c r="CH6" i="4"/>
  <c r="T6" i="2"/>
  <c r="CG6" i="2"/>
  <c r="CE13" i="2"/>
  <c r="BN13" i="4"/>
  <c r="DG13" i="2"/>
  <c r="CI13" i="4"/>
  <c r="CN13" i="2"/>
  <c r="BR13" i="4"/>
  <c r="CH13" i="4"/>
  <c r="BO13" i="4"/>
  <c r="DJ13" i="2"/>
  <c r="CQ13" i="2"/>
  <c r="CE6" i="2"/>
  <c r="CF6" i="2"/>
  <c r="CA6" i="4"/>
  <c r="BL13" i="4"/>
  <c r="CB13" i="4"/>
  <c r="CE13" i="4"/>
  <c r="CG13" i="2"/>
  <c r="DB13" i="2"/>
  <c r="BF13" i="4"/>
  <c r="CO13" i="2"/>
  <c r="DK13" i="2"/>
  <c r="DC13" i="2"/>
  <c r="CY13" i="2"/>
  <c r="AY13" i="4"/>
  <c r="CZ13" i="2"/>
  <c r="CS13" i="2"/>
  <c r="BH13" i="4"/>
  <c r="BZ13" i="4"/>
  <c r="DF13" i="2"/>
  <c r="DN13" i="2"/>
  <c r="BG13" i="4"/>
  <c r="BC13" i="4"/>
  <c r="CU13" i="2"/>
  <c r="DD13" i="2"/>
  <c r="CJ13" i="4"/>
  <c r="A19" i="5"/>
  <c r="BK10" i="4"/>
  <c r="DG14" i="2"/>
  <c r="AY14" i="4"/>
  <c r="CH14" i="4"/>
  <c r="CK14" i="2"/>
  <c r="P9" i="9"/>
  <c r="CI14" i="4"/>
  <c r="O9" i="9"/>
  <c r="P14" i="9"/>
  <c r="CH14" i="2"/>
  <c r="BT14" i="4"/>
  <c r="DH14" i="2"/>
  <c r="AV14" i="4"/>
  <c r="S14" i="9"/>
  <c r="BO14" i="4"/>
  <c r="BY14" i="4"/>
  <c r="CO14" i="2"/>
  <c r="BH14" i="4"/>
  <c r="N14" i="9"/>
  <c r="DL14" i="2"/>
  <c r="CX14" i="2"/>
  <c r="DD14" i="2"/>
  <c r="BN14" i="4"/>
  <c r="BG14" i="4"/>
  <c r="DA14" i="2"/>
  <c r="BZ14" i="4"/>
  <c r="CB12" i="2"/>
  <c r="BM14" i="4"/>
  <c r="BC14" i="4"/>
  <c r="CE14" i="4"/>
  <c r="BV14" i="4"/>
  <c r="BX14" i="4"/>
  <c r="CA14" i="4"/>
  <c r="CI12" i="4"/>
  <c r="AW14" i="4"/>
  <c r="CD14" i="2"/>
  <c r="CZ14" i="2"/>
  <c r="CM14" i="4"/>
  <c r="CJ14" i="4"/>
  <c r="CI14" i="2"/>
  <c r="CE14" i="2"/>
  <c r="CF14" i="2"/>
  <c r="CN14" i="2"/>
  <c r="DF12" i="2"/>
  <c r="BI14" i="4"/>
  <c r="AZ14" i="4"/>
  <c r="BE14" i="4"/>
  <c r="BU14" i="4"/>
  <c r="DC14" i="2"/>
  <c r="CC14" i="2"/>
  <c r="CU14" i="2"/>
  <c r="DJ14" i="2"/>
  <c r="BL14" i="4"/>
  <c r="CY14" i="2"/>
  <c r="CL14" i="2"/>
  <c r="CJ14" i="2"/>
  <c r="BZ12" i="4"/>
  <c r="I14" i="9"/>
  <c r="F12" i="3"/>
  <c r="K12" i="3" s="1"/>
  <c r="S21" i="9"/>
  <c r="N21" i="9"/>
  <c r="F19" i="5"/>
  <c r="P21" i="9"/>
  <c r="J15" i="9"/>
  <c r="AU12" i="4"/>
  <c r="CF12" i="2"/>
  <c r="BS12" i="4"/>
  <c r="CE12" i="2"/>
  <c r="AV12" i="4"/>
  <c r="CG12" i="2"/>
  <c r="DK12" i="2"/>
  <c r="CU12" i="2"/>
  <c r="BP12" i="4"/>
  <c r="CP12" i="2"/>
  <c r="BD12" i="4"/>
  <c r="CZ12" i="2"/>
  <c r="AZ12" i="4"/>
  <c r="CB12" i="4"/>
  <c r="BY12" i="2"/>
  <c r="CO12" i="2"/>
  <c r="BN12" i="4"/>
  <c r="DI12" i="2"/>
  <c r="BV12" i="4"/>
  <c r="BX12" i="4"/>
  <c r="DA12" i="2"/>
  <c r="CJ12" i="4"/>
  <c r="BW12" i="4"/>
  <c r="CY12" i="2"/>
  <c r="BL12" i="4"/>
  <c r="AW12" i="4"/>
  <c r="BU12" i="4"/>
  <c r="CM12" i="2"/>
  <c r="BE12" i="4"/>
  <c r="DQ12" i="2"/>
  <c r="CA12" i="4"/>
  <c r="DB12" i="2"/>
  <c r="CH12" i="4"/>
  <c r="CM12" i="4"/>
  <c r="CI12" i="2"/>
  <c r="CF12" i="4"/>
  <c r="CV12" i="2"/>
  <c r="F21" i="3"/>
  <c r="V15" i="3"/>
  <c r="CD14" i="4"/>
  <c r="AX14" i="4"/>
  <c r="DE14" i="2"/>
  <c r="CQ14" i="2"/>
  <c r="CC14" i="4"/>
  <c r="BK14" i="4"/>
  <c r="BY14" i="2"/>
  <c r="DQ14" i="2"/>
  <c r="BB14" i="4"/>
  <c r="CA14" i="2"/>
  <c r="BS14" i="4"/>
  <c r="DF14" i="2"/>
  <c r="DN14" i="2"/>
  <c r="CF14" i="4"/>
  <c r="CB14" i="4"/>
  <c r="CG14" i="4"/>
  <c r="DK14" i="2"/>
  <c r="DB14" i="2"/>
  <c r="BD14" i="4"/>
  <c r="CR14" i="2"/>
  <c r="BZ14" i="2"/>
  <c r="AU14" i="4"/>
  <c r="BQ14" i="4"/>
  <c r="CV14" i="2"/>
  <c r="CM14" i="2"/>
  <c r="CB14" i="2"/>
  <c r="BR14" i="4"/>
  <c r="BA14" i="4"/>
  <c r="BP14" i="4"/>
  <c r="CP14" i="2"/>
  <c r="BW14" i="4"/>
  <c r="CT14" i="2"/>
  <c r="DM14" i="2"/>
  <c r="DI14" i="2"/>
  <c r="BJ14" i="4"/>
  <c r="C28" i="5"/>
  <c r="G28" i="5"/>
  <c r="F8" i="3"/>
  <c r="K8" i="3" s="1"/>
  <c r="A28" i="5"/>
  <c r="CD12" i="2"/>
  <c r="CC12" i="4"/>
  <c r="BJ12" i="4"/>
  <c r="DE12" i="2"/>
  <c r="CS12" i="2"/>
  <c r="BB12" i="4"/>
  <c r="BK12" i="4"/>
  <c r="DL12" i="2"/>
  <c r="CQ12" i="2"/>
  <c r="BI12" i="4"/>
  <c r="BC12" i="4"/>
  <c r="CN12" i="2"/>
  <c r="CH12" i="2"/>
  <c r="BR12" i="4"/>
  <c r="BH12" i="4"/>
  <c r="BF12" i="4"/>
  <c r="DM12" i="2"/>
  <c r="BA12" i="4"/>
  <c r="DH12" i="2"/>
  <c r="CC12" i="2"/>
  <c r="CJ12" i="2"/>
  <c r="CA12" i="2"/>
  <c r="CG12" i="4"/>
  <c r="CR12" i="2"/>
  <c r="DN12" i="2"/>
  <c r="CD12" i="4"/>
  <c r="BG12" i="4"/>
  <c r="DC12" i="2"/>
  <c r="DD12" i="2"/>
  <c r="BZ12" i="2"/>
  <c r="DG12" i="2"/>
  <c r="CE12" i="4"/>
  <c r="BY12" i="4"/>
  <c r="AY12" i="4"/>
  <c r="CX12" i="2"/>
  <c r="BT12" i="4"/>
  <c r="CL12" i="2"/>
  <c r="BM12" i="4"/>
  <c r="AX12" i="4"/>
  <c r="CT12" i="2"/>
  <c r="BO12" i="4"/>
  <c r="J17" i="9"/>
  <c r="F6" i="3"/>
  <c r="K6" i="3" s="1"/>
  <c r="AN20" i="9"/>
  <c r="J16" i="9"/>
  <c r="V11" i="3"/>
  <c r="V9" i="3"/>
  <c r="F23" i="3"/>
  <c r="J19" i="9"/>
  <c r="V5" i="3"/>
  <c r="K32" i="6"/>
  <c r="F14" i="3"/>
  <c r="K14" i="3" s="1"/>
  <c r="W10" i="3"/>
  <c r="T16" i="2"/>
  <c r="F10" i="3"/>
  <c r="X7" i="3"/>
  <c r="X11" i="3"/>
  <c r="W9" i="3"/>
  <c r="V10" i="3"/>
  <c r="X9" i="3"/>
  <c r="K38" i="6"/>
  <c r="W5" i="3"/>
  <c r="F7" i="3"/>
  <c r="G12" i="2" s="1"/>
  <c r="AB15" i="3"/>
  <c r="J10" i="9"/>
  <c r="V8" i="3"/>
  <c r="X14" i="3"/>
  <c r="X5" i="3"/>
  <c r="J12" i="9"/>
  <c r="V12" i="3"/>
  <c r="K37" i="6"/>
  <c r="F24" i="3"/>
  <c r="X6" i="3"/>
  <c r="X10" i="3"/>
  <c r="J11" i="9"/>
  <c r="W16" i="3"/>
  <c r="X8" i="3"/>
  <c r="AB9" i="4"/>
  <c r="T9" i="2"/>
  <c r="T4" i="2"/>
  <c r="D5" i="2" s="1"/>
  <c r="AN11" i="9"/>
  <c r="T7" i="2"/>
  <c r="C31" i="5"/>
  <c r="G31" i="5"/>
  <c r="F31" i="5"/>
  <c r="A31" i="5"/>
  <c r="F12" i="2"/>
  <c r="H12" i="2"/>
  <c r="B12" i="2"/>
  <c r="O10" i="9"/>
  <c r="N10" i="9"/>
  <c r="P10" i="9"/>
  <c r="S10" i="9"/>
  <c r="A21" i="5"/>
  <c r="C21" i="5"/>
  <c r="G21" i="5"/>
  <c r="F21" i="5"/>
  <c r="O16" i="9"/>
  <c r="P16" i="9"/>
  <c r="S16" i="9"/>
  <c r="N16" i="9"/>
  <c r="V14" i="3"/>
  <c r="P22" i="9"/>
  <c r="O22" i="9"/>
  <c r="S22" i="9"/>
  <c r="N22" i="9"/>
  <c r="AB5" i="3"/>
  <c r="K36" i="6"/>
  <c r="W11" i="3"/>
  <c r="J13" i="9"/>
  <c r="F13" i="3"/>
  <c r="K13" i="3" s="1"/>
  <c r="P25" i="9"/>
  <c r="S25" i="9"/>
  <c r="O25" i="9"/>
  <c r="N25" i="9"/>
  <c r="G18" i="5"/>
  <c r="C18" i="5"/>
  <c r="A18" i="5"/>
  <c r="F18" i="5"/>
  <c r="X15" i="3"/>
  <c r="U61" i="2"/>
  <c r="A32" i="5"/>
  <c r="G32" i="5"/>
  <c r="C32" i="5"/>
  <c r="F32" i="5"/>
  <c r="W14" i="3"/>
  <c r="K34" i="6"/>
  <c r="F5" i="3"/>
  <c r="G10" i="2" s="1"/>
  <c r="U50" i="2"/>
  <c r="F10" i="2"/>
  <c r="H10" i="2"/>
  <c r="B10" i="2"/>
  <c r="K35" i="6"/>
  <c r="B11" i="2"/>
  <c r="F11" i="2"/>
  <c r="H11" i="2"/>
  <c r="C22" i="5"/>
  <c r="F22" i="5"/>
  <c r="G22" i="5"/>
  <c r="A22" i="5"/>
  <c r="K31" i="6"/>
  <c r="U60" i="2"/>
  <c r="V16" i="3"/>
  <c r="F25" i="5"/>
  <c r="G25" i="5"/>
  <c r="A25" i="5"/>
  <c r="C25" i="5"/>
  <c r="S26" i="9"/>
  <c r="O26" i="9"/>
  <c r="N26" i="9"/>
  <c r="P26" i="9"/>
  <c r="G7" i="3"/>
  <c r="U52" i="2" s="1"/>
  <c r="N12" i="9"/>
  <c r="P12" i="9"/>
  <c r="S12" i="9"/>
  <c r="O12" i="9"/>
  <c r="DQ7" i="2"/>
  <c r="CM7" i="4"/>
  <c r="CA7" i="4"/>
  <c r="CS7" i="2"/>
  <c r="DK7" i="2"/>
  <c r="CL7" i="2"/>
  <c r="CO7" i="2"/>
  <c r="CH7" i="4"/>
  <c r="CP7" i="2"/>
  <c r="CE7" i="2"/>
  <c r="DB7" i="2"/>
  <c r="BL7" i="4"/>
  <c r="CG7" i="2"/>
  <c r="CM7" i="2"/>
  <c r="BZ7" i="2"/>
  <c r="CH7" i="2"/>
  <c r="CD7" i="2"/>
  <c r="DN7" i="2"/>
  <c r="AZ7" i="4"/>
  <c r="DE7" i="2"/>
  <c r="DM7" i="2"/>
  <c r="CQ7" i="2"/>
  <c r="CB7" i="4"/>
  <c r="AV7" i="4"/>
  <c r="CE7" i="4"/>
  <c r="CJ7" i="2"/>
  <c r="CV7" i="2"/>
  <c r="CT7" i="2"/>
  <c r="CG7" i="4"/>
  <c r="BP7" i="4"/>
  <c r="BY7" i="4"/>
  <c r="BE7" i="4"/>
  <c r="BS7" i="4"/>
  <c r="BQ7" i="4"/>
  <c r="DG7" i="2"/>
  <c r="DA7" i="2"/>
  <c r="BD7" i="4"/>
  <c r="BI7" i="4"/>
  <c r="CD7" i="4"/>
  <c r="AW7" i="4"/>
  <c r="DI7" i="2"/>
  <c r="CI7" i="2"/>
  <c r="CC7" i="2"/>
  <c r="AY7" i="4"/>
  <c r="DL7" i="2"/>
  <c r="BR7" i="4"/>
  <c r="CJ7" i="4"/>
  <c r="BX7" i="4"/>
  <c r="CR7" i="2"/>
  <c r="CC7" i="4"/>
  <c r="CZ7" i="2"/>
  <c r="AU7" i="4"/>
  <c r="BO7" i="4"/>
  <c r="DC7" i="2"/>
  <c r="BB7" i="4"/>
  <c r="CI7" i="4"/>
  <c r="BV7" i="4"/>
  <c r="BC7" i="4"/>
  <c r="CY7" i="2"/>
  <c r="CW7" i="2"/>
  <c r="DF7" i="2"/>
  <c r="BZ7" i="4"/>
  <c r="BW7" i="4"/>
  <c r="BG7" i="4"/>
  <c r="BT7" i="4"/>
  <c r="CA7" i="2"/>
  <c r="CK7" i="2"/>
  <c r="DD7" i="2"/>
  <c r="CU7" i="2"/>
  <c r="CF7" i="4"/>
  <c r="CX7" i="2"/>
  <c r="BK7" i="4"/>
  <c r="BU7" i="4"/>
  <c r="AX7" i="4"/>
  <c r="DH7" i="2"/>
  <c r="BY7" i="2"/>
  <c r="CF7" i="2"/>
  <c r="BM7" i="4"/>
  <c r="BF7" i="4"/>
  <c r="BN7" i="4"/>
  <c r="BH7" i="4"/>
  <c r="CN7" i="2"/>
  <c r="DJ7" i="2"/>
  <c r="BA7" i="4"/>
  <c r="BJ7" i="4"/>
  <c r="CB7" i="2"/>
  <c r="F22" i="3"/>
  <c r="AE24" i="3"/>
  <c r="AE20" i="3"/>
  <c r="AE16" i="3"/>
  <c r="AE22" i="3"/>
  <c r="AE23" i="3"/>
  <c r="AE21" i="3"/>
  <c r="AE10" i="3"/>
  <c r="AE19" i="3"/>
  <c r="AE15" i="3"/>
  <c r="AE11" i="3"/>
  <c r="AE18" i="3"/>
  <c r="AE9" i="3"/>
  <c r="AE17" i="3"/>
  <c r="AE13" i="3"/>
  <c r="AE7" i="3"/>
  <c r="AE14" i="3"/>
  <c r="AE5" i="3"/>
  <c r="AE12" i="3"/>
  <c r="AE8" i="3"/>
  <c r="AE6" i="3"/>
  <c r="A35" i="5"/>
  <c r="C35" i="5"/>
  <c r="G35" i="5"/>
  <c r="F35" i="5"/>
  <c r="F23" i="5"/>
  <c r="G23" i="5"/>
  <c r="C23" i="5"/>
  <c r="A23" i="5"/>
  <c r="K42" i="6"/>
  <c r="F16" i="5"/>
  <c r="G16" i="5"/>
  <c r="A16" i="5"/>
  <c r="C16" i="5"/>
  <c r="A26" i="5"/>
  <c r="C26" i="5"/>
  <c r="G26" i="5"/>
  <c r="F26" i="5"/>
  <c r="G12" i="3"/>
  <c r="U57" i="2" s="1"/>
  <c r="W12" i="3"/>
  <c r="K10" i="3"/>
  <c r="F30" i="5"/>
  <c r="G30" i="5"/>
  <c r="A30" i="5"/>
  <c r="C30" i="5"/>
  <c r="CK9" i="4"/>
  <c r="DO9" i="2"/>
  <c r="G17" i="5"/>
  <c r="A17" i="5"/>
  <c r="F17" i="5"/>
  <c r="C17" i="5"/>
  <c r="G20" i="5"/>
  <c r="F20" i="5"/>
  <c r="C20" i="5"/>
  <c r="A20" i="5"/>
  <c r="S15" i="9"/>
  <c r="O15" i="9"/>
  <c r="P15" i="9"/>
  <c r="N15" i="9"/>
  <c r="CM16" i="4"/>
  <c r="DQ16" i="2"/>
  <c r="BS16" i="4"/>
  <c r="DD16" i="2"/>
  <c r="BR16" i="4"/>
  <c r="DC16" i="2"/>
  <c r="CA16" i="4"/>
  <c r="CU16" i="2"/>
  <c r="CY16" i="2"/>
  <c r="BG16" i="4"/>
  <c r="CR16" i="2"/>
  <c r="AY16" i="4"/>
  <c r="CP16" i="2"/>
  <c r="BU16" i="4"/>
  <c r="CB16" i="2"/>
  <c r="CN16" i="2"/>
  <c r="AU16" i="4"/>
  <c r="BX16" i="4"/>
  <c r="CH16" i="4"/>
  <c r="CD16" i="2"/>
  <c r="BT16" i="4"/>
  <c r="CQ16" i="2"/>
  <c r="CH16" i="2"/>
  <c r="CC16" i="4"/>
  <c r="BJ16" i="4"/>
  <c r="BN16" i="4"/>
  <c r="CI16" i="4"/>
  <c r="DM16" i="2"/>
  <c r="AX16" i="4"/>
  <c r="CM16" i="2"/>
  <c r="BP16" i="4"/>
  <c r="AV16" i="4"/>
  <c r="BV16" i="4"/>
  <c r="BA16" i="4"/>
  <c r="CW16" i="2"/>
  <c r="DJ16" i="2"/>
  <c r="CK16" i="2"/>
  <c r="BC16" i="4"/>
  <c r="CB16" i="4"/>
  <c r="BO16" i="4"/>
  <c r="DB16" i="2"/>
  <c r="CG16" i="2"/>
  <c r="CT16" i="2"/>
  <c r="CJ16" i="2"/>
  <c r="CF16" i="4"/>
  <c r="BI16" i="4"/>
  <c r="BL16" i="4"/>
  <c r="CO16" i="2"/>
  <c r="DL16" i="2"/>
  <c r="CA16" i="2"/>
  <c r="CI16" i="2"/>
  <c r="BQ16" i="4"/>
  <c r="BZ16" i="4"/>
  <c r="DF16" i="2"/>
  <c r="CC16" i="2"/>
  <c r="CV16" i="2"/>
  <c r="DI16" i="2"/>
  <c r="DH16" i="2"/>
  <c r="CE16" i="4"/>
  <c r="AW16" i="4"/>
  <c r="CJ16" i="4"/>
  <c r="BD16" i="4"/>
  <c r="CD16" i="4"/>
  <c r="DK16" i="2"/>
  <c r="BB16" i="4"/>
  <c r="BF16" i="4"/>
  <c r="CS16" i="2"/>
  <c r="DE16" i="2"/>
  <c r="BM16" i="4"/>
  <c r="BZ16" i="2"/>
  <c r="BY16" i="2"/>
  <c r="BY16" i="4"/>
  <c r="BW16" i="4"/>
  <c r="CF16" i="2"/>
  <c r="CL16" i="2"/>
  <c r="CE16" i="2"/>
  <c r="CZ16" i="2"/>
  <c r="DA16" i="2"/>
  <c r="BK16" i="4"/>
  <c r="BE16" i="4"/>
  <c r="BH16" i="4"/>
  <c r="CG16" i="4"/>
  <c r="AZ16" i="4"/>
  <c r="CX16" i="2"/>
  <c r="DG16" i="2"/>
  <c r="DN16" i="2"/>
  <c r="CM19" i="4"/>
  <c r="DQ19" i="2"/>
  <c r="AV19" i="4"/>
  <c r="CC19" i="4"/>
  <c r="BA19" i="4"/>
  <c r="BU19" i="4"/>
  <c r="BT19" i="4"/>
  <c r="CF19" i="2"/>
  <c r="AY19" i="4"/>
  <c r="CL19" i="2"/>
  <c r="DL19" i="2"/>
  <c r="CF19" i="4"/>
  <c r="BG19" i="4"/>
  <c r="CG19" i="4"/>
  <c r="DN19" i="2"/>
  <c r="DE19" i="2"/>
  <c r="DI19" i="2"/>
  <c r="CG19" i="2"/>
  <c r="BM19" i="4"/>
  <c r="CT19" i="2"/>
  <c r="BH19" i="4"/>
  <c r="CK19" i="2"/>
  <c r="CR19" i="2"/>
  <c r="BP19" i="4"/>
  <c r="CA19" i="4"/>
  <c r="AX19" i="4"/>
  <c r="CZ19" i="2"/>
  <c r="BS19" i="4"/>
  <c r="DJ19" i="2"/>
  <c r="BF19" i="4"/>
  <c r="AZ19" i="4"/>
  <c r="BD19" i="4"/>
  <c r="DD19" i="2"/>
  <c r="CM19" i="2"/>
  <c r="DC19" i="2"/>
  <c r="CB19" i="2"/>
  <c r="CP19" i="2"/>
  <c r="BZ19" i="4"/>
  <c r="BY19" i="4"/>
  <c r="BV19" i="4"/>
  <c r="CQ19" i="2"/>
  <c r="BZ19" i="2"/>
  <c r="CJ19" i="2"/>
  <c r="BY19" i="2"/>
  <c r="BR19" i="4"/>
  <c r="CO19" i="2"/>
  <c r="AW19" i="4"/>
  <c r="CB19" i="4"/>
  <c r="CI19" i="4"/>
  <c r="CI19" i="2"/>
  <c r="CW19" i="2"/>
  <c r="BE19" i="4"/>
  <c r="CC19" i="2"/>
  <c r="CH19" i="4"/>
  <c r="DB19" i="2"/>
  <c r="DF19" i="2"/>
  <c r="BK19" i="4"/>
  <c r="CV19" i="2"/>
  <c r="BN19" i="4"/>
  <c r="BI19" i="4"/>
  <c r="BC19" i="4"/>
  <c r="CD19" i="2"/>
  <c r="DK19" i="2"/>
  <c r="CX19" i="2"/>
  <c r="DH19" i="2"/>
  <c r="BB19" i="4"/>
  <c r="DM19" i="2"/>
  <c r="CJ19" i="4"/>
  <c r="CD19" i="4"/>
  <c r="CU19" i="2"/>
  <c r="BO19" i="4"/>
  <c r="CS19" i="2"/>
  <c r="BW19" i="4"/>
  <c r="CH19" i="2"/>
  <c r="CA19" i="2"/>
  <c r="CE19" i="4"/>
  <c r="DA19" i="2"/>
  <c r="BQ19" i="4"/>
  <c r="AU19" i="4"/>
  <c r="CE19" i="2"/>
  <c r="CY19" i="2"/>
  <c r="DG19" i="2"/>
  <c r="BJ19" i="4"/>
  <c r="BX19" i="4"/>
  <c r="CN19" i="2"/>
  <c r="BL19" i="4"/>
  <c r="CM9" i="4"/>
  <c r="DQ9" i="2"/>
  <c r="BG9" i="4"/>
  <c r="BD9" i="4"/>
  <c r="AW9" i="4"/>
  <c r="CN9" i="2"/>
  <c r="CC9" i="2"/>
  <c r="CV9" i="2"/>
  <c r="CA9" i="2"/>
  <c r="CE9" i="4"/>
  <c r="BB9" i="4"/>
  <c r="CD9" i="4"/>
  <c r="DD9" i="2"/>
  <c r="CD9" i="2"/>
  <c r="CM9" i="2"/>
  <c r="CX9" i="2"/>
  <c r="AU9" i="4"/>
  <c r="BR9" i="4"/>
  <c r="CA9" i="4"/>
  <c r="BK9" i="4"/>
  <c r="CJ9" i="4"/>
  <c r="CI9" i="4"/>
  <c r="BE9" i="4"/>
  <c r="CF9" i="4"/>
  <c r="BQ9" i="4"/>
  <c r="DB9" i="2"/>
  <c r="DF9" i="2"/>
  <c r="CO9" i="2"/>
  <c r="BZ9" i="4"/>
  <c r="BA9" i="4"/>
  <c r="AV9" i="4"/>
  <c r="DN9" i="2"/>
  <c r="BI9" i="4"/>
  <c r="CH9" i="4"/>
  <c r="CU9" i="2"/>
  <c r="BU9" i="4"/>
  <c r="CZ9" i="2"/>
  <c r="CT9" i="2"/>
  <c r="BP9" i="4"/>
  <c r="AX9" i="4"/>
  <c r="BO9" i="4"/>
  <c r="CP9" i="2"/>
  <c r="DK9" i="2"/>
  <c r="CH9" i="2"/>
  <c r="CS9" i="2"/>
  <c r="BT9" i="4"/>
  <c r="BV9" i="4"/>
  <c r="CB9" i="4"/>
  <c r="CI9" i="2"/>
  <c r="BS9" i="4"/>
  <c r="CC9" i="4"/>
  <c r="BC9" i="4"/>
  <c r="CR9" i="2"/>
  <c r="DL9" i="2"/>
  <c r="CJ9" i="2"/>
  <c r="BZ9" i="2"/>
  <c r="BY9" i="4"/>
  <c r="BN9" i="4"/>
  <c r="DI9" i="2"/>
  <c r="CF9" i="2"/>
  <c r="CB9" i="2"/>
  <c r="DJ9" i="2"/>
  <c r="BW9" i="4"/>
  <c r="DC9" i="2"/>
  <c r="DG9" i="2"/>
  <c r="BL9" i="4"/>
  <c r="AY9" i="4"/>
  <c r="CW9" i="2"/>
  <c r="CE9" i="2"/>
  <c r="BJ9" i="4"/>
  <c r="CL9" i="2"/>
  <c r="DE9" i="2"/>
  <c r="CG9" i="4"/>
  <c r="BF9" i="4"/>
  <c r="BY9" i="2"/>
  <c r="DA9" i="2"/>
  <c r="BH9" i="4"/>
  <c r="AZ9" i="4"/>
  <c r="BX9" i="4"/>
  <c r="CK9" i="2"/>
  <c r="BM9" i="4"/>
  <c r="DM9" i="2"/>
  <c r="DH9" i="2"/>
  <c r="CG9" i="2"/>
  <c r="CQ9" i="2"/>
  <c r="CY9" i="2"/>
  <c r="X12" i="3"/>
  <c r="P27" i="9"/>
  <c r="O27" i="9"/>
  <c r="S27" i="9"/>
  <c r="N27" i="9"/>
  <c r="U56" i="2"/>
  <c r="C34" i="5"/>
  <c r="G34" i="5"/>
  <c r="F34" i="5"/>
  <c r="A34" i="5"/>
  <c r="F20" i="3"/>
  <c r="CK16" i="4"/>
  <c r="DO16" i="2"/>
  <c r="U54" i="2"/>
  <c r="H14" i="2"/>
  <c r="F14" i="2"/>
  <c r="B14" i="2"/>
  <c r="V7" i="3"/>
  <c r="CK19" i="4"/>
  <c r="DO19" i="2"/>
  <c r="X13" i="3"/>
  <c r="X16" i="3"/>
  <c r="G24" i="5"/>
  <c r="A24" i="5"/>
  <c r="F24" i="5"/>
  <c r="C24" i="5"/>
  <c r="P17" i="9"/>
  <c r="O17" i="9"/>
  <c r="S17" i="9"/>
  <c r="N17" i="9"/>
  <c r="N28" i="9"/>
  <c r="S28" i="9"/>
  <c r="P28" i="9"/>
  <c r="O28" i="9"/>
  <c r="F18" i="3"/>
  <c r="U59" i="2"/>
  <c r="K41" i="6"/>
  <c r="N24" i="9"/>
  <c r="O24" i="9"/>
  <c r="S24" i="9"/>
  <c r="P24" i="9"/>
  <c r="K33" i="6"/>
  <c r="F9" i="3"/>
  <c r="K9" i="3" s="1"/>
  <c r="N11" i="9"/>
  <c r="O11" i="9"/>
  <c r="S11" i="9"/>
  <c r="P11" i="9"/>
  <c r="W7" i="3"/>
  <c r="G27" i="5"/>
  <c r="C27" i="5"/>
  <c r="A27" i="5"/>
  <c r="F27" i="5"/>
  <c r="W13" i="3"/>
  <c r="F13" i="2"/>
  <c r="B13" i="2"/>
  <c r="U53" i="2"/>
  <c r="H13" i="2"/>
  <c r="F15" i="3"/>
  <c r="K15" i="3" s="1"/>
  <c r="F17" i="3"/>
  <c r="K17" i="3" s="1"/>
  <c r="P19" i="9"/>
  <c r="N19" i="9"/>
  <c r="S19" i="9"/>
  <c r="O19" i="9"/>
  <c r="K40" i="6"/>
  <c r="F11" i="3"/>
  <c r="K11" i="3" s="1"/>
  <c r="K39" i="6"/>
  <c r="P13" i="9"/>
  <c r="O13" i="9"/>
  <c r="S13" i="9"/>
  <c r="N13" i="9"/>
  <c r="V6" i="3"/>
  <c r="A33" i="5"/>
  <c r="F33" i="5"/>
  <c r="C33" i="5"/>
  <c r="G33" i="5"/>
  <c r="U58" i="2"/>
  <c r="W8" i="3"/>
  <c r="G10" i="3"/>
  <c r="U55" i="2" s="1"/>
  <c r="A29" i="5"/>
  <c r="F29" i="5"/>
  <c r="C29" i="5"/>
  <c r="G29" i="5"/>
  <c r="W6" i="3"/>
  <c r="G6" i="3"/>
  <c r="U51" i="2" s="1"/>
  <c r="CK7" i="4"/>
  <c r="DO7" i="2"/>
  <c r="V13" i="3"/>
  <c r="F16" i="3"/>
  <c r="K16" i="3" s="1"/>
  <c r="G13" i="2" l="1"/>
  <c r="G11" i="2"/>
  <c r="AL2" i="3"/>
  <c r="K7" i="3"/>
  <c r="G14" i="2"/>
  <c r="K5" i="3"/>
  <c r="D6" i="2"/>
  <c r="AF6" i="3"/>
  <c r="AJ6" i="3"/>
  <c r="AI6" i="3"/>
  <c r="AH6" i="3"/>
  <c r="AG6" i="3"/>
  <c r="AH19" i="3"/>
  <c r="AJ19" i="3"/>
  <c r="AF19" i="3"/>
  <c r="AG19" i="3"/>
  <c r="AI19" i="3"/>
  <c r="AH8" i="3"/>
  <c r="AG8" i="3"/>
  <c r="AF8" i="3"/>
  <c r="AI8" i="3"/>
  <c r="AJ8" i="3"/>
  <c r="AF10" i="3"/>
  <c r="AJ10" i="3"/>
  <c r="AG10" i="3"/>
  <c r="AH10" i="3"/>
  <c r="AI10" i="3"/>
  <c r="AI5" i="3"/>
  <c r="AJ5" i="3"/>
  <c r="AH5" i="3"/>
  <c r="AG5" i="3"/>
  <c r="AF5" i="3"/>
  <c r="AF14" i="3"/>
  <c r="AJ14" i="3"/>
  <c r="AH14" i="3"/>
  <c r="AG14" i="3"/>
  <c r="AI14" i="3"/>
  <c r="AF22" i="3"/>
  <c r="AH22" i="3"/>
  <c r="AJ22" i="3"/>
  <c r="AI22" i="3"/>
  <c r="AG22" i="3"/>
  <c r="AJ7" i="3"/>
  <c r="AI7" i="3"/>
  <c r="AH7" i="3"/>
  <c r="AG7" i="3"/>
  <c r="AF7" i="3"/>
  <c r="AI16" i="3"/>
  <c r="AG16" i="3"/>
  <c r="AF16" i="3"/>
  <c r="AJ16" i="3"/>
  <c r="AH16" i="3"/>
  <c r="AI15" i="3"/>
  <c r="AG15" i="3"/>
  <c r="AF15" i="3"/>
  <c r="AH15" i="3"/>
  <c r="AJ15" i="3"/>
  <c r="AI12" i="3"/>
  <c r="AH12" i="3"/>
  <c r="AJ12" i="3"/>
  <c r="AG12" i="3"/>
  <c r="AF12" i="3"/>
  <c r="AI21" i="3"/>
  <c r="AF21" i="3"/>
  <c r="AJ21" i="3"/>
  <c r="AH21" i="3"/>
  <c r="AG21" i="3"/>
  <c r="AI13" i="3"/>
  <c r="AH13" i="3"/>
  <c r="AG13" i="3"/>
  <c r="AJ13" i="3"/>
  <c r="AF13" i="3"/>
  <c r="AI20" i="3"/>
  <c r="AH20" i="3"/>
  <c r="AG20" i="3"/>
  <c r="AJ20" i="3"/>
  <c r="AF20" i="3"/>
  <c r="V65" i="2"/>
  <c r="V56" i="2"/>
  <c r="V64" i="2"/>
  <c r="V55" i="2"/>
  <c r="V53" i="2"/>
  <c r="V54" i="2"/>
  <c r="V52" i="2"/>
  <c r="V57" i="2"/>
  <c r="V63" i="2"/>
  <c r="V62" i="2"/>
  <c r="V61" i="2"/>
  <c r="V66" i="2"/>
  <c r="V69" i="2"/>
  <c r="V68" i="2"/>
  <c r="V67" i="2"/>
  <c r="V50" i="2"/>
  <c r="V51" i="2"/>
  <c r="V59" i="2"/>
  <c r="V60" i="2"/>
  <c r="V58" i="2"/>
  <c r="AH23" i="3"/>
  <c r="AJ23" i="3"/>
  <c r="AG23" i="3"/>
  <c r="AI23" i="3"/>
  <c r="AF23" i="3"/>
  <c r="AI17" i="3"/>
  <c r="AH17" i="3"/>
  <c r="AG17" i="3"/>
  <c r="AJ17" i="3"/>
  <c r="AF17" i="3"/>
  <c r="AI24" i="3"/>
  <c r="AG24" i="3"/>
  <c r="AF24" i="3"/>
  <c r="AJ24" i="3"/>
  <c r="AH24" i="3"/>
  <c r="AJ11" i="3"/>
  <c r="AI11" i="3"/>
  <c r="AG11" i="3"/>
  <c r="AF11" i="3"/>
  <c r="AH11" i="3"/>
  <c r="AI9" i="3"/>
  <c r="AH9" i="3"/>
  <c r="AG9" i="3"/>
  <c r="AF9" i="3"/>
  <c r="AJ9" i="3"/>
  <c r="AF18" i="3"/>
  <c r="AJ18" i="3"/>
  <c r="AI18" i="3"/>
  <c r="AH18" i="3"/>
  <c r="AG18" i="3"/>
  <c r="A66" i="2" l="1"/>
  <c r="W66" i="2"/>
  <c r="E66" i="2" s="1"/>
  <c r="I66" i="2"/>
  <c r="D66" i="2"/>
  <c r="A65" i="2"/>
  <c r="I65" i="2"/>
  <c r="W65" i="2"/>
  <c r="E65" i="2" s="1"/>
  <c r="D65" i="2"/>
  <c r="I61" i="2"/>
  <c r="D61" i="2"/>
  <c r="A61" i="2"/>
  <c r="W61" i="2"/>
  <c r="E61" i="2" s="1"/>
  <c r="A68" i="2"/>
  <c r="W68" i="2"/>
  <c r="E68" i="2" s="1"/>
  <c r="I68" i="2"/>
  <c r="D68" i="2"/>
  <c r="A62" i="2"/>
  <c r="D62" i="2"/>
  <c r="I62" i="2"/>
  <c r="W62" i="2"/>
  <c r="E62" i="2" s="1"/>
  <c r="W58" i="2"/>
  <c r="E58" i="2" s="1"/>
  <c r="D58" i="2"/>
  <c r="A58" i="2"/>
  <c r="I58" i="2"/>
  <c r="A57" i="2"/>
  <c r="W57" i="2"/>
  <c r="E57" i="2" s="1"/>
  <c r="D57" i="2"/>
  <c r="I57" i="2"/>
  <c r="A56" i="2"/>
  <c r="I56" i="2"/>
  <c r="W56" i="2"/>
  <c r="E56" i="2" s="1"/>
  <c r="D56" i="2"/>
  <c r="W69" i="2"/>
  <c r="E69" i="2" s="1"/>
  <c r="I69" i="2"/>
  <c r="D69" i="2"/>
  <c r="A69" i="2"/>
  <c r="W60" i="2"/>
  <c r="E60" i="2" s="1"/>
  <c r="I60" i="2"/>
  <c r="D60" i="2"/>
  <c r="A60" i="2"/>
  <c r="I52" i="2"/>
  <c r="D52" i="2"/>
  <c r="A52" i="2"/>
  <c r="W52" i="2"/>
  <c r="E52" i="2" s="1"/>
  <c r="A59" i="2"/>
  <c r="W59" i="2"/>
  <c r="E59" i="2" s="1"/>
  <c r="I59" i="2"/>
  <c r="D59" i="2"/>
  <c r="I63" i="2"/>
  <c r="D63" i="2"/>
  <c r="W63" i="2"/>
  <c r="E63" i="2" s="1"/>
  <c r="A63" i="2"/>
  <c r="W54" i="2"/>
  <c r="E54" i="2" s="1"/>
  <c r="D54" i="2"/>
  <c r="A54" i="2"/>
  <c r="I54" i="2"/>
  <c r="W51" i="2"/>
  <c r="E51" i="2" s="1"/>
  <c r="I51" i="2"/>
  <c r="A51" i="2"/>
  <c r="D51" i="2"/>
  <c r="A53" i="2"/>
  <c r="D53" i="2"/>
  <c r="W53" i="2"/>
  <c r="E53" i="2" s="1"/>
  <c r="I53" i="2"/>
  <c r="A50" i="2"/>
  <c r="W50" i="2"/>
  <c r="E50" i="2" s="1"/>
  <c r="I50" i="2"/>
  <c r="D50" i="2"/>
  <c r="W55" i="2"/>
  <c r="E55" i="2" s="1"/>
  <c r="I55" i="2"/>
  <c r="D55" i="2"/>
  <c r="A55" i="2"/>
  <c r="W67" i="2"/>
  <c r="E67" i="2" s="1"/>
  <c r="I67" i="2"/>
  <c r="A67" i="2"/>
  <c r="D67" i="2"/>
  <c r="W64" i="2"/>
  <c r="E64" i="2" s="1"/>
  <c r="D64" i="2"/>
  <c r="A64" i="2"/>
  <c r="I64" i="2"/>
</calcChain>
</file>

<file path=xl/sharedStrings.xml><?xml version="1.0" encoding="utf-8"?>
<sst xmlns="http://schemas.openxmlformats.org/spreadsheetml/2006/main" count="10878" uniqueCount="1779">
  <si>
    <r>
      <rPr>
        <b/>
        <sz val="10"/>
        <color rgb="FF1F4E79"/>
        <rFont val="Calibri"/>
      </rPr>
      <t>CICLO TRIMESTRALE — A1 valuta i rischi, lo script la controlla (e A5, se usato), il validatore la conferma o la rettifica.</t>
    </r>
    <r>
      <rPr>
        <sz val="10"/>
        <color rgb="FF262626"/>
        <rFont val="Calibri"/>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</si>
  <si>
    <t>Appoggio del grafico: non modificare</t>
  </si>
  <si>
    <t>Attivazione</t>
  </si>
  <si>
    <t>Attenzione</t>
  </si>
  <si>
    <t>Monitoraggio</t>
  </si>
  <si>
    <t>Rischi valutati</t>
  </si>
  <si>
    <t>Livello di allerta: attivazione · attenzione</t>
  </si>
  <si>
    <t>Variati · nuovi (radar)</t>
  </si>
  <si>
    <t>KRI in rosso</t>
  </si>
  <si>
    <t>Validazione</t>
  </si>
  <si>
    <t>9.1
Condotta</t>
  </si>
  <si>
    <t>9.4
Legale</t>
  </si>
  <si>
    <t>9.5
Fiscale</t>
  </si>
  <si>
    <t>Priorita' — primi cinque per score composito</t>
  </si>
  <si>
    <t>Gravita': Probabilita x Impatto</t>
  </si>
  <si>
    <t>9.6
Tecnologico</t>
  </si>
  <si>
    <t>AGIRE ORA (X+Y&gt;Z)</t>
  </si>
  <si>
    <t>#</t>
  </si>
  <si>
    <t>Rischio</t>
  </si>
  <si>
    <t>Score</t>
  </si>
  <si>
    <t>Variazione</t>
  </si>
  <si>
    <t>Urgenza</t>
  </si>
  <si>
    <t>P \ S</t>
  </si>
  <si>
    <t>9.7
Sicurezza informatica</t>
  </si>
  <si>
    <t>9.8
Sicurezza fisica</t>
  </si>
  <si>
    <t>Area del cerchio = P x I</t>
  </si>
  <si>
    <t>9.9
Terze parti</t>
  </si>
  <si>
    <t>4</t>
  </si>
  <si>
    <t>9.11
Employer</t>
  </si>
  <si>
    <t>12</t>
  </si>
  <si>
    <t>9.13
Processo</t>
  </si>
  <si>
    <t>25</t>
  </si>
  <si>
    <t>Score 1-5, 5 = peggiore; barra su scala fissa 0-5. Variazione sul ciclo precedente.</t>
  </si>
  <si>
    <t>Numeri = NFR-nn. Verde P x I fino a 6, ambra 8-12, rosso da 15.</t>
  </si>
  <si>
    <t>Note dell'analista</t>
  </si>
  <si>
    <t>Urgenza: radar di Mosca</t>
  </si>
  <si>
    <t>I rischi del ciclo</t>
  </si>
  <si>
    <t>Radar: piu' vicino al centro = agire prima; area del cerchio = P x I; colore = livello di allerta (rosso attivazione, giallo attenzione, verde monitoraggio); ◆ = attenzione del supervisore. Numeri nel radar = NFR-nn.</t>
  </si>
  <si>
    <t>Il commento dell'analisi (agente A1, scritto prima della validazione)</t>
  </si>
  <si>
    <t>Messaggio chiave</t>
  </si>
  <si>
    <t>Decisioni richieste</t>
  </si>
  <si>
    <t>Controlli (A5 se usato)</t>
  </si>
  <si>
    <t>Dopo il commento</t>
  </si>
  <si>
    <t>Segnalazioni da motivare</t>
  </si>
  <si>
    <t>Rischi segnalati e perche'</t>
  </si>
  <si>
    <t>Rischi fra i primi tre per score, in attivazione o in attenzione, variati o nuovi nel ciclo. Tutto calcolato dai dati validati del registro.</t>
  </si>
  <si>
    <t>Livello</t>
  </si>
  <si>
    <t>Perche' lo segnaliamo</t>
  </si>
  <si>
    <t>Cosa e' cambiato, e su quale evidenza</t>
  </si>
  <si>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</si>
  <si>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Radar: colore del cerchio = livello di allerta (rosso Attivazione, giallo Attenzione, verde Monitoraggio); dentro il cerchio rosso AGIRE ORA (X + Y &gt; Z); area = P x I; settore = categoria di rischio. KRI = indicatore di rischio (Key Risk Indicator). A1 = agente che valuta i rischi ogni trimestre; A5 = agente di controllo indipendente.</t>
  </si>
  <si>
    <t>A COSA SERVE</t>
  </si>
  <si>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</si>
  <si>
    <t>CHI AGGIORNA COSA E QUANDO</t>
  </si>
  <si>
    <t>Foglio</t>
  </si>
  <si>
    <t>Settimanale · lunedi', A3</t>
  </si>
  <si>
    <t>Trimestrale · A1, poi A5</t>
  </si>
  <si>
    <t>Validatore · dopo il trimestre</t>
  </si>
  <si>
    <t>A che cosa serve</t>
  </si>
  <si>
    <t>REPORT AL COMITATO</t>
  </si>
  <si>
    <t>Quadro</t>
  </si>
  <si>
    <t>commento di A1, sintesi di A5, segnalazioni da motivare, numeri</t>
  </si>
  <si>
    <t>stato della validazione; avviso rettifiche</t>
  </si>
  <si>
    <t>prima pagina: il quadro e il perche'</t>
  </si>
  <si>
    <t>Classifica</t>
  </si>
  <si>
    <t>score e urgenza</t>
  </si>
  <si>
    <t>valori validati</t>
  </si>
  <si>
    <t>rischi per score; lente di Mosca</t>
  </si>
  <si>
    <t>Radar_Mosca</t>
  </si>
  <si>
    <t>segnali netti (livello)</t>
  </si>
  <si>
    <t>score, azioni (Y), KRI</t>
  </si>
  <si>
    <t>anni di adeguamento, presidio, attenzione del supervisore</t>
  </si>
  <si>
    <t>quanto presto agire, quanto e' grande, livello di allerta</t>
  </si>
  <si>
    <t>Matrice</t>
  </si>
  <si>
    <t>Probabilita e Impatto</t>
  </si>
  <si>
    <t>gravita' dei rischi</t>
  </si>
  <si>
    <t>Delta</t>
  </si>
  <si>
    <t>confronto con il ciclo prima</t>
  </si>
  <si>
    <t>che cosa e' cambiato e perche'</t>
  </si>
  <si>
    <t>Fenomeni</t>
  </si>
  <si>
    <t>rischi in osservazione, entrati e usciti</t>
  </si>
  <si>
    <t>valori e decisioni sullo stato</t>
  </si>
  <si>
    <t>rischi fuori dal radar, perche', con il segnale</t>
  </si>
  <si>
    <t>Metodologia</t>
  </si>
  <si>
    <t>pesi e parametri (Parametri)</t>
  </si>
  <si>
    <t>come si leggono i numeri</t>
  </si>
  <si>
    <t>LAVORO</t>
  </si>
  <si>
    <t>Registro</t>
  </si>
  <si>
    <t>segnali netti (colonna Q)</t>
  </si>
  <si>
    <t>dimensioni, score, urgenza, KRI, rilievi</t>
  </si>
  <si>
    <t>righe 4-5; presidio (anagrafica)</t>
  </si>
  <si>
    <t>il ciclo corrente, un rischio per riga</t>
  </si>
  <si>
    <t>Storico, Indicatori</t>
  </si>
  <si>
    <t>si aggiornano</t>
  </si>
  <si>
    <t>score negli ultimi cicli; KRI del ciclo e storia di uno</t>
  </si>
  <si>
    <t>Notizie</t>
  </si>
  <si>
    <t>si aggiorna; sintesi e flag di A3</t>
  </si>
  <si>
    <t>pressione delle notizie, aree non presidiate, sintesi della settimana</t>
  </si>
  <si>
    <t>Piano_azioni</t>
  </si>
  <si>
    <t>azioni proposte da A1</t>
  </si>
  <si>
    <t>decisione; Stato In corso/Completata (foglio Azioni)</t>
  </si>
  <si>
    <t>tutte le azioni e la loro scadenza</t>
  </si>
  <si>
    <t>Osservazione</t>
  </si>
  <si>
    <t>si aggiorna</t>
  </si>
  <si>
    <t>rischi in osservazione e dove si concentrano (driver x categoria)</t>
  </si>
  <si>
    <t>righe delle notizie</t>
  </si>
  <si>
    <t>righe di rischi, KRI, azioni; stato dei rischi</t>
  </si>
  <si>
    <t>valori gialli, decisione sullo stato, Motivazione, Respingi (a mano)</t>
  </si>
  <si>
    <t>unico foglio da compilare: una riga per oggetto</t>
  </si>
  <si>
    <t>Parametri</t>
  </si>
  <si>
    <t>settimana corrente</t>
  </si>
  <si>
    <t>ciclo corrente; anagrafica H-K (= il radar)</t>
  </si>
  <si>
    <t>celle gialle</t>
  </si>
  <si>
    <t>pesi, soglie, urgenza, regola del radar, anagrafica</t>
  </si>
  <si>
    <t>Dizionario</t>
  </si>
  <si>
    <t>ogni dato: chi lo scrive, come si calcola</t>
  </si>
  <si>
    <t>DATI (solo lo script)</t>
  </si>
  <si>
    <t>RiskRegister</t>
  </si>
  <si>
    <t>valutazioni di A1; stato nel registro unico</t>
  </si>
  <si>
    <t>valori validati, decisione sullo stato</t>
  </si>
  <si>
    <t>una riga per rischio per ciclo, radar e osservazione</t>
  </si>
  <si>
    <t>Azioni</t>
  </si>
  <si>
    <t>delibera; Stato In corso/Completata a mano</t>
  </si>
  <si>
    <t>una riga per azione</t>
  </si>
  <si>
    <t>KRI</t>
  </si>
  <si>
    <t>KRI e valori riletti da A1</t>
  </si>
  <si>
    <t>rettifiche, KRI respinti</t>
  </si>
  <si>
    <t>storico, una riga per KRI per ciclo</t>
  </si>
  <si>
    <t>NewsLog</t>
  </si>
  <si>
    <t>notizie valutate da A3</t>
  </si>
  <si>
    <t>rettifiche (facoltative)</t>
  </si>
  <si>
    <t>una riga per notizia</t>
  </si>
  <si>
    <t>Sintesi_Cicli</t>
  </si>
  <si>
    <t>commento di A1 e di A5</t>
  </si>
  <si>
    <t>una riga per ciclo</t>
  </si>
  <si>
    <t>Sintesi_Settimane</t>
  </si>
  <si>
    <t>sintesi di A3 e flag proposti</t>
  </si>
  <si>
    <t>una riga per settimana</t>
  </si>
  <si>
    <t>Storico_Validazioni</t>
  </si>
  <si>
    <t>proposte delle notizie</t>
  </si>
  <si>
    <t>proposte di rischi, KRI, azioni</t>
  </si>
  <si>
    <t>decisioni (comando valida)</t>
  </si>
  <si>
    <t>una riga per oggetto e campo: proposta, valore deciso, motivo</t>
  </si>
  <si>
    <t>FILE A PARTE</t>
  </si>
  <si>
    <t>Schede_&lt;ciclo&gt;.xlsx</t>
  </si>
  <si>
    <t>testi di A6 dopo la validazione</t>
  </si>
  <si>
    <t>dati validati</t>
  </si>
  <si>
    <t>una scheda per rischio (comando schede)</t>
  </si>
  <si>
    <t>Giornaliero: la raccolta delle notizie riempie la cartella News_Inbox, non questo file. A4 (pareri su richiesta, in qualsiasi momento) non scrive qui: se un parere suggerisce di rivedere un rischio, la via e' il ciclo trimestrale successivo.</t>
  </si>
  <si>
    <t>QUANDO SI LANCIANO A5 E A6</t>
  </si>
  <si>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</si>
  <si>
    <t>A6 (schede): dopo la validazione del trimestre. Il comando schede-input prepara i dati validati; A6 scrive i testi; il comando schede li controlla e produce Schede_&lt;ciclo&gt;.xlsx. Senza A6 il comando schede produce comunque le schede con i testi del registro.</t>
  </si>
  <si>
    <t>DOVE SI SCRIVE A MANO (solo qui)</t>
  </si>
  <si>
    <t>Validazione: una riga per rischio, KRI, azione e notizia; si cambiano solo le celle gialle, la Motivazione e Respingi (istruzioni e criteri in testa al foglio), poi il comando valida.</t>
  </si>
  <si>
    <t>Parametri, celle gialle: pesi, soglie, urgenza (decisione della funzione di rischio); nell'anagrafica Owner, anni di adeguamento, attenzione del supervisore e presidio dei controlli (decisi dal validatore, restano da un ciclo all'altro).</t>
  </si>
  <si>
    <t>Azioni, colonna Stato: avanzamento di un'azione approvata (In corso, Completata); il Piano_azioni si aggiorna da solo.</t>
  </si>
  <si>
    <t>Indicatori, cella N4: il KRI di cui guardare la storia.</t>
  </si>
  <si>
    <t>Testi delle tabelle dati, per correggerne la forma (D-76): RiskRegister Descrizione e Razionale (lasciando le etichette RISCHIO:, IMPATTO:...); KRI Nome, Unita, Fonte_Dati, Razionale, Nota_Rilevazione; Azioni Descrizione e Razionale; RiskRegister Segnale_Avvicinamento dei rischi in osservazione. Mai ID, numeri, date, Validazione o righe intere. Non resta traccia automatica: dopo, salvare, chiudere e lanciare  python esegui_ciclo_locale.py baseline  (riallinea baseline e knowledge di A7).</t>
  </si>
  <si>
    <t>Valori di un ciclo gia' validato (punteggi, decisione sullo stato, KRI, owner e orizzonte delle azioni): non qui, ma con  python esegui_ciclo_locale.py riapri, poi la griglia del foglio Validazione e valida, quante volte serve.</t>
  </si>
  <si>
    <t>Tutto il resto lo scrive lo script o e' una formula: non modificarlo.</t>
  </si>
  <si>
    <t>REGOLE</t>
  </si>
  <si>
    <t>1. Score composito, urgenza e stato dei KRI li calcola il foglio. Nessun agente li fornisce.</t>
  </si>
  <si>
    <t>2. Solo un ciclo (trimestrale o straordinario) cambia uno score, al massimo di un punto per dimensione e con un'evidenza datata; fuori dai cicli solo la funzione di rischio, riaprendo la validazione (riapri, con la motivazione, D-76).</t>
  </si>
  <si>
    <t>3. Prima di leggere i numeri guardare Registro righe 4 e 5: ciclo non validato o incompleto = numeri non definitivi.</t>
  </si>
  <si>
    <t>4. Il trimestre dopo non parte finche' quello prima non e' validato (lo script si ferma e lo dice).</t>
  </si>
  <si>
    <t>5. I grafici hanno scala fissa: cicli diversi si confrontano a colpo d'occhio.</t>
  </si>
  <si>
    <t>6. Un rischio si toglie solo con il comando dismetti, mai svuotando righe dell'anagrafica.</t>
  </si>
  <si>
    <t>PRIMO USO REALE</t>
  </si>
  <si>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</si>
  <si>
    <t>Generato da 03_Excel/genera_dashboard.py (versione della struttura 2026-10-09). Per rifarlo a mano: 03_Excel/costruzione_manuale_template.md.</t>
  </si>
  <si>
    <r>
      <rPr>
        <b/>
        <sz val="10"/>
        <color rgb="FF1F4E79"/>
        <rFont val="Calibri"/>
      </rPr>
      <t>CICLO TRIMESTRALE — calcolato dal foglio sui valori del ciclo; nessun agente ordina o stima l'urgenza.</t>
    </r>
    <r>
      <rPr>
        <sz val="10"/>
        <color rgb="FF262626"/>
        <rFont val="Calibri"/>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</si>
  <si>
    <t>Lente di Mosca: chi e' in ritardo, e di quanto (anni)</t>
  </si>
  <si>
    <t>Pos.</t>
  </si>
  <si>
    <t>ID</t>
  </si>
  <si>
    <t>Nome</t>
  </si>
  <si>
    <t>Score composito</t>
  </si>
  <si>
    <t>Score ciclo prima</t>
  </si>
  <si>
    <t>Δ score</t>
  </si>
  <si>
    <t>Esito</t>
  </si>
  <si>
    <t>Urgenza (Mosca)</t>
  </si>
  <si>
    <t>Margine Z-(X+Y), anni</t>
  </si>
  <si>
    <t>Owner</t>
  </si>
  <si>
    <t>Etichetta del grafico</t>
  </si>
  <si>
    <t>Chiave d'ordine</t>
  </si>
  <si>
    <t>Posizione in anagrafica</t>
  </si>
  <si>
    <t>Barra: agire ora</t>
  </si>
  <si>
    <t>Barra: entro l'anno</t>
  </si>
  <si>
    <t>Barra: con margine</t>
  </si>
  <si>
    <t>X anni</t>
  </si>
  <si>
    <t>Y anni</t>
  </si>
  <si>
    <t>Z anni</t>
  </si>
  <si>
    <t>Da affrontare subito</t>
  </si>
  <si>
    <t>Chiave della lente</t>
  </si>
  <si>
    <t>Posizione nella lente</t>
  </si>
  <si>
    <t>Etichetta della lente</t>
  </si>
  <si>
    <t>X</t>
  </si>
  <si>
    <t>Y entro Z</t>
  </si>
  <si>
    <t>Y oltre Z</t>
  </si>
  <si>
    <t>Z</t>
  </si>
  <si>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</si>
  <si>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</si>
  <si>
    <r>
      <rPr>
        <b/>
        <sz val="10"/>
        <color rgb="FF1F4E79"/>
        <rFont val="Calibri"/>
      </rPr>
      <t>CICLO TRIMESTRALE — calcolato dal foglio: Z dalla Prossimita', Y dalle azioni o dagli anni di adeguamento.</t>
    </r>
    <r>
      <rPr>
        <sz val="10"/>
        <color rgb="FF262626"/>
        <rFont val="Calibri"/>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categoria di rischio. Parametri: foglio Parametri, righe 47-63.</t>
    </r>
  </si>
  <si>
    <t>Categoria</t>
  </si>
  <si>
    <t>Impatto</t>
  </si>
  <si>
    <t>Probabilita</t>
  </si>
  <si>
    <t>P x I</t>
  </si>
  <si>
    <t>Prossimita</t>
  </si>
  <si>
    <t>Z anni alla manifestazione</t>
  </si>
  <si>
    <t>X anni per decidere</t>
  </si>
  <si>
    <t>Y anni per mitigare (azioni o adeguamento)</t>
  </si>
  <si>
    <t>Margine Z-(X+Y)</t>
  </si>
  <si>
    <t>Settore</t>
  </si>
  <si>
    <t>Posizione nel settore</t>
  </si>
  <si>
    <t>Rischi nel settore</t>
  </si>
  <si>
    <t>Angolo</t>
  </si>
  <si>
    <t>Raggio</t>
  </si>
  <si>
    <t>x</t>
  </si>
  <si>
    <t>y</t>
  </si>
  <si>
    <t>Attenzione del supervisore</t>
  </si>
  <si>
    <t>F1 AGIRE ORA</t>
  </si>
  <si>
    <t>F2 KRI in rosso</t>
  </si>
  <si>
    <t>F3 notizie ▲</t>
  </si>
  <si>
    <t>A1 P x I alta</t>
  </si>
  <si>
    <t>A2 presidio assente</t>
  </si>
  <si>
    <t>A3 KRI in ambra o rosso</t>
  </si>
  <si>
    <t>Livello di allerta</t>
  </si>
  <si>
    <t>Motivo del livello</t>
  </si>
  <si>
    <t>dentro il cerchio rosso: AGIRE ORA (X + Y &gt; Z)</t>
  </si>
  <si>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Settori = categorie della tassonomia interna (9.1 ... 9.13; un rischio FP, fuori perimetro, non compare). NFR-nn = codice del rischio; ◆ = tema all'attenzione del supervisore (BCE, EBA, Banca d'Italia), indicato dal validatore.</t>
  </si>
  <si>
    <r>
      <rPr>
        <b/>
        <sz val="10"/>
        <color rgb="FF1F4E79"/>
        <rFont val="Calibri"/>
      </rPr>
      <t>CICLO TRIMESTRALE — calcolata dal foglio sui valori validati di Probabilita e Impatto.</t>
    </r>
    <r>
      <rPr>
        <sz val="10"/>
        <color rgb="FF262626"/>
        <rFont val="Calibri"/>
      </rPr>
      <t xml:space="preserve">
Come si legge: ogni rischio nella cella della sua Probabilita (righe) e Impatto (colonne); colore = P x I (verde fino a 6, ambra 8-12, rosso da 15). Dice la gravita', non l'urgenza (quella e' nel radar). Sotto, i rischi dal piu' grave.</t>
    </r>
  </si>
  <si>
    <t>Quasi certa</t>
  </si>
  <si>
    <t>Probabile</t>
  </si>
  <si>
    <t>Possibile</t>
  </si>
  <si>
    <t>Improbabile</t>
  </si>
  <si>
    <t>Remota</t>
  </si>
  <si>
    <t>Limitato</t>
  </si>
  <si>
    <t>Contenuto</t>
  </si>
  <si>
    <t>Rilevante</t>
  </si>
  <si>
    <t>Grave</t>
  </si>
  <si>
    <t>Critico</t>
  </si>
  <si>
    <t>I rischi, dal piu' grave</t>
  </si>
  <si>
    <t>P · S</t>
  </si>
  <si>
    <t>Legenda — P = Probabilita, I = Impatto, P x I = Probabilita x Impatto, da 1 a 25; verde fino a 6, ambra da 8 a 12, rosso da 15. NFR-nn = codice del rischio; ◆ = tema all'attenzione del supervisore (BCE, EBA, Banca d'Italia), indicato dal validatore.</t>
  </si>
  <si>
    <r>
      <rPr>
        <b/>
        <sz val="10"/>
        <color rgb="FF1F4E79"/>
        <rFont val="Calibri"/>
      </rPr>
      <t>CICLO TRIMESTRALE — solo formule: ciclo corrente contro il precedente.</t>
    </r>
    <r>
      <rPr>
        <sz val="10"/>
        <color rgb="FF262626"/>
        <rFont val="Calibri"/>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</si>
  <si>
    <t>Perche' varia (o no), nello stesso ordine</t>
  </si>
  <si>
    <t>Δ Imp</t>
  </si>
  <si>
    <t>Δ Prob</t>
  </si>
  <si>
    <t>Δ Pross</t>
  </si>
  <si>
    <t>Δ Vel</t>
  </si>
  <si>
    <t>Δ Score</t>
  </si>
  <si>
    <t>Chiave</t>
  </si>
  <si>
    <t>Etichetta</t>
  </si>
  <si>
    <t>In aumento</t>
  </si>
  <si>
    <t>In diminuzione</t>
  </si>
  <si>
    <t>Invariato</t>
  </si>
  <si>
    <t>Δ</t>
  </si>
  <si>
    <t>Motivo, con l'evidenza</t>
  </si>
  <si>
    <t>Dettaglio per dimensione</t>
  </si>
  <si>
    <t>Δ Impatto</t>
  </si>
  <si>
    <t>Δ Probabilita</t>
  </si>
  <si>
    <t>Δ Prossimita'</t>
  </si>
  <si>
    <t>Δ Velocity</t>
  </si>
  <si>
    <t>Nota</t>
  </si>
  <si>
    <t>Legenda — Δ = variazione sul ciclo precedente; #N/D = valore assente in uno dei due cicli (nuovo o Velocity n.v.); rosso = in aumento, blu = in diminuzione. NFR-nn = codice del rischio; ◆ = tema all'attenzione del supervisore (BCE, EBA, Banca d'Italia), indicato dal validatore.</t>
  </si>
  <si>
    <r>
      <rPr>
        <b/>
        <sz val="10"/>
        <color rgb="FF1F4E79"/>
        <rFont val="Calibri"/>
      </rPr>
      <t>CICLO TRIMESTRALE — A1 valuta i rischi in osservazione quando trova evidenza nuova, il validatore decide; lo stato (radar o osservazione) lo calcola lo script con la regola di Parametri (D-79).</t>
    </r>
    <r>
      <rPr>
        <sz val="10"/>
        <color rgb="FF262626"/>
        <rFont val="Calibri"/>
      </rPr>
      <t xml:space="preserve">
I rischi del registro rimasti fuori dal radar: stessa scala e stesso score dei rischi del radar, niente KRI ne' azioni. Per ognuno: perche' e' fuori (quale soglia di Prossimita o Probabilita manca, o la capienza), l'orizzonte stimato e il segnale che lo farebbe salire. Dal piu' alto per score; in fondo chi e' entrato o uscito dal radar nel ciclo.</t>
    </r>
  </si>
  <si>
    <t>Imp · Prob · Pross · Vel</t>
  </si>
  <si>
    <t>Perché fuori dal radar</t>
  </si>
  <si>
    <t>Orizzonte</t>
  </si>
  <si>
    <t>Segnale che lo porterebbe nel radar</t>
  </si>
  <si>
    <t>Driver</t>
  </si>
  <si>
    <t>Notizie A3 (4 sett.)</t>
  </si>
  <si>
    <t>Entrati e usciti dal radar in questo ciclo</t>
  </si>
  <si>
    <t>Movimento</t>
  </si>
  <si>
    <t>Motivo (regola, D-79)</t>
  </si>
  <si>
    <t>Legenda — Registro unico (D-79): tutti i rischi hanno la stessa scala (Impatto, Probabilita, Prossimita, Velocity; — = non valutata) e lo stesso score; nel radar di Mosca entrano quelli con Prossimita e Probabilita alle soglie di Parametri, fino alla capienza, piu' le eccezioni (AGIRE ORA, tema del supervisore, decisione del validatore). Gli altri restano qui, senza KRI ne' azioni, con l'orizzonte stimato e il segnale che li porterebbe nel radar. Notizie A3 = notizie delle ultime 4 settimane collegate al rischio (foglio Notizie).</t>
  </si>
  <si>
    <r>
      <rPr>
        <b/>
        <sz val="10"/>
        <color rgb="FF404040"/>
        <rFont val="Calibri"/>
      </rPr>
      <t>COME SI LEGGONO I NUMERI DEL REPORT — scale e regole dalla rubrica del pacchetto, pesi e parametri letti dal foglio Parametri: sono sempre quelli in vigore.</t>
    </r>
    <r>
      <rPr>
        <sz val="10"/>
        <color rgb="FF262626"/>
        <rFont val="Calibri"/>
      </rPr>
      <t xml:space="preserve">
Nessun punteggio composito, urgenza o stato di un KRI e' stimato da un agente: li calcola il foglio.</t>
    </r>
  </si>
  <si>
    <t>CHI PRODUCE I NUMERI</t>
  </si>
  <si>
    <t>Ciclo trimestrale</t>
  </si>
  <si>
    <t>A1 legge le fonti e valuta ogni rischio; lo script verifica le regole (si ferma solo se il registro diventerebbe incoerente) e scrive nel registro; A5, un secondo agente facoltativo che vede solo la valutazione e la baseline, la controlla con nove controlli. Le segnalazioni dei controlli e di A5 passano al validatore, che accetta, rettifica o respinge ogni valore proposto e motiva le segnalazioni da motivare (D-71).</t>
  </si>
  <si>
    <t>Ciclo settimanale</t>
  </si>
  <si>
    <t>A3 valuta le notizie della settimana. Le notizie non cambiano nessuno score: segnalano temi e direzioni da portare al trimestre successivo.</t>
  </si>
  <si>
    <t>Schede dei rischi</t>
  </si>
  <si>
    <t>Dopo la validazione, A6 scrive i testi estesi delle schede (descrizione, spiegazione di ogni punteggio, a cosa serve ogni fonte) sui dati validati; lo script controlla che non cambi numeri ne' fonti e produce il file delle schede.</t>
  </si>
  <si>
    <t>Calcoli del foglio</t>
  </si>
  <si>
    <t>Score composito, urgenza, classifica e stato dei KRI li calcola il foglio con i parametri qui sotto: nessun agente li stima. Ogni dato e' spiegato nel foglio Dizionario.</t>
  </si>
  <si>
    <t>FONTI ED EVIDENZE</t>
  </si>
  <si>
    <t>Da dove</t>
  </si>
  <si>
    <t>Analisi interne della Banca (audit, test, incidenti, report delle funzioni), notizie raccolte ogni giorno dalle fonti del catalogo approvato (codici FNT) e siti pubblici configurati. Ogni rischio cita le sue fonti con data, tipo (Interna o Esterna) e rilevanza (file delle schede).</t>
  </si>
  <si>
    <t>Evidenza nuova</t>
  </si>
  <si>
    <t>Solo cio' che e' datato dopo la data di riferimento del ciclo precedente e non dopo quella del ciclo corrente. Senza evidenza nuova il punteggio resta quello del ciclo prima.</t>
  </si>
  <si>
    <t>Cosa non e' evidenza</t>
  </si>
  <si>
    <t>La copertura mediatica (dieci articoli sullo stesso fatto sono un fatto) e le frasi generiche. Un numero senza fonte e' una valutazione e il razionale lo dichiara.</t>
  </si>
  <si>
    <t>Rilevanza delle fonti</t>
  </si>
  <si>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</si>
  <si>
    <t>ANALISI PER DIMENSIONI</t>
  </si>
  <si>
    <t>Principio</t>
  </si>
  <si>
    <t>Un rischio per ogni meccanismo di perdita sostenuto da almeno una fonte specifica, anche piu' d'uno nella stessa categoria; nessuna categoria e' obbligatoria. Ogni rischio e' valutato su quattro dimensioni, intere da 1 a 5 (5 = peggiore): per ognuna il descrittore piu' aderente all'evidenza, senza interpolare. Solo cio' che le fonti sostengono (D-49).</t>
  </si>
  <si>
    <t>Quanto danno, se il rischio si manifesta?</t>
  </si>
  <si>
    <t>Quanto e' plausibile che accada alla Banca? (da Remota a Quasi certa; 4-5 solo se la Banca e' esposta)</t>
  </si>
  <si>
    <t>Quando puo' manifestarsi? 4-5 solo con casi documentati o un evento certo, salvo fenomeni ad altissimo impatto dichiarati (da' anche la Z dell'urgenza)</t>
  </si>
  <si>
    <t>Velocity</t>
  </si>
  <si>
    <t>Quanto in fretta arriva il pieno impatto dopo l'innesco? Facoltativa: n.v. (non valutata) se nessuna fonte ne documenta i tempi; conta di piu' con i cicli, man mano che l'evidenza arriva.</t>
  </si>
  <si>
    <t>Anni di adeguamento</t>
  </si>
  <si>
    <t>Anni di un adeguamento strutturale della Banca (migrazione, sostituzione di sistemi, uscita da un fornitore): li stima A1, li decide il validatore e vanno nell'anagrafica (D-60). Non sono uno score: allungano la Y dell'urgenza.</t>
  </si>
  <si>
    <t>Presidio dei controlli</t>
  </si>
  <si>
    <t>Giudizio qualitativo della Banca sui controlli esistenti (Non verificato, Adeguato, Parziale, Assente), scritto dal validatore nell'anagrafica: gli agenti non vedono i controlli interni. Si legge nel Registro e nelle schede; non entra nello score.</t>
  </si>
  <si>
    <t>SCORE COMPOSITO</t>
  </si>
  <si>
    <t>Che cos'e'</t>
  </si>
  <si>
    <t>Media pesata delle dimensioni valutate, da 1 a 5, calcolata dal foglio: se la Velocity non e' valutata, il suo peso si ridistribuisce su Impatto, Probabilita e Prossimita. I pesi valgono per tutti i cicli, passati compresi: il trend resta confrontabile.</t>
  </si>
  <si>
    <t>Peso Impatto</t>
  </si>
  <si>
    <t>Peso Probabilita</t>
  </si>
  <si>
    <t>Peso Prossimita</t>
  </si>
  <si>
    <t>Peso Velocity (se valutata)</t>
  </si>
  <si>
    <t>Somma dei pesi</t>
  </si>
  <si>
    <t>SCALE (descrittori della rubrica)</t>
  </si>
  <si>
    <t>Impatto — danno se il rischio si manifesta</t>
  </si>
  <si>
    <t xml:space="preserve">  1</t>
  </si>
  <si>
    <t>Limitato: nessun cliente toccato, perdita entro 100.000 euro.</t>
  </si>
  <si>
    <t xml:space="preserve">  2</t>
  </si>
  <si>
    <t>Contenuto: alcuni clienti coinvolti o un processo non critico.</t>
  </si>
  <si>
    <t xml:space="preserve">  3</t>
  </si>
  <si>
    <t>Rilevante: processo critico degradato o clientela ampia; segnalazione all'autorita' possibile.</t>
  </si>
  <si>
    <t xml:space="preserve">  4</t>
  </si>
  <si>
    <t>Grave: interruzione di una funzione essenziale, sanzione probabile, danno reputazionale nazionale.</t>
  </si>
  <si>
    <t xml:space="preserve">  5</t>
  </si>
  <si>
    <t>Critico: effetto sulla continuita', sui prodotti o sulla solvibilita' della Banca; intervento dell'autorita' certo.</t>
  </si>
  <si>
    <t>Probabilita — plausibilita' per la Banca</t>
  </si>
  <si>
    <t>Remota: solo teorica, nessun caso noto.</t>
  </si>
  <si>
    <t>Improbabile: casi solo in altri settori o paesi, o Banca poco esposta.</t>
  </si>
  <si>
    <t>Possibile: casi in altri settori anche non finanziari; Banca esposta.</t>
  </si>
  <si>
    <t>Probabile: casi ripetuti in aziende strutturate o banche, o crescita del fenomeno documentata.</t>
  </si>
  <si>
    <t>Quasi certa: gia' osservato presso istituzioni finanziarie o la loro filiera, anche di fornitori, o fenomeno in rapida accelerazione.</t>
  </si>
  <si>
    <t>Prossimita — quando puo' manifestarsi</t>
  </si>
  <si>
    <t>Oltre 3 anni.</t>
  </si>
  <si>
    <t>Da 2 a 3 anni.</t>
  </si>
  <si>
    <t>Da 1 a 2 anni.</t>
  </si>
  <si>
    <t>Entro 12 mesi.</t>
  </si>
  <si>
    <t>In corso o imminente presso la Banca, la sua filiera o aziende ampie e complesse.</t>
  </si>
  <si>
    <t>Velocity — tempo fra innesco e pieno impatto</t>
  </si>
  <si>
    <t>Oltre 12 mesi.</t>
  </si>
  <si>
    <t>Da 6 a 12 mesi.</t>
  </si>
  <si>
    <t>Da 3 a 6 mesi.</t>
  </si>
  <si>
    <t>Da 1 a 3 mesi.</t>
  </si>
  <si>
    <t>Entro 1 mese.</t>
  </si>
  <si>
    <t>Rilevanza di ogni fonte per la previsione (1-3, D-58)</t>
  </si>
  <si>
    <t>Bassa: stampa generalista, opinioni.</t>
  </si>
  <si>
    <t>Media: fonte specializzata con dati o casi (report di settore, threat intelligence).</t>
  </si>
  <si>
    <t>Alta: regolatore o autorita', consorzio di dati (es. ORX); caso documentato presso la Banca, una banca comparabile o un fornitore.</t>
  </si>
  <si>
    <t>REGOLE DI VARIAZIONE FRA CICLI</t>
  </si>
  <si>
    <t>1. Senza evidenza nuova il valore resta quello del ciclo precedente.</t>
  </si>
  <si>
    <t>2. Al massimo un punto per dimensione fra due cicli consecutivi; una Velocity prima null entra con qualunque valore.</t>
  </si>
  <si>
    <t>3. Ogni valore cambiato cita un'evidenza specifica datata dopo il ciclo precedente; frasi generiche non sono evidenza.</t>
  </si>
  <si>
    <t>4. Una riduzione ha lo stesso onere di un aumento: l'Impatto scende solo se cambia il danno possibile.</t>
  </si>
  <si>
    <t>5. Confermare = riprendere le fonti che giustificavano il valore; se non valgono piu', il valore va rivisto.</t>
  </si>
  <si>
    <t>6. La copertura mediatica non e' evidenza.</t>
  </si>
  <si>
    <t>7. Un numero nel razionale cita la sua fonte, o e' dichiarato come valutazione.</t>
  </si>
  <si>
    <t>URGENZA: DISUGUAGLIANZA DI MOSCA</t>
  </si>
  <si>
    <t>Se il tempo necessario per decidere (X) e per mitigare (Y) supera il tempo prima che il rischio possa manifestarsi (Z), cioe' X + Y &gt; Z, si e' gia' in ritardo anche se l'evento non e' imminente (M. Mosca, 2015, per la migrazione alla crittografia post-quantistica).</t>
  </si>
  <si>
    <t>X: anni per decidere e avviare</t>
  </si>
  <si>
    <t>Y: anni per mitigare</t>
  </si>
  <si>
    <t>L'orizzonte piu' lungo delle azioni del ciclo non respinte (3, 6 o 12 mesi); se il rischio non ha azioni, la riserva qui sotto; se l'anagrafica indica anni di adeguamento strutturale (stimati da A1 e validati) e sono di piu', quelli.</t>
  </si>
  <si>
    <t>Y di riserva (anni)</t>
  </si>
  <si>
    <t>Z per Prossimita 1 (anni, meta' della fascia)</t>
  </si>
  <si>
    <t>Z per Prossimita 2 (anni, meta' della fascia)</t>
  </si>
  <si>
    <t>Z per Prossimita 3 (anni, meta' della fascia)</t>
  </si>
  <si>
    <t>Z per Prossimita 4 (anni, meta' della fascia)</t>
  </si>
  <si>
    <t>Z per Prossimita 5 (anni, meta' della fascia)</t>
  </si>
  <si>
    <t>Margine = Z - (X + Y). Sotto zero: AGIRE ORA. Da 0 a 1 anno: agire entro l'anno. Oltre: margine in anni.</t>
  </si>
  <si>
    <t>Limite</t>
  </si>
  <si>
    <t>Z e' la meta' della fascia della Prossimita (D-59: 3,5 anni per 'oltre 3 anni' e' una convenzione) e Y viene da orizzonti a scaglioni o dagli anni di adeguamento: l'urgenza e' una graduatoria ancorata, non una previsione.</t>
  </si>
  <si>
    <t>LIVELLO DI ALLERTA (colore del radar)</t>
  </si>
  <si>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</si>
  <si>
    <t>Attivazione (rosso)</t>
  </si>
  <si>
    <t>Attenzione (giallo)</t>
  </si>
  <si>
    <t>Monitoraggio (verde)</t>
  </si>
  <si>
    <t>Gli altri casi: ciclo trimestrale ordinario.</t>
  </si>
  <si>
    <t>Verso e soglie</t>
  </si>
  <si>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</si>
  <si>
    <t>Fonte</t>
  </si>
  <si>
    <t>Ogni KRI ha una fonte dati identificabile; A1 rilegge i valori che trova, gli altri restano Non rilevato.</t>
  </si>
  <si>
    <t>REGISTRO UNICO: RADAR E OSSERVAZIONE (pagina Fenomeni)</t>
  </si>
  <si>
    <t>Un solo registro di rischi, tutti valutati con la stessa rubrica e lo stesso score (D-79). I rischi nel radar di Mosca hanno la gestione completa (KRI, azioni, urgenza, schede); gli altri sono in osservazione: niente KRI ne' azioni, fuori da radar, classifica e urgenza, con l'orizzonte stimato e il segnale che li porterebbe nel radar.</t>
  </si>
  <si>
    <t>Chi entra nel radar</t>
  </si>
  <si>
    <t>Come cambia</t>
  </si>
  <si>
    <t>COME SI LEGGONO I GRAFICI</t>
  </si>
  <si>
    <t>Una barra per rischio, dal piu' alto per score composito; colore = esito dell'urgenza; freccia = variazione sul ciclo prima.</t>
  </si>
  <si>
    <t>Lente di Mosca</t>
  </si>
  <si>
    <t>Colonna = X + Y (tempo necessario), rombo = Z (tempo disponibile), dal piu' in ritardo: la parte rossa della colonna sfora il tempo disponibile.</t>
  </si>
  <si>
    <t>Radar di Mosca</t>
  </si>
  <si>
    <t>Piu' vicino al centro = agire prima (dentro il cerchio rosso: X + Y &gt; Z). Area del cerchio = Probabilita x Impatto (riferimenti 4, 12, 25 nel grafico); colore = livello di allerta; ◆ accanto all'ID = tema all'attenzione del supervisore (BCE, EBA, Banca d'Italia), indicato dal validatore. Settore = categoria della tassonomia interna, con il nome.</t>
  </si>
  <si>
    <t>Ogni rischio nella cella della sua Probabilita e Impatto; colore = P x I (verde fino a 6, ambra 8-12, rosso da 15). Dice la gravita', non l'urgenza.</t>
  </si>
  <si>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</si>
  <si>
    <t>VALIDAZIONE</t>
  </si>
  <si>
    <t>Ogni valore proposto dagli agenti passa dal validatore, una riga per rischio (nel radar o in osservazione),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</si>
  <si>
    <r>
      <rPr>
        <b/>
        <sz val="10"/>
        <color rgb="FF262626"/>
        <rFont val="Calibri"/>
      </rPr>
      <t>CICLO TRIMESTRALE (dimensioni, score, urgenza, KRI, rilievi) · CICLO SETTIMANALE (colonna Q: segnali netti) · VALIDATORE (riga 4, presidio e anagrafica).</t>
    </r>
    <r>
      <rPr>
        <sz val="10"/>
        <color rgb="FF262626"/>
        <rFont val="Calibri"/>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</si>
  <si>
    <t>VALIDAZIONE DEL CICLO</t>
  </si>
  <si>
    <t>Righe da validare</t>
  </si>
  <si>
    <t>Rettifiche applicate</t>
  </si>
  <si>
    <t>CONTROLLO DI COPERTURA</t>
  </si>
  <si>
    <t>Rischi in anagrafica</t>
  </si>
  <si>
    <t>Valutati nel ciclo</t>
  </si>
  <si>
    <t>Dimensioni 1-5 (A1, validate)</t>
  </si>
  <si>
    <t>Calcolati dal foglio</t>
  </si>
  <si>
    <t>Sup.</t>
  </si>
  <si>
    <t>KRI del ciclo</t>
  </si>
  <si>
    <t>Notizie · 4 settimane</t>
  </si>
  <si>
    <t>Banca</t>
  </si>
  <si>
    <t>A5 e controlli</t>
  </si>
  <si>
    <t>Anagrafica</t>
  </si>
  <si>
    <t>Imp</t>
  </si>
  <si>
    <t>Prob</t>
  </si>
  <si>
    <t>Pross</t>
  </si>
  <si>
    <t>Vel</t>
  </si>
  <si>
    <t>Δ ciclo prima</t>
  </si>
  <si>
    <t>Δ 6 mesi</t>
  </si>
  <si>
    <t>Margine (anni)</t>
  </si>
  <si>
    <t>◆</t>
  </si>
  <si>
    <t>R</t>
  </si>
  <si>
    <t>A</t>
  </si>
  <si>
    <t>V</t>
  </si>
  <si>
    <t>Segnali netti</t>
  </si>
  <si>
    <t>Presidio</t>
  </si>
  <si>
    <t>Rilievi</t>
  </si>
  <si>
    <t>ScorePrec</t>
  </si>
  <si>
    <t>Score2</t>
  </si>
  <si>
    <t>Netti</t>
  </si>
  <si>
    <t>Badge</t>
  </si>
  <si>
    <t>Posizione del k-esimo</t>
  </si>
  <si>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Categoria = tassonomia interna della Banca (9.1 ... 9.13; FP fuori perimetro). X = anni per decidere e avviare la mitigazione (un trimestre); Y = anni per mitigare (azioni o adeguamento strutturale); Z = anni prima che il rischio possa manifestarsi (dalla Prossimita); AGIRE ORA = X + Y &gt; Z.</t>
  </si>
  <si>
    <r>
      <rPr>
        <b/>
        <sz val="10"/>
        <color rgb="FF1F4E79"/>
        <rFont val="Calibri"/>
      </rPr>
      <t>CICLO TRIMESTRALE — solo formule: score composito di ogni rischio negli ultimi otto cicli.</t>
    </r>
    <r>
      <rPr>
        <sz val="10"/>
        <color rgb="FF262626"/>
        <rFont val="Calibri"/>
      </rPr>
      <t xml:space="preserve">
Scala fissa 0-5. Un punto mancante = rischio non valutato in quel ciclo, non score zero. I cicli passati sono ricalcolati con i pesi in vigore: il trend resta confrontabile.</t>
    </r>
  </si>
  <si>
    <r>
      <rPr>
        <b/>
        <sz val="10"/>
        <color rgb="FF1F4E79"/>
        <rFont val="Calibri"/>
      </rPr>
      <t>CICLO TRIMESTRALE — solo formule: a sinistra i KRI in vigore nel ciclo corrente (A1 rilegge il valore a ogni ciclo); a destra la storia di un KRI, da scegliere in N4 (unica cella gialla; anche uno uscito di vigore).</t>
    </r>
    <r>
      <rPr>
        <sz val="10"/>
        <color rgb="FF262626"/>
        <rFont val="Calibri"/>
      </rPr>
      <t xml:space="preserve">
Stato: Verde sotto la soglia di attenzione, Ambra fino all'allerta, Rosso oltre, Non rilevato senza valore (mai zero), Soglie da definire finche' la Banca non le fissa in validazione. Tendenza sul ciclo prima: valori crescenti = peggio (▲ peggiora).</t>
    </r>
  </si>
  <si>
    <t>Verde</t>
  </si>
  <si>
    <t>Ambra</t>
  </si>
  <si>
    <t>Rosso</t>
  </si>
  <si>
    <t>Non rilevato</t>
  </si>
  <si>
    <t>Soglie da definire</t>
  </si>
  <si>
    <t>KRI da guardare</t>
  </si>
  <si>
    <t>NFR-01-K1</t>
  </si>
  <si>
    <t>KRI_ID</t>
  </si>
  <si>
    <t>Unita'</t>
  </si>
  <si>
    <t>Soglia attenzione</t>
  </si>
  <si>
    <t>Soglia allerta</t>
  </si>
  <si>
    <t>Valore</t>
  </si>
  <si>
    <t>Data rilevazione</t>
  </si>
  <si>
    <t>Stato</t>
  </si>
  <si>
    <t>Valore ciclo precedente</t>
  </si>
  <si>
    <t>Tendenza</t>
  </si>
  <si>
    <t>Tipo</t>
  </si>
  <si>
    <t>Fonte dati</t>
  </si>
  <si>
    <t>Definito nel ciclo</t>
  </si>
  <si>
    <t>Ultima fotografia</t>
  </si>
  <si>
    <t>Ciclo</t>
  </si>
  <si>
    <t>Fonte rilevazione</t>
  </si>
  <si>
    <r>
      <rPr>
        <b/>
        <sz val="10"/>
        <color rgb="FF375623"/>
        <rFont val="Calibri"/>
      </rPr>
      <t>CICLO SETTIMANALE — solo formule sulle notizie delle ultime 4 settimane (foglio NewsLog, scritto dopo A3).</t>
    </r>
    <r>
      <rPr>
        <sz val="10"/>
        <color rgb="FF262626"/>
        <rFont val="Calibri"/>
      </rPr>
      <t xml:space="preserve">
Per categoria quante notizie e quanto forti. AREA NON PRESIDIATA = notizie di intensita' 2 o piu' su una categoria senza rischi nel registro: tema da portare al prossimo ciclo trimestrale; In osservazione = nessun rischio nel radar, almeno uno in osservazione (D-79). Le notizie non cambiano score. A destra la sintesi di A3 della settimana corrente e i flag proposti, anche sui rischi in osservazione (foglio Sintesi_Settimane, D-66, D-79); in rosso la proposta di ciclo straordinario (D-75). A4 (pareri su richiesta) non scrive nel workbook.</t>
    </r>
  </si>
  <si>
    <t>Codice</t>
  </si>
  <si>
    <t>Intensita' max 4 sett. (0-3)</t>
  </si>
  <si>
    <t>Notizie con intensita' &gt;= 2</t>
  </si>
  <si>
    <t>Intensita' 1: nesso indiretto</t>
  </si>
  <si>
    <t>Intensita' 2: nesso diretto</t>
  </si>
  <si>
    <t>Intensita' 3: diretto e immediato</t>
  </si>
  <si>
    <t>Sintesi di A3 della settimana corrente</t>
  </si>
  <si>
    <t>9.1</t>
  </si>
  <si>
    <t>Condotta</t>
  </si>
  <si>
    <t>9.4</t>
  </si>
  <si>
    <t>Legale</t>
  </si>
  <si>
    <t>9.5</t>
  </si>
  <si>
    <t>Fiscale</t>
  </si>
  <si>
    <t>9.6</t>
  </si>
  <si>
    <t>Tecnologico</t>
  </si>
  <si>
    <t>9.7</t>
  </si>
  <si>
    <t>Sicurezza informatica</t>
  </si>
  <si>
    <t>9.8</t>
  </si>
  <si>
    <t>Sicurezza fisica</t>
  </si>
  <si>
    <t>Flag proposti da A3 (non cambiano score)</t>
  </si>
  <si>
    <t>9.9</t>
  </si>
  <si>
    <t>Terze parti</t>
  </si>
  <si>
    <t>9.11</t>
  </si>
  <si>
    <t>Employer</t>
  </si>
  <si>
    <t>9.13</t>
  </si>
  <si>
    <t>Processo</t>
  </si>
  <si>
    <t>Notizie non collegate a un rischio censito (4 settimane)</t>
  </si>
  <si>
    <t>Notizie di A3 sui rischi in osservazione (registro unico, D-79)</t>
  </si>
  <si>
    <t>Pressione settimanale (12 settimane)</t>
  </si>
  <si>
    <t>Settimana</t>
  </si>
  <si>
    <t>Peggiorativi</t>
  </si>
  <si>
    <t>Migliorativi</t>
  </si>
  <si>
    <t>Netto</t>
  </si>
  <si>
    <t>Proposta di ciclo straordinario di A3 (decide la funzione di rischio, D-75)</t>
  </si>
  <si>
    <t>Grafici: notizie per categoria (sopra) e segnali per settimana (sotto).</t>
  </si>
  <si>
    <r>
      <rPr>
        <b/>
        <sz val="10"/>
        <color rgb="FF7F6000"/>
        <rFont val="Calibri"/>
      </rPr>
      <t>CICLO TRIMESTRALE (A1 propone) · VALIDATORE (decide nel foglio Validazione; poi aggiorna lo Stato nel foglio Azioni).</t>
    </r>
    <r>
      <rPr>
        <sz val="10"/>
        <color rgb="FF262626"/>
        <rFont val="Calibri"/>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</si>
  <si>
    <t>La proposta (A1)</t>
  </si>
  <si>
    <t>La decisione (validazione) e l'avanzamento</t>
  </si>
  <si>
    <t>ID azione</t>
  </si>
  <si>
    <t>Azione</t>
  </si>
  <si>
    <t>Decisa il</t>
  </si>
  <si>
    <t>Scadenza</t>
  </si>
  <si>
    <t>Legenda — Orizzonte = tempo per completare l'azione; Scadenza = data della decisione + orizzonte (per le azioni approvate o in corso). Stato: giallo = da decidere nella validazione; azzurro = approvata; verde = in corso o completata; grigio = respinta o annullata.</t>
  </si>
  <si>
    <r>
      <rPr>
        <b/>
        <sz val="10"/>
        <color rgb="FF1F4E79"/>
        <rFont val="Calibri"/>
      </rPr>
      <t>CICLO TRIMESTRALE — solo formule sui rischi in osservazione del ciclo corrente (foglio RiskRegister, colonna Stato; registro unico, D-79).</t>
    </r>
    <r>
      <rPr>
        <sz val="10"/>
        <color rgb="FF262626"/>
        <rFont val="Calibri"/>
      </rPr>
      <t xml:space="preserve">
A sinistra i rischi fuori dal radar con le quattro dimensioni, lo score, il motivo dello stato, l'orizzonte e il segnale di avvicinamento, il razionale di A1; colonna O le notizie che A3 ha collegato a ogni rischio nelle ultime 4 settimane. A destra dove si concentrano: rischi in osservazione per driver e categoria e, sotto, i rischi del radar con lo stesso incrocio. Si validano nel foglio Validazione con gli altri rischi; si leggono nel report alla pagina Fenomeni.</t>
    </r>
  </si>
  <si>
    <t>Rischi in osservazione nel ciclo corrente (fuori dal radar: niente KRI ne' azioni), dallo score piu' alto</t>
  </si>
  <si>
    <t>Dove si concentrano i rischi in osservazione (driver x categoria)</t>
  </si>
  <si>
    <t>Imp.</t>
  </si>
  <si>
    <t>Prob.</t>
  </si>
  <si>
    <t>Pross.</t>
  </si>
  <si>
    <t>Vel.</t>
  </si>
  <si>
    <t>Perché fuori dal radar (regola, D-79)</t>
  </si>
  <si>
    <t>Orizz. (anni)</t>
  </si>
  <si>
    <t>Meccanismo (descrizione)</t>
  </si>
  <si>
    <t>Notizie di A3 (4 sett.)</t>
  </si>
  <si>
    <t>Totale</t>
  </si>
  <si>
    <t>Rischi del radar con lo stesso incrocio (anagrafica)</t>
  </si>
  <si>
    <t>Entrati e usciti dal radar nel ciclo corrente (colonna Movimento del RiskRegister)</t>
  </si>
  <si>
    <t>Un rischio con piu' driver conta in ogni driver. Una casella piena sopra e vuota sotto e' un tema che il radar non gestisce: il registro lo osserva. Codici delle categorie: foglio Parametri (tassonomia interna).</t>
  </si>
  <si>
    <t>Stato ora</t>
  </si>
  <si>
    <t>Legenda — Registro unico (D-79): stessa scala e stesso score dei rischi del radar. Un rischio entra nel radar se Prossimita e Probabilita raggiungono le soglie di Parametri (righe 65-75) e c'e' posto, o per eccezione (AGIRE ORA, tema del supervisore, decisione del validatore); esce dopo due cicli sotto la regola. Orizz. = anni stimati da A1 prima che possa manifestarsi. Storia completa: foglio RiskRegister (colonne Stato, Motivo_Stato, Movimento).</t>
  </si>
  <si>
    <r>
      <rPr>
        <b/>
        <sz val="10"/>
        <color rgb="FF7F6000"/>
        <rFont val="Calibri"/>
      </rPr>
      <t>VALIDATORE — dopo ogni ciclo trimestrale (obbligatorio: il ciclo dopo non parte finche' non e' validato) e, se si vuole, dopo ogni settimana per le notizie. Qui ci sono solo i periodi ancora da validare (riga 3). Per cambiare valori di un ciclo GIA' VALIDATO: python esegui_ciclo_locale.py riapri (D-76), poi qui come sempre e valida, quante volte serve; in riapertura il grigio e' il valore validato, non c'e' il limite di un punto e Respingi = Sì toglie un KRI o annulla un'azione.</t>
    </r>
    <r>
      <rPr>
        <sz val="10"/>
        <color rgb="FF262626"/>
        <rFont val="Calibri"/>
      </rPr>
      <t xml:space="preserve">
Come si valida: una riga per rischio (nel radar o in osservazione),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(non in riapertura),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Stato del rischio (D-79): la colonna Stato dice dove lo mette la regola e perche'; Decisione sullo stato = Automatico (vale la regola), Radar (resta o entra nel radar) o Osservazione (resta fuori), con la Motivazione; lo stato si ricalcola con valida.
Prima di decidere leggere i rilievi di A5 e dei controlli (colonna Rilievi del RiskRegister; rilievi del ciclo in Sintesi_Cicli; file Esito_controlli del ciclo). La proposta dell'agente non si cancella mai: le rettifiche motivate servono a migliorare gli agenti.</t>
    </r>
  </si>
  <si>
    <t>Imp. proposto</t>
  </si>
  <si>
    <t>Prob. proposto</t>
  </si>
  <si>
    <t>Pross. proposto</t>
  </si>
  <si>
    <t>Vel. proposto</t>
  </si>
  <si>
    <t>Anni adeg. proposto</t>
  </si>
  <si>
    <t>Anni adeg.</t>
  </si>
  <si>
    <t>Motivazione (se cambi un valore)</t>
  </si>
  <si>
    <t>Score composito (calcolato)</t>
  </si>
  <si>
    <t>Margine di Mosca Z−(X+Y), anni (calcolato)</t>
  </si>
  <si>
    <t>Segnalazioni dei controlli (script e A5, se usato): ⚑ DA MOTIVARE = Motivazione obbligatoria</t>
  </si>
  <si>
    <t>Stato nel registro unico (calcolato con la regola, D-79)</t>
  </si>
  <si>
    <t>Decisione in vigore</t>
  </si>
  <si>
    <t>Decisione sullo stato (Automatico = la regola)</t>
  </si>
  <si>
    <t>Indicatore</t>
  </si>
  <si>
    <t>Valore proposto</t>
  </si>
  <si>
    <t>Soglia att. proposto</t>
  </si>
  <si>
    <t>Soglia att.</t>
  </si>
  <si>
    <t>Soglia all. proposto</t>
  </si>
  <si>
    <t>Soglia all.</t>
  </si>
  <si>
    <t>Respingi</t>
  </si>
  <si>
    <t>Motivazione (se cambi un valore o respingi)</t>
  </si>
  <si>
    <t>Descrizione</t>
  </si>
  <si>
    <t>Owner proposto</t>
  </si>
  <si>
    <t>Owner (una funzione)</t>
  </si>
  <si>
    <t>Orizzonte proposto</t>
  </si>
  <si>
    <t>Notizia</t>
  </si>
  <si>
    <t>Titolo</t>
  </si>
  <si>
    <t>Rischio proposto</t>
  </si>
  <si>
    <t>Segnale proposto</t>
  </si>
  <si>
    <t>Segnale</t>
  </si>
  <si>
    <t>Lo stato di ogni riga (da decidere, applicata), chi ha validato e quando e, per ogni valore, la proposta e il valore deciso li registra il comando valida nel foglio dati Storico_Validazioni: non si scrive a mano.</t>
  </si>
  <si>
    <r>
      <rPr>
        <b/>
        <sz val="10"/>
        <color rgb="FF7F6000"/>
        <rFont val="Calibri"/>
      </rPr>
      <t>CELLE GIALLE = INPUT, decisi dalla funzione di rischio e registrati in DECISIONI.md.</t>
    </r>
    <r>
      <rPr>
        <sz val="10"/>
        <color rgb="FF262626"/>
        <rFont val="Calibri"/>
      </rPr>
      <t xml:space="preserve">
Pesi, soglie e parametri dell'urgenza valgono per tutti i cicli, passati compresi. Ciclo e settimana correnti li scrive lo script. Nessuna costante e' nascosta nelle formule. Righe 65-75: la regola del registro unico, chi entra nel radar di Mosca (D-79).</t>
    </r>
  </si>
  <si>
    <t>ANAGRAFICA DEI RISCHI NEL RADAR DI MOSCA (registro unico, D-79: lo script vi mette e toglie i rischi con la regola delle righe 65-75; quelli in osservazione stanno solo nel RiskRegister)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</si>
  <si>
    <t>Pesi dello Score_Composito (D-50)</t>
  </si>
  <si>
    <t>Tassonomia interna — categorie di rischio in perimetro (D-74)</t>
  </si>
  <si>
    <t>Event_Type</t>
  </si>
  <si>
    <t>Anni_Adeguamento</t>
  </si>
  <si>
    <t>Attenzione_Supervisore</t>
  </si>
  <si>
    <t>Presidio_Controlli</t>
  </si>
  <si>
    <t>NFR-01</t>
  </si>
  <si>
    <t>Frodi su pagamenti istantanei abilitate da AI generativa</t>
  </si>
  <si>
    <t>DRV-AI, DRV-CYB</t>
  </si>
  <si>
    <t>Funzione Antifrode</t>
  </si>
  <si>
    <t>Sì</t>
  </si>
  <si>
    <t>Parziale</t>
  </si>
  <si>
    <t>NFR-02</t>
  </si>
  <si>
    <t>Concentrazione su un fornitore cloud critico</t>
  </si>
  <si>
    <t>DRV-TPR, DRV-CYB</t>
  </si>
  <si>
    <t>Funzione ICT &amp; Security Risk</t>
  </si>
  <si>
    <t>Non verificato</t>
  </si>
  <si>
    <t>Prossimita'</t>
  </si>
  <si>
    <t>NFR-03</t>
  </si>
  <si>
    <t>Greenwashing nella commercializzazione di prodotti ESG</t>
  </si>
  <si>
    <t>DRV-CON, DRV-CLI</t>
  </si>
  <si>
    <t>Funzione Compliance</t>
  </si>
  <si>
    <t>No</t>
  </si>
  <si>
    <t>Velocity (solo se valutata)</t>
  </si>
  <si>
    <t>NFR-04</t>
  </si>
  <si>
    <t>Eventi climatici estremi su sedi e data center</t>
  </si>
  <si>
    <t>DRV-CLI</t>
  </si>
  <si>
    <t>Funzione Business Continuity</t>
  </si>
  <si>
    <t>NFR-05</t>
  </si>
  <si>
    <t>Errori di processo nella migrazione del core banking</t>
  </si>
  <si>
    <t>DRV-TEC</t>
  </si>
  <si>
    <t>Funzione Operations</t>
  </si>
  <si>
    <t>Adeguato</t>
  </si>
  <si>
    <t>NFR-06</t>
  </si>
  <si>
    <t>Esfiltrazione di dati tramite strumenti di AI non autorizzati</t>
  </si>
  <si>
    <t>DRV-AI, DRV-HUM</t>
  </si>
  <si>
    <t>Funzione Sicurezza delle Informazioni</t>
  </si>
  <si>
    <t>Assente</t>
  </si>
  <si>
    <t>Soglie</t>
  </si>
  <si>
    <t>NFR-07</t>
  </si>
  <si>
    <t>Ransomware presso un fornitore di servizi di pagamento</t>
  </si>
  <si>
    <t>DRV-CYB, DRV-TPR</t>
  </si>
  <si>
    <t>Soglia di direzione (segnali netti in 4 settimane)</t>
  </si>
  <si>
    <t>NFR-08</t>
  </si>
  <si>
    <t>Accessi impropri di dipendenti ai dati dei clienti</t>
  </si>
  <si>
    <t>DRV-HUM, DRV-CON</t>
  </si>
  <si>
    <t>Soglia di evidenziazione del Delta composito</t>
  </si>
  <si>
    <t>NFR-09</t>
  </si>
  <si>
    <t>Violazione di sanzioni internazionali tramite triangolazioni</t>
  </si>
  <si>
    <t>DRV-GEO</t>
  </si>
  <si>
    <t>NFR-10</t>
  </si>
  <si>
    <t>Informazioni errate ai clienti da assistenti di AI generativa</t>
  </si>
  <si>
    <t>DRV-AI, DRV-CON</t>
  </si>
  <si>
    <t>Funzione Customer Experience</t>
  </si>
  <si>
    <t>Cicli del radar</t>
  </si>
  <si>
    <t>Driver emergenti</t>
  </si>
  <si>
    <t>NFR-11</t>
  </si>
  <si>
    <t>Fine del supporto dei sistemi di pagamento legacy</t>
  </si>
  <si>
    <t>Funzione IT Operations</t>
  </si>
  <si>
    <t>Ciclo corrente (scritto dalla scrittura A2)</t>
  </si>
  <si>
    <t>2026Q2</t>
  </si>
  <si>
    <t>DRV-CYB</t>
  </si>
  <si>
    <t>Cyber</t>
  </si>
  <si>
    <t>NFR-12</t>
  </si>
  <si>
    <t>Errori operativi nei pagamenti istantanei obbligatori</t>
  </si>
  <si>
    <t>Periodo precedente (anche uno straordinario; scritto dallo script)</t>
  </si>
  <si>
    <t>2026Q1</t>
  </si>
  <si>
    <t>DRV-TPR</t>
  </si>
  <si>
    <t>Trimestre di due trimestri prima (Delta 6 mesi; scritto dallo script)</t>
  </si>
  <si>
    <t>2025Q4</t>
  </si>
  <si>
    <t>DRV-AI</t>
  </si>
  <si>
    <t>Intelligenza artificiale</t>
  </si>
  <si>
    <t>Data di riferimento del ciclo corrente (scritta dallo script)</t>
  </si>
  <si>
    <t>Clima e ambiente</t>
  </si>
  <si>
    <t>Periodi del trend (dal piu' vecchio; straordinari compresi; scritti dallo script)</t>
  </si>
  <si>
    <t>DRV-CON</t>
  </si>
  <si>
    <t>T-7</t>
  </si>
  <si>
    <t>Geopolitica</t>
  </si>
  <si>
    <t>T-6</t>
  </si>
  <si>
    <t>Debito tecnologico</t>
  </si>
  <si>
    <t>T-5</t>
  </si>
  <si>
    <t>2025Q1</t>
  </si>
  <si>
    <t>DRV-HUM</t>
  </si>
  <si>
    <t>Capitale umano</t>
  </si>
  <si>
    <t>T-4</t>
  </si>
  <si>
    <t>2025Q2</t>
  </si>
  <si>
    <t>T-3</t>
  </si>
  <si>
    <t>2025Q3</t>
  </si>
  <si>
    <t>T-2</t>
  </si>
  <si>
    <t>T-1</t>
  </si>
  <si>
    <t>T (corrente)</t>
  </si>
  <si>
    <t>Settimane</t>
  </si>
  <si>
    <t>Settimana corrente (lunedi', scritta dalla scrittura A3)</t>
  </si>
  <si>
    <t>Inizio finestra del badge (4 settimane)</t>
  </si>
  <si>
    <t>Finestra di 12 settimane (dal piu' vecchio)</t>
  </si>
  <si>
    <t>Urgenza — disuguaglianza di Mosca (X + Y &gt; Z = agire ora)</t>
  </si>
  <si>
    <t>X: anni per decidere e avviare la mitigazione</t>
  </si>
  <si>
    <t>Y di riserva: anni di mitigazione se il rischio non ha azioni</t>
  </si>
  <si>
    <t>Z: anni prima che il rischio possa manifestarsi, per Prossimita' (meta' della fascia)</t>
  </si>
  <si>
    <t>Prossimita 1 — oltre 3 anni</t>
  </si>
  <si>
    <t>Prossimita 2 — 2-3 anni</t>
  </si>
  <si>
    <t>Prossimita 3 — 1-2 anni</t>
  </si>
  <si>
    <t>Prossimita 4 — entro 12 mesi</t>
  </si>
  <si>
    <t>Prossimita 5 — in corso o imminente</t>
  </si>
  <si>
    <t>Etichetta del ciclo (fascia del titolo)</t>
  </si>
  <si>
    <t>Livello di allerta (colore del radar)</t>
  </si>
  <si>
    <t>P x I alta da (aggravante A1)</t>
  </si>
  <si>
    <t>Quota dei KRI in ambra o rosso da (aggravante A3)</t>
  </si>
  <si>
    <t>Margine stretto: sotto (anni)</t>
  </si>
  <si>
    <t>Segnali forti per l'Attivazione</t>
  </si>
  <si>
    <t>Registro unico: chi entra nel radar di Mosca (D-79)</t>
  </si>
  <si>
    <t>Capienza del radar (fino a 20)</t>
  </si>
  <si>
    <t>rischi con gestione completa: KRI, azioni, urgenza, report, schede</t>
  </si>
  <si>
    <t>Soglia di Prossimita' per entrare</t>
  </si>
  <si>
    <t>2 = puo' manifestarsi entro 3 anni</t>
  </si>
  <si>
    <t>Soglia di Probabilita' per entrare</t>
  </si>
  <si>
    <t>2 = non solo teorico</t>
  </si>
  <si>
    <t>Cicli sotto la soglia prima di uscire</t>
  </si>
  <si>
    <t>1 = esce subito; 2 = un ciclo come "Radar, in uscita"</t>
  </si>
  <si>
    <t>Rischi in osservazione al massimo (fisso)</t>
  </si>
  <si>
    <t>oltre, A1 lascia fuori i meno rilevanti</t>
  </si>
  <si>
    <t>LA REGOLA (la applica lo script a ogni ciclo e a ogni validazione). 1. Entra nel radar un rischio con Prossimita' e Probabilita' almeno pari alle soglie. 2. Restano sempre nel radar, anche sotto le soglie: un rischio AGIRE ORA, un tema all'attenzione del supervisore (◆), un rischio che il validatore mette nel radar (colonna Decisione sullo stato del foglio Validazione, con la Motivazione); mai nel radar un rischio che il validatore mette in osservazione. 3. Se i candidati sono piu' dei posti: prima le eccezioni, poi i piu' alti per score composito; gli altri restano in osservazione "fuori per capienza". 4. Un rischio del radar sotto la regola resta un ciclo come "Radar, in uscita" (con i cicli prima dell'uscita a 2), poi passa in osservazione; un rischio che sale entra subito, con i KRI e le azioni che A1 scrive. In osservazione: stessa scala e stesso score, niente KRI ne' azioni (fogli Osservazione e Fenomeni).</t>
  </si>
  <si>
    <r>
      <rPr>
        <b/>
        <sz val="10"/>
        <color rgb="FF404040"/>
        <rFont val="Calibri"/>
      </rPr>
      <t>OGNI DATO DEL WORKBOOK — chi lo scrive e quando (colore del processo), che cosa significa, come si calcola, valori ammessi, un esempio.</t>
    </r>
    <r>
      <rPr>
        <sz val="10"/>
        <color rgb="FF262626"/>
        <rFont val="Calibri"/>
      </rPr>
      <t xml:space="preserve">
Le colonne delle tabelle dati vengono dalla mappa dei campi del pacchetto (01_Kernel/mappatura_campi.json): sono sempre quelle in uso.</t>
    </r>
  </si>
  <si>
    <t>Dato</t>
  </si>
  <si>
    <t>Dove</t>
  </si>
  <si>
    <t>Chi lo scrive, quando</t>
  </si>
  <si>
    <t>Che cosa significa</t>
  </si>
  <si>
    <t>Come si calcola / regola</t>
  </si>
  <si>
    <t>Valori</t>
  </si>
  <si>
    <t>Esempio (NFR-01, 2026Q2)</t>
  </si>
  <si>
    <t>RiskRegister — valutazioni dei rischi</t>
  </si>
  <si>
    <t>A1, ciclo trimestrale; validato</t>
  </si>
  <si>
    <t>Trimestre valutato (AAAAQn).</t>
  </si>
  <si>
    <t>Ciclo da valutare, dalla baseline.</t>
  </si>
  <si>
    <t>AAAAQn o AAAAQn-Sk (straordinario)</t>
  </si>
  <si>
    <t>Data_Riferimento</t>
  </si>
  <si>
    <t>Data fino alla quale sono considerate le fonti (fine del trimestre).</t>
  </si>
  <si>
    <t>Fine del trimestre valutato, dalla baseline.</t>
  </si>
  <si>
    <t>data</t>
  </si>
  <si>
    <t>30/06/2026</t>
  </si>
  <si>
    <t>ID_Rischio</t>
  </si>
  <si>
    <t>Codice stabile del rischio (NFR-nn), uguale in tutti i cicli.</t>
  </si>
  <si>
    <t>Dal payload dell'agente, scritto dallo script.</t>
  </si>
  <si>
    <t>—</t>
  </si>
  <si>
    <t>Nome breve del rischio.</t>
  </si>
  <si>
    <t>Frodi su pagamenti istantanei abilit…</t>
  </si>
  <si>
    <t>Categoria di rischio della tassonomia interna della Banca (9.1 ... 9.13, D-74): il settore del radar. FP = rischio esistente fuori perimetro, da dismettere. Un codice di Basilea (L1-0n) e' di un ciclo precedente al 08/10/2026: A1 lo riclassifica.</t>
  </si>
  <si>
    <t>9.1 ... 9.13 (FP fuori perimetro)</t>
  </si>
  <si>
    <t>Fattori emergenti che alimentano il rischio (DRV-...).</t>
  </si>
  <si>
    <t>1-5: danno se il rischio si manifesta (era Severity, D-57).</t>
  </si>
  <si>
    <t>Descrittore della rubrica piu' aderente all'evidenza; al massimo un punto di variazione fra cicli.</t>
  </si>
  <si>
    <t>1-5</t>
  </si>
  <si>
    <t>1-5: rapidita' fra innesco e pieno impatto (5 = entro 1 mese); vuota = non valutata (nessuna fonte ne documenta i tempi).</t>
  </si>
  <si>
    <t>Facoltativa: vuota (n.v.) se nessuna fonte documenta i tempi fra innesco e pieno impatto; nello score solo se valutata; da n.v. entra con qualunque valore.</t>
  </si>
  <si>
    <t>1-5 o vuota (n.v.)</t>
  </si>
  <si>
    <t>5</t>
  </si>
  <si>
    <t>1-5: quando puo' manifestarsi (5 = in corso); da' la Z di Mosca.</t>
  </si>
  <si>
    <t>Solo il tempo prima che il rischio si manifesti; 4-5 solo con un caso nominato o un evento datato.</t>
  </si>
  <si>
    <t>Score_Composito</t>
  </si>
  <si>
    <t>Formula del foglio</t>
  </si>
  <si>
    <t>Media pesata delle dimensioni valutate, pesi di Parametri (Velocity solo se valutata): 1-5, 5 = peggiore.</t>
  </si>
  <si>
    <t>Media pesata delle dimensioni valutate con i pesi di Parametri (D-50): senza Velocity i pesi si ridistribuiscono sulle altre tre; 2 decimali; vuoto se manca Impatto, Probabilita o Prossimita.</t>
  </si>
  <si>
    <t>1,00-5,00</t>
  </si>
  <si>
    <t>3,80</t>
  </si>
  <si>
    <t>1-5: plausibilita' che il meccanismo colpisca la Banca (5 = gia' osservato o in rapida accelerazione).</t>
  </si>
  <si>
    <t>Plausibilita' secondo i descrittori della rubrica (da Remota a Quasi certa); al massimo un punto fra cicli.</t>
  </si>
  <si>
    <t>Anni di adeguamento strutturale stimati da A1 (vuoto = non serve); il valore validato va nell'anagrafica: Y minima di Mosca (D-60).</t>
  </si>
  <si>
    <t>Stima di A1 (D-60); il valore validato va nell'anagrafica, colonna M. Non e' una dimensione: non fa variazioni.</t>
  </si>
  <si>
    <t>anni 0-30 o vuoto</t>
  </si>
  <si>
    <t>Script, quando scrive il ciclo</t>
  </si>
  <si>
    <t>Calcolato dallo script: Nuovo, Variato (cambia Impatto, Probabilita, Prossimita o Velocity) o Confermato.</t>
  </si>
  <si>
    <t>Dallo script (D-51): Nuovo se il rischio non e' nella baseline; Variato se cambia Impatto, Probabilita, Prossimita o Velocity (anche da n.v. a un valore); altrimenti Confermato. Ricalcolato dopo la validazione.</t>
  </si>
  <si>
    <t>Confermato, Variato, Nuovo</t>
  </si>
  <si>
    <t>Variato</t>
  </si>
  <si>
    <t>Meccanismo di perdita: che cosa succede, a chi, con quale danno.</t>
  </si>
  <si>
    <t>Frodi a danno dei clienti tramite vo…</t>
  </si>
  <si>
    <t>Razionale</t>
  </si>
  <si>
    <t>In parti (D-68): RISCHIO: il fenomeno in termini di rischio; IMPATTO:, PROBABILITA:, PROSSIMITA:, VELOCITY: perche' il valore, con fatti e documenti; ADEGUAMENTO: se ci sono anni di adeguamento.</t>
  </si>
  <si>
    <t>Impatto 4 per importi medi in forte …</t>
  </si>
  <si>
    <t>Variazioni</t>
  </si>
  <si>
    <t>Per ogni valore cambiato: da, a (li aggiunge lo script), evidenza datata di A1 (leggibile nelle schede).</t>
  </si>
  <si>
    <t>A1 scrive dimensione, evidenza e sua data (dopo il ciclo precedente); da e a li aggiunge lo script dalla baseline. Al massimo un punto per dimensione.</t>
  </si>
  <si>
    <t>impatto da 3 a 4: report frodi (2026…</t>
  </si>
  <si>
    <t>Fonti</t>
  </si>
  <si>
    <t>Fonti citate, con data, tipo Interna/Esterna e rilevanza 1-3 per la previsione (D-58; leggibili nelle Schede).</t>
  </si>
  <si>
    <t>Per ogni fonte riferimento, data, tipo e rilevanza 1-3 per la previsione (D-58); stesso ente o stesso fatto = una fonte.</t>
  </si>
  <si>
    <t>4 fonti, 2 interne</t>
  </si>
  <si>
    <t>Segnalazioni di A5 e dei controlli sul rischio, una per riga; "DA MOTIVARE" = la validazione chiede una Motivazione (D-71). Sono anche nella colonna Segnalazioni del foglio Validazione.</t>
  </si>
  <si>
    <t>Segnalazioni di A5 e dei controlli sul rischio, una per riga: gravita' · controllo · origine: testo. ⚑ DA MOTIVARE = la validazione chiede una Motivazione (D-71); BLOCCANTE SUPERATO = registri fino al 2026-10-02 (D-56).</t>
  </si>
  <si>
    <t>Funzione responsabile, presa dall'anagrafica (Parametri).</t>
  </si>
  <si>
    <t>Copiato dall'anagrafica (Parametri, colonna L) al momento della scrittura.</t>
  </si>
  <si>
    <t>Ciclo|ID: chiave di ricerca per le viste.</t>
  </si>
  <si>
    <t>Ciclo e ID uniti da "|": serve alle viste per trovare la riga.</t>
  </si>
  <si>
    <t>2026Q2|NFR-01</t>
  </si>
  <si>
    <t>Data_Scrittura</t>
  </si>
  <si>
    <t>Giorno in cui lo script ha scritto la riga.</t>
  </si>
  <si>
    <t>Data del giorno in cui lo script scrive la riga.</t>
  </si>
  <si>
    <t>Approvato_Da</t>
  </si>
  <si>
    <t>Comando valida, dalla decisione del validatore</t>
  </si>
  <si>
    <t>Chi ha validato il ciclo.</t>
  </si>
  <si>
    <t>Il nome passato al comando valida (--validatore).</t>
  </si>
  <si>
    <t>Comitato Rischi</t>
  </si>
  <si>
    <t>Da validare, poi Accettato o Rettificato.</t>
  </si>
  <si>
    <t>Da validare alla scrittura; il comando valida scrive Accettato, Rettificato o Respinto (un rischio non si respinge).</t>
  </si>
  <si>
    <t>Da validare, Accettato, Rettificato, Respinto</t>
  </si>
  <si>
    <t>Accettato</t>
  </si>
  <si>
    <t>Data_Validazione</t>
  </si>
  <si>
    <t>Giorno della validazione.</t>
  </si>
  <si>
    <t>Giorno in cui si lancia il comando valida.</t>
  </si>
  <si>
    <t>15/07/2026</t>
  </si>
  <si>
    <t>Periodo_Valutazione</t>
  </si>
  <si>
    <t>Periodo in cui il rischio e' stato valutato: il Ciclo stesso o, per un rischio non rivalutato in un ciclo straordinario, il periodo da cui la riga e' riportata (D-75). Il Radar_Mosca ne prende le azioni (Y).</t>
  </si>
  <si>
    <t>Il Ciclo della riga; in un ciclo straordinario, per un rischio non rivalutato, il periodo da cui la riga e' riportata (D-75).</t>
  </si>
  <si>
    <t>Registro unico (D-79): Radar (gestione completa: KRI, azioni, urgenza, report), Radar, in uscita (sotto la regola per il primo ciclo) o Osservazione (stessa scala, niente KRI ne' azioni). Lo calcola lo script con la regola di Parametri; Dismesso dopo il comando dismetti.</t>
  </si>
  <si>
    <t>Dallo script con la regola del registro unico (07_Senza_Studio/radar.py, D-79) sui valori proposti alla scrittura e sui valori validati dopo valida: soglie di Prossimita e Probabilita, eccezioni, capienza (Parametri, righe 65-75); Dismesso con il comando dismetti.</t>
  </si>
  <si>
    <t>Radar, Radar, in uscita, Osservazione, Dismesso</t>
  </si>
  <si>
    <t>Radar</t>
  </si>
  <si>
    <t>Motivo_Stato</t>
  </si>
  <si>
    <t>Perche' il rischio ha quello stato: soglie di Prossimita e Probabilita, eccezione (AGIRE ORA, supervisore, validatore), capienza del radar.</t>
  </si>
  <si>
    <t>Dalla stessa regola: quale soglia manca o quale eccezione vale, la capienza; per Radar, in uscita il primo ciclo sotto la regola.</t>
  </si>
  <si>
    <t>Prossimita 4 e Probabilita 4: sopra …</t>
  </si>
  <si>
    <t>Entrato (dall'osservazione al radar) o Uscito (dal radar all'osservazione) in questo ciclo; vuoto se lo stato non cambia.</t>
  </si>
  <si>
    <t>Dallo script: Entrato se il ciclo prima il rischio era in osservazione e ora e' nel radar; Uscito se era nel radar e ora e' in osservazione.</t>
  </si>
  <si>
    <t>Entrato, Uscito o vuoto</t>
  </si>
  <si>
    <t>Decisione_Stato</t>
  </si>
  <si>
    <t>Decisione del validatore sullo stato: Automatico (vale la regola), Radar o Osservazione, con la Motivazione nella griglia. Resta da un ciclo all'altro finche' non la cambia.</t>
  </si>
  <si>
    <t>Automatico alla scrittura (o la decisione in vigore dal ciclo prima); il comando valida scrive quella della griglia (Radar, Osservazione o Automatico).</t>
  </si>
  <si>
    <t>Automatico, Radar, Osservazione</t>
  </si>
  <si>
    <t>Automatico</t>
  </si>
  <si>
    <t>Orizzonte_Anni</t>
  </si>
  <si>
    <t>Per un rischio in osservazione: anni stimati prima che possa manifestarsi (la Prossimita non distingue oltre i 3 anni). Nota di A1, fuori dallo score.</t>
  </si>
  <si>
    <t>anni 1-30 o vuoto</t>
  </si>
  <si>
    <t>Segnale_Avvicinamento</t>
  </si>
  <si>
    <t>Per un rischio in osservazione: il fatto osservabile che lo farebbe salire nel radar. Nota di A1.</t>
  </si>
  <si>
    <t>Ordine_Osservazione</t>
  </si>
  <si>
    <t>Ordine dei rischi in osservazione del ciclo corrente nelle viste (fogli Osservazione e Fenomeni): per score composito.</t>
  </si>
  <si>
    <t>Solo per le righe del ciclo corrente in osservazione: score x 100.000 piu' un decimale dalla riga, per ordinarle dallo score piu' alto (fogli Osservazione e Fenomeni).</t>
  </si>
  <si>
    <t>Azioni — azioni di mitigazione</t>
  </si>
  <si>
    <t>Trimestre in cui l'azione e' stata proposta.</t>
  </si>
  <si>
    <t>Rischio a cui l'azione si riferisce.</t>
  </si>
  <si>
    <t>ID_Azione</t>
  </si>
  <si>
    <t>Codice &lt;ciclo&gt;-&lt;rischio&gt;-A&lt;n&gt;.</t>
  </si>
  <si>
    <t>&lt;ciclo&gt;-&lt;rischio&gt;-A&lt;n&gt;, n = posizione dell'azione nel rischio.</t>
  </si>
  <si>
    <t>2026Q2-NFR-01-A1</t>
  </si>
  <si>
    <t>Che cosa fare, in concreto.</t>
  </si>
  <si>
    <t>Introdurre la verifica fuori banda p…</t>
  </si>
  <si>
    <t>Funzione che la realizza, mai una persona.</t>
  </si>
  <si>
    <t>Tempo per completarla: 3, 6 o 12 mesi.</t>
  </si>
  <si>
    <t>3, 6, 12 mesi</t>
  </si>
  <si>
    <t>6 mesi</t>
  </si>
  <si>
    <t>Mesi_Orizzonte</t>
  </si>
  <si>
    <t>Orizzonte in mesi: il piu' lungo fra le azioni non respinte e' la Y di Mosca.</t>
  </si>
  <si>
    <t>Il numero di mesi dell'orizzonte (3, 6, 12); il piu' lungo fra le azioni non respinte e' la Y di Mosca.</t>
  </si>
  <si>
    <t>6</t>
  </si>
  <si>
    <t>Perche' l'azione riduce il rischio; dopo EFFETTO: che cosa dovrebbe cambiare (D-68).</t>
  </si>
  <si>
    <t>Oggi la verifica fuori banda esclude…</t>
  </si>
  <si>
    <t>Proposta, poi Approvata o Respinta (validazione); In corso e Completata a mano; Annullata se il rischio esce.</t>
  </si>
  <si>
    <t>Proposta — da valutare; Approvata o Respinta con la validazione; In corso e Completata a mano; Annullata se il rischio esce.</t>
  </si>
  <si>
    <t>Approvata</t>
  </si>
  <si>
    <t>Data_Decisione</t>
  </si>
  <si>
    <t>Giorno della decisione sull'azione.</t>
  </si>
  <si>
    <t>Giorno del comando valida che ha deciso l'azione.</t>
  </si>
  <si>
    <t>Decisa_Da</t>
  </si>
  <si>
    <t>Chi ha deciso.</t>
  </si>
  <si>
    <t>Da validare, poi Accettato, Rettificato o Respinto.</t>
  </si>
  <si>
    <t>KRI — storico degli indicatori</t>
  </si>
  <si>
    <t>Ciclo della fotografia: ogni ciclo aggiunge una riga per KRI in vigore.</t>
  </si>
  <si>
    <t>Codice stabile NFR-nn-Kn: la stessa serie storica in tutti i cicli.</t>
  </si>
  <si>
    <t>Riuso del codice se il KRI resta; altrimenti primo progressivo libero del rischio (NFR-nn-Kn), mai riusato.</t>
  </si>
  <si>
    <t>Rischio che il KRI misura.</t>
  </si>
  <si>
    <t>Che cosa misura.</t>
  </si>
  <si>
    <t>Tentativi di frode APP per 10.000 bo…</t>
  </si>
  <si>
    <t>Esposizione (quanto la Banca e' esposta) o Evoluzione (quanto cresce il fenomeno): uno per tipo per rischio (D-64). Vuoto nei KRI scritti prima del 30/09/2026 sera.</t>
  </si>
  <si>
    <t>Evoluzione</t>
  </si>
  <si>
    <t>Unita</t>
  </si>
  <si>
    <t>Unita' di misura (n, %, ore, n/10k...).</t>
  </si>
  <si>
    <t>n/10k</t>
  </si>
  <si>
    <t>Fonte_Dati</t>
  </si>
  <si>
    <t>Sistema o report interno da cui si prende il valore.</t>
  </si>
  <si>
    <t>Sistema antifrode transazionale</t>
  </si>
  <si>
    <t>Soglia_Attenzione</t>
  </si>
  <si>
    <t>Da questo valore in su: Ambra. Vuota = da definire (la fissa il validatore).</t>
  </si>
  <si>
    <t>numero o vuota</t>
  </si>
  <si>
    <t>3</t>
  </si>
  <si>
    <t>Soglia_Allerta</t>
  </si>
  <si>
    <t>Da questo valore in su: Rosso. Mai sotto la soglia di attenzione.</t>
  </si>
  <si>
    <t>Valore_Corrente</t>
  </si>
  <si>
    <t>Valore rilevato per QUESTO ciclo; vuoto se non rilevato (A1 rilegge solo i valori che trova), mai ricopiato.</t>
  </si>
  <si>
    <t>Rilevato dalla fonte interna; vuoto se non rilevato, mai ricopiato dal ciclo prima.</t>
  </si>
  <si>
    <t>4,20</t>
  </si>
  <si>
    <t>Data_Rilevazione</t>
  </si>
  <si>
    <t>Data del valore rilevato.</t>
  </si>
  <si>
    <t>Data di riferimento del ciclo se c'e' un valore rilevato; vuota altrimenti.</t>
  </si>
  <si>
    <t>Fonte_Rilevazione</t>
  </si>
  <si>
    <t>Documento o estrazione da cui viene il valore.</t>
  </si>
  <si>
    <t>Nota_Rilevazione</t>
  </si>
  <si>
    <t>Commento alla rilevazione.</t>
  </si>
  <si>
    <t>Rilevazione di fine trimestre.</t>
  </si>
  <si>
    <t>Verde, Ambra o Rosso rispetto alle soglie; Non rilevato senza valore; Soglie da definire se mancano.</t>
  </si>
  <si>
    <t>Soglie da definire se ne manca una (le fissa la Banca); SOGLIE INVERTITE se allerta &lt; attenzione; Non rilevato senza valore; Rosso se valore &gt;= allerta; Ambra se &gt;= attenzione; Verde sotto.</t>
  </si>
  <si>
    <t>In_Vigore</t>
  </si>
  <si>
    <t>Sì; No = il KRI esce in questo ciclo e la serie finisce.</t>
  </si>
  <si>
    <t>Sì per i KRI proposti nel ciclo; No nella riga del ciclo in cui un KRI non e' riproposto o e' respinto.</t>
  </si>
  <si>
    <t>Sì, No</t>
  </si>
  <si>
    <t>Ciclo_Definizione</t>
  </si>
  <si>
    <t>Ciclo in cui il KRI e' nato.</t>
  </si>
  <si>
    <t>Ciclo in cui il KRI e' nato; non cambia quando se ne aggiorna la definizione.</t>
  </si>
  <si>
    <t>Ciclo_Aggiornamento</t>
  </si>
  <si>
    <t>Ultimo ciclo che ne ha scritto la definizione.</t>
  </si>
  <si>
    <t>Perche' il KRI misura il rischio; dopo EFFETTO: andamento atteso e che cosa segnala oltre soglia (D-68).</t>
  </si>
  <si>
    <t>KRI di evoluzione del rischio NFR-01…</t>
  </si>
  <si>
    <t>Ciclo|KRI_ID: chiave di ricerca per le viste.</t>
  </si>
  <si>
    <t>NewsLog — notizie</t>
  </si>
  <si>
    <t>Data</t>
  </si>
  <si>
    <t>A3, ciclo settimanale</t>
  </si>
  <si>
    <t>Data della notizia.</t>
  </si>
  <si>
    <t>09/06/2026</t>
  </si>
  <si>
    <t>Lunedi' della settimana della notizia.</t>
  </si>
  <si>
    <t>Lunedi' della settimana della data della notizia.</t>
  </si>
  <si>
    <t>08/06/2026</t>
  </si>
  <si>
    <t>ID_Notizia</t>
  </si>
  <si>
    <t>Codice unico N-AAAAMMGG-nn.</t>
  </si>
  <si>
    <t>N-20260609-01</t>
  </si>
  <si>
    <t>Titolo della notizia.</t>
  </si>
  <si>
    <t>Nuova ondata di frodi con voce clona…</t>
  </si>
  <si>
    <t>Testata o ente che la pubblica.</t>
  </si>
  <si>
    <t>CERT finanziario nazionale</t>
  </si>
  <si>
    <t>Codice_Fonte</t>
  </si>
  <si>
    <t>Codice del catalogo fonti (FNT-nn), MAN se raccolta a mano.</t>
  </si>
  <si>
    <t>FNT-34</t>
  </si>
  <si>
    <t>Rischio_ID</t>
  </si>
  <si>
    <t>Rischio toccato; NON PRESIDIATO se nessun rischio censito.</t>
  </si>
  <si>
    <t>Rischio indicato da A3; NON PRESIDIATO se la notizia non tocca rischi censiti.</t>
  </si>
  <si>
    <t>Direzione per il rischio: Peggiorativo, Migliorativo, Neutro, Non rilevante.</t>
  </si>
  <si>
    <t>Peggiorativo, Migliorativo, Neutro, Non rilevante</t>
  </si>
  <si>
    <t>Peggiorativo</t>
  </si>
  <si>
    <t>Imp_9_1</t>
  </si>
  <si>
    <t>Intensita' 0-3 sulla categoria 9.1 (0 = nessun nesso, 3 = diretto e immediato).</t>
  </si>
  <si>
    <t>1</t>
  </si>
  <si>
    <t>Imp_9_4</t>
  </si>
  <si>
    <t>Intensita' 0-3 sulla categoria 9.4 (0 = nessun nesso, 3 = diretto e immediato).</t>
  </si>
  <si>
    <t>0</t>
  </si>
  <si>
    <t>Imp_9_5</t>
  </si>
  <si>
    <t>Intensita' 0-3 sulla categoria 9.5 (0 = nessun nesso, 3 = diretto e immediato).</t>
  </si>
  <si>
    <t>Imp_9_6</t>
  </si>
  <si>
    <t>Intensita' 0-3 sulla categoria 9.6 (0 = nessun nesso, 3 = diretto e immediato).</t>
  </si>
  <si>
    <t>Imp_9_7</t>
  </si>
  <si>
    <t>Intensita' 0-3 sulla categoria 9.7 (0 = nessun nesso, 3 = diretto e immediato).</t>
  </si>
  <si>
    <t>Imp_9_8</t>
  </si>
  <si>
    <t>Intensita' 0-3 sulla categoria 9.8 (0 = nessun nesso, 3 = diretto e immediato).</t>
  </si>
  <si>
    <t>Imp_9_9</t>
  </si>
  <si>
    <t>Intensita' 0-3 sulla categoria 9.9 (0 = nessun nesso, 3 = diretto e immediato).</t>
  </si>
  <si>
    <t>Imp_9_11</t>
  </si>
  <si>
    <t>Intensita' 0-3 sulla categoria 9.11 (0 = nessun nesso, 3 = diretto e immediato).</t>
  </si>
  <si>
    <t>Imp_9_13</t>
  </si>
  <si>
    <t>Intensita' 0-3 sulla categoria 9.13 (0 = nessun nesso, 3 = diretto e immediato).</t>
  </si>
  <si>
    <t>Sintesi</t>
  </si>
  <si>
    <t>Che cosa dice la notizia, in breve.</t>
  </si>
  <si>
    <t>Allerta del CERT su campagne con voc…</t>
  </si>
  <si>
    <t>Sintesi_Cicli — commenti di A1 e A5</t>
  </si>
  <si>
    <t>Trimestre valutato.</t>
  </si>
  <si>
    <t>Data di riferimento del ciclo.</t>
  </si>
  <si>
    <t>Sintesi_A1</t>
  </si>
  <si>
    <t>Commento per il comitato nella forma MESSAGGIO: ... DECISIONI: ... (il Quadro lo divide in due righe).</t>
  </si>
  <si>
    <t>Scritta da A1 nella forma "MESSAGGIO: ... DECISIONI: ...": il Quadro d'insieme la divide in due righe.</t>
  </si>
  <si>
    <t>MESSAGGIO: ...</t>
  </si>
  <si>
    <t>Sintesi_A5</t>
  </si>
  <si>
    <t>A5, ciclo trimestrale</t>
  </si>
  <si>
    <t>Sintesi del challenger A5, se usato (facoltativo, D-71); altrimenti lo dice.</t>
  </si>
  <si>
    <t>Controlli superati...</t>
  </si>
  <si>
    <t>Osservazioni_Controlli</t>
  </si>
  <si>
    <t>Numero di rilievi non bloccanti (A5 e controlli dello script).</t>
  </si>
  <si>
    <t>Conteggio dei rilievi 'Osservazione' di A5 e dei controlli dello script.</t>
  </si>
  <si>
    <t>Rilievi_Ciclo</t>
  </si>
  <si>
    <t>Segnalazioni di A5 e dei controlli che riguardano il ciclo, non un rischio.</t>
  </si>
  <si>
    <t>Segnalazioni sul ciclo nel suo insieme, stesso formato della colonna Rilievi del registro.</t>
  </si>
  <si>
    <t>Rilievi_Superati</t>
  </si>
  <si>
    <t>Quante segnalazioni sono da motivare in validazione, dai controlli e da A5 (D-71). Vuoto = nessuna.</t>
  </si>
  <si>
    <t>Quante segnalazioni sono da motivare in validazione, dai controlli e da A5 (D-71). Fino al 05/10/2026: bloccanti di A5 superati con --procedi-con-rilievi.</t>
  </si>
  <si>
    <t>Note_Analista</t>
  </si>
  <si>
    <t>Note dell'analista del Quadro per quel ciclo (per esempio la sintesi delle spiegazioni discusse con A7), archiviate da trimestrale quando inizia il ciclo dopo; vuota per il ciclo corrente, la cui nota e' nel Quadro (D-72).</t>
  </si>
  <si>
    <t>Straordinario</t>
  </si>
  <si>
    <t>Solo per un ciclo straordinario (AAAAQn-Sk, D-75): chi l'ha deciso, quando, perche' e quali rischi sono stati rivalutati; vuota per un ciclo trimestrale.</t>
  </si>
  <si>
    <t>Scritto dallo script dalla decisione di baseline --straordinario: chi, quando, perche', rischi rivalutati (D-75).</t>
  </si>
  <si>
    <t>Sintesi_Settimane — sintesi di A3 e flag</t>
  </si>
  <si>
    <t>Lunedi' della settimana valutata da A3.</t>
  </si>
  <si>
    <t>Notizie valutate da A3 nella settimana.</t>
  </si>
  <si>
    <t>Sintesi_A3</t>
  </si>
  <si>
    <t>Sintesi della settimana scritta da A3: temi, rischi toccati, aree non presidiate. Scritta prima della validazione delle notizie.</t>
  </si>
  <si>
    <t>Linee guida europee sul rimborso...</t>
  </si>
  <si>
    <t>Proposta_Straordinario</t>
  </si>
  <si>
    <t>Proposta di A3 di un ciclo straordinario (segnale critico, rubrica sezione 6): rischi e motivo. Decide la funzione di rischio (D-75).</t>
  </si>
  <si>
    <t>Flag_Proposti</t>
  </si>
  <si>
    <t>Flag proposti da A3, uno per riga: rischio, direzione, motivazione. Non cambiano score: si portano al prossimo ciclo trimestrale (o, se critici, a un ciclo straordinario, D-41).</t>
  </si>
  <si>
    <t>NFR-01 · Peggiorativo: ...</t>
  </si>
  <si>
    <t>29/06/2026</t>
  </si>
  <si>
    <t>Storico_Validazioni — proposte e decisioni, campo per campo</t>
  </si>
  <si>
    <t>Periodo</t>
  </si>
  <si>
    <t>Ciclo (AAAAQn) o lunedi' della settimana.</t>
  </si>
  <si>
    <t>Ciclo (per il trimestrale) o lunedi' della settimana (per il settimanale) della scrittura.</t>
  </si>
  <si>
    <t>Oggetto</t>
  </si>
  <si>
    <t>Rischio, KRI, Azione o Notizia.</t>
  </si>
  <si>
    <t>Tipo della riga proposta dall'agente.</t>
  </si>
  <si>
    <t>Codice dell'oggetto.</t>
  </si>
  <si>
    <t>Codice dell'oggetto proposto (rischio, KRI, azione, notizia).</t>
  </si>
  <si>
    <t>Nome dell'oggetto, per riconoscerlo.</t>
  </si>
  <si>
    <t>Copiato dall'oggetto, per riconoscerlo senza cambiare foglio.</t>
  </si>
  <si>
    <t>Informazioni errate ai clienti da as…</t>
  </si>
  <si>
    <t>Campo</t>
  </si>
  <si>
    <t>Valore proposto su cui si e' deciso.</t>
  </si>
  <si>
    <t>Uno dei campi validati: 6 per rischio (con la decisione sullo stato, D-79), 3 per KRI, 2 per azione, 2 per notizia (una colonna gialla della griglia ciascuno).</t>
  </si>
  <si>
    <t>Proposta_Agente</t>
  </si>
  <si>
    <t>Valore proposto dall'agente; in una riapertura (D-76) il valore validato prima. Non si cancella mai.</t>
  </si>
  <si>
    <t>Valore scritto dall'agente, copiato qui alla scrittura; resta per sempre.</t>
  </si>
  <si>
    <t>Decisione</t>
  </si>
  <si>
    <t>Dal comando valida: Accettato (valore giallo uguale alla proposta), Rettificato (cambiato) o Respinto (Respingi = Si'); in una riapertura del ciclo (comando riapri, D-76) le stesse con il suffisso (riapertura), e Invariato al posto di Accettato.</t>
  </si>
  <si>
    <t>Dal comando valida, confrontando la cella gialla della griglia con la proposta: uguale = Accettato, diversa = Rettificato; Respingi = Sì = Respinto per tutti i campi dell'oggetto. Dopo il comando riapri (D-76): Invariato, Rettificato o Respinto (riapertura), dove la proposta e' il valore validato prima.</t>
  </si>
  <si>
    <t>Accettato, Rettificato, Respinto</t>
  </si>
  <si>
    <t>Rettificato</t>
  </si>
  <si>
    <t>Valore_Validato</t>
  </si>
  <si>
    <t>Valore deciso dal validatore nella griglia del foglio Validazione (vuoto se Respinto).</t>
  </si>
  <si>
    <t>Rischio: intero 1-5 a non piu' di un punto dal ciclo prima (in riapertura senza limite; Velocity anche vuota; da n.v. qualunque valore); KRI: numero, soglie entrambe o nessuna; azione: owner (una funzione) o 3/6/12 mesi.</t>
  </si>
  <si>
    <t>Motivazione</t>
  </si>
  <si>
    <t>Motivazione della riga della griglia: obbligatoria (almeno 10 caratteri) se un valore cambia, se si respinge o con un rilievo di A5 superato.</t>
  </si>
  <si>
    <t>Quella della riga della griglia, riportata su ogni campo dell'oggetto; obbligatoria se un valore cambia, se si respinge e per un rischio con una segnalazione da motivare (⚑): almeno 10 caratteri, con l'evidenza.</t>
  </si>
  <si>
    <t>Chatbot in produzione da aprile: nes…</t>
  </si>
  <si>
    <t>Validato_Da</t>
  </si>
  <si>
    <t>Chi ha validato.</t>
  </si>
  <si>
    <t>Da decidere, poi Applicata.</t>
  </si>
  <si>
    <t>Da decidere quando la scrive lo script; Applicata dopo il comando valida. Non si tocca a mano.</t>
  </si>
  <si>
    <t>Applicata</t>
  </si>
  <si>
    <t>Valori calcolati nelle viste</t>
  </si>
  <si>
    <t>Registro, Delta, Classifica</t>
  </si>
  <si>
    <t>Variazione dello score sul trimestre precedente.</t>
  </si>
  <si>
    <t>Score del ciclo meno score del ciclo prima, stessi pesi (ridistribuiti se la Velocity manca).</t>
  </si>
  <si>
    <t>circa -1,5..+1,5</t>
  </si>
  <si>
    <t>+0,35</t>
  </si>
  <si>
    <t>Variazione dello score su due trimestri.</t>
  </si>
  <si>
    <t>Score del ciclo meno score di due cicli prima; "nuovo" se allora il rischio non c'era.</t>
  </si>
  <si>
    <t>circa -3..+3</t>
  </si>
  <si>
    <t>+0,55</t>
  </si>
  <si>
    <t>Matrice, Radar_Mosca</t>
  </si>
  <si>
    <t>Gravita': probabilita' per impatto.</t>
  </si>
  <si>
    <t>Probabilita x Impatto.</t>
  </si>
  <si>
    <t>1-25</t>
  </si>
  <si>
    <t>16</t>
  </si>
  <si>
    <t>Radar_Mosca, Registro</t>
  </si>
  <si>
    <t>Anni prima che il rischio possa manifestarsi.</t>
  </si>
  <si>
    <t>Dalla Prossimita, meta' della fascia: 5 → 0; 4 → 0,5; 3 → 1,5; 2 → 2,5; 1 → 3,5 (Parametri).</t>
  </si>
  <si>
    <t>anni</t>
  </si>
  <si>
    <t>0,5</t>
  </si>
  <si>
    <t>Parametro</t>
  </si>
  <si>
    <t>Anni per decidere e avviare.</t>
  </si>
  <si>
    <t>Costante in Parametri: un trimestre.</t>
  </si>
  <si>
    <t>0,25</t>
  </si>
  <si>
    <t>Y</t>
  </si>
  <si>
    <t>Anni per mitigare.</t>
  </si>
  <si>
    <t>Orizzonte piu' lungo delle azioni non respinte (1 anno se non ce ne sono); se maggiori, gli anni di adeguamento.</t>
  </si>
  <si>
    <t>Margine / Urgenza</t>
  </si>
  <si>
    <t>Radar_Mosca, Registro, Classifica, Quadro</t>
  </si>
  <si>
    <t>Quanto presto agire.</t>
  </si>
  <si>
    <t>Margine = Z - (X + Y). Sotto 0: AGIRE ORA; da 0 a 1: entro l'anno; oltre: margine in anni.</t>
  </si>
  <si>
    <t>-0,25 · AGIRE ORA</t>
  </si>
  <si>
    <t>Radar_Mosca (colore), Registro (fondo dell'ID), Quadro, schede</t>
  </si>
  <si>
    <t>Che cosa si fa adesso per il rischio (D-63).</t>
  </si>
  <si>
    <t>Attivazione con almeno due segnali forti (AGIRE ORA, KRI in rosso, notizie oltre la soglia); Attenzione con uno, o con margine sotto l'anno e un aggravante (P x I alta, presidio assente, KRI in ambra o rosso); Monitoraggio negli altri casi.</t>
  </si>
  <si>
    <t>Attivazione, Attenzione, Monitoraggio</t>
  </si>
  <si>
    <t>KRI R, A, V</t>
  </si>
  <si>
    <t>Semaforo dei KRI del rischio.</t>
  </si>
  <si>
    <t>Conteggio dei KRI in vigore per Stato (quelli con soglie da definire non contano).</t>
  </si>
  <si>
    <t>interi</t>
  </si>
  <si>
    <t>0, 2, 1</t>
  </si>
  <si>
    <t>Formula del foglio, dopo il settimanale</t>
  </si>
  <si>
    <t>Direzione delle notizie sul rischio nelle ultime 4 settimane.</t>
  </si>
  <si>
    <t>Peggiorative meno migliorative; ▲ o ▼ oltre la soglia di Parametri (2). Non cambia lo score.</t>
  </si>
  <si>
    <t>intero</t>
  </si>
  <si>
    <t>▲ +3</t>
  </si>
  <si>
    <t>Posizione in classifica</t>
  </si>
  <si>
    <t>Classifica, Quadro</t>
  </si>
  <si>
    <t>Ordine per score composito.</t>
  </si>
  <si>
    <t>Dal piu' alto; a parita', ordine dell'anagrafica.</t>
  </si>
  <si>
    <t>1..n</t>
  </si>
  <si>
    <t>Motivo per cui un rischio e' fra i segnalati.</t>
  </si>
  <si>
    <t>Primi tre per score, in attivazione o attenzione, variati o nuovi; con urgenza, supervisore, presidio, KRI rossi, notizie.</t>
  </si>
  <si>
    <t>testo</t>
  </si>
  <si>
    <t>1° per score...</t>
  </si>
  <si>
    <t>Quando l'azione dovrebbe essere completata.</t>
  </si>
  <si>
    <t>Data della decisione + orizzonte, per le azioni approvate o in corso.</t>
  </si>
  <si>
    <t>15/01/2027</t>
  </si>
  <si>
    <t>Score e Margine di Mosca in validazione</t>
  </si>
  <si>
    <t>Validazione (righe dei rischi)</t>
  </si>
  <si>
    <t>Formula del foglio, mentre si scrive</t>
  </si>
  <si>
    <t>Effetto delle celle gialle prima di lanciare valida (D-67).</t>
  </si>
  <si>
    <t>Stesse formule del Registro e del Radar_Mosca sui valori gialli e sulle azioni non respinte della griglia; tra parentesi il valore con le sole proposte, se diverso.</t>
  </si>
  <si>
    <t>come Score e Margine</t>
  </si>
  <si>
    <t>3,40 (era 3,10)</t>
  </si>
  <si>
    <t>Parametri e anagrafica (input)</t>
  </si>
  <si>
    <t>Pesi dello score</t>
  </si>
  <si>
    <t>Parametri B4:B8</t>
  </si>
  <si>
    <t>Funzione di rischio (DECISIONI D-50)</t>
  </si>
  <si>
    <t>Peso di Impatto, Probabilita, Prossimita e Velocity nello score.</t>
  </si>
  <si>
    <t>Somma controllata = 1; senza Velocity si ridistribuiscono sulle altre tre.</t>
  </si>
  <si>
    <t>0-1</t>
  </si>
  <si>
    <t>Soglia di direzione</t>
  </si>
  <si>
    <t>Parametri B11</t>
  </si>
  <si>
    <t>Funzione di rischio (D-61)</t>
  </si>
  <si>
    <t>Segnali netti oltre cui c'e' una tendenza.</t>
  </si>
  <si>
    <t>Confronto con i segnali netti di 4 settimane.</t>
  </si>
  <si>
    <t>Soglia del Delta</t>
  </si>
  <si>
    <t>Parametri B12</t>
  </si>
  <si>
    <t>Variazione dello score da guardare.</t>
  </si>
  <si>
    <t>Evidenzia |Δ| &gt;= soglia.</t>
  </si>
  <si>
    <t>decimale</t>
  </si>
  <si>
    <t>Anni per Prossimita (Z)</t>
  </si>
  <si>
    <t>Parametri B51:B55</t>
  </si>
  <si>
    <t>Funzione di rischio (D-59)</t>
  </si>
  <si>
    <t>Tempo prima della manifestazione per livello.</t>
  </si>
  <si>
    <t>Letti da Z.</t>
  </si>
  <si>
    <t>3,5 / 2,5 / 1,5 / 0,5 / 0</t>
  </si>
  <si>
    <t>Soglie del livello di allerta</t>
  </si>
  <si>
    <t>Parametri B60:B63</t>
  </si>
  <si>
    <t>Funzione di rischio (D-63)</t>
  </si>
  <si>
    <t>P x I alta, quota di KRI in ambra o rosso, margine stretto, segnali forti per l'Attivazione.</t>
  </si>
  <si>
    <t>Lette dal Radar_Mosca.</t>
  </si>
  <si>
    <t>numeri</t>
  </si>
  <si>
    <t>Parametri, anagrafica L</t>
  </si>
  <si>
    <t>Validatore, a mano</t>
  </si>
  <si>
    <t>Funzione responsabile del rischio.</t>
  </si>
  <si>
    <t>Resta da un ciclo all'altro; Da assegnare per un rischio nuovo.</t>
  </si>
  <si>
    <t>Parametri, anagrafica M</t>
  </si>
  <si>
    <t>Validazione (stima di A1), correggibile a mano</t>
  </si>
  <si>
    <t>Durata di un adeguamento strutturale (D-60).</t>
  </si>
  <si>
    <t>Diventa la Y minima di Mosca; una stima vuota di A1 non cancella il valore.</t>
  </si>
  <si>
    <t>anni o vuoto</t>
  </si>
  <si>
    <t>NFR-11: 3</t>
  </si>
  <si>
    <t>Parametri, anagrafica N</t>
  </si>
  <si>
    <t>Tema nelle priorita' di BCE, EBA o Banca d'Italia.</t>
  </si>
  <si>
    <t>◆ nel radar e nelle tabelle; non cambia score, urgenza ne' livello di allerta.</t>
  </si>
  <si>
    <t>Parametri, anagrafica O</t>
  </si>
  <si>
    <t>Giudizio della Banca sui controlli esistenti (D-49): gli agenti non li vedono.</t>
  </si>
  <si>
    <t>Non verificato per un rischio nuovo; resta da un ciclo all'altro; nel Registro e nelle schede, non nello score.</t>
  </si>
  <si>
    <t>Non verificato, Adeguato, Parziale, Assente</t>
  </si>
  <si>
    <r>
      <rPr>
        <b/>
        <sz val="10"/>
        <color rgb="FF1F4E79"/>
        <rFont val="Calibri"/>
      </rPr>
      <t>CICLO TRIMESTRALE — lo script scrive la valutazione di A1 dopo i suoi controlli (e A5, se usato); il comando valida applica le decisioni del validatore. Si scrive con lo script (le viste e la baseline leggono queste righe): a mano solo i testi elencati nel foglio Guida, DOVE SI SCRIVE A MANO; mai ID, numeri, date o righe intere (D-76).</t>
    </r>
    <r>
      <rPr>
        <sz val="10"/>
        <color rgb="FF262626"/>
        <rFont val="Calibri"/>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Registro unico (D-79): Stato = Radar (gestione completa), Radar, in uscita (sotto la regola per il primo ciclo) o Osservazione (fuori dal radar, niente KRI ne' azioni), con il motivo; Movimento = Entrato o Uscito dal radar nel ciclo; Decisione_Stato = scelta del validatore (Automatico = vale la regola). Orizzonte_Anni e Segnale_Avvicinamento: note di A1 per i rischi in osservazione.
Colore delle intestazioni = chi scrive la colonna: azzurro l'agente del ciclo trimestrale (A1, A5), verde l'agente settimanale (A3), giallo la validazione, grigio lo script o una formula. Righe grigie = dati di esempio.</t>
    </r>
  </si>
  <si>
    <t>A1 · ciclo trimestrale, poi validato</t>
  </si>
  <si>
    <t>Formula · calcolata dal foglio</t>
  </si>
  <si>
    <t>Script · alla scrittura</t>
  </si>
  <si>
    <t>Validazione · comando valida</t>
  </si>
  <si>
    <t>A1 · Trimestre valutato (AAAAQn).</t>
  </si>
  <si>
    <t>A1 · Data fino alla quale sono considerate le fonti (fine del trimestre).</t>
  </si>
  <si>
    <t>A1 · Codice stabile del rischio (NFR-nn), uguale in tutti i cicli.</t>
  </si>
  <si>
    <t>A1 · Nome breve del rischio.</t>
  </si>
  <si>
    <t>A1 · Categoria di rischio della tassonomia interna della Banca (9.1 ... 9.13, D-74): il settore del radar. FP = rischio esistente fuori perimetro, da dismettere. Un codice di Basilea (L1-0n) e' di un ciclo precedente al 08/10/2026: A1 lo riclassifica.</t>
  </si>
  <si>
    <t>A1 · Fattori emergenti che alimentano il rischio (DRV-...).</t>
  </si>
  <si>
    <t>A1 · 1-5: danno se il rischio si manifesta (era Severity, D-57).</t>
  </si>
  <si>
    <t>A1 · 1-5: rapidita' fra innesco e pieno impatto (5 = entro 1 mese); vuota = non valutata (nessuna fonte ne documenta i tempi).</t>
  </si>
  <si>
    <t>A1 · 1-5: quando puo' manifestarsi (5 = in corso); da' la Z di Mosca.</t>
  </si>
  <si>
    <t>Formula · Media pesata delle dimensioni valutate, pesi di Parametri (Velocity solo se valutata): 1-5, 5 = peggiore.</t>
  </si>
  <si>
    <t>A1 · 1-5: plausibilita' che il meccanismo colpisca la Banca (5 = gia' osservato o in rapida accelerazione).</t>
  </si>
  <si>
    <t>A1 · Anni di adeguamento strutturale stimati da A1 (vuoto = non serve); il valore validato va nell'anagrafica: Y minima di Mosca (D-60).</t>
  </si>
  <si>
    <t>Script · Calcolato dallo script: Nuovo, Variato (cambia Impatto, Probabilita, Prossimita o Velocity) o Confermato.</t>
  </si>
  <si>
    <t>A1 · Meccanismo di perdita: che cosa succede, a chi, con quale danno.</t>
  </si>
  <si>
    <t>A1 · In parti (D-68): RISCHIO: il fenomeno in termini di rischio; IMPATTO:, PROBABILITA:, PROSSIMITA:, VELOCITY: perche' il valore, con fatti e documenti; ADEGUAMENTO: se ci sono anni di adeguamento.</t>
  </si>
  <si>
    <t>A1 · Per ogni valore cambiato: da, a (li aggiunge lo script), evidenza datata di A1 (leggibile nelle schede).</t>
  </si>
  <si>
    <t>A1 · Fonti citate, con data, tipo Interna/Esterna e rilevanza 1-3 per la previsione (D-58; leggibili nelle Schede).</t>
  </si>
  <si>
    <t>Script · Segnalazioni di A5 e dei controlli sul rischio, una per riga; "DA MOTIVARE" = la validazione chiede una Motivazione (D-71). Sono anche nella colonna Segnalazioni del foglio Validazione.</t>
  </si>
  <si>
    <t>Script · Funzione responsabile, presa dall'anagrafica (Parametri).</t>
  </si>
  <si>
    <t>Formula · Ciclo|ID: chiave di ricerca per le viste.</t>
  </si>
  <si>
    <t>Script · Giorno in cui lo script ha scritto la riga.</t>
  </si>
  <si>
    <t>Validazione · Chi ha validato il ciclo.</t>
  </si>
  <si>
    <t>Validazione · Da validare, poi Accettato o Rettificato.</t>
  </si>
  <si>
    <t>Validazione · Giorno della validazione.</t>
  </si>
  <si>
    <t>Script · Periodo in cui il rischio e' stato valutato: il Ciclo stesso o, per un rischio non rivalutato in un ciclo straordinario, il periodo da cui la riga e' riportata (D-75). Il Radar_Mosca ne prende le azioni (Y).</t>
  </si>
  <si>
    <t>Script · Registro unico (D-79): Radar (gestione completa: KRI, azioni, urgenza, report), Radar, in uscita (sotto la regola per il primo ciclo) o Osservazione (stessa scala, niente KRI ne' azioni). Lo calcola lo script con la regola di Parametri; Dismesso dopo il comando dismetti.</t>
  </si>
  <si>
    <t>Script · Perche' il rischio ha quello stato: soglie di Prossimita e Probabilita, eccezione (AGIRE ORA, supervisore, validatore), capienza del radar.</t>
  </si>
  <si>
    <t>Script · Entrato (dall'osservazione al radar) o Uscito (dal radar all'osservazione) in questo ciclo; vuoto se lo stato non cambia.</t>
  </si>
  <si>
    <t>Validazione · Decisione del validatore sullo stato: Automatico (vale la regola), Radar o Osservazione, con la Motivazione nella griglia. Resta da un ciclo all'altro finche' non la cambia.</t>
  </si>
  <si>
    <t>A1 · Per un rischio in osservazione: anni stimati prima che possa manifestarsi (la Prossimita non distingue oltre i 3 anni). Nota di A1, fuori dallo score.</t>
  </si>
  <si>
    <t>A1 · Per un rischio in osservazione: il fatto osservabile che lo farebbe salire nel radar. Nota di A1.</t>
  </si>
  <si>
    <t>Formula · Ordine dei rischi in osservazione del ciclo corrente nelle viste (fogli Osservazione e Fenomeni): per score composito.</t>
  </si>
  <si>
    <t>Confermato</t>
  </si>
  <si>
    <t>Frodi a danno dei clienti tramite voci o video sintetici che inducono bonifici istantanei irrevocabili verso conti di terzi.</t>
  </si>
  <si>
    <t>Impatto 4 per importi medi in forte crescita su pagamenti irrevocabili; velocity 5 perche' i fondi escono dal conto del beneficiario entro un'ora; prossimita' 4 per casi gia' osservati in banche comparabili.</t>
  </si>
  <si>
    <t>[]</t>
  </si>
  <si>
    <t>[{"riferimento": "Analisi interna sulle frodi da ingegneria sociale", "data": "2025-10-20", "tipo": "Interna", "rilevanza": 3}]</t>
  </si>
  <si>
    <t>Prossimita 3 e Probabilita 4: sopra la soglia; posto garantito: tema del supervisore</t>
  </si>
  <si>
    <t>Indisponibilita' prolungata del fornitore cloud che ospita servizi critici, senza alternativa attivabile nei tempi di ripristino.</t>
  </si>
  <si>
    <t>Impatto 4 per servizi critici ospitati su un solo fornitore; velocity 4 perche' un'interruzione e' immediata; prossimita' 3 senza incidenti gravi recenti.</t>
  </si>
  <si>
    <t>[{"riferimento": "Contratto e piano di uscita del fornitore cloud", "data": "2025-09-30", "tipo": "Interna", "rilevanza": 2}]</t>
  </si>
  <si>
    <t>Prossimita 3 e Probabilita 2: sopra la soglia; posto garantito: tema del supervisore</t>
  </si>
  <si>
    <t>Claim ambientali non sostanziati nella documentazione di prodotti di investimento ESG, con rischio di sanzioni e rimborsi.</t>
  </si>
  <si>
    <t>Impatto 3 per sanzioni e rimborsi possibili su una clientela ampia; velocity 2 perche' l'esposizione emerge con ispezioni o reclami; prossimita' 3 per orientamenti europei gia' in vigore.</t>
  </si>
  <si>
    <t>[{"riferimento": "Orientamenti dell'autorita' europea sui nomi dei fondi ESG", "data": "2025-11-14", "tipo": "Esterna", "rilevanza": 3}]</t>
  </si>
  <si>
    <t>Prossimita 3 e Probabilita 3: sopra la soglia</t>
  </si>
  <si>
    <t>Alluvioni o ondate di calore che rendono inagibili sedi operative o degradano il data center secondario.</t>
  </si>
  <si>
    <t>Impatto 3 per degrado di sedi e del sito secondario; velocity 2; prossimita' 3 dopo l'alluvione di maggio su filiali della Banca.</t>
  </si>
  <si>
    <t>[{"riferimento": "Mappa del rischio idrogeologico delle sedi — BCM", "data": "2025-10-30", "tipo": "Interna", "rilevanza": 2}]</t>
  </si>
  <si>
    <t>Prossimita 2 e Probabilita 3: sopra la soglia</t>
  </si>
  <si>
    <t>Errori di conversione dati e controlli di processo non ridisegnati durante la migrazione a ondate del sistema core.</t>
  </si>
  <si>
    <t>Impatto 3 per errori contabili e disservizi limitati nel tempo; velocity 3; prossimita' 3 perche' la wave 2 e' nel 2027.</t>
  </si>
  <si>
    <t>[{"riferimento": "Piano di migrazione del core banking — PMO", "data": "2025-09-15", "tipo": "Interna", "rilevanza": 3}]</t>
  </si>
  <si>
    <t>Prossimita 4 e Probabilita 3: sopra la soglia; posto garantito: AGIRE ORA (radar di Mosca)</t>
  </si>
  <si>
    <t>Blocco prolungato dei pagamenti per un attacco ransomware al fornitore esterno che gestisce il gateway di pagamento della Banca.</t>
  </si>
  <si>
    <t>Impatto 4 perche' i pagamenti si fermano; velocity 5 perche' il blocco e' immediato; prossimita' 3 per attacchi a processori europei.</t>
  </si>
  <si>
    <t>[{"riferimento": "Registro DORA: fornitore del gateway di pagamento classificato critico", "data": "2025-10-15", "tipo": "Interna", "rilevanza": 2}]</t>
  </si>
  <si>
    <t>Prossimita 3 e Probabilita 3: sopra la soglia; posto garantito: tema del supervisore</t>
  </si>
  <si>
    <t>Dipendenti che consultano o estraggono dati di clienti senza motivo di servizio, per curiosita' o a favore di terzi.</t>
  </si>
  <si>
    <t>Impatto 3 per violazione di dati di clientela ampia; velocity 3; prossimita' 3 per casi sanzionati nel settore.</t>
  </si>
  <si>
    <t>[{"riferimento": "Esiti del monitoraggio degli accessi ai dati clienti — SOC", "data": "2025-11-10", "tipo": "Interna", "rilevanza": 3}]</t>
  </si>
  <si>
    <t>Prossimita 3 e Probabilita 2: sopra la soglia</t>
  </si>
  <si>
    <t>Componenti del sistema di pagamento fuori supporto del produttore, senza patch di sicurezza e con competenze interne in riduzione.</t>
  </si>
  <si>
    <t>Impatto 3 per disservizi sui pagamenti; velocity 2; prossimita' 3 per fine supporto annunciata.</t>
  </si>
  <si>
    <t>[{"riferimento": "Inventario delle componenti fuori supporto — IT", "data": "2025-09-30", "tipo": "Interna", "rilevanza": 3}]</t>
  </si>
  <si>
    <t>Prossimita 3 e Probabilita 3: sopra la soglia; posto garantito: AGIRE ORA (radar di Mosca)</t>
  </si>
  <si>
    <t>Errori di riconciliazione e rimborsi indebiti dopo l'obbligo di offrire i bonifici istantanei a tutta la clientela.</t>
  </si>
  <si>
    <t>Impatto 3 per rimborsi indebiti e disservizi; velocity 4 perche' gli errori si propagano in giornata; prossimita' 4 dopo i primi casi interni di maggio.</t>
  </si>
  <si>
    <t>[{"riferimento": "Piano di adeguamento al regolamento sui bonifici istantanei", "data": "2025-10-01", "tipo": "Interna", "rilevanza": 2}]</t>
  </si>
  <si>
    <t>Prossimita 3 e Probabilita 4: sopra la soglia</t>
  </si>
  <si>
    <t>[{"dimensione": "prossimita", "da": 3, "a": 4, "evidenza": "Primi casi di frode con voce sintetica presso due banche italiane comparabili, riportati dalla threat intelligence di settore.", "data_evidenza": "2026-02-12"}]</t>
  </si>
  <si>
    <t>Prossimita 4 e Probabilita 4: sopra la soglia; posto garantito: AGIRE ORA (radar di Mosca)</t>
  </si>
  <si>
    <t>[{"riferimento": "Contratto e piano di uscita del fornitore cloud", "data": "2025-09-30", "tipo": "Interna", "rilevanza": 2}, {"riferimento": "Registro delle informazioni DORA — servizi ICT critici", "data": "2026-03-20", "tipo": "Interna", "rilevanza": 3}]</t>
  </si>
  <si>
    <t>[{"riferimento": "Orientamenti dell'autorita' europea sui nomi dei fondi ESG", "data": "2025-11-14", "tipo": "Esterna", "rilevanza": 3}, {"riferimento": "Verifica interna dei claim ambientali — Compliance", "data": "2026-02-18", "tipo": "Interna", "rilevanza": 2}]</t>
  </si>
  <si>
    <t>Nuovo</t>
  </si>
  <si>
    <t>Dipendenti che trasferiscono intenzionalmente dati riservati su servizi di AI generativa esterni per uso personale o a favore di terzi.</t>
  </si>
  <si>
    <t>Impatto 3 per possibile perdita di dati riservati; velocity 3; prossimita' 3 per tentativi rilevati dal DLP.</t>
  </si>
  <si>
    <t>[{"riferimento": "Log DLP: tentativi di caricamento verso servizi AI esterni", "data": "2026-03-15", "tipo": "Interna", "rilevanza": 3}, {"riferimento": "Survey interna sull'uso di strumenti di AI generativa", "data": "2026-02-10", "tipo": "Interna", "rilevanza": 2}]</t>
  </si>
  <si>
    <t>[{"riferimento": "Registro DORA: fornitore del gateway di pagamento classificato critico", "data": "2025-10-15", "tipo": "Interna", "rilevanza": 2}, {"riferimento": "Attacco ransomware a un processore di pagamenti europeo", "data": "2026-02-20", "tipo": "Esterna", "rilevanza": 3}]</t>
  </si>
  <si>
    <t>Pagamenti di clientela corporate verso controparti sanzionate interposte in paesi terzi, non intercettati dal filtro sanzioni.</t>
  </si>
  <si>
    <t>Impatto 4 per sanzioni e danno reputazionale nazionale; velocity 3; prossimita' 2 per precursori solo in altri paesi.</t>
  </si>
  <si>
    <t>[{"riferimento": "Nuovo pacchetto di sanzioni UE con obblighi di due diligence rafforzata", "data": "2026-02-24", "tipo": "Esterna", "rilevanza": 3}, {"riferimento": "Analisi dei flussi verso paesi di transito — Compliance", "data": "2026-03-12", "tipo": "Interna", "rilevanza": 2}]</t>
  </si>
  <si>
    <t>Prossimita 2 e Probabilita 2: sopra la soglia; posto garantito: tema del supervisore</t>
  </si>
  <si>
    <t>Chatbot di assistenza basati su AI generativa che danno ai clienti informazioni errate su condizioni, costi o diritti, con reclami e rimborsi.</t>
  </si>
  <si>
    <t>Impatto 3 per reclami e rimborsi su clientela ampia; velocity non valutata: nessuna fonte documenta i tempi fra una risposta errata e il danno; prossimita' 3 per casi nel settore europeo.</t>
  </si>
  <si>
    <t>[{"riferimento": "Piano di rilascio del chatbot di assistenza con AI generativa", "data": "2026-01-20", "tipo": "Interna", "rilevanza": 2}, {"riferimento": "Sanzione a una compagnia aerea per risposte errate del proprio chatbot", "data": "2026-02-15", "tipo": "Esterna", "rilevanza": 2}]</t>
  </si>
  <si>
    <t>[{"riferimento": "Inventario delle componenti fuori supporto — IT", "data": "2025-09-30", "tipo": "Interna", "rilevanza": 3}, {"riferimento": "Comunicazione del produttore sulla fine del supporto esteso", "data": "2026-01-31", "tipo": "Esterna", "rilevanza": 3}]</t>
  </si>
  <si>
    <t>NFR-13</t>
  </si>
  <si>
    <t>Rottura della crittografia dei pagamenti con il calcolo quantistico</t>
  </si>
  <si>
    <t>DRV-TEC, DRV-CYB</t>
  </si>
  <si>
    <t>Un calcolatore quantistico abbastanza potente renderebbe decifrabili le firme e le comunicazioni che proteggono pagamenti e accessi della Banca; dati intercettati oggi potrebbero essere letti domani. Danno: frodi, violazione di dati, sostituzione d'urgenza della crittografia.</t>
  </si>
  <si>
    <t>Impatto 5 perche' toccherebbe tutti i canali; Probabilita 1 e Prossimita 1: nessun calcolatore oggi ha la capacita' necessaria e nessun caso e' documentato; velocity non valutata: nessuna fonte sui tempi.</t>
  </si>
  <si>
    <t>[{"riferimento": "Rapporto sulla crittografia post-quantistica di un'agenzia europea per la cybersicurezza", "data": "2026-02-10", "tipo": "Esterna", "rilevanza": 2}]</t>
  </si>
  <si>
    <t>Prossimita 1 sotto la soglia 2; Probabilita 1 sotto la soglia 2</t>
  </si>
  <si>
    <t>Annuncio verificato di un calcolatore in grado di rompere RSA-2048, o una scadenza regolamentare per la migrazione post-quantistica dei sistemi di pagamento.</t>
  </si>
  <si>
    <t>NFR-14</t>
  </si>
  <si>
    <t>Interruzione di cavi sottomarini per una crisi geopolitica</t>
  </si>
  <si>
    <t>DRV-GEO, DRV-TPR</t>
  </si>
  <si>
    <t>Il taglio di piu' cavi sottomarini nel Mediterraneo degraderebbe la connettivita' verso i data center del fornitore cloud e i circuiti di pagamento internazionali. Danno: indisponibilita' dei servizi e dei pagamenti esteri per giorni.</t>
  </si>
  <si>
    <t>Impatto 4 per servizi e pagamenti esteri fermi per giorni; velocity 4 perche' il taglio e' immediato; Probabilita 2 dopo i danneggiamenti nel Mar Baltico e nel Mar Rosso; Prossimita 1: nessun caso sulle rotte italiane.</t>
  </si>
  <si>
    <t>Danneggiamento doloso di un cavo che serve l'Italia, o un'esercitazione delle autorita' sul ripristino della connettivita'.</t>
  </si>
  <si>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</si>
  <si>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</si>
  <si>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</si>
  <si>
    <t>[{"dimensione": "prossimita", "da": 2, "a": 3, "evidenza": "Alluvione in Emilia-Romagna del maggio 2026 con chiusura di due filiali della Banca per tre giorni.", "data_evidenza": "2026-05-06"}]</t>
  </si>
  <si>
    <t>[{"riferimento": "Mappa del rischio idrogeologico delle sedi — BCM", "data": "2025-10-30", "tipo": "Interna", "rilevanza": 2}, {"riferimento": "Alluvione in Emilia-Romagna con chiusura di due filiali", "data": "2026-05-06", "tipo": "Esterna", "rilevanza": 3}]</t>
  </si>
  <si>
    <t>[{"dimensione": "prossimita", "da": 4, "a": 3, "evidenza": "Wave 1 completata il 4 maggio 2026; la wave 2 e' pianificata per il 2027, quindi il prossimo punto di esposizione si allontana.", "data_evidenza": "2026-05-04"}]</t>
  </si>
  <si>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</si>
  <si>
    <t>[{"riferimento": "Esiti del monitoraggio degli accessi ai dati clienti — SOC", "data": "2025-11-10", "tipo": "Interna", "rilevanza": 3}, {"riferimento": "Provvedimento dell'autorita' privacy su accessi abusivi in una banca", "data": "2026-04-08", "tipo": "Esterna", "rilevanza": 3}]</t>
  </si>
  <si>
    <t>[{"dimensione": "prossimita", "da": 3, "a": 4, "evidenza": "Il report operativo di maggio registra i primi rimborsi indebiti e differenze di riconciliazione sui bonifici istantanei presso la Banca.", "data_evidenza": "2026-05-15"}]</t>
  </si>
  <si>
    <t>[{"riferimento": "Piano di adeguamento al regolamento sui bonifici istantanei", "data": "2025-10-01", "tipo": "Interna", "rilevanza": 2}, {"riferimento": "Report operativo dei pagamenti istantanei — maggio", "data": "2026-05-15", "tipo": "Interna", "rilevanza": 3}]</t>
  </si>
  <si>
    <t>⚑ DA MOTIVARE · C4 · A5: Prossimita 4: il report operativo di maggio documenta rimborsi indebiti, ma non un caso nominato fuori dalla Banca.</t>
  </si>
  <si>
    <t>Prossimita 4 e Probabilita 4: sopra la soglia</t>
  </si>
  <si>
    <t>[{"dimensione": "probabilita", "da": 1, "a": 2, "evidenza": "Il rapporto sulla resilienza delle infrastrutture critiche sottomarine documenta tre danneggiamenti dolosi di cavi europei in un anno.", "data_evidenza": "2026-05-20"}]</t>
  </si>
  <si>
    <t>[{"riferimento": "Rapporto sulla resilienza delle infrastrutture critiche sottomarine", "data": "2026-05-20", "tipo": "Esterna", "rilevanza": 3}]</t>
  </si>
  <si>
    <t>Prossimita 1 sotto la soglia 2</t>
  </si>
  <si>
    <t>NFR-15</t>
  </si>
  <si>
    <t>Responsabilita' per decisioni di agenti di IA autonomi verso i clienti</t>
  </si>
  <si>
    <t>Agenti di IA che agiscono per conto dei clienti (pagamenti, investimenti) potrebbero eseguire operazioni non volute; la ripartizione della responsabilita' fra cliente, fornitore dell'agente e Banca non e' definita. Danno: rimborsi e contenzioso.</t>
  </si>
  <si>
    <t>Impatto 3 per rimborsi e contenzioso; Prossimita 2 per sperimentazioni presso grandi piattaforme di pagamento; Probabilita 1: nessun caso in banca; velocity non valutata.</t>
  </si>
  <si>
    <t>[{"riferimento": "Comunicato di una piattaforma di pagamento sugli acquisti delegati ad agenti di IA", "data": "2026-06-03", "tipo": "Esterna", "rilevanza": 2}]</t>
  </si>
  <si>
    <t>Probabilita 1 sotto la soglia 2</t>
  </si>
  <si>
    <t>Primo contenzioso o orientamento di un'autorita' europea su un'operazione bancaria disposta da un agente di IA.</t>
  </si>
  <si>
    <r>
      <rPr>
        <b/>
        <sz val="10"/>
        <color rgb="FF1F4E79"/>
        <rFont val="Calibri"/>
      </rPr>
      <t>CICLO TRIMESTRALE — A1 propone da 1 a 5 azioni per rischio; la validazione e' la delibera (Accettato o Rettificato = Approvata, Respinto = Respinta).</t>
    </r>
    <r>
      <rPr>
        <sz val="10"/>
        <color rgb="FF262626"/>
        <rFont val="Calibri"/>
      </rPr>
      <t xml:space="preserve">
Mesi_Orizzonte alimenta la Y di Mosca: l'orizzonte piu' lungo fra le azioni del ciclo non respinte. Le azioni non Completate, Respinte o Annullate passano ad A1 come aperte nel ciclo dopo. Vista d'insieme: Piano_azioni.
Modifiche a mano: la colonna Stato di un'azione approvata (In corso, Completata), quando l'owner lo comunica, e i testi Descrizione e Razionale (D-76). Owner e orizzonte di un'azione gia' decisa: comando riapri e validazione. Il resto si scrive solo con lo script.
Colore delle intestazioni = chi scrive la colonna: azzurro l'agente del ciclo trimestrale (A1, A5), verde l'agente settimanale (A3), giallo la validazione, grigio lo script o una formula. Righe grigie = dati di esempio.</t>
    </r>
  </si>
  <si>
    <t>A1 · Trimestre in cui l'azione e' stata proposta.</t>
  </si>
  <si>
    <t>A1 · Rischio a cui l'azione si riferisce.</t>
  </si>
  <si>
    <t>Script · Codice &lt;ciclo&gt;-&lt;rischio&gt;-A&lt;n&gt;.</t>
  </si>
  <si>
    <t>A1 · Che cosa fare, in concreto.</t>
  </si>
  <si>
    <t>A1 · Funzione che la realizza, mai una persona.</t>
  </si>
  <si>
    <t>A1 · Tempo per completarla: 3, 6 o 12 mesi.</t>
  </si>
  <si>
    <t>Formula · Orizzonte in mesi: il piu' lungo fra le azioni non respinte e' la Y di Mosca.</t>
  </si>
  <si>
    <t>A1 · Perche' l'azione riduce il rischio; dopo EFFETTO: che cosa dovrebbe cambiare (D-68).</t>
  </si>
  <si>
    <t>Validazione · Proposta, poi Approvata o Respinta (validazione); In corso e Completata a mano; Annullata se il rischio esce.</t>
  </si>
  <si>
    <t>Validazione · Giorno della decisione sull'azione.</t>
  </si>
  <si>
    <t>Validazione · Chi ha deciso.</t>
  </si>
  <si>
    <t>Validazione · Da validare, poi Accettato, Rettificato o Respinto.</t>
  </si>
  <si>
    <t>Introdurre la verifica fuori banda per bonifici istantanei sopra soglia verso beneficiari nuovi.</t>
  </si>
  <si>
    <t>Oggi la verifica fuori banda esclude i bonifici istantanei: e' il punto debole che l'azione chiude.</t>
  </si>
  <si>
    <t>2026Q2-NFR-02-A1</t>
  </si>
  <si>
    <t>Eseguire il test completo di exit strategy sui due servizi critici non ancora coperti.</t>
  </si>
  <si>
    <t>12 mesi</t>
  </si>
  <si>
    <t>Finche' la exit strategy non e' testata su tutti i servizi critici, un guasto del fornitore non ha alternativa.</t>
  </si>
  <si>
    <t>2026Q2-NFR-03-A1</t>
  </si>
  <si>
    <t>Revisione indipendente dei claim ambientali di tutti i prodotti ESG in catalogo.</t>
  </si>
  <si>
    <t>Sostanzia i claim prima che un'ispezione o un reclamo li contesti.</t>
  </si>
  <si>
    <t>2026Q2-NFR-04-A1</t>
  </si>
  <si>
    <t>Redigere piani di continuita' specifici per le due sedi critiche in aree a rischio.</t>
  </si>
  <si>
    <t>Il KRI NFR-04-K1 mostra due sedi senza piano: e' il punto scoperto principale.</t>
  </si>
  <si>
    <t>2026Q2-NFR-05-A1</t>
  </si>
  <si>
    <t>Monitoraggio giornaliero degli incidenti post-migrazione con escalation entro 4 ore.</t>
  </si>
  <si>
    <t>3 mesi</t>
  </si>
  <si>
    <t>Intercetta gli errori prima che si propaghino alle scritture contabili.</t>
  </si>
  <si>
    <t>Respinta</t>
  </si>
  <si>
    <t>Respinto</t>
  </si>
  <si>
    <t>2026Q2-NFR-06-A1</t>
  </si>
  <si>
    <t>Estendere il DLP a tutti i servizi di AI generativa e bloccare quelli non autorizzati.</t>
  </si>
  <si>
    <t>Il DLP copre solo parte dei servizi di AI generativa: l'azione estende il presidio.</t>
  </si>
  <si>
    <t>2026Q2-NFR-07-A1</t>
  </si>
  <si>
    <t>Test congiunto di ripristino da ransomware con il fornitore del gateway di pagamento.</t>
  </si>
  <si>
    <t>Il ripristino da ransomware non e' mai stato testato con il fornitore.</t>
  </si>
  <si>
    <t>2026Q2-NFR-08-A1</t>
  </si>
  <si>
    <t>Revisione trimestrale automatica degli accessi ai dati clienti senza pratica associata.</t>
  </si>
  <si>
    <t>Oggi la revisione degli accessi e' annuale e a campione.</t>
  </si>
  <si>
    <t>2026Q2-NFR-09-A1</t>
  </si>
  <si>
    <t>Estendere lo screening sanzioni alle controparti indirette dei pagamenti verso paesi di transito.</t>
  </si>
  <si>
    <t>Chiude la lacuna sulle triangolazioni, oggi non coperte dal filtro.</t>
  </si>
  <si>
    <t>2026Q2-NFR-10-A1</t>
  </si>
  <si>
    <t>Campionamento settimanale delle risposte del chatbot con verifica umana.</t>
  </si>
  <si>
    <t>Riduce la probabilita' che informazioni errate raggiungano molti clienti.</t>
  </si>
  <si>
    <t>2026Q2-NFR-11-A1</t>
  </si>
  <si>
    <t>Piano di sostituzione delle componenti fuori supporto del sistema di pagamento.</t>
  </si>
  <si>
    <t>Oggi non ci sono patch per le componenti fuori supporto.</t>
  </si>
  <si>
    <t>2026Q2-NFR-12-A1</t>
  </si>
  <si>
    <t>Controllo giornaliero automatico delle differenze di riconciliazione sui bonifici istantanei.</t>
  </si>
  <si>
    <t>La riconciliazione oggi e' settimanale: gli errori emergono troppo tardi.</t>
  </si>
  <si>
    <r>
      <rPr>
        <b/>
        <sz val="10"/>
        <color rgb="FF1F4E79"/>
        <rFont val="Calibri"/>
      </rPr>
      <t>CICLO TRIMESTRALE — A1 propone due KRI per rischio, uno di esposizione e uno di evoluzione (colonna Tipo, D-64; con le soglie solo se una fonte le sostiene) e rilegge i valori che trova; la validazione puo' rettificare valori e soglie o respingere un KRI. Si scrive con lo script (le viste e la baseline leggono queste righe): a mano solo i testi elencati nel foglio Guida, DOVE SI SCRIVE A MANO; mai ID, numeri, date o righe intere (D-76).</t>
    </r>
    <r>
      <rPr>
        <sz val="10"/>
        <color rgb="FF262626"/>
        <rFont val="Calibri"/>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</si>
  <si>
    <t>A1 · Ciclo della fotografia: ogni ciclo aggiunge una riga per KRI in vigore.</t>
  </si>
  <si>
    <t>Script · Codice stabile NFR-nn-Kn: la stessa serie storica in tutti i cicli.</t>
  </si>
  <si>
    <t>A1 · Rischio che il KRI misura.</t>
  </si>
  <si>
    <t>A1 · Che cosa misura.</t>
  </si>
  <si>
    <t>A1 · Esposizione (quanto la Banca e' esposta) o Evoluzione (quanto cresce il fenomeno): uno per tipo per rischio (D-64). Vuoto nei KRI scritti prima del 30/09/2026 sera.</t>
  </si>
  <si>
    <t>A1 · Unita' di misura (n, %, ore, n/10k...).</t>
  </si>
  <si>
    <t>A1 · Sistema o report interno da cui si prende il valore.</t>
  </si>
  <si>
    <t>A1 · Da questo valore in su: Ambra. Vuota = da definire (la fissa il validatore).</t>
  </si>
  <si>
    <t>A1 · Da questo valore in su: Rosso. Mai sotto la soglia di attenzione.</t>
  </si>
  <si>
    <t>A1 · Valore rilevato per QUESTO ciclo; vuoto se non rilevato (A1 rilegge solo i valori che trova), mai ricopiato.</t>
  </si>
  <si>
    <t>Script · Data del valore rilevato.</t>
  </si>
  <si>
    <t>A1 · Documento o estrazione da cui viene il valore.</t>
  </si>
  <si>
    <t>A1 · Commento alla rilevazione.</t>
  </si>
  <si>
    <t>Formula · Verde, Ambra o Rosso rispetto alle soglie; Non rilevato senza valore; Soglie da definire se mancano.</t>
  </si>
  <si>
    <t>Script · Sì; No = il KRI esce in questo ciclo e la serie finisce.</t>
  </si>
  <si>
    <t>Script · Ciclo in cui il KRI e' nato.</t>
  </si>
  <si>
    <t>A1 · Ultimo ciclo che ne ha scritto la definizione.</t>
  </si>
  <si>
    <t>A1 · Perche' il KRI misura il rischio; dopo EFFETTO: andamento atteso e che cosa segnala oltre soglia (D-68).</t>
  </si>
  <si>
    <t>Formula · Ciclo|KRI_ID: chiave di ricerca per le viste.</t>
  </si>
  <si>
    <t>Tentativi di frode APP per 10.000 bonifici istantanei</t>
  </si>
  <si>
    <t>KRI di evoluzione del rischio NFR-01: quanto cresce il fenomeno; valori crescenti indicano peggioramento.</t>
  </si>
  <si>
    <t>NFR-01-K3</t>
  </si>
  <si>
    <t>Tempo medio di blocco di un beneficiario fraudolento</t>
  </si>
  <si>
    <t>Esposizione</t>
  </si>
  <si>
    <t>ore</t>
  </si>
  <si>
    <t>Log del sistema di pagamento</t>
  </si>
  <si>
    <t>KRI di esposizione del rischio NFR-01: quanto la Banca e' esposta; valori crescenti indicano peggioramento.</t>
  </si>
  <si>
    <t>NFR-02-K1</t>
  </si>
  <si>
    <t>Quota di servizi critici sul fornitore cloud principale</t>
  </si>
  <si>
    <t>%</t>
  </si>
  <si>
    <t>Registro delle informazioni DORA</t>
  </si>
  <si>
    <t>KRI di esposizione del rischio NFR-02: quanto la Banca e' esposta; valori crescenti indicano peggioramento.</t>
  </si>
  <si>
    <t>NFR-02-K2</t>
  </si>
  <si>
    <t>Incidenti dei fornitori cloud critici con impatto sui servizi nel trimestre</t>
  </si>
  <si>
    <t>n</t>
  </si>
  <si>
    <t>Incident management ICT</t>
  </si>
  <si>
    <t>KRI di evoluzione del rischio NFR-02: quanto cresce il fenomeno; valori crescenti indicano peggioramento.</t>
  </si>
  <si>
    <t>NFR-03-K1</t>
  </si>
  <si>
    <t>Reclami su prodotti ESG ogni 1.000 contratti</t>
  </si>
  <si>
    <t>n/1000</t>
  </si>
  <si>
    <t>Sistema di gestione reclami</t>
  </si>
  <si>
    <t>KRI di evoluzione del rischio NFR-03: quanto cresce il fenomeno; valori crescenti indicano peggioramento.</t>
  </si>
  <si>
    <t>NFR-03-K2</t>
  </si>
  <si>
    <t>Quota di prodotti ESG senza revisione dei claim nell'anno</t>
  </si>
  <si>
    <t>Inventario prodotti — Compliance</t>
  </si>
  <si>
    <t>KRI di esposizione del rischio NFR-03: quanto la Banca e' esposta; valori crescenti indicano peggioramento.</t>
  </si>
  <si>
    <t>NFR-04-K1</t>
  </si>
  <si>
    <t>Sedi critiche in aree a rischio idrogeologico senza piano specifico</t>
  </si>
  <si>
    <t>Mappatura BCM delle sedi</t>
  </si>
  <si>
    <t>KRI di esposizione del rischio NFR-04: quanto la Banca e' esposta; valori crescenti indicano peggioramento.</t>
  </si>
  <si>
    <t>NFR-04-K2</t>
  </si>
  <si>
    <t>Giorni di indisponibilita' di sedi per eventi climatici</t>
  </si>
  <si>
    <t>giorni</t>
  </si>
  <si>
    <t>Registro incidenti BCM</t>
  </si>
  <si>
    <t>KRI di evoluzione del rischio NFR-04: quanto cresce il fenomeno; valori crescenti indicano peggioramento.</t>
  </si>
  <si>
    <t>NFR-05-K2</t>
  </si>
  <si>
    <t>Incidenti di produzione legati alla migrazione</t>
  </si>
  <si>
    <t>Incident management IT</t>
  </si>
  <si>
    <t>KRI di evoluzione del rischio NFR-05: quanto cresce il fenomeno; valori crescenti indicano peggioramento.</t>
  </si>
  <si>
    <t>NFR-05-K3</t>
  </si>
  <si>
    <t>Quota di controlli di processo non ridisegnati sul nuovo core</t>
  </si>
  <si>
    <t>Piano di migrazione — PMO</t>
  </si>
  <si>
    <t>KRI di esposizione del rischio NFR-05: quanto la Banca e' esposta; valori crescenti indicano peggioramento.</t>
  </si>
  <si>
    <t>NFR-07-K1</t>
  </si>
  <si>
    <t>Fornitori di pagamento critici senza test di ripristino da ransomware</t>
  </si>
  <si>
    <t>KRI di esposizione del rischio NFR-07: quanto la Banca e' esposta; valori crescenti indicano peggioramento.</t>
  </si>
  <si>
    <t>NFR-07-K2</t>
  </si>
  <si>
    <t>Ore di indisponibilita' del gateway di pagamento nel trimestre</t>
  </si>
  <si>
    <t>KRI di evoluzione del rischio NFR-07: quanto cresce il fenomeno; valori crescenti indicano peggioramento.</t>
  </si>
  <si>
    <t>NFR-08-K1</t>
  </si>
  <si>
    <t>Accessi ai dati clienti senza pratica associata</t>
  </si>
  <si>
    <t>n/mese</t>
  </si>
  <si>
    <t>Log applicativi e SOC</t>
  </si>
  <si>
    <t>KRI di evoluzione del rischio NFR-08: quanto cresce il fenomeno; valori crescenti indicano peggioramento.</t>
  </si>
  <si>
    <t>NFR-08-K2</t>
  </si>
  <si>
    <t>Utenze con profili di accesso non rivisti nell'anno</t>
  </si>
  <si>
    <t>Sistema IAM</t>
  </si>
  <si>
    <t>KRI di esposizione del rischio NFR-08: quanto la Banca e' esposta; valori crescenti indicano peggioramento.</t>
  </si>
  <si>
    <t>NFR-11-K1</t>
  </si>
  <si>
    <t>Componenti del sistema di pagamento fuori supporto</t>
  </si>
  <si>
    <t>Inventario IT</t>
  </si>
  <si>
    <t>KRI di esposizione del rischio NFR-11: quanto la Banca e' esposta; valori crescenti indicano peggioramento.</t>
  </si>
  <si>
    <t>NFR-11-K2</t>
  </si>
  <si>
    <t>Vulnerabilita' senza patch disponibile sui sistemi legacy</t>
  </si>
  <si>
    <t>Vulnerability management</t>
  </si>
  <si>
    <t>KRI di evoluzione del rischio NFR-11: quanto cresce il fenomeno; valori crescenti indicano peggioramento.</t>
  </si>
  <si>
    <t>NFR-12-K1</t>
  </si>
  <si>
    <t>Differenze di riconciliazione sui bonifici istantanei aperte oltre 1 giorno</t>
  </si>
  <si>
    <t>Sistema di riconciliazione</t>
  </si>
  <si>
    <t>KRI di evoluzione del rischio NFR-12: quanto cresce il fenomeno; valori crescenti indicano peggioramento.</t>
  </si>
  <si>
    <t>NFR-12-K3</t>
  </si>
  <si>
    <t>Tempo medio di risoluzione delle eccezioni sui pagamenti istantanei</t>
  </si>
  <si>
    <t>Workflow delle eccezioni</t>
  </si>
  <si>
    <t>KRI di esposizione del rischio NFR-12: quanto la Banca e' esposta; valori crescenti indicano peggioramento.</t>
  </si>
  <si>
    <t>Dato non ancora prodotto dalla fonte.</t>
  </si>
  <si>
    <t>NFR-06-K1</t>
  </si>
  <si>
    <t>Tentativi di caricamento di dati riservati su servizi AI non autorizzati</t>
  </si>
  <si>
    <t>DLP e proxy web</t>
  </si>
  <si>
    <t>KRI di evoluzione del rischio NFR-06: quanto cresce il fenomeno; valori crescenti indicano peggioramento.</t>
  </si>
  <si>
    <t>NFR-06-K2</t>
  </si>
  <si>
    <t>Quota di dipendenti senza formazione sull'uso dell'AI</t>
  </si>
  <si>
    <t>Piattaforma di formazione</t>
  </si>
  <si>
    <t>KRI di esposizione del rischio NFR-06: quanto la Banca e' esposta; valori crescenti indicano peggioramento.</t>
  </si>
  <si>
    <t>NFR-09-K1</t>
  </si>
  <si>
    <t>Pagamenti bloccati dal filtro sanzioni ogni 10.000 verso paesi di transito</t>
  </si>
  <si>
    <t>Sistema di filtro sanzioni</t>
  </si>
  <si>
    <t>KRI di evoluzione del rischio NFR-09: quanto cresce il fenomeno; valori crescenti indicano peggioramento.</t>
  </si>
  <si>
    <t>NFR-09-K2</t>
  </si>
  <si>
    <t>Clienti corporate ad alto rischio senza due diligence rafforzata aggiornata</t>
  </si>
  <si>
    <t>Anagrafe clienti — Compliance</t>
  </si>
  <si>
    <t>KRI di esposizione del rischio NFR-09: quanto la Banca e' esposta; valori crescenti indicano peggioramento.</t>
  </si>
  <si>
    <t>NFR-10-K1</t>
  </si>
  <si>
    <t>Risposte del chatbot contestate ogni 1.000 conversazioni</t>
  </si>
  <si>
    <t>Piattaforma di assistenza</t>
  </si>
  <si>
    <t>KRI di evoluzione del rischio NFR-10: quanto cresce il fenomeno; valori crescenti indicano peggioramento.</t>
  </si>
  <si>
    <t>NFR-10-K3</t>
  </si>
  <si>
    <t>Quota di risposte del chatbot non campionate dal controllo qualita'</t>
  </si>
  <si>
    <t>Controllo qualita' Customer Experience</t>
  </si>
  <si>
    <t>KRI di esposizione del rischio NFR-10: quanto la Banca e' esposta; valori crescenti indicano peggioramento.</t>
  </si>
  <si>
    <r>
      <rPr>
        <b/>
        <sz val="10"/>
        <color rgb="FF375623"/>
        <rFont val="Calibri"/>
      </rPr>
      <t>CICLO SETTIMANALE — le notizie raccolte ogni giorno le valuta A3 il lunedi'; lo script le aggiunge senza duplicati. Validazione delle notizie facoltativa. Si scrive con lo script (le viste e la baseline leggono queste righe): a mano solo i testi elencati nel foglio Guida, DOVE SI SCRIVE A MANO; mai ID, numeri, date o righe intere (D-76).</t>
    </r>
    <r>
      <rPr>
        <sz val="10"/>
        <color rgb="FF262626"/>
        <rFont val="Calibri"/>
      </rPr>
      <t xml:space="preserve">
Come si legge: Segnale = direzione per il rischio collegato (quattro valori, contati per testo esatto); Imp_ = intensita' 0-3 sulla categoria,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</si>
  <si>
    <t>A3 · ciclo settimanale</t>
  </si>
  <si>
    <t>A3 · Data della notizia.</t>
  </si>
  <si>
    <t>Formula · Lunedi' della settimana della notizia.</t>
  </si>
  <si>
    <t>A3 · Codice unico N-AAAAMMGG-nn.</t>
  </si>
  <si>
    <t>A3 · Titolo della notizia.</t>
  </si>
  <si>
    <t>A3 · Testata o ente che la pubblica.</t>
  </si>
  <si>
    <t>A3 · Codice del catalogo fonti (FNT-nn), MAN se raccolta a mano.</t>
  </si>
  <si>
    <t>A3 · Rischio toccato; NON PRESIDIATO se nessun rischio censito.</t>
  </si>
  <si>
    <t>A3 · Direzione per il rischio: Peggiorativo, Migliorativo, Neutro, Non rilevante.</t>
  </si>
  <si>
    <t>A3 · Intensita' 0-3 sulla categoria 9.1 (0 = nessun nesso, 3 = diretto e immediato).</t>
  </si>
  <si>
    <t>A3 · Intensita' 0-3 sulla categoria 9.4 (0 = nessun nesso, 3 = diretto e immediato).</t>
  </si>
  <si>
    <t>A3 · Intensita' 0-3 sulla categoria 9.5 (0 = nessun nesso, 3 = diretto e immediato).</t>
  </si>
  <si>
    <t>A3 · Intensita' 0-3 sulla categoria 9.6 (0 = nessun nesso, 3 = diretto e immediato).</t>
  </si>
  <si>
    <t>A3 · Intensita' 0-3 sulla categoria 9.7 (0 = nessun nesso, 3 = diretto e immediato).</t>
  </si>
  <si>
    <t>A3 · Intensita' 0-3 sulla categoria 9.8 (0 = nessun nesso, 3 = diretto e immediato).</t>
  </si>
  <si>
    <t>A3 · Intensita' 0-3 sulla categoria 9.9 (0 = nessun nesso, 3 = diretto e immediato).</t>
  </si>
  <si>
    <t>A3 · Intensita' 0-3 sulla categoria 9.11 (0 = nessun nesso, 3 = diretto e immediato).</t>
  </si>
  <si>
    <t>A3 · Intensita' 0-3 sulla categoria 9.13 (0 = nessun nesso, 3 = diretto e immediato).</t>
  </si>
  <si>
    <t>A3 · Che cosa dice la notizia, in breve.</t>
  </si>
  <si>
    <t>N-20260520-01</t>
  </si>
  <si>
    <t>Guasto regionale del fornitore cloud per sei ore</t>
  </si>
  <si>
    <t>Agenzia di stampa</t>
  </si>
  <si>
    <t>FNT-17</t>
  </si>
  <si>
    <t>Interruzione di sei ore di una region europea del fornitore; fuori dalla finestra delle 4 settimane del badge.</t>
  </si>
  <si>
    <t>Nuova ondata di frodi con voce clonata su bonifici istantanei</t>
  </si>
  <si>
    <t>Allerta del CERT su campagne con voce clonata di dirigenti verso clienti corporate.</t>
  </si>
  <si>
    <t>N-20260610-01</t>
  </si>
  <si>
    <t>Stabilizzazione dei sistemi dopo la wave 1 in banche comparabili</t>
  </si>
  <si>
    <t>Stampa specializzata</t>
  </si>
  <si>
    <t>MAN</t>
  </si>
  <si>
    <t>Migliorativo</t>
  </si>
  <si>
    <t>Le banche che hanno migrato con approccio a ondate riportano incidenti in calo.</t>
  </si>
  <si>
    <t>N-20260611-01</t>
  </si>
  <si>
    <t>Il fornitore cloud annuncia una nuova region in Italia</t>
  </si>
  <si>
    <t>Comunicato stampa del fornitore cloud, sito del fornitore</t>
  </si>
  <si>
    <t>Una seconda region nazionale rende piu' semplice una strategia multi-region.</t>
  </si>
  <si>
    <t>N-20260616-01</t>
  </si>
  <si>
    <t>Frodi con deepfake video in una banca tedesca</t>
  </si>
  <si>
    <t>Stampa economica</t>
  </si>
  <si>
    <t>FNT-18</t>
  </si>
  <si>
    <t>Videochiamata con deepfake del CFO: bonifico da 20 milioni verso conto estero.</t>
  </si>
  <si>
    <t>N-20260617-01</t>
  </si>
  <si>
    <t>Chiusi i rilievi di audit sulla migrazione presso un peer</t>
  </si>
  <si>
    <t>Relazione di vigilanza</t>
  </si>
  <si>
    <t>FNT-01</t>
  </si>
  <si>
    <t>L'autorita' chiude i rilievi su un'analoga migrazione di core banking.</t>
  </si>
  <si>
    <t>N-20260618-01</t>
  </si>
  <si>
    <t>Allerta caldo estremo nel Nord Italia</t>
  </si>
  <si>
    <t>Protezione civile</t>
  </si>
  <si>
    <t>FNT-23</t>
  </si>
  <si>
    <t>Neutro</t>
  </si>
  <si>
    <t>Ondata di calore prevista; nessun impatto segnalato su infrastrutture critiche.</t>
  </si>
  <si>
    <t>N-20260623-01</t>
  </si>
  <si>
    <t>Il fornitore cloud pubblica il report di resilienza</t>
  </si>
  <si>
    <t>Il report conferma tempi di ripristino superiori agli impegni contrattuali in due incidenti.</t>
  </si>
  <si>
    <t>N-20260624-01</t>
  </si>
  <si>
    <t>Linee guida europee sul rimborso delle frodi APP</t>
  </si>
  <si>
    <t>Autorita' bancaria europea</t>
  </si>
  <si>
    <t>FNT-03</t>
  </si>
  <si>
    <t>Proposta di rimborso obbligatorio delle frodi APP a carico del prestatore di servizi di pagamento.</t>
  </si>
  <si>
    <t>N-20260625-01</t>
  </si>
  <si>
    <t>Wave 1 chiusa senza incidenti gravi nel trimestre</t>
  </si>
  <si>
    <t>Comunicazione interna PMO</t>
  </si>
  <si>
    <t>Il PMO conferma zero incidenti di severita' alta nelle ultime otto settimane.</t>
  </si>
  <si>
    <r>
      <rPr>
        <b/>
        <sz val="10"/>
        <color rgb="FF1F4E79"/>
        <rFont val="Calibri"/>
      </rPr>
      <t>CICLO TRIMESTRALE — lo script scrive una riga per ciclo con il commento di A1 per il comitato e la sintesi di A5 (se usato). Si scrive con lo script (le viste e la baseline leggono queste righe): a mano solo i testi elencati nel foglio Guida, DOVE SI SCRIVE A MANO; mai ID, numeri, date o righe intere (D-76).</t>
    </r>
    <r>
      <rPr>
        <sz val="10"/>
        <color rgb="FF262626"/>
        <rFont val="Calibri"/>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</si>
  <si>
    <t>A5 · ciclo trimestrale</t>
  </si>
  <si>
    <t>A1 · Trimestre valutato.</t>
  </si>
  <si>
    <t>A1 · Data di riferimento del ciclo.</t>
  </si>
  <si>
    <t>A1 · Commento per il comitato nella forma MESSAGGIO: ... DECISIONI: ... (il Quadro lo divide in due righe).</t>
  </si>
  <si>
    <t>A5 · Sintesi del challenger A5, se usato (facoltativo, D-71); altrimenti lo dice.</t>
  </si>
  <si>
    <t>Script · Numero di rilievi non bloccanti (A5 e controlli dello script).</t>
  </si>
  <si>
    <t>Script · Segnalazioni di A5 e dei controlli che riguardano il ciclo, non un rischio.</t>
  </si>
  <si>
    <t>Script · Quante segnalazioni sono da motivare in validazione, dai controlli e da A5 (D-71). Vuoto = nessuna.</t>
  </si>
  <si>
    <t>Script · Note dell'analista del Quadro per quel ciclo (per esempio la sintesi delle spiegazioni discusse con A7), archiviate da trimestrale quando inizia il ciclo dopo; vuota per il ciclo corrente, la cui nota e' nel Quadro (D-72).</t>
  </si>
  <si>
    <t>Script · Solo per un ciclo straordinario (AAAAQn-Sk, D-75): chi l'ha deciso, quando, perche' e quali rischi sono stati rivalutati; vuota per un ciclo trimestrale.</t>
  </si>
  <si>
    <t>Primo registro dei rischi emergenti: nove rischi su sei categorie.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</si>
  <si>
    <t>Controlli superati; due osservazioni su rischi sostenuti da una sola fonte.</t>
  </si>
  <si>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</si>
  <si>
    <t>Controlli superati; un'osservazione sui KRI del rischio NFR-10, non ancora rilevabili.</t>
  </si>
  <si>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</si>
  <si>
    <t>Controlli superati. Osservazione: la probabilita' proposta per NFR-10 non e' sostenuta da frequenze osservate.</t>
  </si>
  <si>
    <t>Segnalazioni da motivare in validazione: 1 (controlli 0, A5 1).</t>
  </si>
  <si>
    <r>
      <rPr>
        <b/>
        <sz val="10"/>
        <color rgb="FF375623"/>
        <rFont val="Calibri"/>
      </rPr>
      <t>CICLO SETTIMANALE — lo script scrive una riga per settimana con la sintesi di A3 e i flag proposti (D-66); rilanciare la stessa settimana aggiorna la riga. Si scrive con lo script (le viste e la baseline leggono queste righe): a mano solo i testi elencati nel foglio Guida, DOVE SI SCRIVE A MANO; mai ID, numeri, date o righe intere (D-76).</t>
    </r>
    <r>
      <rPr>
        <sz val="10"/>
        <color rgb="FF262626"/>
        <rFont val="Calibri"/>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</si>
  <si>
    <t>A3 · Lunedi' della settimana valutata da A3.</t>
  </si>
  <si>
    <t>Script · Notizie valutate da A3 nella settimana.</t>
  </si>
  <si>
    <t>A3 · Sintesi della settimana scritta da A3: temi, rischi toccati, aree non presidiate. Scritta prima della validazione delle notizie.</t>
  </si>
  <si>
    <t>Script · Proposta di A3 di un ciclo straordinario (segnale critico, rubrica sezione 6): rischi e motivo. Decide la funzione di rischio (D-75).</t>
  </si>
  <si>
    <t>Script · Flag proposti da A3, uno per riga: rischio, direzione, motivazione. Non cambiano score: si portano al prossimo ciclo trimestrale (o, se critici, a un ciclo straordinario, D-41).</t>
  </si>
  <si>
    <t>Settimana con una nuova ondata di frodi con voce clonata segnalata dal CERT finanziario (NFR-01) e due notizie migliorative: stabilizzazione delle migrazioni a ondate in banche comparabili (NFR-05) e nuova region italiana del fornitore cloud (NFR-02). Nessuna area non presidiata.</t>
  </si>
  <si>
    <t>NFR-01 · Peggiorativo: campagne con voce clonata dirette ai clienti corporate; da riconsiderare nel prossimo trimestre la Prossimita' del rischio.</t>
  </si>
  <si>
    <t>Un caso di deepfake video presso una banca tedesca rafforza la pressione su NFR-01; chiusura dei rilievi di vigilanza su una migrazione comparabile (NFR-05, migliorativo); allerta caldo senza impatti (NFR-04).</t>
  </si>
  <si>
    <t>Nessun flag proposto</t>
  </si>
  <si>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</si>
  <si>
    <t>NFR-01 · Peggiorativo: tre segnali peggiorativi in quattro settimane e l'obbligo di rimborso in arrivo; da valutare nel prossimo ciclo trimestrale l'Impatto del rischio.</t>
  </si>
  <si>
    <r>
      <rPr>
        <b/>
        <sz val="10"/>
        <color rgb="FF7F6000"/>
        <rFont val="Calibri"/>
      </rPr>
      <t>COMANDO VALIDA — la scrittura (trimestrale, settimanale) aggiunge una riga Da decidere per ogni campo proposto; il comando valida la compila dalla griglia del foglio Validazione e la mette Applicata. Si scrive con lo script (le viste e la baseline leggono queste righe): a mano solo i testi elencati nel foglio Guida, DOVE SI SCRIVE A MANO; mai ID, numeri, date o righe intere (D-76).</t>
    </r>
    <r>
      <rPr>
        <sz val="10"/>
        <color rgb="FF262626"/>
        <rFont val="Calibri"/>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</si>
  <si>
    <t>Script · Ciclo (AAAAQn) o lunedi' della settimana.</t>
  </si>
  <si>
    <t>Script · Rischio, KRI, Azione o Notizia.</t>
  </si>
  <si>
    <t>Script · Codice dell'oggetto.</t>
  </si>
  <si>
    <t>Script · Nome dell'oggetto, per riconoscerlo.</t>
  </si>
  <si>
    <t>Script · Valore proposto su cui si e' deciso.</t>
  </si>
  <si>
    <t>Script · Valore proposto dall'agente; in una riapertura (D-76) il valore validato prima. Non si cancella mai.</t>
  </si>
  <si>
    <t>Validazione · Dal comando valida: Accettato (valore giallo uguale alla proposta), Rettificato (cambiato) o Respinto (Respingi = Si'); in una riapertura del ciclo (comando riapri, D-76) le stesse con il suffisso (riapertura), e Invariato al posto di Accettato.</t>
  </si>
  <si>
    <t>Validazione · Valore deciso dal validatore nella griglia del foglio Validazione (vuoto se Respinto).</t>
  </si>
  <si>
    <t>Validazione · Motivazione della riga della griglia: obbligatoria (almeno 10 caratteri) se un valore cambia, se si respinge o con un rilievo di A5 superato.</t>
  </si>
  <si>
    <t>Validazione · Chi ha validato.</t>
  </si>
  <si>
    <t>Validazione · Da decidere, poi Applicata.</t>
  </si>
  <si>
    <t>Chatbot in produzione da aprile: nessuna frequenza osservata che giustifichi 'probabile'.</t>
  </si>
  <si>
    <t>Casi interni documentati dal report operativo di maggio: Prossimita 4 confermata.</t>
  </si>
  <si>
    <t>Soglia allineata all'obiettivo formativo annuale approvato dalla funzione HR.</t>
  </si>
  <si>
    <t>Gia' coperto dal presidio giornaliero del PMO: azione duplicata.</t>
  </si>
  <si>
    <t>2026-05-25</t>
  </si>
  <si>
    <t>2026-06-15</t>
  </si>
  <si>
    <t>2026-06-22</t>
  </si>
  <si>
    <t>2026-06-29</t>
  </si>
  <si>
    <t>2026Q3</t>
  </si>
  <si>
    <t>In crescita rispetto al trimestre precedente (4,2).</t>
  </si>
  <si>
    <t>Misura la prossimita': frequenza dei tentativi sul canale piu' esposto.</t>
  </si>
  <si>
    <t>Entro la soglia.</t>
  </si>
  <si>
    <t>Misura l'efficacia dei controlli: tempi crescenti indicano un gap in aumento.</t>
  </si>
  <si>
    <t>In calo dopo la migrazione di un servizio.</t>
  </si>
  <si>
    <t>Misura la concentrazione, cioe' la severity potenziale.</t>
  </si>
  <si>
    <t>Piano di test BCM</t>
  </si>
  <si>
    <t>Nessun incidente dei fornitori cloud critici nel trimestre.</t>
  </si>
  <si>
    <t>In aumento dopo la notizia della sanzione al concorrente.</t>
  </si>
  <si>
    <t>Segnale anticipato di contestazioni della clientela.</t>
  </si>
  <si>
    <t>Dato non ancora prodotto: la revisione e' in corso.</t>
  </si>
  <si>
    <t>Misura il lacuna di controllo residuo.</t>
  </si>
  <si>
    <t>Invariato: piani in redazione.</t>
  </si>
  <si>
    <t>Misura il lacuna di controllo sulle sedi.</t>
  </si>
  <si>
    <t>Nessuna chiusura di sedi nel trimestre.</t>
  </si>
  <si>
    <t>Misura la prossimita' osservata.</t>
  </si>
  <si>
    <t>In calo ma sopra la soglia di attenzione.</t>
  </si>
  <si>
    <t>Misura la prossimita' degli errori di processo.</t>
  </si>
  <si>
    <t>Ridisegno dei controlli in avanzamento.</t>
  </si>
  <si>
    <t>Misura il lacuna di controllo in vista della wave 2.</t>
  </si>
  <si>
    <t>In calo dopo l'estensione del DLP.</t>
  </si>
  <si>
    <t>Misura la prossimita' del comportamento.</t>
  </si>
  <si>
    <t>Formazione in corso.</t>
  </si>
  <si>
    <t>Misura il presidio sul capitale umano.</t>
  </si>
  <si>
    <t>Rilevazione di fine trimestre dal sistema indicato.</t>
  </si>
  <si>
    <t>Misura una componente del rischio NFR-07; valori crescenti indicano peggioramento.</t>
  </si>
  <si>
    <t>Misura una componente del rischio NFR-08; valori crescenti indicano peggioramento.</t>
  </si>
  <si>
    <t>Misura una componente del rischio NFR-09; valori crescenti indicano peggioramento.</t>
  </si>
  <si>
    <t>Misura una componente del rischio NFR-10; valori crescenti indicano peggioramento.</t>
  </si>
  <si>
    <t>Misura una componente del rischio NFR-11; valori crescenti indicano peggioramento.</t>
  </si>
  <si>
    <t>Misura una componente del rischio NFR-12; valori crescenti indicano peggioramento.</t>
  </si>
  <si>
    <t>NFR-02-K3</t>
  </si>
  <si>
    <t>Interruzioni di servizi critici presso il fornitore cloud principale nel trimestre</t>
  </si>
  <si>
    <t>Incident management ICT e comunicazioni del fornitore</t>
  </si>
  <si>
    <t>Sostituisce il conteggio generico degli incidenti dei fornitori: misura le interruzioni dei servizi critici presso il fornitore principale, che e' il meccanismo di perdita del rischio.</t>
  </si>
  <si>
    <t>Il report frodi del terzo trimestre conferma importi medi elevati e casi con voce sintetica in linea con il trimestre precedente: impatto 4 (danno reputazionale nazionale possibile), velocity 5 (impatto in minuti), prossimita' 4 (casi in banche comparabili).</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</si>
  <si>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t>
  </si>
  <si>
    <t>Impatto, velocity e prossimita' invariate: la concentrazione resta al 72% dei servizi critici e non ci sono incidenti gravi nel trimestre.</t>
  </si>
  <si>
    <t>[{"riferimento": "Contratto e piano di uscita del fornitore cloud", "data": "2025-09-30", "tipo": "Interna", "rilevanza": 3}, {"riferimento": "Registro delle informazioni DORA — servizi ICT critici", "data": "2026-03-20", "tipo": "Interna", "rilevanza": 3}, {"riferimento": "Esito del test di exit strategy sul fornitore cloud", "data": "2026-05-12", "tipo": "Interna", "rilevanza": 3}, {"riferimento": "Report del test completo di exit strategy sui servizi critici", "data": "2026-08-28", "tipo": "Interna", "rilevanza": 3}]</t>
  </si>
  <si>
    <t>Osservazione · C9 · controlli: KRI in vigore non riproposti, escono di vigore: NFR-02-K2.</t>
  </si>
  <si>
    <t>Prossimita' sale a 4: la sanzione a una banca comparabile e' un caso nel settore entro 12 mesi (descrittore 4). Impatto resta 3 perche' l'impatto potenziale non cambia;</t>
  </si>
  <si>
    <t>[{"dimensione": "prossimita", "da": 3, "a": 4, "evidenza": "Il 22 luglio 2026 l'autorita' ha sanzionato una banca italiana comparabile per claim ambientali non sostanziati su fondi ESG distribuiti alla clientela retail.", "data_evidenza": "2026-07-22"}]</t>
  </si>
  <si>
    <t>[{"riferimento": "Orientamenti dell'autorita' europea sui nomi dei fondi ESG", "data": "2025-11-14", "tipo": "Esterna", "rilevanza": 3}, {"riferimento": "Verifica interna dei claim ambientali — Compliance", "data": "2026-02-18", "tipo": "Interna", "rilevanza": 3}, {"riferimento": "Provvedimento sanzionatorio su claim ESG di una banca comparabile", "data": "2026-07-22", "tipo": "Esterna", "rilevanza": 3}]</t>
  </si>
  <si>
    <t>Prossimita 4 e Probabilita 3: sopra la soglia</t>
  </si>
  <si>
    <t>Nessun evento nuovo sulle sedi nel trimestre e i piani specifici per le due sedi critiche non sono ancora redatti: si confermano impatto 3, velocity 2 e prossimita' 3 con le fonti del ciclo precedente.</t>
  </si>
  <si>
    <t>[{"riferimento": "Mappa del rischio idrogeologico delle sedi — BCM", "data": "2025-10-30", "tipo": "Interna", "rilevanza": 3}, {"riferimento": "Alluvione in Emilia-Romagna con chiusura di due filiali", "data": "2026-05-06", "tipo": "Esterna", "rilevanza": 3}]</t>
  </si>
  <si>
    <t>La wave 2 resta pianificata per il 2027 e i controlli di riconciliazione testati a maggio restano efficaci: si confermano tutte le dimensioni. Gli incidenti di produzione scendono ma restano sopra la soglia di attenzione.</t>
  </si>
  <si>
    <t>Impatto, velocity e prossimita' invariate: i tentativi rilevati dal DLP calano ma non si azzerano.</t>
  </si>
  <si>
    <t>[{"riferimento": "Log DLP: tentativi di caricamento verso servizi AI esterni", "data": "2026-03-15", "tipo": "Interna", "rilevanza": 3}, {"riferimento": "Survey interna sull'uso di strumenti di AI generativa", "data": "2026-02-10", "tipo": "Interna", "rilevanza": 3}, {"riferimento": "Verbale del test di blocco DLP sui servizi di AI generativa", "data": "2026-09-05", "tipo": "Interna", "rilevanza": 3}]</t>
  </si>
  <si>
    <t>Osservazione · C5 · A5: Le fonti di NFR-06 sono interne e recenti; manca un riscontro esterno sul fenomeno: verificare al prossimo ciclo.</t>
  </si>
  <si>
    <t>Nessuna evidenza nuova nel trimestre: si confermano impatto 4, velocity 5, prossimita' 3 e probabilita' 3 con le fonti del ciclo precedente.</t>
  </si>
  <si>
    <t>[{"riferimento": "Registro DORA: fornitore del gateway di pagamento classificato critico", "data": "2025-10-15", "tipo": "Interna", "rilevanza": 3}, {"riferimento": "Attacco ransomware a un processore di pagamenti europeo", "data": "2026-02-20", "tipo": "Esterna", "rilevanza": 3}]</t>
  </si>
  <si>
    <t>Nessuna evidenza nuova nel trimestre: si confermano impatto 3, velocity 3, prossimita' 3 e probabilita' 2 con le fonti del ciclo precedente.</t>
  </si>
  <si>
    <t>Nessuna evidenza nuova nel trimestre: si confermano impatto 4, velocity 3, prossimita' 2 e probabilita' 2 con le fonti del ciclo precedente.</t>
  </si>
  <si>
    <t>[{"riferimento": "Nuovo pacchetto di sanzioni UE con obblighi di due diligence rafforzata", "data": "2026-02-24", "tipo": "Esterna", "rilevanza": 3}, {"riferimento": "Analisi dei flussi verso paesi di transito — Compliance", "data": "2026-03-12", "tipo": "Interna", "rilevanza": 3}]</t>
  </si>
  <si>
    <t>Nessuna evidenza nuova nel trimestre: si confermano impatto 3, prossimita' 3 e probabilita' 3 con le fonti del ciclo precedente. Velocity non valutata: nessuna fonte documenta i tempi fra la risposta errata e il pieno impatto.</t>
  </si>
  <si>
    <t>[{"riferimento": "Piano di rilascio del chatbot di assistenza con AI generativa", "data": "2026-01-20", "tipo": "Interna", "rilevanza": 3}, {"riferimento": "Sanzione a una compagnia aerea per risposte errate del proprio chatbot", "data": "2026-02-15", "tipo": "Esterna", "rilevanza": 3}]</t>
  </si>
  <si>
    <t>Nessuna evidenza nuova nel trimestre: si confermano impatto 3, velocity 2, prossimita' 3 e probabilita' 3 con le fonti del ciclo precedente. Anni di adeguamento 3: la sostituzione delle componenti legacy e' un programma pluriennale.</t>
  </si>
  <si>
    <t>[{"riferimento": "Inventario delle componenti fuori supporto — IT", "data": "2025-09-30", "tipo": "Interna", "rilevanza": 3}, {"riferimento": "Comunicazione del produttore sulla fine del supporto esteso", "data": "2026-01-31", "tipo": "Esterna", "rilevanza": 2}]</t>
  </si>
  <si>
    <t>Nessuna evidenza nuova nel trimestre: si confermano impatto 3, velocity 4, prossimita' 4 e probabilita' 4 con le fonti del ciclo precedente.</t>
  </si>
  <si>
    <t>[{"riferimento": "Piano di adeguamento al regolamento sui bonifici istantanei", "data": "2025-10-01", "tipo": "Interna", "rilevanza": 3}, {"riferimento": "Report operativo dei pagamenti istantanei — maggio", "data": "2026-05-15", "tipo": "Interna", "rilevanza": 3}]</t>
  </si>
  <si>
    <t>NFR-16</t>
  </si>
  <si>
    <t>Vertenze e carenza di tecnici nei ruoli IT critici</t>
  </si>
  <si>
    <t>DRV-HUM, DRV-TEC</t>
  </si>
  <si>
    <t>Uscite di personale tecnico difficile da sostituire e possibili vertenze di settore lascerebbero scoperti ruoli IT critici, con turni di copertura che violano obblighi di lavoro e sicurezza. Il danno: interruzioni dei servizi e contenzioso con il personale.</t>
  </si>
  <si>
    <t>Rischio nuovo, in osservazione: nessun rischio del registro copre i rapporti di impiego (categoria 9.11). Impatto 3: durante un'astensione si degraderebbero processi critici che dipendono da pochi tecnici. Probabilita 2: il rapporto sul mercato del lavoro ICT segnala una carenza crescente di tecnici sui sistemi legacy, ma nessuna vertenza e' aperta nel settore. Prossimita 1: oltre tre anni, nessun segnale presso la Banca. Velocity non valutata: nessuna fonte sui tempi.</t>
  </si>
  <si>
    <t>[{"riferimento": "Rapporto sul mercato del lavoro ICT in Italia, carenza di competenze sui sistemi legacy", "data": "2026-09-10", "tipo": "Esterna", "rilevanza": 2}]</t>
  </si>
  <si>
    <t>Da assegnare</t>
  </si>
  <si>
    <t>Uno sciopero di settore che coinvolga il personale IT, o l'uscita non rimpiazzata di tecnici in ruoli critici della Banca.</t>
  </si>
  <si>
    <t>2026Q3-NFR-01-A1</t>
  </si>
  <si>
    <t>Attivare la verifica fuori banda per bonifici istantanei sopra soglia verso beneficiari nuovi.</t>
  </si>
  <si>
    <t>Chiude il lacuna di controllo principale: la verifica approvata non e' ancora in produzione.</t>
  </si>
  <si>
    <t>2026Q3-NFR-01-A2</t>
  </si>
  <si>
    <t>Campagna di sensibilizzazione dei clienti corporate sulle frodi con voce clonata.</t>
  </si>
  <si>
    <t>Direzione Marketing e Comunicazione</t>
  </si>
  <si>
    <t>Riduce la severity attesa limitando gli importi disposti su richiesta telefonica.</t>
  </si>
  <si>
    <t>2026Q3-NFR-02-A1</t>
  </si>
  <si>
    <t>Chiudere i rilievi minori emersi dal test di exit strategy entro il prossimo trimestre.</t>
  </si>
  <si>
    <t>Porta il lacuna di controllo verso il descrittore 2.</t>
  </si>
  <si>
    <t>2026Q3-NFR-02-A2</t>
  </si>
  <si>
    <t>Valutare lo spostamento di un servizio critico sulla nuova region nazionale del fornitore.</t>
  </si>
  <si>
    <t>Direzione Sistemi Informativi</t>
  </si>
  <si>
    <t>Riduce la severity di un'interruzione di una singola region.</t>
  </si>
  <si>
    <t>2026Q3-NFR-03-A1</t>
  </si>
  <si>
    <t>Completare la revisione indipendente dei claim ambientali di tutti i prodotti ESG in catalogo.</t>
  </si>
  <si>
    <t>Chiude il lacuna di controllo sulla sostanziazione dei claim, reso piu' urgente dalla prossimita' in aumento.</t>
  </si>
  <si>
    <t>2026Q3-NFR-04-A1</t>
  </si>
  <si>
    <t>Provare i piani di continuita' delle due sedi critiche con un'esercitazione di ripartenza in sede alternativa.</t>
  </si>
  <si>
    <t>I piani delle due sedi (azione 2026Q2-NFR-04-A1) sono in redazione: senza una prova non si sa se reggono a un evento reale.</t>
  </si>
  <si>
    <t>2026Q3-NFR-05-A1</t>
  </si>
  <si>
    <t>Riduce l'effetto della velocity intercettando gli errori prima che si propaghino.</t>
  </si>
  <si>
    <t>2026Q3-NFR-06-A1</t>
  </si>
  <si>
    <t>Completare la formazione obbligatoria sull'uso dell'AI per tutto il personale.</t>
  </si>
  <si>
    <t>Direzione Risorse Umane</t>
  </si>
  <si>
    <t>Riduce la prossimita': meno comportamenti a rischio per inconsapevolezza.</t>
  </si>
  <si>
    <t>2026Q3-NFR-06-A2</t>
  </si>
  <si>
    <t>Chiedere all'audit interno la verifica dell'estensione del DLP.</t>
  </si>
  <si>
    <t>Serve un test indipendente per portare il lacuna di controllo al descrittore 2.</t>
  </si>
  <si>
    <t>2026Q3-NFR-07-A1</t>
  </si>
  <si>
    <t>Inserire nel contratto con il fornitore del gateway di pagamento tempi di ripristino garantiti dopo un attacco ransomware, con penali.</t>
  </si>
  <si>
    <t>Il test congiunto di ripristino (2026Q2-NFR-07-A1) misura i tempi; il contratto li rende vincolanti per il fornitore.</t>
  </si>
  <si>
    <t>2026Q3-NFR-08-A1</t>
  </si>
  <si>
    <t>Bloccare in automatico gli accessi ripetuti ai dati clienti senza pratica associata, con avviso al responsabile.</t>
  </si>
  <si>
    <t>La revisione trimestrale (2026Q2-NFR-08-A1) scopre gli abusi dopo; il blocco li ferma mentre accadono.</t>
  </si>
  <si>
    <t>2026Q3-NFR-09-A1</t>
  </si>
  <si>
    <t>Formare gli operatori dei pagamenti esteri sugli indicatori di triangolazione segnalati dalle autorita'.</t>
  </si>
  <si>
    <t>Lo screening esteso (2026Q2-NFR-09-A1) copre le controparti note; gli indicatori aiutano sui casi che il filtro non vede.</t>
  </si>
  <si>
    <t>2026Q3-NFR-10-A1</t>
  </si>
  <si>
    <t>Definire i temi su cui il chatbot non risponde e passa la conversazione a un operatore (reclami, condizioni contrattuali, tassi).</t>
  </si>
  <si>
    <t>Il campionamento (2026Q2-NFR-10-A1) trova gli errori dopo; i temi esclusi evitano le risposte errate dove il danno e' maggiore.</t>
  </si>
  <si>
    <t>2026Q3-NFR-11-A1</t>
  </si>
  <si>
    <t>Isolare in un segmento di rete dedicato le componenti fuori supporto del sistema di pagamento, in attesa della sostituzione.</t>
  </si>
  <si>
    <t>La sostituzione (2026Q2-NFR-11-A1) richiede anni: l'isolamento riduce subito la superficie di attacco.</t>
  </si>
  <si>
    <t>2026Q3-NFR-12-A1</t>
  </si>
  <si>
    <t>Avvisare in automatico il responsabile delle operazioni di ogni differenza di riconciliazione sui bonifici istantanei aperta a fine giornata.</t>
  </si>
  <si>
    <t>Il controllo giornaliero (2026Q2-NFR-12-A1) trova le differenze; l'avviso porta a chi decide quelle non chiuse in giornata.</t>
  </si>
  <si>
    <t>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Categorie senza rischi: 9.5 Fiscale e 9.11 Employer. DECISIONI: aggiornare il presidio dei controlli di NFR-02 e NFR-06 e chiedere alla Funzione Compliance la revisione dei claim ESG (NFR-03). Entra nel registro, in osservazione, un rischio nuovo sui rapporti di impiego (NFR-16): oggi lontano, con il segnale che lo porterebbe nel radar.</t>
  </si>
  <si>
    <t>Valutazione sostenuta dalle fonti citate. L'aumento di prossimita' di NFR-03 poggia su un caso nel settore; NFR-10 lascia la Velocity non valutata in assenza di fonti sui tempi. Un'osservazione di giudizio su NFR-06.</t>
  </si>
  <si>
    <t>Estendere il DLP e rivedere i profili di accesso ai servizi di AI richiede circa un anno di lavori.</t>
  </si>
  <si>
    <t>Il registro reclami del trimestre mostra che le risposte errate dell'assistente arrivano ai clienti in giorni: velocity 3.</t>
  </si>
  <si>
    <t>Soglie fissate dalla funzione di rischio sulla base dello storico reclami del 2025.</t>
  </si>
  <si>
    <t>Dato definitivo del report antifrode di ottobre: 5,3 (il 5,1 era la stima provvisoria).</t>
  </si>
  <si>
    <t>Gia' prevista dal piano IAM approvato a luglio: azione duplicata.</t>
  </si>
  <si>
    <t>[{"dimensione": "velocity", "da": null, "a": 3, "evidenza": "Rettifica del validatore: Il registro reclami del trimestre mostra che le risposte errate dell'assistente arrivano ai clienti in giorni: velocity 3.", "data_evidenza": "2026-10-08"}]</t>
  </si>
  <si>
    <t>N-20261006-01</t>
  </si>
  <si>
    <t>Sciopero nazionale del personale bancario e carenza di tecnici IT</t>
  </si>
  <si>
    <t>I sindacati proclamano due giornate di sciopero; le banche segnalano difficolta' a coprire ruoli tecnici critici.</t>
  </si>
  <si>
    <t>N-20261007-01</t>
  </si>
  <si>
    <t>Frode con voce clonata del direttore finanziario presso un gruppo industriale</t>
  </si>
  <si>
    <t>Bonifico istantaneo da 3 milioni disposto su richiesta telefonica con voce sintetica.</t>
  </si>
  <si>
    <t>N-20261008-01</t>
  </si>
  <si>
    <t>Il CERT finanziario segnala kit di clonazione vocale in vendita</t>
  </si>
  <si>
    <t>Strumenti pronti all'uso abbassano la soglia d'ingresso per le frodi APP.</t>
  </si>
  <si>
    <t>N-20261008-02</t>
  </si>
  <si>
    <t>Il fornitore cloud completa la nuova region italiana</t>
  </si>
  <si>
    <t>La region e' disponibile; nessun impatto immediato sui servizi della Banca.</t>
  </si>
  <si>
    <t>N-20261009-01</t>
  </si>
  <si>
    <t>Autorita' europea: rimborso obbligatorio delle frodi APP dal 2027</t>
  </si>
  <si>
    <t>Il rimborso a carico del prestatore di servizi di pagamento diventa obbligatorio per le frodi autorizzate.</t>
  </si>
  <si>
    <t>Settimana dominata da nuove frodi con voce sintetica (tre notizie concordanti su NFR-01) e da una vertenza sindacale nazionale del settore con carenza di tecnici IT: e' il segnale di avvicinamento di NFR-16, rischio in osservazione sui rapporti di impiego.</t>
  </si>
  <si>
    <t>NFR-01 · Peggiorativo: L'obbligo di rimborso delle frodi APP dal 2027 sposta la perdita sulla Banca: il descrittore di impatto 4 potrebbe non bastare. Da valutare nel prossimo ciclo trimestrale.
NFR-16 · Peggiorativo: N-20261006-01: lo sciopero nazionale del personale bancario coinvolge i tecnici IT: si e' verificato il segnale di avvicinamento di NFR-16, in osservazione. Da rivalutare nel prossimo ciclo trimestrale Prossimita e Probabilita: puo' entrare nel radar.</t>
  </si>
  <si>
    <t>2026-10-12</t>
  </si>
  <si>
    <t>La seconda region italiana rende praticabile il piano multi-region: per NFR-02 e' un segnale migliorativo.</t>
  </si>
  <si>
    <t>Funzione Risk Management</t>
  </si>
  <si>
    <t>2026Q4</t>
  </si>
  <si>
    <t>Sopra la soglia di allerta dopo i casi di novembre.</t>
  </si>
  <si>
    <t>Misura quanto cresce il fenomeno sul canale piu' esposto: e' il primo segnale di nuove campagne contro i clienti della Banca. EFFETTO: con la verifica fuori banda i tentativi non calano subito, perche' dipendono dai truffatori, ma devono smettere di crescere; oltre la soglia di allerta il rischio e' in corso su larga scala.</t>
  </si>
  <si>
    <t>Misura quanto la Banca e' esposta: piu' a lungo resta attivo un beneficiario fraudolento, piu' bonifici possono raggiungerlo. EFFETTO: con la verifica fuori banda il tempo di blocco deve scendere sotto la soglia di attenzione; se sale, i controlli non tengono il passo delle frodi.</t>
  </si>
  <si>
    <t>In lieve calo.</t>
  </si>
  <si>
    <t>Misura la concentrazione, cioe' quanta parte della Banca dipende dal fornitore: piu' la quota e' alta, piu' grave sarebbe un'interruzione. EFFETTO: deve restare sotto la soglia di allerta; un aumento senza un piano di uscita aggiornato riapre la valutazione dell'Impatto.</t>
  </si>
  <si>
    <t>Segnale anticipato: i reclami dei clienti di solito precedono le contestazioni dell'autorita'. EFFETTO: stabili o in calo con la revisione dei claim; le soglie le fissa la Banca.</t>
  </si>
  <si>
    <t>Primo dato disponibile: revisione al 65%.</t>
  </si>
  <si>
    <t>Misura quanto la Banca e' esposta: ogni prodotto non rivisto e' un claim che potrebbe non reggere a una verifica. EFFETTO: in calo fino a zero con la revisione indipendente; sopra la soglia di allerta il presidio dei claim e' insufficiente.</t>
  </si>
  <si>
    <t>Piani ancora in redazione.</t>
  </si>
  <si>
    <t>Misura l'esposizione: ogni sede critica senza piano specifico e' un punto in cui un'alluvione ferma l'operativita'. EFFETTO: atteso a zero dopo i piani di continuita'; se torna a salire, nuove sedi sono entrate nelle aree a rischio della Mappa.</t>
  </si>
  <si>
    <t>Nessuna chiusura di sedi.</t>
  </si>
  <si>
    <t>Misura quanto il fenomeno colpisce davvero le sedi della Banca: i giorni persi per eventi climatici. EFFETTO: pochi giorni e in calo con i piani di continuita'; oltre la soglia di allerta il rischio si sta manifestando e la Prossimita' va rivista.</t>
  </si>
  <si>
    <t>Sotto la soglia di attenzione.</t>
  </si>
  <si>
    <t>Misura il fenomeno nel momento piu' delicato: gli incidenti di produzione dopo ogni ondata. EFFETTO: un picco dopo la wave 2 e poi un calo; se resta oltre la soglia di allerta i controlli di riconciliazione non bastano.</t>
  </si>
  <si>
    <t>Misura quanto la Banca arriva esposta alla wave 2: ogni controllo non ridisegnato e' un punto in cui un errore passa inosservato. EFFETTO: in calo fino a zero prima della wave 2; sopra la soglia di attenzione l'ondata va riprogrammata.</t>
  </si>
  <si>
    <t>Stabile dopo l'estensione del DLP.</t>
  </si>
  <si>
    <t>Misura il comportamento a rischio come lo vede il DLP: ogni tentativo e' un'esfiltrazione fermata o mancata di poco. EFFETTO: in calo con la formazione; un aumento oltre la soglia di allerta indica strumenti nuovi non ancora bloccati.</t>
  </si>
  <si>
    <t>Misura quanta parte del personale e' esposta all'errore per inconsapevolezza. EFFETTO: sotto la soglia di attenzione alla fine della formazione obbligatoria.</t>
  </si>
  <si>
    <t>Misura quanto la Banca e' esposta: un fornitore critico mai provato nel ripristino e' un blocco di durata sconosciuta. EFFETTO: atteso a zero dopo il test congiunto; ogni nuovo fornitore critico senza test lo riporta in ambra.</t>
  </si>
  <si>
    <t>Misura le interruzioni reali del gateway, il canale attraverso cui il rischio colpisce. EFFETTO: poche ore e stabili; oltre la soglia di allerta il fornitore ha problemi di continuita' e la Prossimita' va rivista.</t>
  </si>
  <si>
    <t>Misura il comportamento che precede l'abuso: consultazioni senza una pratica che le giustifichi. EFFETTO: in calo con la revisione trimestrale; un aumento improvviso e' un segnale da indagare subito.</t>
  </si>
  <si>
    <t>Misura quante utenze hanno piu' accessi del necessario: e' l'esposizione della Banca. EFFETTO: sotto la soglia di attenzione dopo ogni revisione dei profili.</t>
  </si>
  <si>
    <t>Misura la pressione delle triangolazioni sui pagamenti della Banca. EFFETTO: puo' salire dopo l'estensione dello screening, perche' il filtro vede di piu'; oltre la soglia di allerta senza cambi al filtro il fenomeno sta crescendo.</t>
  </si>
  <si>
    <t>Misura l'esposizione: i clienti ad alto rischio con verifiche scadute sono il varco piu' probabile. EFFETTO: sotto la soglia di attenzione con le revisioni periodiche della due diligence.</t>
  </si>
  <si>
    <t>Misura gli errori del chatbot come li vivono i clienti. EFFETTO: stabile o in calo con il campionamento; oltre la soglia di allerta l'errore e' diventato sistematico.</t>
  </si>
  <si>
    <t>Misura quanta parte delle risposte arriva ai clienti senza alcuna verifica: e' l'esposizione della Banca. EFFETTO: sotto la soglia di attenzione con il campionamento settimanale.</t>
  </si>
  <si>
    <t>Misura quanta parte del sistema di pagamento e' senza supporto: e' l'esposizione della Banca. EFFETTO: in calo con il piano di sostituzione; se sale, altre componenti sono uscite dal supporto.</t>
  </si>
  <si>
    <t>Misura quanto cresce la minaccia sulle componenti senza supporto. EFFETTO: cresce nel tempo finche' le componenti restano; oltre la soglia di allerta servono subito misure compensative.</t>
  </si>
  <si>
    <t>Misura il fenomeno nel punto in cui produce perdite: le differenze che non si chiudono in giornata. EFFETTO: in calo con il controllo giornaliero; oltre la soglia di allerta la riconciliazione non regge i volumi.</t>
  </si>
  <si>
    <t>Misura quanto a lungo la Banca resta esposta a un'eccezione aperta. EFFETTO: sotto la soglia di attenzione quando il controllo giornaliero e' a regime.</t>
  </si>
  <si>
    <t>Tutti i servizi critici testati negli ultimi 12 mesi.</t>
  </si>
  <si>
    <t>Conta le interruzioni dei servizi critici presso il fornitore principale, che sono il meccanismo di perdita del rischio. EFFETTO: atteso a zero; una sola interruzione porta il KRI in ambra e chiede di rivedere Probabilita' e Prossimita' al ciclo successivo.</t>
  </si>
  <si>
    <t>NFR-16-K1</t>
  </si>
  <si>
    <t>Ruoli IT critici senza sostituto formato</t>
  </si>
  <si>
    <t>Piano di successione — Direzione Risorse Umane</t>
  </si>
  <si>
    <t>Misura quanto la Banca e' esposta: ogni ruolo critico senza sostituto e' un punto di blocco. EFFETTO: in calo con l'estensione del piano di successione, fino a zero.</t>
  </si>
  <si>
    <t>NFR-16-K2</t>
  </si>
  <si>
    <t>Turnover volontario annualizzato del personale IT</t>
  </si>
  <si>
    <t>Sistema HR di gestione del personale</t>
  </si>
  <si>
    <t>Misura quanto cresce la perdita di competenze tecniche. EFFETTO: stabile sotto la soglia di attenzione; oltre la soglia di allerta il rischio si avvicina e la Prossimita' va rivista.</t>
  </si>
  <si>
    <t>RISCHIO: l'AI generativa rende facile imitare la voce o il volto di un dirigente o di un familiare (causa); il cliente, convinto, ordina un bonifico istantaneo verso un conto di terzi (evento); il pagamento e' irrevocabile in pochi secondi e, con l'obbligo di rimborso dal 2027, la perdita passa dal cliente alla Banca, insieme al danno reputazionale (danno). IMPATTO: grave. La Relazione annuale sui pagamenti al dettaglio dell'autorita' di vigilanza annuncia l'obbligo di rimborso delle frodi APP dal 2027: la perdita attesa cresce, con sanzioni probabili e danno reputazionale nazionale, ma la continuita' della Banca non e' toccata. PROBABILITA: probabile. La Threat intelligence sulle campagne di frode con voce sintetica documenta casi ripetuti verso banche UE e i Report trimestrali frodi della Funzione Antifrode mostrano tentativi in crescita; la Banca e' esposta perche' offre i bonifici istantanei a tutta la clientela. PROSSIMITA: in corso presso la Banca. L'Incident report del 20/11/2026 documenta due frodi con voce sintetica su clienti corporate, con bonifici gia' eseguiti. VELOCITY: entro un mese. Dal contatto fraudolento al bonifico passano minuti e il denaro esce subito (Report trimestrale frodi Q3).</t>
  </si>
  <si>
    <t>[{"dimensione": "prossimita", "da": 4, "a": 5, "evidenza": "L'incident report del 20 novembre 2026 documenta due frodi con voce sintetica su clienti corporate della Banca, per bonifici istantanei gia' eseguiti.", "data_evidenza": "2026-11-20"}]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</si>
  <si>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 {"riferimento": "Incident report: frodi con voce sintetica su clienti corporate", "data": "2026-11-20", "tipo": "Interna", "rilevanza": 3}]</t>
  </si>
  <si>
    <t>Prossimita 5 e Probabilita 4: sopra la soglia; posto garantito: AGIRE ORA (radar di Mosca)</t>
  </si>
  <si>
    <t>RISCHIO: molti servizi critici della Banca girano presso un solo fornitore cloud (causa); un'interruzione prolungata del fornitore li rende indisponibili insieme (evento); senza un'alternativa attivabile nei tempi di ripristino la Banca non eroga funzioni essenziali, con danno ai clienti e sanzioni (danno). Nel trimestre nessun incidente e nessun nuovo test: valori confermati con le fonti del ciclo precedente. IMPATTO: grave. Il Registro delle informazioni DORA classifica critici i servizi ospitati dal fornitore: un'interruzione ferma una funzione essenziale. PROBABILITA: improbabile. Nessuna interruzione grave del fornitore e' documentata e il Report del test completo di exit strategy mostra un'uscita praticabile, con soli rilievi minori. PROSSIMITA: da uno a due anni. Nessun segnale di degrado del fornitore nelle fonti; il Contratto e piano di uscita resta valido. VELOCITY: da uno a tre mesi. E' il tempo che l'Esito del test di exit strategy stima per riattivare i servizi critici su un'alternativa: in quel periodo il danno cresce fino al pieno impatto.</t>
  </si>
  <si>
    <t>RISCHIO: la domanda di prodotti sostenibili spinge a presentare i prodotti ESG con claim ambientali (causa); se un claim non e' sostanziato e un'autorita' o un cliente lo contestano (evento), la Banca rischia sanzioni, rimborsi e danno reputazionale (danno). Nessun fatto nuovo nel trimestre: valori confermati. IMPATTO: rilevante. Clientela ampia dei prodotti ESG e segnalazione all'autorita' possibile, come prevedono gli Orientamenti dell'autorita' europea sui nomi dei fondi ESG. PROBABILITA: possibile. La Verifica interna dei claim ambientali della Compliance ha lasciato prodotti ancora da rivedere: la Banca e' esposta. PROSSIMITA: entro dodici mesi. Il Provvedimento sanzionatorio su claim ESG di una banca comparabile e' un caso documentato. VELOCITY: da sei a dodici mesi. Un'istruttoria dell'autorita' richiede mesi prima della sanzione, come nel Provvedimento sanzionatorio.</t>
  </si>
  <si>
    <t>RISCHIO: eventi climatici estremi sempre piu' frequenti, alluvioni e ondate di calore (causa), possono rendere inagibili sedi operative o degradare il data center secondario (evento); le attivita' di quelle sedi si fermano e il ripristino costa, con disagi per i clienti (danno). Nessun evento sulle sedi nel trimestre e piani per le due sedi critiche in redazione: valori confermati. IMPATTO: rilevante. La Mappa del rischio idrogeologico delle sedi (BCM) indica sedi critiche esposte, il cui blocco degrada processi critici. PROBABILITA: possibile. L'alluvione in Emilia-Romagna con chiusura di due filiali e' un caso in aziende comparabili e la Banca ha sedi nelle aree a rischio della Mappa. PROSSIMITA: da uno a due anni. Nessun evento in corso sulle sedi della Banca. VELOCITY: da sei a dodici mesi. L'evento e' rapido, ma le attivita' si spostano sulle altre sedi e il danno pieno arriva solo se l'inagibilita' dura mesi (Mappa del rischio idrogeologico, BCM).</t>
  </si>
  <si>
    <t>RISCHIO: la migrazione a ondate del sistema core (causa) puo' introdurre errori di conversione dei dati e lasciare controlli di processo non ridisegnati (evento); ne derivano operazioni errate, rettifiche ai clienti e interruzioni dei processi (danno). Wave 2 confermata nel 2027 e controlli di riconciliazione stabili: valori confermati. IMPATTO: rilevante. Errori sul core degradano processi critici per una clientela ampia (Piano di migrazione del core banking, PMO). PROBABILITA: possibile. La Chiusura della wave 1 ha registrato incidenti di produzione legati alla migrazione: il meccanismo e' gia' noto presso la Banca. PROSSIMITA: da uno a due anni. Il momento critico e' la wave 2, prevista nel 2027 dal Piano di migrazione. VELOCITY: da tre a sei mesi. La Relazione di audit sui controlli di riconciliazione mostra che gli errori si accumulano nei mesi dopo un'ondata prima di essere tutti intercettati.</t>
  </si>
  <si>
    <t>RISCHIO: strumenti di AI generativa esterni, facili da usare e non autorizzati (causa), vengono usati da dipendenti per trasferire dati riservati, per comodita' o a favore di terzi (evento); i dati escono dal perimetro della Banca, con violazioni di privacy e segreto e possibili sanzioni (danno). Nessun fatto nuovo nel trimestre: valori confermati; la verifica dell'audit sull'estensione del DLP e' pianificata per febbraio 2027. IMPATTO: rilevante. I Log DLP mostrano tentativi di caricamento di dati riservati di clienti: segnalazione all'autorita' possibile. PROBABILITA: possibile. La Survey interna sull'uso di strumenti di AI generativa indica un uso diffuso fra il personale: la Banca e' esposta. PROSSIMITA: da uno a due anni. Il Verbale del test di blocco DLP mostra che il blocco funziona sui servizi noti, non ancora su tutti. VELOCITY: da tre a sei mesi. Fra un caricamento e la sua scoperta passano settimane o mesi (Log DLP).</t>
  </si>
  <si>
    <t>RISCHIO: i gruppi ransomware colpiscono sempre piu' i fornitori che servono molte banche (causa); un attacco al fornitore del gateway di pagamento (evento) blocca i pagamenti della Banca finche' il fornitore non ripristina i sistemi, con danno ai clienti, sanzioni e reputazione (danno). Nessuna evidenza nuova nel trimestre: valori confermati. IMPATTO: grave. Il Registro DORA classifica critico il fornitore del gateway: il blocco interrompe una funzione essenziale. PROBABILITA: possibile. L'attacco ransomware a un processore di pagamenti europeo e' un caso nel settore; la Banca e' esposta perche' dipende da un solo gateway. PROSSIMITA: da uno a due anni. Nessun attacco o segnale specifico sul fornitore della Banca. VELOCITY: entro un mese. Nell'attacco al processore di pagamenti europeo i pagamenti si sono fermati il giorno stesso.</t>
  </si>
  <si>
    <t>RISCHIO: molti dipendenti hanno accesso ai dati dei clienti per lavoro (causa); alcuni li consultano o li estraggono senza motivo di servizio, per curiosita' o per terzi (evento); ne seguono violazioni della privacy, sanzioni e perdita di fiducia dei clienti (danno). Nessuna evidenza nuova nel trimestre: valori confermati. IMPATTO: rilevante. Il Provvedimento dell'autorita' privacy su accessi abusivi in una banca mostra sanzioni e clientela ampia coinvolta. PROBABILITA: improbabile. Gli Esiti del monitoraggio degli accessi ai dati clienti (SOC) non hanno rilevato casi rilevanti presso la Banca. PROSSIMITA: da uno a due anni. Nessun caso in corso presso la Banca. VELOCITY: da tre a sei mesi. Con la revisione annuale degli accessi un abuso puo' restare nascosto per mesi prima di emergere (monitoraggio SOC).</t>
  </si>
  <si>
    <t>RISCHIO: le sanzioni internazionali si aggirano interponendo controparti in paesi terzi (causa); un pagamento di un cliente corporate raggiunge cosi' una controparte sanzionata senza che il filtro lo intercetti (evento); la Banca rischia sanzioni gravi e danno reputazionale (danno). Nessuna evidenza nuova nel trimestre: valori confermati. IMPATTO: grave. Il Nuovo pacchetto di sanzioni UE impone una due diligence rafforzata: una violazione comporta una sanzione probabile. PROBABILITA: improbabile. L'Analisi dei flussi verso paesi di transito della Compliance mostra volumi contenuti verso quei paesi. PROSSIMITA: da due a tre anni. Nessun caso documentato presso la Banca o banche comparabili. VELOCITY: da tre a sei mesi. Una violazione emerge di solito con le verifiche successive ai pagamenti, nei mesi seguenti (Analisi dei flussi).</t>
  </si>
  <si>
    <t>RISCHIO: i chatbot di assistenza con AI generativa possono inventare risposte plausibili (causa); un cliente riceve informazioni errate su costi, condizioni o diritti e decide in base a quelle (evento); la Banca deve rimborsare, gestire reclami e rischia sanzioni per informativa scorretta (danno). Nessuna evidenza nuova nel trimestre: valori confermati. IMPATTO: rilevante. Il Piano di rilascio del chatbot prevede l'uso su tutta la clientela retail: un errore sistematico tocca una clientela ampia. PROBABILITA: possibile. La sanzione a una compagnia aerea per le risposte errate del proprio chatbot e' un caso in un altro settore; la Banca e' esposta perche' usa lo stesso tipo di strumento. PROSSIMITA: da uno a due anni. Nessun caso presso banche. VELOCITY: da tre a sei mesi. Valore fissato in validazione nel 2026Q3 sul registro reclami: le risposte errate arrivano ai clienti in giorni, i reclami si accumulano in mesi.</t>
  </si>
  <si>
    <t>RISCHIO: componenti del sistema di pagamento non sono piu' supportate dal produttore e le competenze interne diminuiscono (causa); una vulnerabilita' senza patch viene sfruttata o un guasto non si sa piu' riparare (evento); i pagamenti si degradano o si fermano, con danno ai clienti (danno). Nessuna evidenza nuova nel trimestre: valori confermati. IMPATTO: rilevante. L'Inventario delle componenti fuori supporto (IT) riguarda il sistema di pagamento, processo critico per molti clienti. PROBABILITA: possibile. La Comunicazione del produttore sulla fine del supporto esteso conferma che non arriveranno piu' patch: la Banca e' esposta. PROSSIMITA: da uno a due anni. Nessun incidente in corso; il rischio cresce con il tempo senza patch. VELOCITY: da sei a dodici mesi. Le vulnerabilita' si accumulano gradualmente sulle componenti senza supporto (Inventario IT). ADEGUAMENTO: stima; la sostituzione delle componenti legacy e' un programma pluriennale, che va oltre le azioni del ciclo.</t>
  </si>
  <si>
    <t>RISCHIO: l'obbligo di offrire i bonifici istantanei a tutta la clientela moltiplica i volumi da riconciliare in tempo reale (causa); differenze di riconciliazione non risolte ed eccezioni portano a rimborsi indebiti o pagamenti errati (evento); la Banca subisce perdite operative e reclami (danno). Nessuna evidenza nuova nel trimestre: valori confermati. IMPATTO: rilevante. Il Piano di adeguamento al regolamento sui bonifici istantanei estende il servizio a tutta la clientela: un errore tocca una clientela ampia. PROBABILITA: probabile. Il Report operativo dei pagamenti istantanei di maggio documenta differenze di riconciliazione in crescita presso la Banca. PROSSIMITA: entro dodici mesi. Le differenze aperte del Report operativo sono quasi-incidenti gia' documentati presso la Banca. VELOCITY: da uno a tre mesi. Con la riconciliazione settimanale le differenze si accumulano in poche settimane (Report operativo).</t>
  </si>
  <si>
    <t>Scioperi di settore e uscite di personale tecnico non rimpiazzabile che lasciano scoperti ruoli IT critici, con violazioni di obblighi di lavoro e sicurezza nei turni di copertura.</t>
  </si>
  <si>
    <t>RISCHIO: la vertenza nazionale del settore e le uscite di tecnici difficili da sostituire (causa) lasciano scoperti ruoli IT critici durante scioperi o dimissioni, con turni di copertura che violano obblighi di lavoro e sicurezza (evento); processi critici si degradano e la Banca rischia vertenze e sanzioni (danno). Era in osservazione dal 2026Q3: il segnale di avvicinamento si e' verificato e il rischio entra nel radar. IMPATTO: rilevante. Durante le astensioni si degradano processi critici che dipendono da pochi tecnici (Piano di successione dei ruoli IT critici, Direzione Risorse Umane). PROBABILITA: possibile. Lo sciopero nazionale del personale bancario e la carenza di tecnici IT sono in corso nel settore; la Banca e' esposta perche' il Piano di successione copre solo una parte dei ruoli. PROSSIMITA: da due a tre anni. La vertenza e' in corso nel settore, senza astensioni annunciate presso la Banca. VELOCITY: da tre a sei mesi. Le uscite di personale e i periodi di vertenza si sviluppano in alcuni mesi (Sciopero nazionale del personale bancario).</t>
  </si>
  <si>
    <t>[{"dimensione": "probabilita", "da": 2, "a": 3, "evidenza": "Lo sciopero nazionale del personale bancario di ottobre ha coinvolto i tecnici IT e il piano di successione della Banca copre solo meta' dei ruoli critici: la Banca e' esposta.", "data_evidenza": "2026-11-15"}, {"dimensione": "prossimita", "da": 1, "a": 2, "evidenza": "La vertenza nazionale e' in corso nel settore dal 6 ottobre 2026, con due giornate di sciopero proclamate: il fenomeno puo' toccare la Banca entro tre anni.", "data_evidenza": "2026-10-06"}, {"dimensione": "velocity", "da": null, "a": 3, "evidenza": "Lo sciopero nazionale del personale bancario documenta che uscite di personale e periodi di vertenza si sviluppano in alcuni mesi: velocity valutata per la prima volta.", "data_evidenza": "2026-10-06"}]</t>
  </si>
  <si>
    <t>[{"riferimento": "Sciopero nazionale del personale bancario e carenza di tecnici IT", "data": "2026-10-06", "tipo": "Esterna", "rilevanza": 2}, {"riferimento": "Piano di successione dei ruoli IT critici — Direzione Risorse Umane", "data": "2026-11-15", "tipo": "Interna", "rilevanza": 3}]</t>
  </si>
  <si>
    <t>Entrato</t>
  </si>
  <si>
    <t>RISCHIO: il taglio doloso di piu' cavi sottomarini nel Mediterraneo (causa) interromperebbe la connettivita' verso i data center del fornitore cloud e i circuiti di pagamento internazionali (evento): servizi e pagamenti esteri fermi per giorni (danno). In osservazione: nessun caso sulle rotte che servono l'Italia. IMPATTO: grave. Servizi e pagamenti esteri fermi per giorni; nessun fatto nuovo sul danno. PROBABILITA: possibile, da 2 a 3. Un cavo nel Mediterraneo orientale e' stato danneggiato a novembre (comunicato dell'operatore, 20/11/2026), dopo i casi del Mar Baltico e del Mar Rosso: il fenomeno si ripete su rotte vicine. PROSSIMITA: oltre tre anni. Nessun danneggiamento sulle rotte italiane; l'orizzonte stimato scende da 5 a 4 anni. VELOCITY: entro un giorno. Il taglio interrompe subito la connettivita'.</t>
  </si>
  <si>
    <t>[{"dimensione": "probabilita", "da": 2, "a": 3, "evidenza": "Un cavo nel Mediterraneo orientale e' stato danneggiato a novembre, dopo i casi del Mar Baltico e del Mar Rosso: il fenomeno si ripete su rotte vicine.", "data_evidenza": "2026-11-20"}]</t>
  </si>
  <si>
    <t>[{"riferimento": "Danneggiamento di un cavo sottomarino nel Mediterraneo orientale, comunicato dell'operatore", "data": "2026-11-20", "tipo": "Esterna", "rilevanza": 3}]</t>
  </si>
  <si>
    <t>RISCHIO: un calcolatore quantistico abbastanza potente (causa) renderebbe decifrabili firme e comunicazioni che proteggono pagamenti e accessi (evento): frodi, violazione di dati, sostituzione d'urgenza della crittografia (danno). In osservazione, confermato. IMPATTO: critico. Toccherebbe tutti i canali della Banca. PROBABILITA: remota. Nessun calcolatore ha ancora la capacita' necessaria (FNT-25 ENISA, rapporto sulla crittografia post-quantistica, 20/10/2026). PROSSIMITA: oltre tre anni. Il rapporto ENISA anticipa le tappe della migrazione post-quantistica: orizzonte da 10 a 8 anni. VELOCITY: non valutata. Nessuna fonte documenta i tempi fra l'annuncio e il danno.</t>
  </si>
  <si>
    <t>[{"riferimento": "FNT-25 ENISA, rapporto sulla crittografia post-quantistica", "data": "2026-10-20", "tipo": "Esterna", "rilevanza": 3}]</t>
  </si>
  <si>
    <t>2026Q4-NFR-01-A1</t>
  </si>
  <si>
    <t>Anticipare al primo trimestre 2027 l'attivazione della verifica fuori banda sui bonifici istantanei.</t>
  </si>
  <si>
    <t>Con due casi gia' avvenuti presso la Banca la verifica fuori banda, prevista piu' avanti, va anticipata: interrompe la frode nel momento in cui il cliente sta per pagare. EFFETTO: meno bonifici fraudolenti eseguiti e perdite piu' basse a parita' di tentativi; il tempo di blocco dei beneficiari fraudolenti (NFR-01-K3) deve scendere, mentre la Prossimita' resta alta finche' le campagne continuano.</t>
  </si>
  <si>
    <t>2026Q4-NFR-02-A1</t>
  </si>
  <si>
    <t>Chiudere i rilievi minori emersi dal test di exit strategy.</t>
  </si>
  <si>
    <t>I rilievi minori del Report del test completo di exit strategy sono l'ultimo ostacolo a un'uscita nei tempi di ripristino. EFFETTO: un piano di uscita senza rilievi aperti, che mantiene bassa la Probabilita' di un'interruzione senza alternativa; la quota di servizi sul fornitore (NFR-02-K1) non cambia, cambia la capacita' di spostarli.</t>
  </si>
  <si>
    <t>2026Q4-NFR-03-A1</t>
  </si>
  <si>
    <t>Completare la revisione indipendente dei claim ambientali dei prodotti ESG residui.</t>
  </si>
  <si>
    <t>La Verifica interna della Compliance ha lasciato una parte dei prodotti senza revisione: e' la lacuna da chiudere prima di un'istruttoria. EFFETTO: tutti i claim sostanziati; la quota di prodotti senza revisione (NFR-03-K2) deve scendere fino a zero e, con essa, la Probabilita' al ciclo successivo.</t>
  </si>
  <si>
    <t>2026Q4-NFR-04-A1</t>
  </si>
  <si>
    <t>Verificare con i fornitori di energia e telecomunicazioni delle due sedi critiche i tempi di ripristino garantiti dopo un'alluvione.</t>
  </si>
  <si>
    <t>I piani delle due sedi (2026Q2-NFR-04-A1) e la loro prova (2026Q3-NFR-04-A1) presuppongono energia e rete disponibili, ma nessuno ha verificato in quanto tempo i fornitori le ripristinano. EFFETTO: piani con tempi di ripartenza realistici; i giorni di indisponibilita' dopo un evento (NFR-04-K2) restano sotto la soglia di attenzione.</t>
  </si>
  <si>
    <t>2026Q4-NFR-05-A1</t>
  </si>
  <si>
    <t>Aggiungere a ogni ondata di migrazione una riconciliazione dei saldi prima e dopo la conversione, firmata dal responsabile.</t>
  </si>
  <si>
    <t>Il monitoraggio degli incidenti (2026Q3-NFR-05-A1) intercetta gli errori dopo il passaggio in produzione; la riconciliazione li ferma prima. EFFETTO: meno errori di conversione che arrivano ai clienti; gli incidenti di produzione (NFR-05-K2) restano sotto la soglia di attenzione dopo ogni ondata.</t>
  </si>
  <si>
    <t>2026Q4-NFR-06-A1</t>
  </si>
  <si>
    <t>Inserire nel codice di comportamento gli strumenti di AI ammessi e i dati che non si possono caricare, con le conseguenze disciplinari.</t>
  </si>
  <si>
    <t>La formazione (2026Q3-NFR-06-A1) spiega le regole; il codice di comportamento le rende vincolanti. EFFETTO: meno tentativi di caricamento di dati riservati (NFR-06-K1); al ciclo successivo puo' sostenere una Probabilita' piu' bassa.</t>
  </si>
  <si>
    <t>2026Q4-NFR-07-A1</t>
  </si>
  <si>
    <t>Prevedere un canale di pagamento alternativo, attivabile entro 24 ore, se il gateway del fornitore resta bloccato da un attacco.</t>
  </si>
  <si>
    <t>Il test di ripristino (2026Q2-NFR-07-A1) e i tempi contrattuali (2026Q3-NFR-07-A1) non coprono un blocco lungo del fornitore: serve un'alternativa. EFFETTO: un blocco del fornitore non ferma i pagamenti per piu' di un giorno, quindi un danno contenuto anche nel caso peggiore.</t>
  </si>
  <si>
    <t>2026Q4-NFR-08-A1</t>
  </si>
  <si>
    <t>Estendere il blocco automatico degli accessi senza pratica alle applicazioni di filiale e al call center.</t>
  </si>
  <si>
    <t>Il blocco (2026Q3-NFR-08-A1) copre oggi solo l'applicazione centrale: gli accessi da filiale e call center restano fuori. EFFETTO: abusi fermati su tutti i canali; gli accessi senza pratica (NFR-08-K1) scendono sotto la soglia di attenzione.</t>
  </si>
  <si>
    <t>2026Q4-NFR-09-A1</t>
  </si>
  <si>
    <t>Chiedere ai corrispondenti esteri il beneficiario finale dei pagamenti verso i paesi di transito segnalati.</t>
  </si>
  <si>
    <t>Lo screening esteso (2026Q2-NFR-09-A1) e la formazione (2026Q3-NFR-09-A1) dipendono dai dati disponibili: senza il beneficiario finale la triangolazione non si vede. EFFETTO: piu' pagamenti sospetti fermati all'origine (NFR-09-K1 puo' salire, ed e' un buon segno) e una Probabilita' che resta bassa anche se i flussi crescono.</t>
  </si>
  <si>
    <t>2026Q4-NFR-10-A1</t>
  </si>
  <si>
    <t>Mostrare nel chatbot l'avviso che le risposte su condizioni e tassi vanno verificate sul documento di sintesi, con il collegamento.</t>
  </si>
  <si>
    <t>I temi esclusi (2026Q3-NFR-10-A1) e il campionamento (2026Q2-NFR-10-A1) riducono le risposte errate ma non le azzerano: l'avviso limita il danno quando capitano. EFFETTO: meno contestazioni per risposte errate (NFR-10-K1), quindi un Impatto contenuto.</t>
  </si>
  <si>
    <t>2026Q4-NFR-11-A1</t>
  </si>
  <si>
    <t>Ottenere dal produttore un supporto esteso a pagamento per le componenti fuori supporto piu' critiche, fino alla sostituzione.</t>
  </si>
  <si>
    <t>La sostituzione (2026Q2-NFR-11-A1) e' un programma pluriennale e l'isolamento (2026Q3-NFR-11-A1) non corregge le vulnerabilita': il supporto esteso riporta le patch sulle componenti piu' esposte. EFFETTO: il numero di componenti senza patch (NFR-11-K1) inizia a scendere; il rischio resta urgente finche' il programma non e' avanzato.</t>
  </si>
  <si>
    <t>2026Q4-NFR-12-A1</t>
  </si>
  <si>
    <t>Introdurre un test di riconciliazione su dati anonimizzati prima di ogni rilascio del motore dei bonifici istantanei.</t>
  </si>
  <si>
    <t>Il controllo giornaliero (2026Q2-NFR-12-A1) e l'avviso (2026Q3-NFR-12-A1) trovano le differenze dopo; molte nascono dalle modifiche al software, che il test ferma prima. EFFETTO: meno differenze dopo i rilasci; quelle aperte oltre un giorno (NFR-12-K1) scendono sotto la soglia di attenzione.</t>
  </si>
  <si>
    <t>2026Q4-NFR-16-A1</t>
  </si>
  <si>
    <t>Estendere il piano di successione a tutti i ruoli IT critici, con backup formati.</t>
  </si>
  <si>
    <t>Oggi il Piano di successione copre circa meta' dei ruoli critici: e' la lacuna principale del rischio. EFFETTO: ogni ruolo critico con un sostituto formato; i ruoli senza sostituto (KRI di esposizione) devono scendere sotto la soglia di attenzione.</t>
  </si>
  <si>
    <t>2026Q4-NFR-16-A2</t>
  </si>
  <si>
    <t>Definire i servizi minimi IT garantiti in caso di sciopero, d'intesa con le rappresentanze.</t>
  </si>
  <si>
    <t>Senza servizi minimi concordati un'astensione puo' fermare processi critici o imporre turni non conformi. EFFETTO: un danno minore in caso di sciopero (Impatto) e turni di copertura conformi agli obblighi di lavoro.</t>
  </si>
  <si>
    <t>Nel quarto trimestre 2026 entra nel radar il rischio sui rapporti di impiego (NFR-16), in osservazione dal 2026Q3: la vertenza nazionale del settore e la carenza di tecnici in ruoli IT critici, segnalate dall'aggiornamento settimanale, hanno ora un riscontro interno. Sale la prossimita' delle frodi con voce sintetica (NFR-01) dopo i primi casi su clienti della Banca. Gli altri undici rischi del radar sono confermati. In osservazione si avvicinano i cavi sottomarini (NFR-14, Probabilita da 2 a 3), ancora lontani dalle rotte italiane.</t>
  </si>
  <si>
    <t>A5 non usato in questo ciclo (facoltativo, D-71): valgono i controlli dello script e la validazione.</t>
  </si>
  <si>
    <t>Secondo incidente del fornitore cloud in un mese, con ripristino oltre i tempi contrattuali.</t>
  </si>
  <si>
    <t>Dato definitivo dell'inventario: tre servizi critici migrati sul cloud principale a novembre.</t>
  </si>
  <si>
    <t>[{"dimensione": "probabilita", "da": 2, "a": 4, "evidenza": "Rettifica del validatore: Secondo incidente del fornitore cloud in un mese, con ripristino oltre i tempi contrattuali.", "data_evidenza": "2026-10-08"}]</t>
  </si>
  <si>
    <t>Invariato (riapertura)</t>
  </si>
  <si>
    <t>Rettificato (riapertura)</t>
  </si>
  <si>
    <t>RISCHI — nessuna riga da validare</t>
  </si>
  <si>
    <t>KRI — nessuna riga da validare</t>
  </si>
  <si>
    <t>AZIONI — nessuna riga da validare</t>
  </si>
  <si>
    <t>N-20261113-01</t>
  </si>
  <si>
    <t>Bonifico istantaneo da 5 milioni disposto con la voce clonata dell'amministratore delegato</t>
  </si>
  <si>
    <t>Il cliente corporate di una banca italiana comparabile ha autorizzato il bonifico su richiesta telefonica con voce sintetica; la banca non ha bloccato il beneficiario.</t>
  </si>
  <si>
    <t>Da validare</t>
  </si>
  <si>
    <t>Una sola notizia, critica: il primo caso in Italia di frode con voce clonata ai danni del cliente corporate di una banca comparabile. Proposta di ciclo straordinario su NFR-01.</t>
  </si>
  <si>
    <t>PROPOSTA DI CICLO STRAORDINARIO per NFR-01: Intensita' 3 su NFR-01, che ha Impatto 4: il primo caso presso una banca comparabile rende superato il descrittore di Probabilita 4.</t>
  </si>
  <si>
    <t>2026-11-16</t>
  </si>
  <si>
    <t>Da decidere</t>
  </si>
  <si>
    <t>16/11/2026</t>
  </si>
  <si>
    <t>NOTIZIE — settimana del 16/11/2026 (1 righe): rischio collegato e segnale; Respingi = Sì: notizia non rilevante (validazione facoltativa, D-17)</t>
  </si>
  <si>
    <t>Da validare: settimana del 16/11/2026 (1 notizie) — poi, con il file chiuso:  python esegui_ciclo_locale.py valida --periodo &lt;ciclo o lunedi'&gt; --validatore "&lt;chi valida&gt;"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</si>
</sst>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 &quot;\+0.00;&quot;▼ &quot;\-0.00;&quot;● &quot;0.00"/>
    <numFmt numFmtId="166" formatCode="\+0.00;\-0.00;0.00"/>
    <numFmt numFmtId="167" formatCode="\+0.00;\-0.00;;"/>
    <numFmt numFmtId="168" formatCode="0.00;\-0.00;;"/>
  </numFmts>
  <fonts count="49" x14ac:knownFonts="1">
    <font>
      <sz val="11"/>
      <color theme="1"/>
      <name val="Calibri"/>
      <family val="2"/>
      <scheme val="minor"/>
    </font>
    <font>
      <b/>
      <sz val="14"/>
      <color rgb="FFFFFFFF"/>
      <name val="Calibri"/>
    </font>
    <font>
      <b/>
      <sz val="11"/>
      <name val="Calibri"/>
    </font>
    <font>
      <i/>
      <sz val="11"/>
      <color rgb="FF595959"/>
      <name val="Calibri"/>
    </font>
    <font>
      <b/>
      <sz val="11"/>
      <color rgb="FF1F4E79"/>
      <name val="Calibri"/>
    </font>
    <font>
      <b/>
      <sz val="11"/>
      <color rgb="FF7F6000"/>
      <name val="Calibri"/>
    </font>
    <font>
      <i/>
      <sz val="8"/>
      <color rgb="FF404040"/>
      <name val="Calibri"/>
    </font>
    <font>
      <b/>
      <sz val="11"/>
      <color rgb="FF404040"/>
      <name val="Calibri"/>
    </font>
    <font>
      <b/>
      <sz val="9"/>
      <color rgb="FF1F4E79"/>
      <name val="Calibri"/>
    </font>
    <font>
      <b/>
      <sz val="9"/>
      <color rgb="FF404040"/>
      <name val="Calibri"/>
    </font>
    <font>
      <b/>
      <sz val="9"/>
      <color rgb="FF7F6000"/>
      <name val="Calibri"/>
    </font>
    <font>
      <b/>
      <sz val="11"/>
      <color rgb="FF375623"/>
      <name val="Calibri"/>
    </font>
    <font>
      <b/>
      <sz val="9"/>
      <color rgb="FF375623"/>
      <name val="Calibri"/>
    </font>
    <font>
      <b/>
      <sz val="9"/>
      <name val="Calibri"/>
    </font>
    <font>
      <b/>
      <sz val="9"/>
      <color rgb="FFBF8F00"/>
      <name val="Calibri"/>
    </font>
    <font>
      <i/>
      <sz val="8"/>
      <color rgb="FF595959"/>
      <name val="Calibri"/>
    </font>
    <font>
      <b/>
      <sz val="12"/>
      <color rgb="FF1F3864"/>
      <name val="Calibri"/>
    </font>
    <font>
      <b/>
      <sz val="9"/>
      <color rgb="FFFFFFFF"/>
      <name val="Calibri"/>
    </font>
    <font>
      <b/>
      <sz val="8.5"/>
      <color rgb="FF1F3864"/>
      <name val="Calibri"/>
    </font>
    <font>
      <sz val="8"/>
      <name val="Calibri"/>
    </font>
    <font>
      <sz val="9"/>
      <name val="Calibri"/>
    </font>
    <font>
      <b/>
      <sz val="11"/>
      <color rgb="FF1F3864"/>
      <name val="Calibri"/>
    </font>
    <font>
      <sz val="9"/>
      <color rgb="FF595959"/>
      <name val="Calibri"/>
    </font>
    <font>
      <b/>
      <sz val="10"/>
      <name val="Calibri"/>
    </font>
    <font>
      <b/>
      <sz val="9"/>
      <color rgb="FF1F3864"/>
      <name val="Calibri"/>
    </font>
    <font>
      <b/>
      <sz val="9"/>
      <color rgb="FF595959"/>
      <name val="Calibri"/>
    </font>
    <font>
      <b/>
      <sz val="26"/>
      <color rgb="FF1F3864"/>
      <name val="Calibri"/>
    </font>
    <font>
      <b/>
      <sz val="26"/>
      <color rgb="FFC00000"/>
      <name val="Calibri"/>
    </font>
    <font>
      <b/>
      <sz val="26"/>
      <color rgb="FF375623"/>
      <name val="Calibri"/>
    </font>
    <font>
      <b/>
      <sz val="8"/>
      <color rgb="FF595959"/>
      <name val="Calibri"/>
    </font>
    <font>
      <b/>
      <sz val="7"/>
      <name val="Calibri"/>
    </font>
    <font>
      <sz val="8.5"/>
      <name val="Calibri"/>
    </font>
    <font>
      <b/>
      <sz val="8"/>
      <color rgb="FF1F3864"/>
      <name val="Calibri"/>
    </font>
    <font>
      <b/>
      <sz val="10"/>
      <color rgb="FF1F3864"/>
      <name val="Calibri"/>
    </font>
    <font>
      <sz val="10"/>
      <name val="Calibri"/>
    </font>
    <font>
      <b/>
      <sz val="11"/>
      <color rgb="FFFFFFFF"/>
      <name val="Calibri"/>
    </font>
    <font>
      <sz val="9"/>
      <color rgb="FF262626"/>
      <name val="Calibri"/>
    </font>
    <font>
      <b/>
      <sz val="11"/>
      <color rgb="FF1F3864"/>
      <name val="Calibri"/>
    </font>
    <font>
      <i/>
      <sz val="8"/>
      <color rgb="FF1F3864"/>
      <name val="Calibri"/>
    </font>
    <font>
      <sz val="9"/>
      <color rgb="FF7F7F7F"/>
      <name val="Calibri"/>
    </font>
    <font>
      <b/>
      <sz val="9.5"/>
      <name val="Calibri"/>
    </font>
    <font>
      <b/>
      <sz val="11"/>
      <color rgb="FF262626"/>
      <name val="Calibri"/>
    </font>
    <font>
      <b/>
      <i/>
      <sz val="11"/>
      <color rgb="FF595959"/>
      <name val="Calibri"/>
    </font>
    <font>
      <b/>
      <sz val="10"/>
      <color rgb="FF1F4E79"/>
      <name val="Calibri"/>
    </font>
    <font>
      <sz val="10"/>
      <color rgb="FF262626"/>
      <name val="Calibri"/>
    </font>
    <font>
      <b/>
      <sz val="10"/>
      <color rgb="FF404040"/>
      <name val="Calibri"/>
    </font>
    <font>
      <b/>
      <sz val="10"/>
      <color rgb="FF262626"/>
      <name val="Calibri"/>
    </font>
    <font>
      <b/>
      <sz val="10"/>
      <color rgb="FF375623"/>
      <name val="Calibri"/>
    </font>
    <font>
      <b/>
      <sz val="10"/>
      <color rgb="FF7F6000"/>
      <name val="Calibri"/>
    </font>
  </fonts>
  <fills count="20">
    <fill>
      <patternFill patternType="none"/>
    </fill>
    <fill>
      <patternFill patternType="gray125"/>
    </fill>
    <fill>
      <patternFill patternType="solid">
        <fgColor rgb="FF1F3864"/>
      </patternFill>
    </fill>
    <fill>
      <patternFill patternType="solid">
        <fgColor rgb="FFFFF2CC"/>
      </patternFill>
    </fill>
    <fill>
      <patternFill patternType="solid">
        <fgColor rgb="FFDDEBF7"/>
      </patternFill>
    </fill>
    <fill>
      <patternFill patternType="solid">
        <fgColor rgb="FFE7E6E6"/>
      </patternFill>
    </fill>
    <fill>
      <patternFill patternType="solid">
        <fgColor rgb="FFEDEDED"/>
      </patternFill>
    </fill>
    <fill>
      <patternFill patternType="solid">
        <fgColor rgb="FFE2EFDA"/>
      </patternFill>
    </fill>
    <fill>
      <patternFill patternType="solid">
        <fgColor rgb="FFEDEDED"/>
        <bgColor rgb="FFEDEDED"/>
      </patternFill>
    </fill>
    <fill>
      <patternFill patternType="solid">
        <fgColor rgb="FFDDEBF7"/>
        <bgColor rgb="FFDDEBF7"/>
      </patternFill>
    </fill>
    <fill>
      <patternFill patternType="solid">
        <fgColor rgb="FFFFF2CC"/>
        <bgColor rgb="FFFFF2CC"/>
      </patternFill>
    </fill>
    <fill>
      <patternFill patternType="solid">
        <fgColor rgb="FFE2EFDA"/>
        <bgColor rgb="FFE2EFDA"/>
      </patternFill>
    </fill>
    <fill>
      <patternFill patternType="solid">
        <fgColor rgb="FF2F5597"/>
        <bgColor rgb="FF2F5597"/>
      </patternFill>
    </fill>
    <fill>
      <patternFill patternType="solid">
        <fgColor rgb="FFF2F2F2"/>
        <bgColor rgb="FFF2F2F2"/>
      </patternFill>
    </fill>
    <fill>
      <patternFill patternType="solid">
        <fgColor rgb="FF1F3864"/>
        <bgColor rgb="FF1F3864"/>
      </patternFill>
    </fill>
    <fill>
      <patternFill patternType="solid">
        <fgColor rgb="FFFBE5E5"/>
        <bgColor rgb="FFFBE5E5"/>
      </patternFill>
    </fill>
    <fill>
      <patternFill patternType="solid">
        <fgColor rgb="FFD9E1F2"/>
        <bgColor rgb="FFD9E1F2"/>
      </patternFill>
    </fill>
    <fill>
      <patternFill patternType="solid">
        <fgColor rgb="FFFFE699"/>
        <bgColor rgb="FFFFE699"/>
      </patternFill>
    </fill>
    <fill>
      <patternFill patternType="solid">
        <fgColor rgb="FFDEEAF6"/>
        <bgColor rgb="FFDEEAF6"/>
      </patternFill>
    </fill>
    <fill>
      <patternFill patternType="solid">
        <fgColor rgb="FFF2F2F2"/>
      </patternFill>
    </fill>
  </fills>
  <borders count="7">
    <border>
      <left/>
      <right/>
      <top/>
      <bottom/>
      <diagonal/>
    </border>
    <border>
      <left/>
      <right/>
      <top/>
      <bottom style="medium">
        <color rgb="FF1F3864"/>
      </bottom>
      <diagonal/>
    </border>
    <border>
      <left/>
      <right/>
      <top/>
      <bottom style="thin">
        <color rgb="FFD9D9D9"/>
      </bottom>
      <diagonal/>
    </border>
    <border>
      <left style="medium">
        <color rgb="FFFFFFFF"/>
      </left>
      <right style="medium">
        <color rgb="FFFFFFFF"/>
      </right>
      <top style="medium">
        <color rgb="FFFFFFFF"/>
      </top>
      <bottom style="medium">
        <color rgb="FFFFFFFF"/>
      </bottom>
      <diagonal/>
    </border>
    <border>
      <left/>
      <right style="thick">
        <color rgb="FFFFFFFF"/>
      </right>
      <top/>
      <bottom/>
      <diagonal/>
    </border>
    <border>
      <left style="thin">
        <color rgb="FFFFFFFF"/>
      </left>
      <right style="thin">
        <color rgb="FFFFFFFF"/>
      </right>
      <top style="thin">
        <color rgb="FFFFFFFF"/>
      </top>
      <bottom style="thin">
        <color rgb="FFFFFFFF"/>
      </bottom>
      <diagonal/>
    </border>
    <border>
      <left/>
      <right/>
      <top/>
      <bottom style="thin">
        <color rgb="FFD9D9D9"/>
      </bottom>
      <diagonal/>
    </border>
  </borders>
  <cellStyleXfs count="1">
    <xf numFmtId="0" fontId="0" fillId="0" borderId="0"/>
  </cellStyleXfs>
  <cellXfs count="218">
    <xf numFmtId="0" fontId="0" fillId="0" borderId="0" xfId="0"/>
    <xf numFmtId="0" fontId="41" fillId="19" borderId="0" xfId="0" applyFont="1" applyFill="1" applyAlignment="1">
      <alignment vertical="top" wrapText="1"/>
    </xf>
    <xf numFmtId="0" fontId="0" fillId="0" borderId="0" xfId="0" applyAlignment="1">
      <alignment vertical="top" wrapText="1"/>
    </xf>
    <xf numFmtId="0" fontId="11" fillId="7" borderId="0" xfId="0" applyFont="1" applyFill="1" applyAlignment="1">
      <alignment vertical="top" wrapText="1"/>
    </xf>
    <xf numFmtId="0" fontId="4" fillId="4" borderId="0" xfId="0" applyFont="1" applyFill="1" applyAlignment="1">
      <alignment vertical="top" wrapText="1"/>
    </xf>
    <xf numFmtId="0" fontId="5" fillId="3" borderId="0" xfId="0" applyFont="1" applyFill="1" applyAlignment="1">
      <alignment vertical="top" wrapText="1"/>
    </xf>
    <xf numFmtId="0" fontId="42" fillId="0" borderId="0" xfId="0" applyFont="1"/>
    <xf numFmtId="0" fontId="2" fillId="0" borderId="0" xfId="0" applyFont="1" applyAlignment="1">
      <alignment vertical="top" wrapText="1"/>
    </xf>
    <xf numFmtId="0" fontId="0" fillId="4" borderId="0" xfId="0" applyFill="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25" fillId="0" borderId="0" xfId="0" applyFont="1"/>
    <xf numFmtId="0" fontId="29" fillId="0" borderId="0" xfId="0" applyFont="1"/>
    <xf numFmtId="0" fontId="29" fillId="0" borderId="0" xfId="0" applyFont="1" applyAlignment="1">
      <alignment horizontal="center"/>
    </xf>
    <xf numFmtId="0" fontId="21" fillId="0" borderId="2" xfId="0" applyFont="1" applyBorder="1" applyAlignment="1">
      <alignment horizontal="center" vertical="center"/>
    </xf>
    <xf numFmtId="0" fontId="20" fillId="0" borderId="2" xfId="0" applyFont="1" applyBorder="1" applyAlignment="1">
      <alignment vertical="center" wrapText="1"/>
    </xf>
    <xf numFmtId="0" fontId="0" fillId="0" borderId="2" xfId="0" applyBorder="1"/>
    <xf numFmtId="2" fontId="2" fillId="0" borderId="2" xfId="0" applyNumberFormat="1" applyFont="1" applyBorder="1" applyAlignment="1">
      <alignment horizontal="center" vertical="center"/>
    </xf>
    <xf numFmtId="165" fontId="0" fillId="0" borderId="2" xfId="0" applyNumberFormat="1" applyBorder="1" applyAlignment="1">
      <alignment horizontal="center" vertical="center"/>
    </xf>
    <xf numFmtId="0" fontId="20" fillId="0" borderId="2" xfId="0" applyFont="1" applyBorder="1" applyAlignment="1">
      <alignment horizontal="center" vertical="center" shrinkToFit="1"/>
    </xf>
    <xf numFmtId="0" fontId="29" fillId="0" borderId="0" xfId="0" applyFont="1" applyAlignment="1">
      <alignment horizontal="center" vertical="center"/>
    </xf>
    <xf numFmtId="0" fontId="30" fillId="11" borderId="5" xfId="0" applyFont="1" applyFill="1" applyBorder="1" applyAlignment="1">
      <alignment horizontal="center" vertical="center" wrapText="1"/>
    </xf>
    <xf numFmtId="0" fontId="30" fillId="10" borderId="5"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15" fillId="0" borderId="0" xfId="0" applyFont="1"/>
    <xf numFmtId="0" fontId="32" fillId="0" borderId="0" xfId="0" applyFont="1"/>
    <xf numFmtId="0" fontId="35" fillId="12" borderId="0" xfId="0" applyFont="1" applyFill="1"/>
    <xf numFmtId="0" fontId="0" fillId="0" borderId="0" xfId="0" applyAlignment="1">
      <alignment horizontal="center" vertical="top" wrapText="1"/>
    </xf>
    <xf numFmtId="0" fontId="13" fillId="0" borderId="0" xfId="0" applyFont="1" applyAlignment="1">
      <alignment vertical="top" wrapText="1"/>
    </xf>
    <xf numFmtId="2" fontId="0" fillId="0" borderId="0" xfId="0" applyNumberFormat="1"/>
    <xf numFmtId="165" fontId="0" fillId="0" borderId="0" xfId="0" applyNumberFormat="1"/>
    <xf numFmtId="168" fontId="0" fillId="0" borderId="0" xfId="0" applyNumberFormat="1"/>
    <xf numFmtId="0" fontId="21" fillId="0" borderId="0" xfId="0" applyFont="1"/>
    <xf numFmtId="0" fontId="22" fillId="0" borderId="0" xfId="0" applyFont="1" applyAlignment="1">
      <alignment horizontal="right" vertical="center"/>
    </xf>
    <xf numFmtId="0" fontId="21" fillId="0" borderId="0" xfId="0" applyFont="1" applyAlignment="1">
      <alignment horizontal="center" vertical="center"/>
    </xf>
    <xf numFmtId="0" fontId="23" fillId="11" borderId="3"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23" fillId="15" borderId="3" xfId="0" applyFont="1" applyFill="1" applyBorder="1" applyAlignment="1">
      <alignment horizontal="center" vertical="center" wrapText="1"/>
    </xf>
    <xf numFmtId="0" fontId="21" fillId="0" borderId="0" xfId="0" applyFont="1" applyAlignment="1">
      <alignment horizontal="center"/>
    </xf>
    <xf numFmtId="0" fontId="22" fillId="0" borderId="0" xfId="0" applyFont="1" applyAlignment="1">
      <alignment horizontal="center"/>
    </xf>
    <xf numFmtId="0" fontId="17" fillId="12" borderId="0" xfId="0" applyFont="1" applyFill="1"/>
    <xf numFmtId="0" fontId="0" fillId="0" borderId="2" xfId="0" applyBorder="1" applyAlignment="1">
      <alignment horizontal="center"/>
    </xf>
    <xf numFmtId="167" fontId="0" fillId="0" borderId="0" xfId="0" applyNumberFormat="1"/>
    <xf numFmtId="0" fontId="18" fillId="0" borderId="0" xfId="0" applyFont="1" applyAlignment="1">
      <alignment vertical="top" wrapText="1"/>
    </xf>
    <xf numFmtId="166" fontId="13" fillId="0" borderId="0" xfId="0" applyNumberFormat="1" applyFont="1" applyAlignment="1">
      <alignment vertical="top" wrapText="1"/>
    </xf>
    <xf numFmtId="0" fontId="13" fillId="0" borderId="1" xfId="0" applyFont="1" applyBorder="1" applyAlignment="1">
      <alignment wrapText="1"/>
    </xf>
    <xf numFmtId="166" fontId="0" fillId="0" borderId="0" xfId="0" applyNumberFormat="1"/>
    <xf numFmtId="0" fontId="17" fillId="14" borderId="0" xfId="0" applyFont="1" applyFill="1" applyAlignment="1">
      <alignment horizontal="center" vertical="center" wrapText="1"/>
    </xf>
    <xf numFmtId="0" fontId="36" fillId="0" borderId="2" xfId="0" applyFont="1" applyBorder="1" applyAlignment="1">
      <alignment horizontal="center" vertical="top" wrapText="1"/>
    </xf>
    <xf numFmtId="0" fontId="24" fillId="0" borderId="2" xfId="0" applyFont="1" applyBorder="1" applyAlignment="1">
      <alignment horizontal="left" vertical="top" wrapText="1"/>
    </xf>
    <xf numFmtId="0" fontId="36" fillId="0" borderId="2" xfId="0" applyFont="1" applyBorder="1" applyAlignment="1">
      <alignment horizontal="left" vertical="top" wrapText="1"/>
    </xf>
    <xf numFmtId="2" fontId="36" fillId="0" borderId="2" xfId="0" applyNumberFormat="1" applyFont="1" applyBorder="1" applyAlignment="1">
      <alignment horizontal="center" vertical="top" wrapText="1"/>
    </xf>
    <xf numFmtId="0" fontId="13" fillId="0" borderId="2" xfId="0" applyFont="1" applyBorder="1" applyAlignment="1">
      <alignment vertical="top" wrapText="1"/>
    </xf>
    <xf numFmtId="0" fontId="20" fillId="0" borderId="2" xfId="0" applyFont="1" applyBorder="1" applyAlignment="1">
      <alignment vertical="top" wrapText="1"/>
    </xf>
    <xf numFmtId="0" fontId="4" fillId="4" borderId="0" xfId="0" applyFont="1" applyFill="1" applyAlignment="1">
      <alignment horizontal="left" vertical="top" wrapText="1"/>
    </xf>
    <xf numFmtId="0" fontId="0" fillId="0" borderId="0" xfId="0" applyAlignment="1">
      <alignment horizontal="left" vertical="top" wrapText="1"/>
    </xf>
    <xf numFmtId="0" fontId="7" fillId="6" borderId="0" xfId="0" applyFont="1" applyFill="1" applyAlignment="1">
      <alignment vertical="top" wrapText="1"/>
    </xf>
    <xf numFmtId="0" fontId="7" fillId="6" borderId="0" xfId="0" applyFont="1" applyFill="1" applyAlignment="1">
      <alignment horizontal="left" vertical="top" wrapText="1"/>
    </xf>
    <xf numFmtId="2" fontId="0" fillId="0" borderId="0" xfId="0" applyNumberFormat="1" applyAlignment="1">
      <alignment horizontal="left" vertical="top" wrapText="1"/>
    </xf>
    <xf numFmtId="0" fontId="5" fillId="3" borderId="0" xfId="0" applyFont="1" applyFill="1" applyAlignment="1">
      <alignment horizontal="left" vertical="top" wrapText="1"/>
    </xf>
    <xf numFmtId="0" fontId="5" fillId="3" borderId="0" xfId="0" applyFont="1" applyFill="1"/>
    <xf numFmtId="0" fontId="2" fillId="0" borderId="0" xfId="0" applyFont="1"/>
    <xf numFmtId="0" fontId="7" fillId="6" borderId="0" xfId="0" applyFont="1" applyFill="1"/>
    <xf numFmtId="0" fontId="9" fillId="8" borderId="0" xfId="0" applyFont="1" applyFill="1" applyAlignment="1">
      <alignment horizontal="center" wrapText="1"/>
    </xf>
    <xf numFmtId="0" fontId="10" fillId="10" borderId="0" xfId="0" applyFont="1" applyFill="1" applyAlignment="1">
      <alignment horizontal="center" wrapText="1"/>
    </xf>
    <xf numFmtId="0" fontId="12" fillId="11" borderId="0" xfId="0" applyFont="1" applyFill="1" applyAlignment="1">
      <alignment horizontal="center" wrapText="1"/>
    </xf>
    <xf numFmtId="0" fontId="13" fillId="0" borderId="1" xfId="0" applyFont="1" applyBorder="1" applyAlignment="1">
      <alignment horizontal="left" wrapText="1"/>
    </xf>
    <xf numFmtId="0" fontId="13" fillId="0" borderId="1" xfId="0" applyFont="1" applyBorder="1" applyAlignment="1">
      <alignment horizontal="center" wrapText="1"/>
    </xf>
    <xf numFmtId="0" fontId="14" fillId="0" borderId="1" xfId="0" applyFont="1" applyBorder="1" applyAlignment="1">
      <alignment horizontal="center" wrapText="1"/>
    </xf>
    <xf numFmtId="0" fontId="0" fillId="0" borderId="2" xfId="0" applyBorder="1" applyAlignment="1">
      <alignment horizontal="left"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166"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0" fillId="3" borderId="0" xfId="0" applyFill="1"/>
    <xf numFmtId="0" fontId="17" fillId="14" borderId="0" xfId="0" applyFont="1" applyFill="1" applyAlignment="1">
      <alignment vertical="top" wrapText="1"/>
    </xf>
    <xf numFmtId="0" fontId="17" fillId="14" borderId="0" xfId="0" applyFont="1" applyFill="1"/>
    <xf numFmtId="14" fontId="0" fillId="0" borderId="0" xfId="0" applyNumberFormat="1"/>
    <xf numFmtId="0" fontId="20" fillId="0" borderId="0" xfId="0" applyFont="1"/>
    <xf numFmtId="0" fontId="3" fillId="0" borderId="0" xfId="0" applyFont="1"/>
    <xf numFmtId="0" fontId="10" fillId="10" borderId="0" xfId="0" applyFont="1" applyFill="1"/>
    <xf numFmtId="0" fontId="0" fillId="0" borderId="2" xfId="0" applyBorder="1" applyAlignment="1">
      <alignment vertical="top"/>
    </xf>
    <xf numFmtId="0" fontId="0" fillId="0" borderId="2" xfId="0" applyBorder="1" applyAlignment="1">
      <alignment vertical="top" wrapText="1"/>
    </xf>
    <xf numFmtId="14" fontId="0" fillId="0" borderId="2" xfId="0" applyNumberFormat="1" applyBorder="1" applyAlignment="1">
      <alignment vertical="top"/>
    </xf>
    <xf numFmtId="0" fontId="24" fillId="0" borderId="2" xfId="0" applyFont="1" applyBorder="1" applyAlignment="1">
      <alignment horizontal="center" vertical="top" wrapText="1"/>
    </xf>
    <xf numFmtId="0" fontId="0" fillId="0" borderId="2" xfId="0" applyBorder="1" applyAlignment="1">
      <alignment horizontal="center" vertical="top"/>
    </xf>
    <xf numFmtId="0" fontId="13" fillId="0" borderId="0" xfId="0" applyFont="1"/>
    <xf numFmtId="0" fontId="23" fillId="0" borderId="2" xfId="0" applyFont="1" applyBorder="1" applyAlignment="1">
      <alignment horizontal="center"/>
    </xf>
    <xf numFmtId="0" fontId="0" fillId="0" borderId="0" xfId="0" applyAlignment="1">
      <alignment horizontal="center"/>
    </xf>
    <xf numFmtId="0" fontId="13" fillId="0" borderId="2" xfId="0" applyFont="1" applyBorder="1" applyAlignment="1">
      <alignment horizontal="left" vertical="top" wrapText="1"/>
    </xf>
    <xf numFmtId="0" fontId="20" fillId="0" borderId="2" xfId="0" applyFont="1" applyBorder="1" applyAlignment="1">
      <alignment horizontal="left" vertical="top" wrapText="1"/>
    </xf>
    <xf numFmtId="0" fontId="20" fillId="0" borderId="2" xfId="0" applyFont="1" applyBorder="1" applyAlignment="1">
      <alignment horizontal="center" vertical="top" wrapText="1"/>
    </xf>
    <xf numFmtId="2" fontId="20" fillId="0" borderId="2" xfId="0" applyNumberFormat="1" applyFont="1" applyBorder="1" applyAlignment="1">
      <alignment horizontal="center" vertical="top" wrapText="1"/>
    </xf>
    <xf numFmtId="0" fontId="38" fillId="0" borderId="0" xfId="0" applyFont="1" applyAlignment="1">
      <alignment vertical="center" wrapText="1"/>
    </xf>
    <xf numFmtId="0" fontId="13" fillId="16" borderId="0" xfId="0" applyFont="1" applyFill="1" applyAlignment="1">
      <alignment horizontal="center" vertical="center" wrapText="1"/>
    </xf>
    <xf numFmtId="0" fontId="13" fillId="13" borderId="0" xfId="0" applyFont="1" applyFill="1" applyAlignment="1">
      <alignment horizontal="center" vertical="center" wrapText="1"/>
    </xf>
    <xf numFmtId="0" fontId="13" fillId="17" borderId="0" xfId="0" applyFont="1" applyFill="1" applyAlignment="1">
      <alignment horizontal="center" vertical="center" wrapText="1"/>
    </xf>
    <xf numFmtId="0" fontId="13" fillId="9" borderId="0" xfId="0" applyFont="1" applyFill="1" applyAlignment="1">
      <alignment horizontal="center" vertical="center" wrapText="1"/>
    </xf>
    <xf numFmtId="0" fontId="33" fillId="0" borderId="2" xfId="0" applyFont="1" applyBorder="1" applyAlignment="1">
      <alignment vertical="center"/>
    </xf>
    <xf numFmtId="0" fontId="39"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0" fillId="10" borderId="2" xfId="0" applyFont="1" applyFill="1" applyBorder="1" applyAlignment="1">
      <alignment vertical="center" wrapText="1"/>
    </xf>
    <xf numFmtId="0" fontId="23"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19" fillId="0" borderId="2" xfId="0" applyFont="1" applyBorder="1" applyAlignment="1">
      <alignment vertical="center" wrapText="1"/>
    </xf>
    <xf numFmtId="0" fontId="20" fillId="0" borderId="2" xfId="0" applyFont="1" applyBorder="1" applyAlignment="1">
      <alignment horizontal="center" vertical="center" wrapText="1"/>
    </xf>
    <xf numFmtId="0" fontId="0" fillId="10" borderId="2" xfId="0" applyFill="1" applyBorder="1" applyAlignment="1">
      <alignment horizontal="center" vertical="center" wrapText="1"/>
    </xf>
    <xf numFmtId="0" fontId="24" fillId="0" borderId="2" xfId="0" applyFont="1" applyBorder="1" applyAlignment="1">
      <alignment vertical="center"/>
    </xf>
    <xf numFmtId="2" fontId="0" fillId="3" borderId="0" xfId="0" applyNumberFormat="1" applyFill="1"/>
    <xf numFmtId="0" fontId="0" fillId="5" borderId="0" xfId="0" applyFill="1"/>
    <xf numFmtId="14" fontId="0" fillId="3" borderId="0" xfId="0" applyNumberFormat="1" applyFill="1"/>
    <xf numFmtId="1" fontId="0" fillId="3" borderId="0" xfId="0" applyNumberFormat="1" applyFill="1"/>
    <xf numFmtId="9" fontId="0" fillId="3" borderId="0" xfId="0" applyNumberFormat="1" applyFill="1"/>
    <xf numFmtId="0" fontId="35" fillId="14" borderId="0" xfId="0" applyFont="1" applyFill="1"/>
    <xf numFmtId="0" fontId="20" fillId="9" borderId="2" xfId="0" applyFont="1" applyFill="1" applyBorder="1" applyAlignment="1">
      <alignment horizontal="left" vertical="top" wrapText="1"/>
    </xf>
    <xf numFmtId="0" fontId="20" fillId="8" borderId="2" xfId="0" applyFont="1" applyFill="1" applyBorder="1" applyAlignment="1">
      <alignment horizontal="left" vertical="top" wrapText="1"/>
    </xf>
    <xf numFmtId="0" fontId="20" fillId="10" borderId="2" xfId="0" applyFont="1" applyFill="1" applyBorder="1" applyAlignment="1">
      <alignment horizontal="left" vertical="top" wrapText="1"/>
    </xf>
    <xf numFmtId="0" fontId="20" fillId="11" borderId="2" xfId="0" applyFont="1" applyFill="1" applyBorder="1" applyAlignment="1">
      <alignment horizontal="left" vertical="top" wrapText="1"/>
    </xf>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6" fillId="0" borderId="0" xfId="0" applyFont="1" applyAlignment="1">
      <alignment vertical="top" wrapText="1"/>
    </xf>
    <xf numFmtId="0" fontId="4" fillId="4" borderId="0" xfId="0" applyFont="1" applyFill="1"/>
    <xf numFmtId="14" fontId="0" fillId="5" borderId="0" xfId="0" applyNumberFormat="1" applyFill="1"/>
    <xf numFmtId="2" fontId="0" fillId="5" borderId="0" xfId="0" applyNumberFormat="1" applyFill="1"/>
    <xf numFmtId="0" fontId="0" fillId="5" borderId="0" xfId="0" applyFill="1" applyAlignment="1">
      <alignment vertical="top" wrapText="1"/>
    </xf>
    <xf numFmtId="0" fontId="12" fillId="7" borderId="0" xfId="0" applyFont="1" applyFill="1" applyAlignment="1">
      <alignment horizontal="left" vertical="center"/>
    </xf>
    <xf numFmtId="0" fontId="11" fillId="7" borderId="0" xfId="0" applyFont="1" applyFill="1"/>
    <xf numFmtId="14" fontId="0" fillId="5" borderId="0" xfId="0" applyNumberFormat="1" applyFill="1" applyAlignment="1">
      <alignment vertical="top" wrapText="1"/>
    </xf>
    <xf numFmtId="0" fontId="0" fillId="5" borderId="0" xfId="0" quotePrefix="1" applyFill="1"/>
    <xf numFmtId="0" fontId="0" fillId="5" borderId="0" xfId="0" quotePrefix="1" applyFill="1" applyAlignment="1">
      <alignment vertical="top" wrapText="1"/>
    </xf>
    <xf numFmtId="0" fontId="0" fillId="3" borderId="0" xfId="0" quotePrefix="1" applyFill="1"/>
    <xf numFmtId="0" fontId="33" fillId="0" borderId="2" xfId="0" quotePrefix="1" applyFont="1" applyBorder="1" applyAlignment="1">
      <alignment vertical="center"/>
    </xf>
    <xf numFmtId="0" fontId="20" fillId="0" borderId="2" xfId="0" quotePrefix="1" applyFont="1" applyBorder="1" applyAlignment="1">
      <alignment vertical="center" wrapText="1"/>
    </xf>
    <xf numFmtId="0" fontId="0" fillId="0" borderId="0" xfId="0" quotePrefix="1"/>
    <xf numFmtId="0" fontId="39"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9" fillId="0" borderId="2" xfId="0" quotePrefix="1" applyFont="1" applyBorder="1" applyAlignment="1">
      <alignment vertical="center" wrapText="1"/>
    </xf>
    <xf numFmtId="0" fontId="20" fillId="0" borderId="2" xfId="0" quotePrefix="1" applyFont="1" applyBorder="1" applyAlignment="1">
      <alignment horizontal="center" vertical="center" wrapText="1"/>
    </xf>
    <xf numFmtId="0" fontId="24" fillId="0" borderId="2" xfId="0" quotePrefix="1" applyFont="1" applyBorder="1" applyAlignment="1">
      <alignment vertical="center"/>
    </xf>
    <xf numFmtId="14" fontId="0" fillId="5" borderId="0" xfId="0" quotePrefix="1" applyNumberFormat="1" applyFill="1" applyAlignment="1">
      <alignment vertical="top" wrapText="1"/>
    </xf>
    <xf numFmtId="0" fontId="15" fillId="0" borderId="0" xfId="0" applyFont="1" applyAlignment="1">
      <alignment vertical="top" wrapText="1"/>
    </xf>
    <xf numFmtId="0" fontId="0" fillId="0" borderId="0" xfId="0"/>
    <xf numFmtId="0" fontId="25" fillId="11" borderId="0" xfId="0" applyFont="1" applyFill="1" applyAlignment="1">
      <alignment horizontal="center" vertical="center" wrapText="1"/>
    </xf>
    <xf numFmtId="0" fontId="0" fillId="11" borderId="0" xfId="0" applyFill="1"/>
    <xf numFmtId="0" fontId="0" fillId="11" borderId="4" xfId="0" applyFill="1" applyBorder="1"/>
    <xf numFmtId="0" fontId="24" fillId="0" borderId="0" xfId="0" applyFont="1" applyAlignment="1">
      <alignment vertical="top" wrapText="1"/>
    </xf>
    <xf numFmtId="0" fontId="20" fillId="0" borderId="2" xfId="0" applyFont="1" applyBorder="1" applyAlignment="1">
      <alignment vertical="center" wrapText="1"/>
    </xf>
    <xf numFmtId="0" fontId="0" fillId="0" borderId="2" xfId="0" applyBorder="1"/>
    <xf numFmtId="0" fontId="16" fillId="0" borderId="1" xfId="0" applyFont="1" applyBorder="1"/>
    <xf numFmtId="0" fontId="0" fillId="0" borderId="1" xfId="0" applyBorder="1"/>
    <xf numFmtId="0" fontId="19" fillId="0" borderId="0" xfId="0" applyFont="1"/>
    <xf numFmtId="0" fontId="27" fillId="15" borderId="0" xfId="0" applyFont="1" applyFill="1" applyAlignment="1">
      <alignment horizontal="center" vertical="center" wrapText="1"/>
    </xf>
    <xf numFmtId="0" fontId="0" fillId="15" borderId="0" xfId="0" applyFill="1"/>
    <xf numFmtId="0" fontId="0" fillId="15" borderId="4" xfId="0" applyFill="1" applyBorder="1"/>
    <xf numFmtId="0" fontId="20" fillId="0" borderId="0" xfId="0" applyFont="1" applyAlignment="1">
      <alignment vertical="top" wrapText="1"/>
    </xf>
    <xf numFmtId="0" fontId="22" fillId="15" borderId="0" xfId="0" applyFont="1" applyFill="1" applyAlignment="1">
      <alignment horizontal="center" vertical="center" wrapText="1"/>
    </xf>
    <xf numFmtId="0" fontId="25" fillId="15" borderId="0" xfId="0" applyFont="1" applyFill="1" applyAlignment="1">
      <alignment horizontal="center" vertical="center" wrapText="1"/>
    </xf>
    <xf numFmtId="0" fontId="25" fillId="13" borderId="0" xfId="0" applyFont="1" applyFill="1" applyAlignment="1">
      <alignment horizontal="center" vertical="center" wrapText="1"/>
    </xf>
    <xf numFmtId="0" fontId="0" fillId="13" borderId="0" xfId="0" applyFill="1"/>
    <xf numFmtId="0" fontId="0" fillId="13" borderId="4" xfId="0" applyFill="1" applyBorder="1"/>
    <xf numFmtId="0" fontId="1" fillId="2" borderId="0" xfId="0" applyFont="1" applyFill="1" applyAlignment="1">
      <alignment vertical="center" indent="1"/>
    </xf>
    <xf numFmtId="0" fontId="0" fillId="2" borderId="0" xfId="0" applyFill="1"/>
    <xf numFmtId="0" fontId="34" fillId="0" borderId="0" xfId="0" applyFont="1" applyAlignment="1">
      <alignment vertical="top" wrapText="1"/>
    </xf>
    <xf numFmtId="0" fontId="25" fillId="0" borderId="0" xfId="0" applyFont="1"/>
    <xf numFmtId="0" fontId="33" fillId="0" borderId="0" xfId="0" applyFont="1" applyAlignment="1">
      <alignment vertical="top"/>
    </xf>
    <xf numFmtId="0" fontId="22" fillId="11" borderId="0" xfId="0" applyFont="1" applyFill="1" applyAlignment="1">
      <alignment horizontal="center" vertical="center" wrapText="1"/>
    </xf>
    <xf numFmtId="0" fontId="28" fillId="11" borderId="0" xfId="0" applyFont="1" applyFill="1" applyAlignment="1">
      <alignment horizontal="center" vertical="center" wrapText="1"/>
    </xf>
    <xf numFmtId="0" fontId="35" fillId="12" borderId="0" xfId="0" applyFont="1" applyFill="1"/>
    <xf numFmtId="0" fontId="0" fillId="12" borderId="0" xfId="0" applyFill="1"/>
    <xf numFmtId="0" fontId="31" fillId="10" borderId="0" xfId="0" applyFont="1" applyFill="1" applyAlignment="1">
      <alignment vertical="top" wrapText="1"/>
    </xf>
    <xf numFmtId="0" fontId="0" fillId="10" borderId="0" xfId="0" applyFill="1"/>
    <xf numFmtId="0" fontId="22" fillId="13" borderId="0" xfId="0" applyFont="1" applyFill="1" applyAlignment="1">
      <alignment horizontal="center" vertical="center" wrapText="1"/>
    </xf>
    <xf numFmtId="0" fontId="0" fillId="4" borderId="0" xfId="0" applyFill="1" applyAlignment="1">
      <alignment horizontal="left" vertical="top" wrapText="1"/>
    </xf>
    <xf numFmtId="0" fontId="26" fillId="13" borderId="0" xfId="0" applyFont="1" applyFill="1" applyAlignment="1">
      <alignment horizontal="center" vertical="center" wrapText="1"/>
    </xf>
    <xf numFmtId="0" fontId="0" fillId="0" borderId="0" xfId="0" applyAlignment="1">
      <alignment vertical="top" wrapText="1"/>
    </xf>
    <xf numFmtId="0" fontId="41" fillId="19" borderId="0" xfId="0" applyFont="1" applyFill="1" applyAlignment="1">
      <alignment vertical="top" wrapText="1"/>
    </xf>
    <xf numFmtId="0" fontId="5" fillId="3" borderId="0" xfId="0" applyFont="1" applyFill="1" applyAlignment="1">
      <alignment vertical="top" wrapText="1"/>
    </xf>
    <xf numFmtId="0" fontId="4" fillId="4" borderId="0" xfId="0" applyFont="1" applyFill="1" applyAlignment="1">
      <alignment vertical="top" wrapText="1"/>
    </xf>
    <xf numFmtId="0" fontId="3" fillId="0" borderId="0" xfId="0" applyFont="1" applyAlignment="1">
      <alignment vertical="top" wrapText="1"/>
    </xf>
    <xf numFmtId="0" fontId="24" fillId="0" borderId="2" xfId="0" applyFont="1" applyBorder="1"/>
    <xf numFmtId="0" fontId="20" fillId="0" borderId="2" xfId="0" applyFont="1" applyBorder="1"/>
    <xf numFmtId="0" fontId="17" fillId="12" borderId="0" xfId="0" applyFont="1" applyFill="1"/>
    <xf numFmtId="0" fontId="19" fillId="0" borderId="0" xfId="0" applyFont="1" applyAlignment="1">
      <alignment vertical="top" wrapText="1"/>
    </xf>
    <xf numFmtId="0" fontId="20" fillId="13" borderId="0" xfId="0" applyFont="1" applyFill="1" applyAlignment="1">
      <alignment vertical="top" wrapText="1"/>
    </xf>
    <xf numFmtId="0" fontId="20" fillId="0" borderId="2" xfId="0" applyFont="1" applyBorder="1" applyAlignment="1">
      <alignment vertical="top" wrapText="1"/>
    </xf>
    <xf numFmtId="0" fontId="17" fillId="14" borderId="0" xfId="0" applyFont="1" applyFill="1" applyAlignment="1">
      <alignment horizontal="center" vertical="center" wrapText="1"/>
    </xf>
    <xf numFmtId="0" fontId="37" fillId="0" borderId="0" xfId="0" applyFont="1" applyAlignment="1">
      <alignment vertical="center" indent="1"/>
    </xf>
    <xf numFmtId="0" fontId="0" fillId="6" borderId="0" xfId="0" applyFill="1" applyAlignment="1">
      <alignment horizontal="left" vertical="top" wrapText="1"/>
    </xf>
    <xf numFmtId="0" fontId="8" fillId="9" borderId="0" xfId="0" applyFont="1" applyFill="1" applyAlignment="1">
      <alignment horizontal="center" wrapText="1"/>
    </xf>
    <xf numFmtId="0" fontId="0" fillId="9" borderId="0" xfId="0" applyFill="1"/>
    <xf numFmtId="0" fontId="9" fillId="8" borderId="0" xfId="0" applyFont="1" applyFill="1" applyAlignment="1">
      <alignment horizontal="center" wrapText="1"/>
    </xf>
    <xf numFmtId="0" fontId="0" fillId="8" borderId="0" xfId="0" applyFill="1"/>
    <xf numFmtId="0" fontId="2" fillId="0" borderId="0" xfId="0" applyFont="1"/>
    <xf numFmtId="0" fontId="0" fillId="19" borderId="0" xfId="0" applyFill="1" applyAlignment="1">
      <alignment horizontal="left" vertical="top" wrapText="1"/>
    </xf>
    <xf numFmtId="0" fontId="20" fillId="11" borderId="0" xfId="0" applyFont="1" applyFill="1" applyAlignment="1">
      <alignment vertical="top" wrapText="1"/>
    </xf>
    <xf numFmtId="0" fontId="13" fillId="11" borderId="0" xfId="0" applyFont="1" applyFill="1" applyAlignment="1">
      <alignment vertical="top" wrapText="1"/>
    </xf>
    <xf numFmtId="0" fontId="0" fillId="7" borderId="0" xfId="0" applyFill="1" applyAlignment="1">
      <alignment horizontal="left" vertical="top" wrapText="1"/>
    </xf>
    <xf numFmtId="0" fontId="0" fillId="3" borderId="0" xfId="0" applyFill="1" applyAlignment="1">
      <alignment horizontal="left" vertical="top" wrapText="1"/>
    </xf>
    <xf numFmtId="0" fontId="10" fillId="10" borderId="0" xfId="0" applyFont="1" applyFill="1"/>
    <xf numFmtId="0" fontId="8" fillId="9" borderId="0" xfId="0" applyFont="1" applyFill="1"/>
    <xf numFmtId="0" fontId="20" fillId="0" borderId="2" xfId="0" applyFont="1" applyBorder="1" applyAlignment="1">
      <alignment horizontal="left" vertical="top" wrapText="1"/>
    </xf>
    <xf numFmtId="0" fontId="0" fillId="0" borderId="6" xfId="0" applyBorder="1"/>
    <xf numFmtId="0" fontId="23" fillId="10" borderId="2" xfId="0" applyFont="1" applyFill="1" applyBorder="1" applyAlignment="1">
      <alignment horizontal="center" vertical="center" wrapText="1"/>
    </xf>
    <xf numFmtId="0" fontId="39" fillId="13" borderId="2" xfId="0" applyFont="1" applyFill="1" applyBorder="1" applyAlignment="1">
      <alignment horizontal="center" vertical="center" wrapText="1"/>
    </xf>
    <xf numFmtId="0" fontId="39"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6" fillId="0" borderId="1" xfId="0" quotePrefix="1" applyFont="1" applyBorder="1"/>
    <xf numFmtId="0" fontId="15" fillId="0" borderId="0" xfId="0" applyFont="1" applyAlignment="1">
      <alignment wrapText="1"/>
    </xf>
    <xf numFmtId="0" fontId="13" fillId="17" borderId="0" xfId="0" applyFont="1" applyFill="1" applyAlignment="1">
      <alignment horizontal="center" vertical="center" wrapText="1"/>
    </xf>
    <xf numFmtId="0" fontId="13" fillId="13" borderId="0" xfId="0" applyFont="1" applyFill="1" applyAlignment="1">
      <alignment horizontal="center" vertical="center" wrapText="1"/>
    </xf>
    <xf numFmtId="0" fontId="5" fillId="10" borderId="0" xfId="0" quotePrefix="1" applyFont="1" applyFill="1" applyAlignment="1">
      <alignment vertical="center" indent="1"/>
    </xf>
    <xf numFmtId="0" fontId="4" fillId="0" borderId="0" xfId="0" applyFont="1" applyAlignment="1">
      <alignment vertical="top" wrapText="1"/>
    </xf>
    <xf numFmtId="0" fontId="21" fillId="18" borderId="0" xfId="0" applyFont="1" applyFill="1"/>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12" fillId="7" borderId="0" xfId="0" applyFont="1" applyFill="1" applyAlignment="1">
      <alignment horizontal="left" vertical="center"/>
    </xf>
  </cellXfs>
  <cellStyles count="1">
    <cellStyle name="Normale" xfId="0" builtinId="0"/>
  </cellStyles>
  <dxfs count="151">
    <dxf>
      <fill>
        <patternFill patternType="solid">
          <fgColor rgb="FFFFEB9C"/>
          <bgColor rgb="FFFFEB9C"/>
        </patternFill>
      </fill>
    </dxf>
    <dxf>
      <fill>
        <patternFill patternType="solid">
          <fgColor rgb="FFF8CBAD"/>
          <bgColor rgb="FFF8CBAD"/>
        </patternFill>
      </fill>
    </dxf>
    <dxf>
      <fill>
        <patternFill patternType="solid">
          <fgColor rgb="FFDDEBF7"/>
          <bgColor rgb="FFDDEBF7"/>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sz val="8"/>
        <color rgb="FF7F6000"/>
      </font>
      <fill>
        <patternFill patternType="solid">
          <fgColor rgb="FFFFF2CC"/>
          <bgColor rgb="FFFFF2CC"/>
        </patternFill>
      </fill>
    </dxf>
    <dxf>
      <font>
        <b/>
        <sz val="8"/>
        <color rgb="FF5B3F8C"/>
      </font>
      <fill>
        <patternFill patternType="solid">
          <fgColor rgb="FFEDE7F6"/>
          <bgColor rgb="FFEDE7F6"/>
        </patternFill>
      </fill>
    </dxf>
    <dxf>
      <fill>
        <patternFill patternType="solid">
          <fgColor rgb="FFFCE4D6"/>
          <bgColor rgb="FFFCE4D6"/>
        </patternFill>
      </fill>
    </dxf>
    <dxf>
      <font>
        <b/>
        <color rgb="FF006100"/>
      </font>
      <fill>
        <patternFill patternType="solid">
          <fgColor rgb="FFC6EFCE"/>
          <bgColor rgb="FFC6EFCE"/>
        </patternFill>
      </fill>
    </dxf>
    <dxf>
      <font>
        <b/>
      </font>
      <fill>
        <patternFill patternType="solid">
          <fgColor rgb="FFFFC000"/>
          <bgColor rgb="FFFFC000"/>
        </patternFill>
      </fill>
    </dxf>
    <dxf>
      <font>
        <b/>
        <color rgb="FFFFFFFF"/>
      </font>
      <fill>
        <patternFill patternType="solid">
          <fgColor rgb="FFC00000"/>
          <bgColor rgb="FFC00000"/>
        </patternFill>
      </fill>
    </dxf>
    <dxf>
      <fill>
        <patternFill patternType="solid">
          <fgColor rgb="FFF8CBAD"/>
          <bgColor rgb="FFF8CBAD"/>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ont>
        <b/>
      </font>
      <fill>
        <patternFill patternType="solid">
          <fgColor rgb="FFFFF2CC"/>
          <bgColor rgb="FFFFF2CC"/>
        </patternFill>
      </fill>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b/>
        <color rgb="FF595959"/>
      </font>
      <fill>
        <patternFill patternType="solid">
          <fgColor rgb="FFF2F2F2"/>
          <bgColor rgb="FFF2F2F2"/>
        </patternFill>
      </fill>
    </dxf>
    <dxf>
      <font>
        <b/>
        <color rgb="FF595959"/>
      </font>
      <fill>
        <patternFill patternType="solid">
          <fgColor rgb="FFF2F2F2"/>
          <bgColor rgb="FFF2F2F2"/>
        </patternFill>
      </fill>
    </dxf>
    <dxf>
      <font>
        <b/>
        <color rgb="FFFFFFFF"/>
      </font>
      <fill>
        <patternFill patternType="solid">
          <fgColor rgb="FF70AD47"/>
          <bgColor rgb="FF70AD47"/>
        </patternFill>
      </fill>
    </dxf>
    <dxf>
      <font>
        <b/>
        <color rgb="FF375623"/>
      </font>
      <fill>
        <patternFill patternType="solid">
          <fgColor rgb="FFE2EFDA"/>
          <bgColor rgb="FFE2EFDA"/>
        </patternFill>
      </fill>
    </dxf>
    <dxf>
      <font>
        <b/>
        <color rgb="FF1F3864"/>
      </font>
      <fill>
        <patternFill patternType="solid">
          <fgColor rgb="FFDEEAF6"/>
          <bgColor rgb="FFDEEAF6"/>
        </patternFill>
      </fill>
    </dxf>
    <dxf>
      <font>
        <b/>
        <color rgb="FF7F6000"/>
      </font>
      <fill>
        <patternFill patternType="solid">
          <fgColor rgb="FFFFF2CC"/>
          <bgColor rgb="FFFFF2CC"/>
        </patternFill>
      </fill>
    </dxf>
    <dxf>
      <font>
        <b/>
        <color rgb="FFC00000"/>
      </font>
      <fill>
        <patternFill patternType="solid">
          <fgColor rgb="FFF8CBAD"/>
          <bgColor rgb="FFF8CBAD"/>
        </patternFill>
      </fill>
    </dxf>
    <dxf>
      <font>
        <color rgb="FF5B3F8C"/>
      </font>
      <fill>
        <patternFill patternType="solid">
          <fgColor rgb="FFEDE7F6"/>
          <bgColor rgb="FFEDE7F6"/>
        </patternFill>
      </fill>
    </dxf>
    <dxf>
      <fill>
        <patternFill patternType="solid">
          <fgColor rgb="FFF8CBAD"/>
          <bgColor rgb="FFF8CBAD"/>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2E75B6"/>
      </font>
    </dxf>
    <dxf>
      <font>
        <b/>
        <color rgb="FFC00000"/>
      </font>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C00000"/>
      </font>
    </dxf>
    <dxf>
      <fill>
        <patternFill patternType="solid">
          <fgColor rgb="FFF2F2F2"/>
          <bgColor rgb="FFF2F2F2"/>
        </patternFill>
      </fill>
    </dxf>
    <dxf>
      <fill>
        <patternFill patternType="solid">
          <fgColor rgb="FFE2EFDA"/>
          <bgColor rgb="FFE2EFDA"/>
        </patternFill>
      </fill>
    </dxf>
    <dxf>
      <fill>
        <patternFill patternType="solid">
          <fgColor rgb="FFFFF2CC"/>
          <bgColor rgb="FFFFF2CC"/>
        </patternFill>
      </fill>
    </dxf>
    <dxf>
      <fill>
        <patternFill patternType="solid">
          <fgColor rgb="FFFBE5E5"/>
          <bgColor rgb="FFFBE5E5"/>
        </patternFill>
      </fill>
    </dxf>
    <dxf>
      <font>
        <b/>
        <color rgb="FF2E75B6"/>
      </font>
    </dxf>
    <dxf>
      <font>
        <b/>
        <color rgb="FFC00000"/>
      </font>
    </dxf>
    <dxf>
      <font>
        <b/>
        <color rgb="FFFFFFFF"/>
      </font>
      <fill>
        <patternFill patternType="solid">
          <fgColor rgb="FF70AD47"/>
          <bgColor rgb="FF70AD47"/>
        </patternFill>
      </fill>
    </dxf>
    <dxf>
      <font>
        <b/>
        <color rgb="FF262626"/>
      </font>
      <fill>
        <patternFill patternType="solid">
          <fgColor rgb="FFFFC000"/>
          <bgColor rgb="FFFFC000"/>
        </patternFill>
      </fill>
    </dxf>
    <dxf>
      <font>
        <b/>
        <color rgb="FFFFFFFF"/>
      </font>
      <fill>
        <patternFill patternType="solid">
          <fgColor rgb="FFC00000"/>
          <bgColor rgb="FFC00000"/>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C6EFCE"/>
          <bgColor rgb="FFC6EFCE"/>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ont>
        <color rgb="FFBFBFBF"/>
      </font>
    </dxf>
    <dxf>
      <font>
        <color rgb="FFBFBFBF"/>
      </font>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font>
      <fill>
        <patternFill patternType="solid">
          <fgColor rgb="FFD9EAD3"/>
          <bgColor rgb="FFD9EAD3"/>
        </patternFill>
      </fill>
    </dxf>
    <dxf>
      <font>
        <b/>
      </font>
      <fill>
        <patternFill patternType="solid">
          <fgColor rgb="FFFFF2CC"/>
          <bgColor rgb="FFFFF2CC"/>
        </patternFill>
      </fill>
    </dxf>
    <dxf>
      <font>
        <b/>
      </font>
      <fill>
        <patternFill patternType="solid">
          <fgColor rgb="FFF4CCCC"/>
          <bgColor rgb="FFF4CCCC"/>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color rgb="FF2E75B6"/>
      </font>
    </dxf>
    <dxf>
      <font>
        <color rgb="FFC00000"/>
      </font>
    </dxf>
    <dxf>
      <border>
        <bottom style="thin">
          <color rgb="FFD9D9D9"/>
        </bottom>
      </border>
    </dxf>
    <dxf>
      <fill>
        <patternFill patternType="solid">
          <fgColor rgb="FFDDEBF7"/>
          <bgColor rgb="FFDDEBF7"/>
        </patternFill>
      </fill>
    </dxf>
    <dxf>
      <fill>
        <patternFill patternType="solid">
          <fgColor rgb="FFF8CBAD"/>
          <bgColor rgb="FFF8CBAD"/>
        </patternFill>
      </fill>
    </dxf>
    <dxf>
      <font>
        <color rgb="FFBFBFBF"/>
      </font>
    </dxf>
    <dxf>
      <font>
        <b/>
      </font>
      <fill>
        <patternFill patternType="solid">
          <fgColor rgb="FFE2EFDA"/>
          <bgColor rgb="FFE2EFDA"/>
        </patternFill>
      </fill>
    </dxf>
    <dxf>
      <font>
        <b/>
      </font>
      <fill>
        <patternFill patternType="solid">
          <fgColor rgb="FFFFF2CC"/>
          <bgColor rgb="FFFFF2CC"/>
        </patternFill>
      </fill>
    </dxf>
    <dxf>
      <font>
        <b/>
      </font>
      <fill>
        <patternFill patternType="solid">
          <fgColor rgb="FFFBE5E5"/>
          <bgColor rgb="FFFBE5E5"/>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BFBFBF"/>
      </font>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2F2F2"/>
          <bgColor rgb="FFF2F2F2"/>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FF2CC"/>
          <bgColor rgb="FFFFF2CC"/>
        </patternFill>
      </fill>
    </dxf>
    <dxf>
      <fill>
        <patternFill patternType="solid">
          <fgColor rgb="FFF2F2F2"/>
          <bgColor rgb="FFF2F2F2"/>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border>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09D-4D64-8083-27FBE39F5999}"/>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Quadro!$BI$5:$BI$77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Quadro!$BJ$5:$BJ$77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409D-4D64-8083-27FBE39F5999}"/>
            </c:ext>
          </c:extLst>
        </c:ser>
        <c:ser>
          <c:idx val="1"/>
          <c:order val="1"/>
          <c:tx>
            <c:v>1 anno</c:v>
          </c:tx>
          <c:spPr>
            <a:ln w="12700">
              <a:solidFill>
                <a:srgbClr val="8C8C8C"/>
              </a:solidFill>
              <a:prstDash val="dash"/>
            </a:ln>
          </c:spPr>
          <c:marker>
            <c:symbol val="none"/>
          </c:marker>
          <c:xVal>
            <c:numRef>
              <c:f>Quadro!$BK$5:$BK$77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Quadro!$BL$5:$BL$77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2-409D-4D64-8083-27FBE39F5999}"/>
            </c:ext>
          </c:extLst>
        </c:ser>
        <c:ser>
          <c:idx val="2"/>
          <c:order val="2"/>
          <c:tx>
            <c:v>2 anni</c:v>
          </c:tx>
          <c:spPr>
            <a:ln w="9525">
              <a:solidFill>
                <a:srgbClr val="BFBFBF"/>
              </a:solidFill>
              <a:prstDash val="solid"/>
            </a:ln>
          </c:spPr>
          <c:marker>
            <c:symbol val="none"/>
          </c:marker>
          <c:xVal>
            <c:numRef>
              <c:f>Quadro!$BM$5:$BM$77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Quadro!$BN$5:$BN$77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3-409D-4D64-8083-27FBE39F5999}"/>
            </c:ext>
          </c:extLst>
        </c:ser>
        <c:ser>
          <c:idx val="3"/>
          <c:order val="3"/>
          <c:tx>
            <c:v>3 anni</c:v>
          </c:tx>
          <c:spPr>
            <a:ln w="9525">
              <a:solidFill>
                <a:srgbClr val="BFBFBF"/>
              </a:solidFill>
              <a:prstDash val="solid"/>
            </a:ln>
          </c:spPr>
          <c:marker>
            <c:symbol val="none"/>
          </c:marker>
          <c:xVal>
            <c:numRef>
              <c:f>Quadro!$BO$5:$BO$77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Quadro!$BP$5:$BP$77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4-409D-4D64-8083-27FBE39F5999}"/>
            </c:ext>
          </c:extLst>
        </c:ser>
        <c:ser>
          <c:idx val="4"/>
          <c:order val="4"/>
          <c:tx>
            <c:v>Settore 1</c:v>
          </c:tx>
          <c:spPr>
            <a:ln w="9525">
              <a:solidFill>
                <a:srgbClr val="E7E6E6"/>
              </a:solidFill>
              <a:prstDash val="solid"/>
            </a:ln>
          </c:spPr>
          <c:marker>
            <c:symbol val="none"/>
          </c:marker>
          <c:xVal>
            <c:numRef>
              <c:f>Quadro!$BR$5:$BR$6</c:f>
              <c:numCache>
                <c:formatCode>General</c:formatCode>
                <c:ptCount val="2"/>
                <c:pt idx="0">
                  <c:v>0</c:v>
                </c:pt>
                <c:pt idx="1">
                  <c:v>0</c:v>
                </c:pt>
              </c:numCache>
            </c:numRef>
          </c:xVal>
          <c:yVal>
            <c:numRef>
              <c:f>Quadro!$BS$5:$BS$6</c:f>
              <c:numCache>
                <c:formatCode>General</c:formatCode>
                <c:ptCount val="2"/>
                <c:pt idx="0">
                  <c:v>0</c:v>
                </c:pt>
                <c:pt idx="1">
                  <c:v>6.3</c:v>
                </c:pt>
              </c:numCache>
            </c:numRef>
          </c:yVal>
          <c:smooth val="1"/>
          <c:extLst>
            <c:ext xmlns:c16="http://schemas.microsoft.com/office/drawing/2014/chart" uri="{C3380CC4-5D6E-409C-BE32-E72D297353CC}">
              <c16:uniqueId val="{00000005-409D-4D64-8083-27FBE39F5999}"/>
            </c:ext>
          </c:extLst>
        </c:ser>
        <c:ser>
          <c:idx val="5"/>
          <c:order val="5"/>
          <c:tx>
            <c:v>Settore 2</c:v>
          </c:tx>
          <c:spPr>
            <a:ln w="9525">
              <a:solidFill>
                <a:srgbClr val="E7E6E6"/>
              </a:solidFill>
              <a:prstDash val="solid"/>
            </a:ln>
          </c:spPr>
          <c:marker>
            <c:symbol val="none"/>
          </c:marker>
          <c:xVal>
            <c:numRef>
              <c:f>Quadro!$BR$7:$BR$8</c:f>
              <c:numCache>
                <c:formatCode>General</c:formatCode>
                <c:ptCount val="2"/>
                <c:pt idx="0">
                  <c:v>0</c:v>
                </c:pt>
                <c:pt idx="1">
                  <c:v>4.0495619410251971</c:v>
                </c:pt>
              </c:numCache>
            </c:numRef>
          </c:xVal>
          <c:yVal>
            <c:numRef>
              <c:f>Quadro!$BS$7:$BS$8</c:f>
              <c:numCache>
                <c:formatCode>General</c:formatCode>
                <c:ptCount val="2"/>
                <c:pt idx="0">
                  <c:v>0</c:v>
                </c:pt>
                <c:pt idx="1">
                  <c:v>4.8260799916495616</c:v>
                </c:pt>
              </c:numCache>
            </c:numRef>
          </c:yVal>
          <c:smooth val="1"/>
          <c:extLst>
            <c:ext xmlns:c16="http://schemas.microsoft.com/office/drawing/2014/chart" uri="{C3380CC4-5D6E-409C-BE32-E72D297353CC}">
              <c16:uniqueId val="{00000006-409D-4D64-8083-27FBE39F5999}"/>
            </c:ext>
          </c:extLst>
        </c:ser>
        <c:ser>
          <c:idx val="6"/>
          <c:order val="6"/>
          <c:tx>
            <c:v>Settore 3</c:v>
          </c:tx>
          <c:spPr>
            <a:ln w="9525">
              <a:solidFill>
                <a:srgbClr val="E7E6E6"/>
              </a:solidFill>
              <a:prstDash val="solid"/>
            </a:ln>
          </c:spPr>
          <c:marker>
            <c:symbol val="none"/>
          </c:marker>
          <c:xVal>
            <c:numRef>
              <c:f>Quadro!$BR$9:$BR$10</c:f>
              <c:numCache>
                <c:formatCode>General</c:formatCode>
                <c:ptCount val="2"/>
                <c:pt idx="0">
                  <c:v>0</c:v>
                </c:pt>
                <c:pt idx="1">
                  <c:v>6.2042888439769106</c:v>
                </c:pt>
              </c:numCache>
            </c:numRef>
          </c:xVal>
          <c:yVal>
            <c:numRef>
              <c:f>Quadro!$BS$9:$BS$10</c:f>
              <c:numCache>
                <c:formatCode>General</c:formatCode>
                <c:ptCount val="2"/>
                <c:pt idx="0">
                  <c:v>0</c:v>
                </c:pt>
                <c:pt idx="1">
                  <c:v>1.0939835193016616</c:v>
                </c:pt>
              </c:numCache>
            </c:numRef>
          </c:yVal>
          <c:smooth val="1"/>
          <c:extLst>
            <c:ext xmlns:c16="http://schemas.microsoft.com/office/drawing/2014/chart" uri="{C3380CC4-5D6E-409C-BE32-E72D297353CC}">
              <c16:uniqueId val="{00000007-409D-4D64-8083-27FBE39F5999}"/>
            </c:ext>
          </c:extLst>
        </c:ser>
        <c:ser>
          <c:idx val="7"/>
          <c:order val="7"/>
          <c:tx>
            <c:v>Settore 4</c:v>
          </c:tx>
          <c:spPr>
            <a:ln w="9525">
              <a:solidFill>
                <a:srgbClr val="E7E6E6"/>
              </a:solidFill>
              <a:prstDash val="solid"/>
            </a:ln>
          </c:spPr>
          <c:marker>
            <c:symbol val="none"/>
          </c:marker>
          <c:xVal>
            <c:numRef>
              <c:f>Quadro!$BR$11:$BR$12</c:f>
              <c:numCache>
                <c:formatCode>General</c:formatCode>
                <c:ptCount val="2"/>
                <c:pt idx="0">
                  <c:v>0</c:v>
                </c:pt>
                <c:pt idx="1">
                  <c:v>5.455960043841964</c:v>
                </c:pt>
              </c:numCache>
            </c:numRef>
          </c:xVal>
          <c:yVal>
            <c:numRef>
              <c:f>Quadro!$BS$11:$BS$12</c:f>
              <c:numCache>
                <c:formatCode>General</c:formatCode>
                <c:ptCount val="2"/>
                <c:pt idx="0">
                  <c:v>0</c:v>
                </c:pt>
                <c:pt idx="1">
                  <c:v>-3.1499999999999986</c:v>
                </c:pt>
              </c:numCache>
            </c:numRef>
          </c:yVal>
          <c:smooth val="1"/>
          <c:extLst>
            <c:ext xmlns:c16="http://schemas.microsoft.com/office/drawing/2014/chart" uri="{C3380CC4-5D6E-409C-BE32-E72D297353CC}">
              <c16:uniqueId val="{00000008-409D-4D64-8083-27FBE39F5999}"/>
            </c:ext>
          </c:extLst>
        </c:ser>
        <c:ser>
          <c:idx val="8"/>
          <c:order val="8"/>
          <c:tx>
            <c:v>Settore 5</c:v>
          </c:tx>
          <c:spPr>
            <a:ln w="9525">
              <a:solidFill>
                <a:srgbClr val="E7E6E6"/>
              </a:solidFill>
              <a:prstDash val="solid"/>
            </a:ln>
          </c:spPr>
          <c:marker>
            <c:symbol val="none"/>
          </c:marker>
          <c:xVal>
            <c:numRef>
              <c:f>Quadro!$BR$13:$BR$14</c:f>
              <c:numCache>
                <c:formatCode>General</c:formatCode>
                <c:ptCount val="2"/>
                <c:pt idx="0">
                  <c:v>0</c:v>
                </c:pt>
                <c:pt idx="1">
                  <c:v>2.154726902951714</c:v>
                </c:pt>
              </c:numCache>
            </c:numRef>
          </c:xVal>
          <c:yVal>
            <c:numRef>
              <c:f>Quadro!$BS$13:$BS$14</c:f>
              <c:numCache>
                <c:formatCode>General</c:formatCode>
                <c:ptCount val="2"/>
                <c:pt idx="0">
                  <c:v>0</c:v>
                </c:pt>
                <c:pt idx="1">
                  <c:v>-5.9200635109512225</c:v>
                </c:pt>
              </c:numCache>
            </c:numRef>
          </c:yVal>
          <c:smooth val="1"/>
          <c:extLst>
            <c:ext xmlns:c16="http://schemas.microsoft.com/office/drawing/2014/chart" uri="{C3380CC4-5D6E-409C-BE32-E72D297353CC}">
              <c16:uniqueId val="{00000009-409D-4D64-8083-27FBE39F5999}"/>
            </c:ext>
          </c:extLst>
        </c:ser>
        <c:ser>
          <c:idx val="9"/>
          <c:order val="9"/>
          <c:tx>
            <c:v>Settore 6</c:v>
          </c:tx>
          <c:spPr>
            <a:ln w="9525">
              <a:solidFill>
                <a:srgbClr val="E7E6E6"/>
              </a:solidFill>
              <a:prstDash val="solid"/>
            </a:ln>
          </c:spPr>
          <c:marker>
            <c:symbol val="none"/>
          </c:marker>
          <c:xVal>
            <c:numRef>
              <c:f>Quadro!$BR$15:$BR$16</c:f>
              <c:numCache>
                <c:formatCode>General</c:formatCode>
                <c:ptCount val="2"/>
                <c:pt idx="0">
                  <c:v>0</c:v>
                </c:pt>
                <c:pt idx="1">
                  <c:v>-2.1547269029517127</c:v>
                </c:pt>
              </c:numCache>
            </c:numRef>
          </c:xVal>
          <c:yVal>
            <c:numRef>
              <c:f>Quadro!$BS$15:$BS$16</c:f>
              <c:numCache>
                <c:formatCode>General</c:formatCode>
                <c:ptCount val="2"/>
                <c:pt idx="0">
                  <c:v>0</c:v>
                </c:pt>
                <c:pt idx="1">
                  <c:v>-5.9200635109512225</c:v>
                </c:pt>
              </c:numCache>
            </c:numRef>
          </c:yVal>
          <c:smooth val="1"/>
          <c:extLst>
            <c:ext xmlns:c16="http://schemas.microsoft.com/office/drawing/2014/chart" uri="{C3380CC4-5D6E-409C-BE32-E72D297353CC}">
              <c16:uniqueId val="{0000000A-409D-4D64-8083-27FBE39F5999}"/>
            </c:ext>
          </c:extLst>
        </c:ser>
        <c:ser>
          <c:idx val="10"/>
          <c:order val="10"/>
          <c:tx>
            <c:v>Settore 7</c:v>
          </c:tx>
          <c:spPr>
            <a:ln w="9525">
              <a:solidFill>
                <a:srgbClr val="E7E6E6"/>
              </a:solidFill>
              <a:prstDash val="solid"/>
            </a:ln>
          </c:spPr>
          <c:marker>
            <c:symbol val="none"/>
          </c:marker>
          <c:xVal>
            <c:numRef>
              <c:f>Quadro!$BR$17:$BR$18</c:f>
              <c:numCache>
                <c:formatCode>General</c:formatCode>
                <c:ptCount val="2"/>
                <c:pt idx="0">
                  <c:v>0</c:v>
                </c:pt>
                <c:pt idx="1">
                  <c:v>-5.4559600438419613</c:v>
                </c:pt>
              </c:numCache>
            </c:numRef>
          </c:xVal>
          <c:yVal>
            <c:numRef>
              <c:f>Quadro!$BS$17:$BS$18</c:f>
              <c:numCache>
                <c:formatCode>General</c:formatCode>
                <c:ptCount val="2"/>
                <c:pt idx="0">
                  <c:v>0</c:v>
                </c:pt>
                <c:pt idx="1">
                  <c:v>-3.1500000000000026</c:v>
                </c:pt>
              </c:numCache>
            </c:numRef>
          </c:yVal>
          <c:smooth val="1"/>
          <c:extLst>
            <c:ext xmlns:c16="http://schemas.microsoft.com/office/drawing/2014/chart" uri="{C3380CC4-5D6E-409C-BE32-E72D297353CC}">
              <c16:uniqueId val="{0000000B-409D-4D64-8083-27FBE39F5999}"/>
            </c:ext>
          </c:extLst>
        </c:ser>
        <c:ser>
          <c:idx val="11"/>
          <c:order val="11"/>
          <c:tx>
            <c:v>Settore 8</c:v>
          </c:tx>
          <c:spPr>
            <a:ln w="9525">
              <a:solidFill>
                <a:srgbClr val="E7E6E6"/>
              </a:solidFill>
              <a:prstDash val="solid"/>
            </a:ln>
          </c:spPr>
          <c:marker>
            <c:symbol val="none"/>
          </c:marker>
          <c:xVal>
            <c:numRef>
              <c:f>Quadro!$BR$19:$BR$20</c:f>
              <c:numCache>
                <c:formatCode>General</c:formatCode>
                <c:ptCount val="2"/>
                <c:pt idx="0">
                  <c:v>0</c:v>
                </c:pt>
                <c:pt idx="1">
                  <c:v>-6.2042888439769115</c:v>
                </c:pt>
              </c:numCache>
            </c:numRef>
          </c:xVal>
          <c:yVal>
            <c:numRef>
              <c:f>Quadro!$BS$19:$BS$20</c:f>
              <c:numCache>
                <c:formatCode>General</c:formatCode>
                <c:ptCount val="2"/>
                <c:pt idx="0">
                  <c:v>0</c:v>
                </c:pt>
                <c:pt idx="1">
                  <c:v>1.0939835193016587</c:v>
                </c:pt>
              </c:numCache>
            </c:numRef>
          </c:yVal>
          <c:smooth val="1"/>
          <c:extLst>
            <c:ext xmlns:c16="http://schemas.microsoft.com/office/drawing/2014/chart" uri="{C3380CC4-5D6E-409C-BE32-E72D297353CC}">
              <c16:uniqueId val="{0000000C-409D-4D64-8083-27FBE39F5999}"/>
            </c:ext>
          </c:extLst>
        </c:ser>
        <c:ser>
          <c:idx val="12"/>
          <c:order val="12"/>
          <c:tx>
            <c:v>Settore 9</c:v>
          </c:tx>
          <c:spPr>
            <a:ln w="9525">
              <a:solidFill>
                <a:srgbClr val="E7E6E6"/>
              </a:solidFill>
              <a:prstDash val="solid"/>
            </a:ln>
          </c:spPr>
          <c:marker>
            <c:symbol val="none"/>
          </c:marker>
          <c:xVal>
            <c:numRef>
              <c:f>Quadro!$BR$21:$BR$22</c:f>
              <c:numCache>
                <c:formatCode>General</c:formatCode>
                <c:ptCount val="2"/>
                <c:pt idx="0">
                  <c:v>0</c:v>
                </c:pt>
                <c:pt idx="1">
                  <c:v>-4.0495619410251988</c:v>
                </c:pt>
              </c:numCache>
            </c:numRef>
          </c:xVal>
          <c:yVal>
            <c:numRef>
              <c:f>Quadro!$BS$21:$BS$22</c:f>
              <c:numCache>
                <c:formatCode>General</c:formatCode>
                <c:ptCount val="2"/>
                <c:pt idx="0">
                  <c:v>0</c:v>
                </c:pt>
                <c:pt idx="1">
                  <c:v>4.8260799916495598</c:v>
                </c:pt>
              </c:numCache>
            </c:numRef>
          </c:yVal>
          <c:smooth val="1"/>
          <c:extLst>
            <c:ext xmlns:c16="http://schemas.microsoft.com/office/drawing/2014/chart" uri="{C3380CC4-5D6E-409C-BE32-E72D297353CC}">
              <c16:uniqueId val="{0000000D-409D-4D64-8083-27FBE39F5999}"/>
            </c:ext>
          </c:extLst>
        </c:ser>
        <c:ser>
          <c:idx val="13"/>
          <c:order val="13"/>
          <c:tx>
            <c:strRef>
              <c:f>Quadro!$BU$5</c:f>
              <c:strCache>
                <c:ptCount val="1"/>
                <c:pt idx="0">
                  <c:v>9.1
Condotta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Quadro!$BV$5</c:f>
              <c:numCache>
                <c:formatCode>General</c:formatCode>
                <c:ptCount val="1"/>
                <c:pt idx="0">
                  <c:v>2.3770399961133974</c:v>
                </c:pt>
              </c:numCache>
            </c:numRef>
          </c:xVal>
          <c:yVal>
            <c:numRef>
              <c:f>Quadro!$BW$5</c:f>
              <c:numCache>
                <c:formatCode>General</c:formatCode>
                <c:ptCount val="1"/>
                <c:pt idx="0">
                  <c:v>6.5308637144620638</c:v>
                </c:pt>
              </c:numCache>
            </c:numRef>
          </c:yVal>
          <c:smooth val="1"/>
          <c:extLst>
            <c:ext xmlns:c16="http://schemas.microsoft.com/office/drawing/2014/chart" uri="{C3380CC4-5D6E-409C-BE32-E72D297353CC}">
              <c16:uniqueId val="{0000000E-409D-4D64-8083-27FBE39F5999}"/>
            </c:ext>
          </c:extLst>
        </c:ser>
        <c:ser>
          <c:idx val="14"/>
          <c:order val="14"/>
          <c:tx>
            <c:strRef>
              <c:f>Quadro!$BU$6</c:f>
              <c:strCache>
                <c:ptCount val="1"/>
                <c:pt idx="0">
                  <c:v>9.4
Legale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Quadro!$BV$6</c:f>
              <c:numCache>
                <c:formatCode>General</c:formatCode>
                <c:ptCount val="1"/>
                <c:pt idx="0">
                  <c:v>6.0188765563018487</c:v>
                </c:pt>
              </c:numCache>
            </c:numRef>
          </c:xVal>
          <c:yVal>
            <c:numRef>
              <c:f>Quadro!$BW$6</c:f>
              <c:numCache>
                <c:formatCode>General</c:formatCode>
                <c:ptCount val="1"/>
                <c:pt idx="0">
                  <c:v>3.475000000000001</c:v>
                </c:pt>
              </c:numCache>
            </c:numRef>
          </c:yVal>
          <c:smooth val="1"/>
          <c:extLst>
            <c:ext xmlns:c16="http://schemas.microsoft.com/office/drawing/2014/chart" uri="{C3380CC4-5D6E-409C-BE32-E72D297353CC}">
              <c16:uniqueId val="{0000000F-409D-4D64-8083-27FBE39F5999}"/>
            </c:ext>
          </c:extLst>
        </c:ser>
        <c:ser>
          <c:idx val="15"/>
          <c:order val="15"/>
          <c:tx>
            <c:strRef>
              <c:f>Quadro!$BU$7</c:f>
              <c:strCache>
                <c:ptCount val="1"/>
                <c:pt idx="0">
                  <c:v>9.5
Fiscale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Quadro!$BV$7</c:f>
              <c:numCache>
                <c:formatCode>General</c:formatCode>
                <c:ptCount val="1"/>
                <c:pt idx="0">
                  <c:v>6.8444138834348456</c:v>
                </c:pt>
              </c:numCache>
            </c:numRef>
          </c:xVal>
          <c:yVal>
            <c:numRef>
              <c:f>Quadro!$BW$7</c:f>
              <c:numCache>
                <c:formatCode>General</c:formatCode>
                <c:ptCount val="1"/>
                <c:pt idx="0">
                  <c:v>-1.2068548347851655</c:v>
                </c:pt>
              </c:numCache>
            </c:numRef>
          </c:yVal>
          <c:smooth val="1"/>
          <c:extLst>
            <c:ext xmlns:c16="http://schemas.microsoft.com/office/drawing/2014/chart" uri="{C3380CC4-5D6E-409C-BE32-E72D297353CC}">
              <c16:uniqueId val="{00000010-409D-4D64-8083-27FBE39F5999}"/>
            </c:ext>
          </c:extLst>
        </c:ser>
        <c:ser>
          <c:idx val="16"/>
          <c:order val="16"/>
          <c:tx>
            <c:strRef>
              <c:f>Quadro!$BU$8</c:f>
              <c:strCache>
                <c:ptCount val="1"/>
                <c:pt idx="0">
                  <c:v>9.6
Tecnologico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Quadro!$BV$8</c:f>
              <c:numCache>
                <c:formatCode>General</c:formatCode>
                <c:ptCount val="1"/>
                <c:pt idx="0">
                  <c:v>4.4673738873214495</c:v>
                </c:pt>
              </c:numCache>
            </c:numRef>
          </c:xVal>
          <c:yVal>
            <c:numRef>
              <c:f>Quadro!$BW$8</c:f>
              <c:numCache>
                <c:formatCode>General</c:formatCode>
                <c:ptCount val="1"/>
                <c:pt idx="0">
                  <c:v>-5.3240088796768967</c:v>
                </c:pt>
              </c:numCache>
            </c:numRef>
          </c:yVal>
          <c:smooth val="1"/>
          <c:extLst>
            <c:ext xmlns:c16="http://schemas.microsoft.com/office/drawing/2014/chart" uri="{C3380CC4-5D6E-409C-BE32-E72D297353CC}">
              <c16:uniqueId val="{00000011-409D-4D64-8083-27FBE39F5999}"/>
            </c:ext>
          </c:extLst>
        </c:ser>
        <c:ser>
          <c:idx val="17"/>
          <c:order val="17"/>
          <c:tx>
            <c:strRef>
              <c:f>Quadro!$BU$9</c:f>
              <c:strCache>
                <c:ptCount val="1"/>
                <c:pt idx="0">
                  <c:v>9.7
Sicurezza informatica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Quadro!$BV$9</c:f>
              <c:numCache>
                <c:formatCode>General</c:formatCode>
                <c:ptCount val="1"/>
                <c:pt idx="0">
                  <c:v>8.5147817616149091E-16</c:v>
                </c:pt>
              </c:numCache>
            </c:numRef>
          </c:xVal>
          <c:yVal>
            <c:numRef>
              <c:f>Quadro!$BW$9</c:f>
              <c:numCache>
                <c:formatCode>General</c:formatCode>
                <c:ptCount val="1"/>
                <c:pt idx="0">
                  <c:v>-6.95</c:v>
                </c:pt>
              </c:numCache>
            </c:numRef>
          </c:yVal>
          <c:smooth val="1"/>
          <c:extLst>
            <c:ext xmlns:c16="http://schemas.microsoft.com/office/drawing/2014/chart" uri="{C3380CC4-5D6E-409C-BE32-E72D297353CC}">
              <c16:uniqueId val="{00000012-409D-4D64-8083-27FBE39F5999}"/>
            </c:ext>
          </c:extLst>
        </c:ser>
        <c:ser>
          <c:idx val="18"/>
          <c:order val="18"/>
          <c:tx>
            <c:strRef>
              <c:f>Quadro!$BU$10</c:f>
              <c:strCache>
                <c:ptCount val="1"/>
                <c:pt idx="0">
                  <c:v>9.8
Sicurezza fisica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Quadro!$BV$10</c:f>
              <c:numCache>
                <c:formatCode>General</c:formatCode>
                <c:ptCount val="1"/>
                <c:pt idx="0">
                  <c:v>-4.4673738873214459</c:v>
                </c:pt>
              </c:numCache>
            </c:numRef>
          </c:xVal>
          <c:yVal>
            <c:numRef>
              <c:f>Quadro!$BW$10</c:f>
              <c:numCache>
                <c:formatCode>General</c:formatCode>
                <c:ptCount val="1"/>
                <c:pt idx="0">
                  <c:v>-5.3240088796768994</c:v>
                </c:pt>
              </c:numCache>
            </c:numRef>
          </c:yVal>
          <c:smooth val="1"/>
          <c:extLst>
            <c:ext xmlns:c16="http://schemas.microsoft.com/office/drawing/2014/chart" uri="{C3380CC4-5D6E-409C-BE32-E72D297353CC}">
              <c16:uniqueId val="{00000013-409D-4D64-8083-27FBE39F5999}"/>
            </c:ext>
          </c:extLst>
        </c:ser>
        <c:ser>
          <c:idx val="19"/>
          <c:order val="19"/>
          <c:tx>
            <c:strRef>
              <c:f>Quadro!$BU$11</c:f>
              <c:strCache>
                <c:ptCount val="1"/>
                <c:pt idx="0">
                  <c:v>9.9
Terze parti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Quadro!$BV$11</c:f>
              <c:numCache>
                <c:formatCode>General</c:formatCode>
                <c:ptCount val="1"/>
                <c:pt idx="0">
                  <c:v>-6.8444138834348456</c:v>
                </c:pt>
              </c:numCache>
            </c:numRef>
          </c:xVal>
          <c:yVal>
            <c:numRef>
              <c:f>Quadro!$BW$11</c:f>
              <c:numCache>
                <c:formatCode>General</c:formatCode>
                <c:ptCount val="1"/>
                <c:pt idx="0">
                  <c:v>-1.2068548347851658</c:v>
                </c:pt>
              </c:numCache>
            </c:numRef>
          </c:yVal>
          <c:smooth val="1"/>
          <c:extLst>
            <c:ext xmlns:c16="http://schemas.microsoft.com/office/drawing/2014/chart" uri="{C3380CC4-5D6E-409C-BE32-E72D297353CC}">
              <c16:uniqueId val="{00000014-409D-4D64-8083-27FBE39F5999}"/>
            </c:ext>
          </c:extLst>
        </c:ser>
        <c:ser>
          <c:idx val="20"/>
          <c:order val="20"/>
          <c:tx>
            <c:strRef>
              <c:f>Quadro!$BU$12</c:f>
              <c:strCache>
                <c:ptCount val="1"/>
                <c:pt idx="0">
                  <c:v>9.11
Employer</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Quadro!$BV$12</c:f>
              <c:numCache>
                <c:formatCode>General</c:formatCode>
                <c:ptCount val="1"/>
                <c:pt idx="0">
                  <c:v>-6.0188765563018514</c:v>
                </c:pt>
              </c:numCache>
            </c:numRef>
          </c:xVal>
          <c:yVal>
            <c:numRef>
              <c:f>Quadro!$BW$12</c:f>
              <c:numCache>
                <c:formatCode>General</c:formatCode>
                <c:ptCount val="1"/>
                <c:pt idx="0">
                  <c:v>3.4749999999999956</c:v>
                </c:pt>
              </c:numCache>
            </c:numRef>
          </c:yVal>
          <c:smooth val="1"/>
          <c:extLst>
            <c:ext xmlns:c16="http://schemas.microsoft.com/office/drawing/2014/chart" uri="{C3380CC4-5D6E-409C-BE32-E72D297353CC}">
              <c16:uniqueId val="{00000015-409D-4D64-8083-27FBE39F5999}"/>
            </c:ext>
          </c:extLst>
        </c:ser>
        <c:ser>
          <c:idx val="21"/>
          <c:order val="21"/>
          <c:tx>
            <c:strRef>
              <c:f>Quadro!$BU$13</c:f>
              <c:strCache>
                <c:ptCount val="1"/>
                <c:pt idx="0">
                  <c:v>9.13
Processo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Quadro!$BV$13</c:f>
              <c:numCache>
                <c:formatCode>General</c:formatCode>
                <c:ptCount val="1"/>
                <c:pt idx="0">
                  <c:v>-2.377039996113397</c:v>
                </c:pt>
              </c:numCache>
            </c:numRef>
          </c:xVal>
          <c:yVal>
            <c:numRef>
              <c:f>Quadro!$BW$13</c:f>
              <c:numCache>
                <c:formatCode>General</c:formatCode>
                <c:ptCount val="1"/>
                <c:pt idx="0">
                  <c:v>6.5308637144620638</c:v>
                </c:pt>
              </c:numCache>
            </c:numRef>
          </c:yVal>
          <c:smooth val="1"/>
          <c:extLst>
            <c:ext xmlns:c16="http://schemas.microsoft.com/office/drawing/2014/chart" uri="{C3380CC4-5D6E-409C-BE32-E72D297353CC}">
              <c16:uniqueId val="{00000016-409D-4D64-8083-27FBE39F5999}"/>
            </c:ext>
          </c:extLst>
        </c:ser>
        <c:ser>
          <c:idx val="22"/>
          <c:order val="22"/>
          <c:tx>
            <c:v>P x I = 1 (Attivazione)</c:v>
          </c:tx>
          <c:spPr>
            <a:ln>
              <a:noFill/>
              <a:prstDash val="solid"/>
            </a:ln>
          </c:spPr>
          <c:marker>
            <c:symbol val="circle"/>
            <c:size val="6"/>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409D-4D64-8083-27FBE39F5999}"/>
            </c:ext>
          </c:extLst>
        </c:ser>
        <c:ser>
          <c:idx val="23"/>
          <c:order val="23"/>
          <c:tx>
            <c:v>P x I = 2 (Attivazione)</c:v>
          </c:tx>
          <c:spPr>
            <a:ln>
              <a:noFill/>
              <a:prstDash val="solid"/>
            </a:ln>
          </c:spPr>
          <c:marker>
            <c:symbol val="circle"/>
            <c:size val="9"/>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409D-4D64-8083-27FBE39F5999}"/>
            </c:ext>
          </c:extLst>
        </c:ser>
        <c:ser>
          <c:idx val="24"/>
          <c:order val="24"/>
          <c:tx>
            <c:v>P x I = 3 (Attivazione)</c:v>
          </c:tx>
          <c:spPr>
            <a:ln>
              <a:noFill/>
              <a:prstDash val="solid"/>
            </a:ln>
          </c:spPr>
          <c:marker>
            <c:symbol val="circle"/>
            <c:size val="1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409D-4D64-8083-27FBE39F5999}"/>
            </c:ext>
          </c:extLst>
        </c:ser>
        <c:ser>
          <c:idx val="25"/>
          <c:order val="25"/>
          <c:tx>
            <c:v>P x I = 4 (Attivazione)</c:v>
          </c:tx>
          <c:spPr>
            <a:ln>
              <a:noFill/>
              <a:prstDash val="solid"/>
            </a:ln>
          </c:spPr>
          <c:marker>
            <c:symbol val="circle"/>
            <c:size val="12"/>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409D-4D64-8083-27FBE39F5999}"/>
            </c:ext>
          </c:extLst>
        </c:ser>
        <c:ser>
          <c:idx val="26"/>
          <c:order val="26"/>
          <c:tx>
            <c:v>P x I = 5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Quadro!$CC$5:$CC$24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409D-4D64-8083-27FBE39F5999}"/>
            </c:ext>
          </c:extLst>
        </c:ser>
        <c:ser>
          <c:idx val="27"/>
          <c:order val="27"/>
          <c:tx>
            <c:v>P x I = 6 (Attivazione)</c:v>
          </c:tx>
          <c:spPr>
            <a:ln>
              <a:noFill/>
              <a:prstDash val="solid"/>
            </a:ln>
          </c:spPr>
          <c:marker>
            <c:symbol val="circle"/>
            <c:size val="15"/>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Quadro!$CD$5:$CD$24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409D-4D64-8083-27FBE39F5999}"/>
            </c:ext>
          </c:extLst>
        </c:ser>
        <c:ser>
          <c:idx val="28"/>
          <c:order val="28"/>
          <c:tx>
            <c:v>P x I = 8 (Attivazione)</c:v>
          </c:tx>
          <c:spPr>
            <a:ln>
              <a:noFill/>
              <a:prstDash val="solid"/>
            </a:ln>
          </c:spPr>
          <c:marker>
            <c:symbol val="circle"/>
            <c:size val="18"/>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409D-4D64-8083-27FBE39F5999}"/>
            </c:ext>
          </c:extLst>
        </c:ser>
        <c:ser>
          <c:idx val="29"/>
          <c:order val="29"/>
          <c:tx>
            <c:v>P x I = 9 (Attivazione)</c:v>
          </c:tx>
          <c:spPr>
            <a:ln>
              <a:noFill/>
              <a:prstDash val="solid"/>
            </a:ln>
          </c:spPr>
          <c:marker>
            <c:symbol val="circle"/>
            <c:size val="19"/>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Quadro!$CF$5:$CF$24</c:f>
              <c:numCache>
                <c:formatCode>General</c:formatCode>
                <c:ptCount val="20"/>
                <c:pt idx="0">
                  <c:v>#N/A</c:v>
                </c:pt>
                <c:pt idx="1">
                  <c:v>#N/A</c:v>
                </c:pt>
                <c:pt idx="2">
                  <c:v>#N/A</c:v>
                </c:pt>
                <c:pt idx="3">
                  <c:v>#N/A</c:v>
                </c:pt>
                <c:pt idx="4">
                  <c:v>#N/A</c:v>
                </c:pt>
                <c:pt idx="5">
                  <c:v>#N/A</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409D-4D64-8083-27FBE39F5999}"/>
            </c:ext>
          </c:extLst>
        </c:ser>
        <c:ser>
          <c:idx val="30"/>
          <c:order val="30"/>
          <c:tx>
            <c:v>P x I = 10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409D-4D64-8083-27FBE39F5999}"/>
            </c:ext>
          </c:extLst>
        </c:ser>
        <c:ser>
          <c:idx val="31"/>
          <c:order val="31"/>
          <c:tx>
            <c:v>P x I = 12 (Attivazione)</c:v>
          </c:tx>
          <c:spPr>
            <a:ln>
              <a:noFill/>
              <a:prstDash val="solid"/>
            </a:ln>
          </c:spPr>
          <c:marker>
            <c:symbol val="circle"/>
            <c:size val="2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409D-4D64-8083-27FBE39F5999}"/>
            </c:ext>
          </c:extLst>
        </c:ser>
        <c:ser>
          <c:idx val="32"/>
          <c:order val="32"/>
          <c:tx>
            <c:v>P x I = 15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409D-4D64-8083-27FBE39F5999}"/>
            </c:ext>
          </c:extLst>
        </c:ser>
        <c:ser>
          <c:idx val="33"/>
          <c:order val="33"/>
          <c:tx>
            <c:v>P x I = 16 (Attivazione)</c:v>
          </c:tx>
          <c:spPr>
            <a:ln>
              <a:noFill/>
              <a:prstDash val="solid"/>
            </a:ln>
          </c:spPr>
          <c:marker>
            <c:symbol val="circle"/>
            <c:size val="25"/>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Quadro!$CJ$5:$CJ$24</c:f>
              <c:numCache>
                <c:formatCode>General</c:formatCode>
                <c:ptCount val="20"/>
                <c:pt idx="0">
                  <c:v>-1.4595673058697358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409D-4D64-8083-27FBE39F5999}"/>
            </c:ext>
          </c:extLst>
        </c:ser>
        <c:ser>
          <c:idx val="34"/>
          <c:order val="34"/>
          <c:tx>
            <c:v>P x I = 20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Quadro!$CK$5:$CK$24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409D-4D64-8083-27FBE39F5999}"/>
            </c:ext>
          </c:extLst>
        </c:ser>
        <c:ser>
          <c:idx val="35"/>
          <c:order val="35"/>
          <c:tx>
            <c:v>P x I = 25 (Attivazione)</c:v>
          </c:tx>
          <c:spPr>
            <a:ln>
              <a:noFill/>
              <a:prstDash val="solid"/>
            </a:ln>
          </c:spPr>
          <c:marker>
            <c:symbol val="circle"/>
            <c:size val="3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Quadro!$CL$5:$CL$24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409D-4D64-8083-27FBE39F5999}"/>
            </c:ext>
          </c:extLst>
        </c:ser>
        <c:ser>
          <c:idx val="36"/>
          <c:order val="36"/>
          <c:tx>
            <c:v>P x I = 1 (Attenzione)</c:v>
          </c:tx>
          <c:spPr>
            <a:ln>
              <a:noFill/>
              <a:prstDash val="solid"/>
            </a:ln>
          </c:spPr>
          <c:marker>
            <c:symbol val="circle"/>
            <c:size val="6"/>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Quadro!$CM$5:$CM$24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409D-4D64-8083-27FBE39F5999}"/>
            </c:ext>
          </c:extLst>
        </c:ser>
        <c:ser>
          <c:idx val="37"/>
          <c:order val="37"/>
          <c:tx>
            <c:v>P x I = 2 (Attenzione)</c:v>
          </c:tx>
          <c:spPr>
            <a:ln>
              <a:noFill/>
              <a:prstDash val="solid"/>
            </a:ln>
          </c:spPr>
          <c:marker>
            <c:symbol val="circle"/>
            <c:size val="9"/>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Quadro!$CN$5:$CN$24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409D-4D64-8083-27FBE39F5999}"/>
            </c:ext>
          </c:extLst>
        </c:ser>
        <c:ser>
          <c:idx val="38"/>
          <c:order val="38"/>
          <c:tx>
            <c:v>P x I = 3 (Attenzione)</c:v>
          </c:tx>
          <c:spPr>
            <a:ln>
              <a:noFill/>
              <a:prstDash val="solid"/>
            </a:ln>
          </c:spPr>
          <c:marker>
            <c:symbol val="circle"/>
            <c:size val="1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Quadro!$CO$5:$CO$24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409D-4D64-8083-27FBE39F5999}"/>
            </c:ext>
          </c:extLst>
        </c:ser>
        <c:ser>
          <c:idx val="39"/>
          <c:order val="39"/>
          <c:tx>
            <c:v>P x I = 4 (Attenzione)</c:v>
          </c:tx>
          <c:spPr>
            <a:ln>
              <a:noFill/>
              <a:prstDash val="solid"/>
            </a:ln>
          </c:spPr>
          <c:marker>
            <c:symbol val="circle"/>
            <c:size val="12"/>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Quadro!$CP$5:$CP$24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409D-4D64-8083-27FBE39F5999}"/>
            </c:ext>
          </c:extLst>
        </c:ser>
        <c:ser>
          <c:idx val="40"/>
          <c:order val="40"/>
          <c:tx>
            <c:v>P x I = 5 (Attenzione)</c:v>
          </c:tx>
          <c:spPr>
            <a:ln>
              <a:noFill/>
              <a:prstDash val="solid"/>
            </a:ln>
          </c:spPr>
          <c:marker>
            <c:symbol val="circle"/>
            <c:size val="14"/>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Quadro!$CQ$5:$CQ$24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409D-4D64-8083-27FBE39F5999}"/>
            </c:ext>
          </c:extLst>
        </c:ser>
        <c:ser>
          <c:idx val="41"/>
          <c:order val="41"/>
          <c:tx>
            <c:v>P x I = 6 (Attenzione)</c:v>
          </c:tx>
          <c:spPr>
            <a:ln>
              <a:noFill/>
              <a:prstDash val="solid"/>
            </a:ln>
          </c:spPr>
          <c:marker>
            <c:symbol val="circle"/>
            <c:size val="15"/>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Quadro!$CR$5:$CR$24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409D-4D64-8083-27FBE39F5999}"/>
            </c:ext>
          </c:extLst>
        </c:ser>
        <c:ser>
          <c:idx val="42"/>
          <c:order val="42"/>
          <c:tx>
            <c:v>P x I = 8 (Attenzione)</c:v>
          </c:tx>
          <c:spPr>
            <a:ln>
              <a:noFill/>
              <a:prstDash val="solid"/>
            </a:ln>
          </c:spPr>
          <c:marker>
            <c:symbol val="circle"/>
            <c:size val="18"/>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Quadro!$CS$5:$CS$24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409D-4D64-8083-27FBE39F5999}"/>
            </c:ext>
          </c:extLst>
        </c:ser>
        <c:ser>
          <c:idx val="43"/>
          <c:order val="43"/>
          <c:tx>
            <c:v>P x I = 9 (Attenzione)</c:v>
          </c:tx>
          <c:spPr>
            <a:ln>
              <a:noFill/>
              <a:prstDash val="solid"/>
            </a:ln>
          </c:spPr>
          <c:marker>
            <c:symbol val="circle"/>
            <c:size val="19"/>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Quadro!$CT$5:$CT$24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409D-4D64-8083-27FBE39F5999}"/>
            </c:ext>
          </c:extLst>
        </c:ser>
        <c:ser>
          <c:idx val="44"/>
          <c:order val="44"/>
          <c:tx>
            <c:v>P x I = 10 (Attenzione)</c:v>
          </c:tx>
          <c:spPr>
            <a:ln>
              <a:noFill/>
              <a:prstDash val="solid"/>
            </a:ln>
          </c:spPr>
          <c:marker>
            <c:symbol val="circle"/>
            <c:size val="20"/>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Quadro!$CU$5:$CU$24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409D-4D64-8083-27FBE39F5999}"/>
            </c:ext>
          </c:extLst>
        </c:ser>
        <c:ser>
          <c:idx val="45"/>
          <c:order val="45"/>
          <c:tx>
            <c:v>P x I = 12 (Attenzione)</c:v>
          </c:tx>
          <c:spPr>
            <a:ln>
              <a:noFill/>
              <a:prstDash val="solid"/>
            </a:ln>
          </c:spPr>
          <c:marker>
            <c:symbol val="circle"/>
            <c:size val="2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Quadro!$CV$5:$CV$24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409D-4D64-8083-27FBE39F5999}"/>
            </c:ext>
          </c:extLst>
        </c:ser>
        <c:ser>
          <c:idx val="46"/>
          <c:order val="46"/>
          <c:tx>
            <c:v>P x I = 15 (Attenzione)</c:v>
          </c:tx>
          <c:spPr>
            <a:ln>
              <a:noFill/>
              <a:prstDash val="solid"/>
            </a:ln>
          </c:spPr>
          <c:marker>
            <c:symbol val="circle"/>
            <c:size val="24"/>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Quadro!$CW$5:$CW$24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409D-4D64-8083-27FBE39F5999}"/>
            </c:ext>
          </c:extLst>
        </c:ser>
        <c:ser>
          <c:idx val="47"/>
          <c:order val="47"/>
          <c:tx>
            <c:v>P x I = 16 (Attenzione)</c:v>
          </c:tx>
          <c:spPr>
            <a:ln>
              <a:noFill/>
              <a:prstDash val="solid"/>
            </a:ln>
          </c:spPr>
          <c:marker>
            <c:symbol val="circle"/>
            <c:size val="25"/>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Quadro!$CX$5:$CX$24</c:f>
              <c:numCache>
                <c:formatCode>General</c:formatCode>
                <c:ptCount val="20"/>
                <c:pt idx="0">
                  <c:v>#N/A</c:v>
                </c:pt>
                <c:pt idx="1">
                  <c:v>-1.0260604299770058</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409D-4D64-8083-27FBE39F5999}"/>
            </c:ext>
          </c:extLst>
        </c:ser>
        <c:ser>
          <c:idx val="48"/>
          <c:order val="48"/>
          <c:tx>
            <c:v>P x I = 20 (Attenzione)</c:v>
          </c:tx>
          <c:spPr>
            <a:ln>
              <a:noFill/>
              <a:prstDash val="solid"/>
            </a:ln>
          </c:spPr>
          <c:marker>
            <c:symbol val="circle"/>
            <c:size val="28"/>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Quadro!$CY$5:$CY$24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409D-4D64-8083-27FBE39F5999}"/>
            </c:ext>
          </c:extLst>
        </c:ser>
        <c:ser>
          <c:idx val="49"/>
          <c:order val="49"/>
          <c:tx>
            <c:v>P x I = 25 (Attenzione)</c:v>
          </c:tx>
          <c:spPr>
            <a:ln>
              <a:noFill/>
              <a:prstDash val="solid"/>
            </a:ln>
          </c:spPr>
          <c:marker>
            <c:symbol val="circle"/>
            <c:size val="3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Quadro!$CZ$5:$CZ$24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409D-4D64-8083-27FBE39F5999}"/>
            </c:ext>
          </c:extLst>
        </c:ser>
        <c:ser>
          <c:idx val="50"/>
          <c:order val="50"/>
          <c:tx>
            <c:v>P x I = 1 (Monitoraggio)</c:v>
          </c:tx>
          <c:spPr>
            <a:ln>
              <a:noFill/>
              <a:prstDash val="solid"/>
            </a:ln>
          </c:spPr>
          <c:marker>
            <c:symbol val="circle"/>
            <c:size val="6"/>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Quadro!$DA$5:$DA$24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409D-4D64-8083-27FBE39F5999}"/>
            </c:ext>
          </c:extLst>
        </c:ser>
        <c:ser>
          <c:idx val="51"/>
          <c:order val="51"/>
          <c:tx>
            <c:v>P x I = 2 (Monitoraggio)</c:v>
          </c:tx>
          <c:spPr>
            <a:ln>
              <a:noFill/>
              <a:prstDash val="solid"/>
            </a:ln>
          </c:spPr>
          <c:marker>
            <c:symbol val="circle"/>
            <c:size val="9"/>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Quadro!$DB$5:$DB$24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409D-4D64-8083-27FBE39F5999}"/>
            </c:ext>
          </c:extLst>
        </c:ser>
        <c:ser>
          <c:idx val="52"/>
          <c:order val="52"/>
          <c:tx>
            <c:v>P x I = 3 (Monitoraggio)</c:v>
          </c:tx>
          <c:spPr>
            <a:ln>
              <a:noFill/>
              <a:prstDash val="solid"/>
            </a:ln>
          </c:spPr>
          <c:marker>
            <c:symbol val="circle"/>
            <c:size val="1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Quadro!$DC$5:$DC$24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409D-4D64-8083-27FBE39F5999}"/>
            </c:ext>
          </c:extLst>
        </c:ser>
        <c:ser>
          <c:idx val="53"/>
          <c:order val="53"/>
          <c:tx>
            <c:v>P x I = 4 (Monitoraggio)</c:v>
          </c:tx>
          <c:spPr>
            <a:ln>
              <a:noFill/>
              <a:prstDash val="solid"/>
            </a:ln>
          </c:spPr>
          <c:marker>
            <c:symbol val="circle"/>
            <c:size val="12"/>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Quadro!$DD$5:$DD$24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409D-4D64-8083-27FBE39F5999}"/>
            </c:ext>
          </c:extLst>
        </c:ser>
        <c:ser>
          <c:idx val="54"/>
          <c:order val="54"/>
          <c:tx>
            <c:v>P x I = 5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Quadro!$DE$5:$DE$24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409D-4D64-8083-27FBE39F5999}"/>
            </c:ext>
          </c:extLst>
        </c:ser>
        <c:ser>
          <c:idx val="55"/>
          <c:order val="55"/>
          <c:tx>
            <c:v>P x I = 6 (Monitoraggio)</c:v>
          </c:tx>
          <c:spPr>
            <a:ln>
              <a:noFill/>
              <a:prstDash val="solid"/>
            </a:ln>
          </c:spPr>
          <c:marker>
            <c:symbol val="circle"/>
            <c:size val="15"/>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Quadro!$DF$5:$DF$24</c:f>
              <c:numCache>
                <c:formatCode>General</c:formatCode>
                <c:ptCount val="20"/>
                <c:pt idx="0">
                  <c:v>#N/A</c:v>
                </c:pt>
                <c:pt idx="1">
                  <c:v>#N/A</c:v>
                </c:pt>
                <c:pt idx="2">
                  <c:v>#N/A</c:v>
                </c:pt>
                <c:pt idx="3">
                  <c:v>#N/A</c:v>
                </c:pt>
                <c:pt idx="4">
                  <c:v>#N/A</c:v>
                </c:pt>
                <c:pt idx="5">
                  <c:v>#N/A</c:v>
                </c:pt>
                <c:pt idx="6">
                  <c:v>#N/A</c:v>
                </c:pt>
                <c:pt idx="7">
                  <c:v>-2.9191346117394716</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409D-4D64-8083-27FBE39F5999}"/>
            </c:ext>
          </c:extLst>
        </c:ser>
        <c:ser>
          <c:idx val="56"/>
          <c:order val="56"/>
          <c:tx>
            <c:v>P x I = 8 (Monitoraggio)</c:v>
          </c:tx>
          <c:spPr>
            <a:ln>
              <a:noFill/>
              <a:prstDash val="solid"/>
            </a:ln>
          </c:spPr>
          <c:marker>
            <c:symbol val="circle"/>
            <c:size val="18"/>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Quadro!$DG$5:$DG$24</c:f>
              <c:numCache>
                <c:formatCode>General</c:formatCode>
                <c:ptCount val="20"/>
                <c:pt idx="0">
                  <c:v>#N/A</c:v>
                </c:pt>
                <c:pt idx="1">
                  <c:v>#N/A</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409D-4D64-8083-27FBE39F5999}"/>
            </c:ext>
          </c:extLst>
        </c:ser>
        <c:ser>
          <c:idx val="57"/>
          <c:order val="57"/>
          <c:tx>
            <c:v>P x I = 9 (Monitoraggio)</c:v>
          </c:tx>
          <c:spPr>
            <a:ln>
              <a:noFill/>
              <a:prstDash val="solid"/>
            </a:ln>
          </c:spPr>
          <c:marker>
            <c:symbol val="circle"/>
            <c:size val="19"/>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Quadro!$DH$5:$DH$24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1.8749999999999976</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409D-4D64-8083-27FBE39F5999}"/>
            </c:ext>
          </c:extLst>
        </c:ser>
        <c:ser>
          <c:idx val="58"/>
          <c:order val="58"/>
          <c:tx>
            <c:v>P x I = 10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Quadro!$DI$5:$DI$24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409D-4D64-8083-27FBE39F5999}"/>
            </c:ext>
          </c:extLst>
        </c:ser>
        <c:ser>
          <c:idx val="59"/>
          <c:order val="59"/>
          <c:tx>
            <c:v>P x I = 12 (Monitoraggio)</c:v>
          </c:tx>
          <c:spPr>
            <a:ln>
              <a:noFill/>
              <a:prstDash val="solid"/>
            </a:ln>
          </c:spPr>
          <c:marker>
            <c:symbol val="circle"/>
            <c:size val="2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Quadro!$DJ$5:$DJ$24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409D-4D64-8083-27FBE39F5999}"/>
            </c:ext>
          </c:extLst>
        </c:ser>
        <c:ser>
          <c:idx val="60"/>
          <c:order val="60"/>
          <c:tx>
            <c:v>P x I = 15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Quadro!$DK$5:$DK$24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409D-4D64-8083-27FBE39F5999}"/>
            </c:ext>
          </c:extLst>
        </c:ser>
        <c:ser>
          <c:idx val="61"/>
          <c:order val="61"/>
          <c:tx>
            <c:v>P x I = 16 (Monitoraggio)</c:v>
          </c:tx>
          <c:spPr>
            <a:ln>
              <a:noFill/>
              <a:prstDash val="solid"/>
            </a:ln>
          </c:spPr>
          <c:marker>
            <c:symbol val="circle"/>
            <c:size val="25"/>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Quadro!$DL$5:$DL$24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409D-4D64-8083-27FBE39F5999}"/>
            </c:ext>
          </c:extLst>
        </c:ser>
        <c:ser>
          <c:idx val="62"/>
          <c:order val="62"/>
          <c:tx>
            <c:v>P x I = 20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Quadro!$DM$5:$DM$24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409D-4D64-8083-27FBE39F5999}"/>
            </c:ext>
          </c:extLst>
        </c:ser>
        <c:ser>
          <c:idx val="63"/>
          <c:order val="63"/>
          <c:tx>
            <c:v>P x I = 25 (Monitoraggio)</c:v>
          </c:tx>
          <c:spPr>
            <a:ln>
              <a:noFill/>
              <a:prstDash val="solid"/>
            </a:ln>
          </c:spPr>
          <c:marker>
            <c:symbol val="circle"/>
            <c:size val="3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Quadro!$DN$5:$DN$24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409D-4D64-8083-27FBE39F5999}"/>
            </c:ext>
          </c:extLst>
        </c:ser>
        <c:ser>
          <c:idx val="64"/>
          <c:order val="64"/>
          <c:tx>
            <c:strRef>
              <c:f>Quadro!$DP$5</c:f>
              <c:strCache>
                <c:ptCount val="1"/>
                <c:pt idx="0">
                  <c:v>01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Quadro!$DO$5</c:f>
              <c:numCache>
                <c:formatCode>General</c:formatCode>
                <c:ptCount val="1"/>
                <c:pt idx="0">
                  <c:v>0.3459238061136598</c:v>
                </c:pt>
              </c:numCache>
            </c:numRef>
          </c:xVal>
          <c:yVal>
            <c:numRef>
              <c:f>Quadro!$DQ$5</c:f>
              <c:numCache>
                <c:formatCode>General</c:formatCode>
                <c:ptCount val="1"/>
                <c:pt idx="0">
                  <c:v>-1.4595673058697358</c:v>
                </c:pt>
              </c:numCache>
            </c:numRef>
          </c:yVal>
          <c:smooth val="1"/>
          <c:extLst>
            <c:ext xmlns:c16="http://schemas.microsoft.com/office/drawing/2014/chart" uri="{C3380CC4-5D6E-409C-BE32-E72D297353CC}">
              <c16:uniqueId val="{00000041-409D-4D64-8083-27FBE39F5999}"/>
            </c:ext>
          </c:extLst>
        </c:ser>
        <c:ser>
          <c:idx val="65"/>
          <c:order val="65"/>
          <c:tx>
            <c:strRef>
              <c:f>Quadro!$DP$6</c:f>
              <c:strCache>
                <c:ptCount val="1"/>
                <c:pt idx="0">
                  <c:v>02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Quadro!$DO$6</c:f>
              <c:numCache>
                <c:formatCode>General</c:formatCode>
                <c:ptCount val="1"/>
                <c:pt idx="0">
                  <c:v>-2.8190778623577253</c:v>
                </c:pt>
              </c:numCache>
            </c:numRef>
          </c:xVal>
          <c:yVal>
            <c:numRef>
              <c:f>Quadro!$DQ$6</c:f>
              <c:numCache>
                <c:formatCode>General</c:formatCode>
                <c:ptCount val="1"/>
                <c:pt idx="0">
                  <c:v>-1.0260604299770058</c:v>
                </c:pt>
              </c:numCache>
            </c:numRef>
          </c:yVal>
          <c:smooth val="1"/>
          <c:extLst>
            <c:ext xmlns:c16="http://schemas.microsoft.com/office/drawing/2014/chart" uri="{C3380CC4-5D6E-409C-BE32-E72D297353CC}">
              <c16:uniqueId val="{00000042-409D-4D64-8083-27FBE39F5999}"/>
            </c:ext>
          </c:extLst>
        </c:ser>
        <c:ser>
          <c:idx val="66"/>
          <c:order val="66"/>
          <c:tx>
            <c:strRef>
              <c:f>Quadro!$DP$7</c:f>
              <c:strCache>
                <c:ptCount val="1"/>
                <c:pt idx="0">
                  <c:v>03</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Quadro!$DO$7</c:f>
              <c:numCache>
                <c:formatCode>General</c:formatCode>
                <c:ptCount val="1"/>
                <c:pt idx="0">
                  <c:v>0.34729635533386066</c:v>
                </c:pt>
              </c:numCache>
            </c:numRef>
          </c:xVal>
          <c:yVal>
            <c:numRef>
              <c:f>Quadro!$DQ$7</c:f>
              <c:numCache>
                <c:formatCode>General</c:formatCode>
                <c:ptCount val="1"/>
                <c:pt idx="0">
                  <c:v>1.969615506024416</c:v>
                </c:pt>
              </c:numCache>
            </c:numRef>
          </c:yVal>
          <c:smooth val="1"/>
          <c:extLst>
            <c:ext xmlns:c16="http://schemas.microsoft.com/office/drawing/2014/chart" uri="{C3380CC4-5D6E-409C-BE32-E72D297353CC}">
              <c16:uniqueId val="{00000043-409D-4D64-8083-27FBE39F5999}"/>
            </c:ext>
          </c:extLst>
        </c:ser>
        <c:ser>
          <c:idx val="67"/>
          <c:order val="67"/>
          <c:tx>
            <c:strRef>
              <c:f>Quadro!$DP$8</c:f>
              <c:strCache>
                <c:ptCount val="1"/>
                <c:pt idx="0">
                  <c:v>04</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Quadro!$DO$8</c:f>
              <c:numCache>
                <c:formatCode>General</c:formatCode>
                <c:ptCount val="1"/>
                <c:pt idx="0">
                  <c:v>-1.7676659266379819</c:v>
                </c:pt>
              </c:numCache>
            </c:numRef>
          </c:xVal>
          <c:yVal>
            <c:numRef>
              <c:f>Quadro!$DQ$8</c:f>
              <c:numCache>
                <c:formatCode>General</c:formatCode>
                <c:ptCount val="1"/>
                <c:pt idx="0">
                  <c:v>-2.1066222185771903</c:v>
                </c:pt>
              </c:numCache>
            </c:numRef>
          </c:yVal>
          <c:smooth val="1"/>
          <c:extLst>
            <c:ext xmlns:c16="http://schemas.microsoft.com/office/drawing/2014/chart" uri="{C3380CC4-5D6E-409C-BE32-E72D297353CC}">
              <c16:uniqueId val="{00000044-409D-4D64-8083-27FBE39F5999}"/>
            </c:ext>
          </c:extLst>
        </c:ser>
        <c:ser>
          <c:idx val="68"/>
          <c:order val="68"/>
          <c:tx>
            <c:strRef>
              <c:f>Quadro!$DP$9</c:f>
              <c:strCache>
                <c:ptCount val="1"/>
                <c:pt idx="0">
                  <c:v>05</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Quadro!$DO$9</c:f>
              <c:numCache>
                <c:formatCode>General</c:formatCode>
                <c:ptCount val="1"/>
                <c:pt idx="0">
                  <c:v>-1.4999999999999991</c:v>
                </c:pt>
              </c:numCache>
            </c:numRef>
          </c:xVal>
          <c:yVal>
            <c:numRef>
              <c:f>Quadro!$DQ$9</c:f>
              <c:numCache>
                <c:formatCode>General</c:formatCode>
                <c:ptCount val="1"/>
                <c:pt idx="0">
                  <c:v>2.5980762113533165</c:v>
                </c:pt>
              </c:numCache>
            </c:numRef>
          </c:yVal>
          <c:smooth val="1"/>
          <c:extLst>
            <c:ext xmlns:c16="http://schemas.microsoft.com/office/drawing/2014/chart" uri="{C3380CC4-5D6E-409C-BE32-E72D297353CC}">
              <c16:uniqueId val="{00000045-409D-4D64-8083-27FBE39F5999}"/>
            </c:ext>
          </c:extLst>
        </c:ser>
        <c:ser>
          <c:idx val="69"/>
          <c:order val="69"/>
          <c:tx>
            <c:strRef>
              <c:f>Quadro!$DP$10</c:f>
              <c:strCache>
                <c:ptCount val="1"/>
                <c:pt idx="0">
                  <c:v>06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Quadro!$DO$10</c:f>
              <c:numCache>
                <c:formatCode>General</c:formatCode>
                <c:ptCount val="1"/>
                <c:pt idx="0">
                  <c:v>2.756584023544395E-16</c:v>
                </c:pt>
              </c:numCache>
            </c:numRef>
          </c:xVal>
          <c:yVal>
            <c:numRef>
              <c:f>Quadro!$DQ$10</c:f>
              <c:numCache>
                <c:formatCode>General</c:formatCode>
                <c:ptCount val="1"/>
                <c:pt idx="0">
                  <c:v>-2.25</c:v>
                </c:pt>
              </c:numCache>
            </c:numRef>
          </c:yVal>
          <c:smooth val="1"/>
          <c:extLst>
            <c:ext xmlns:c16="http://schemas.microsoft.com/office/drawing/2014/chart" uri="{C3380CC4-5D6E-409C-BE32-E72D297353CC}">
              <c16:uniqueId val="{00000046-409D-4D64-8083-27FBE39F5999}"/>
            </c:ext>
          </c:extLst>
        </c:ser>
        <c:ser>
          <c:idx val="70"/>
          <c:order val="70"/>
          <c:tx>
            <c:strRef>
              <c:f>Quadro!$DP$11</c:f>
              <c:strCache>
                <c:ptCount val="1"/>
                <c:pt idx="0">
                  <c:v>07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Quadro!$DO$11</c:f>
              <c:numCache>
                <c:formatCode>General</c:formatCode>
                <c:ptCount val="1"/>
                <c:pt idx="0">
                  <c:v>-2.75</c:v>
                </c:pt>
              </c:numCache>
            </c:numRef>
          </c:xVal>
          <c:yVal>
            <c:numRef>
              <c:f>Quadro!$DQ$11</c:f>
              <c:numCache>
                <c:formatCode>General</c:formatCode>
                <c:ptCount val="1"/>
                <c:pt idx="0">
                  <c:v>-5.0537373764980575E-16</c:v>
                </c:pt>
              </c:numCache>
            </c:numRef>
          </c:yVal>
          <c:smooth val="1"/>
          <c:extLst>
            <c:ext xmlns:c16="http://schemas.microsoft.com/office/drawing/2014/chart" uri="{C3380CC4-5D6E-409C-BE32-E72D297353CC}">
              <c16:uniqueId val="{00000047-409D-4D64-8083-27FBE39F5999}"/>
            </c:ext>
          </c:extLst>
        </c:ser>
        <c:ser>
          <c:idx val="71"/>
          <c:order val="71"/>
          <c:tx>
            <c:strRef>
              <c:f>Quadro!$DP$12</c:f>
              <c:strCache>
                <c:ptCount val="1"/>
                <c:pt idx="0">
                  <c:v>08</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Quadro!$DO$12</c:f>
              <c:numCache>
                <c:formatCode>General</c:formatCode>
                <c:ptCount val="1"/>
                <c:pt idx="0">
                  <c:v>-0.69184761222731894</c:v>
                </c:pt>
              </c:numCache>
            </c:numRef>
          </c:xVal>
          <c:yVal>
            <c:numRef>
              <c:f>Quadro!$DQ$12</c:f>
              <c:numCache>
                <c:formatCode>General</c:formatCode>
                <c:ptCount val="1"/>
                <c:pt idx="0">
                  <c:v>-2.9191346117394716</c:v>
                </c:pt>
              </c:numCache>
            </c:numRef>
          </c:yVal>
          <c:smooth val="1"/>
          <c:extLst>
            <c:ext xmlns:c16="http://schemas.microsoft.com/office/drawing/2014/chart" uri="{C3380CC4-5D6E-409C-BE32-E72D297353CC}">
              <c16:uniqueId val="{00000048-409D-4D64-8083-27FBE39F5999}"/>
            </c:ext>
          </c:extLst>
        </c:ser>
        <c:ser>
          <c:idx val="72"/>
          <c:order val="72"/>
          <c:tx>
            <c:strRef>
              <c:f>Quadro!$DP$13</c:f>
              <c:strCache>
                <c:ptCount val="1"/>
                <c:pt idx="0">
                  <c:v>09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Quadro!$DO$13</c:f>
              <c:numCache>
                <c:formatCode>General</c:formatCode>
                <c:ptCount val="1"/>
                <c:pt idx="0">
                  <c:v>2.8145825622994254</c:v>
                </c:pt>
              </c:numCache>
            </c:numRef>
          </c:xVal>
          <c:yVal>
            <c:numRef>
              <c:f>Quadro!$DQ$13</c:f>
              <c:numCache>
                <c:formatCode>General</c:formatCode>
                <c:ptCount val="1"/>
                <c:pt idx="0">
                  <c:v>1.6250000000000004</c:v>
                </c:pt>
              </c:numCache>
            </c:numRef>
          </c:yVal>
          <c:smooth val="1"/>
          <c:extLst>
            <c:ext xmlns:c16="http://schemas.microsoft.com/office/drawing/2014/chart" uri="{C3380CC4-5D6E-409C-BE32-E72D297353CC}">
              <c16:uniqueId val="{00000049-409D-4D64-8083-27FBE39F5999}"/>
            </c:ext>
          </c:extLst>
        </c:ser>
        <c:ser>
          <c:idx val="73"/>
          <c:order val="73"/>
          <c:tx>
            <c:strRef>
              <c:f>Quadro!$DP$14</c:f>
              <c:strCache>
                <c:ptCount val="1"/>
                <c:pt idx="0">
                  <c:v>10</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Quadro!$DO$14</c:f>
              <c:numCache>
                <c:formatCode>General</c:formatCode>
                <c:ptCount val="1"/>
                <c:pt idx="0">
                  <c:v>1.4999999999999998</c:v>
                </c:pt>
              </c:numCache>
            </c:numRef>
          </c:xVal>
          <c:yVal>
            <c:numRef>
              <c:f>Quadro!$DQ$14</c:f>
              <c:numCache>
                <c:formatCode>General</c:formatCode>
                <c:ptCount val="1"/>
                <c:pt idx="0">
                  <c:v>2.598076211353316</c:v>
                </c:pt>
              </c:numCache>
            </c:numRef>
          </c:yVal>
          <c:smooth val="1"/>
          <c:extLst>
            <c:ext xmlns:c16="http://schemas.microsoft.com/office/drawing/2014/chart" uri="{C3380CC4-5D6E-409C-BE32-E72D297353CC}">
              <c16:uniqueId val="{0000004A-409D-4D64-8083-27FBE39F5999}"/>
            </c:ext>
          </c:extLst>
        </c:ser>
        <c:ser>
          <c:idx val="74"/>
          <c:order val="74"/>
          <c:tx>
            <c:strRef>
              <c:f>Quadro!$DP$15</c:f>
              <c:strCache>
                <c:ptCount val="1"/>
                <c:pt idx="0">
                  <c:v>11</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Quadro!$DO$15</c:f>
              <c:numCache>
                <c:formatCode>General</c:formatCode>
                <c:ptCount val="1"/>
                <c:pt idx="0">
                  <c:v>0.38567256581192366</c:v>
                </c:pt>
              </c:numCache>
            </c:numRef>
          </c:xVal>
          <c:yVal>
            <c:numRef>
              <c:f>Quadro!$DQ$15</c:f>
              <c:numCache>
                <c:formatCode>General</c:formatCode>
                <c:ptCount val="1"/>
                <c:pt idx="0">
                  <c:v>-0.45962666587138673</c:v>
                </c:pt>
              </c:numCache>
            </c:numRef>
          </c:yVal>
          <c:smooth val="1"/>
          <c:extLst>
            <c:ext xmlns:c16="http://schemas.microsoft.com/office/drawing/2014/chart" uri="{C3380CC4-5D6E-409C-BE32-E72D297353CC}">
              <c16:uniqueId val="{0000004B-409D-4D64-8083-27FBE39F5999}"/>
            </c:ext>
          </c:extLst>
        </c:ser>
        <c:ser>
          <c:idx val="75"/>
          <c:order val="75"/>
          <c:tx>
            <c:strRef>
              <c:f>Quadro!$DP$16</c:f>
              <c:strCache>
                <c:ptCount val="1"/>
                <c:pt idx="0">
                  <c:v>12</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Quadro!$DO$16</c:f>
              <c:numCache>
                <c:formatCode>General</c:formatCode>
                <c:ptCount val="1"/>
                <c:pt idx="0">
                  <c:v>-0.34729635533386077</c:v>
                </c:pt>
              </c:numCache>
            </c:numRef>
          </c:xVal>
          <c:yVal>
            <c:numRef>
              <c:f>Quadro!$DQ$16</c:f>
              <c:numCache>
                <c:formatCode>General</c:formatCode>
                <c:ptCount val="1"/>
                <c:pt idx="0">
                  <c:v>1.969615506024416</c:v>
                </c:pt>
              </c:numCache>
            </c:numRef>
          </c:yVal>
          <c:smooth val="1"/>
          <c:extLst>
            <c:ext xmlns:c16="http://schemas.microsoft.com/office/drawing/2014/chart" uri="{C3380CC4-5D6E-409C-BE32-E72D297353CC}">
              <c16:uniqueId val="{0000004C-409D-4D64-8083-27FBE39F5999}"/>
            </c:ext>
          </c:extLst>
        </c:ser>
        <c:ser>
          <c:idx val="76"/>
          <c:order val="76"/>
          <c:tx>
            <c:strRef>
              <c:f>Quadro!$DP$17</c:f>
              <c:strCache>
                <c:ptCount val="1"/>
                <c:pt idx="0">
                  <c:v>16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Quadro!$DO$17</c:f>
              <c:numCache>
                <c:formatCode>General</c:formatCode>
                <c:ptCount val="1"/>
                <c:pt idx="0">
                  <c:v>-3.2475952641916463</c:v>
                </c:pt>
              </c:numCache>
            </c:numRef>
          </c:xVal>
          <c:yVal>
            <c:numRef>
              <c:f>Quadro!$DQ$17</c:f>
              <c:numCache>
                <c:formatCode>General</c:formatCode>
                <c:ptCount val="1"/>
                <c:pt idx="0">
                  <c:v>1.8749999999999976</c:v>
                </c:pt>
              </c:numCache>
            </c:numRef>
          </c:yVal>
          <c:smooth val="1"/>
          <c:extLst>
            <c:ext xmlns:c16="http://schemas.microsoft.com/office/drawing/2014/chart" uri="{C3380CC4-5D6E-409C-BE32-E72D297353CC}">
              <c16:uniqueId val="{0000004D-409D-4D64-8083-27FBE39F5999}"/>
            </c:ext>
          </c:extLst>
        </c:ser>
        <c:ser>
          <c:idx val="77"/>
          <c:order val="77"/>
          <c:tx>
            <c:strRef>
              <c:f>Quadro!$DP$18</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Quadro!$DO$18</c:f>
              <c:numCache>
                <c:formatCode>General</c:formatCode>
                <c:ptCount val="1"/>
                <c:pt idx="0">
                  <c:v>#N/A</c:v>
                </c:pt>
              </c:numCache>
            </c:numRef>
          </c:xVal>
          <c:yVal>
            <c:numRef>
              <c:f>Quadro!$DQ$18</c:f>
              <c:numCache>
                <c:formatCode>General</c:formatCode>
                <c:ptCount val="1"/>
                <c:pt idx="0">
                  <c:v>#N/A</c:v>
                </c:pt>
              </c:numCache>
            </c:numRef>
          </c:yVal>
          <c:smooth val="1"/>
          <c:extLst>
            <c:ext xmlns:c16="http://schemas.microsoft.com/office/drawing/2014/chart" uri="{C3380CC4-5D6E-409C-BE32-E72D297353CC}">
              <c16:uniqueId val="{0000004E-409D-4D64-8083-27FBE39F5999}"/>
            </c:ext>
          </c:extLst>
        </c:ser>
        <c:ser>
          <c:idx val="78"/>
          <c:order val="78"/>
          <c:tx>
            <c:strRef>
              <c:f>Quadro!$DP$19</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Quadro!$DO$19</c:f>
              <c:numCache>
                <c:formatCode>General</c:formatCode>
                <c:ptCount val="1"/>
                <c:pt idx="0">
                  <c:v>#N/A</c:v>
                </c:pt>
              </c:numCache>
            </c:numRef>
          </c:xVal>
          <c:yVal>
            <c:numRef>
              <c:f>Quadro!$DQ$19</c:f>
              <c:numCache>
                <c:formatCode>General</c:formatCode>
                <c:ptCount val="1"/>
                <c:pt idx="0">
                  <c:v>#N/A</c:v>
                </c:pt>
              </c:numCache>
            </c:numRef>
          </c:yVal>
          <c:smooth val="1"/>
          <c:extLst>
            <c:ext xmlns:c16="http://schemas.microsoft.com/office/drawing/2014/chart" uri="{C3380CC4-5D6E-409C-BE32-E72D297353CC}">
              <c16:uniqueId val="{0000004F-409D-4D64-8083-27FBE39F5999}"/>
            </c:ext>
          </c:extLst>
        </c:ser>
        <c:ser>
          <c:idx val="79"/>
          <c:order val="79"/>
          <c:tx>
            <c:strRef>
              <c:f>Quadro!$DP$20</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Quadro!$DO$20</c:f>
              <c:numCache>
                <c:formatCode>General</c:formatCode>
                <c:ptCount val="1"/>
                <c:pt idx="0">
                  <c:v>#N/A</c:v>
                </c:pt>
              </c:numCache>
            </c:numRef>
          </c:xVal>
          <c:yVal>
            <c:numRef>
              <c:f>Quadro!$DQ$20</c:f>
              <c:numCache>
                <c:formatCode>General</c:formatCode>
                <c:ptCount val="1"/>
                <c:pt idx="0">
                  <c:v>#N/A</c:v>
                </c:pt>
              </c:numCache>
            </c:numRef>
          </c:yVal>
          <c:smooth val="1"/>
          <c:extLst>
            <c:ext xmlns:c16="http://schemas.microsoft.com/office/drawing/2014/chart" uri="{C3380CC4-5D6E-409C-BE32-E72D297353CC}">
              <c16:uniqueId val="{00000050-409D-4D64-8083-27FBE39F5999}"/>
            </c:ext>
          </c:extLst>
        </c:ser>
        <c:ser>
          <c:idx val="80"/>
          <c:order val="80"/>
          <c:tx>
            <c:strRef>
              <c:f>Quadro!$DP$21</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Quadro!$DO$21</c:f>
              <c:numCache>
                <c:formatCode>General</c:formatCode>
                <c:ptCount val="1"/>
                <c:pt idx="0">
                  <c:v>#N/A</c:v>
                </c:pt>
              </c:numCache>
            </c:numRef>
          </c:xVal>
          <c:yVal>
            <c:numRef>
              <c:f>Quadro!$DQ$21</c:f>
              <c:numCache>
                <c:formatCode>General</c:formatCode>
                <c:ptCount val="1"/>
                <c:pt idx="0">
                  <c:v>#N/A</c:v>
                </c:pt>
              </c:numCache>
            </c:numRef>
          </c:yVal>
          <c:smooth val="1"/>
          <c:extLst>
            <c:ext xmlns:c16="http://schemas.microsoft.com/office/drawing/2014/chart" uri="{C3380CC4-5D6E-409C-BE32-E72D297353CC}">
              <c16:uniqueId val="{00000051-409D-4D64-8083-27FBE39F5999}"/>
            </c:ext>
          </c:extLst>
        </c:ser>
        <c:ser>
          <c:idx val="81"/>
          <c:order val="81"/>
          <c:tx>
            <c:strRef>
              <c:f>Quadro!$DP$22</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Quadro!$DO$22</c:f>
              <c:numCache>
                <c:formatCode>General</c:formatCode>
                <c:ptCount val="1"/>
                <c:pt idx="0">
                  <c:v>#N/A</c:v>
                </c:pt>
              </c:numCache>
            </c:numRef>
          </c:xVal>
          <c:yVal>
            <c:numRef>
              <c:f>Quadro!$DQ$22</c:f>
              <c:numCache>
                <c:formatCode>General</c:formatCode>
                <c:ptCount val="1"/>
                <c:pt idx="0">
                  <c:v>#N/A</c:v>
                </c:pt>
              </c:numCache>
            </c:numRef>
          </c:yVal>
          <c:smooth val="1"/>
          <c:extLst>
            <c:ext xmlns:c16="http://schemas.microsoft.com/office/drawing/2014/chart" uri="{C3380CC4-5D6E-409C-BE32-E72D297353CC}">
              <c16:uniqueId val="{00000052-409D-4D64-8083-27FBE39F5999}"/>
            </c:ext>
          </c:extLst>
        </c:ser>
        <c:ser>
          <c:idx val="82"/>
          <c:order val="82"/>
          <c:tx>
            <c:strRef>
              <c:f>Quadro!$DP$23</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Quadro!$DO$23</c:f>
              <c:numCache>
                <c:formatCode>General</c:formatCode>
                <c:ptCount val="1"/>
                <c:pt idx="0">
                  <c:v>#N/A</c:v>
                </c:pt>
              </c:numCache>
            </c:numRef>
          </c:xVal>
          <c:yVal>
            <c:numRef>
              <c:f>Quadro!$DQ$23</c:f>
              <c:numCache>
                <c:formatCode>General</c:formatCode>
                <c:ptCount val="1"/>
                <c:pt idx="0">
                  <c:v>#N/A</c:v>
                </c:pt>
              </c:numCache>
            </c:numRef>
          </c:yVal>
          <c:smooth val="1"/>
          <c:extLst>
            <c:ext xmlns:c16="http://schemas.microsoft.com/office/drawing/2014/chart" uri="{C3380CC4-5D6E-409C-BE32-E72D297353CC}">
              <c16:uniqueId val="{00000053-409D-4D64-8083-27FBE39F5999}"/>
            </c:ext>
          </c:extLst>
        </c:ser>
        <c:ser>
          <c:idx val="83"/>
          <c:order val="83"/>
          <c:tx>
            <c:strRef>
              <c:f>Quadro!$DP$24</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Quadro!$DO$24</c:f>
              <c:numCache>
                <c:formatCode>General</c:formatCode>
                <c:ptCount val="1"/>
                <c:pt idx="0">
                  <c:v>#N/A</c:v>
                </c:pt>
              </c:numCache>
            </c:numRef>
          </c:xVal>
          <c:yVal>
            <c:numRef>
              <c:f>Quadro!$DQ$24</c:f>
              <c:numCache>
                <c:formatCode>General</c:formatCode>
                <c:ptCount val="1"/>
                <c:pt idx="0">
                  <c:v>#N/A</c:v>
                </c:pt>
              </c:numCache>
            </c:numRef>
          </c:yVal>
          <c:smooth val="1"/>
          <c:extLst>
            <c:ext xmlns:c16="http://schemas.microsoft.com/office/drawing/2014/chart" uri="{C3380CC4-5D6E-409C-BE32-E72D297353CC}">
              <c16:uniqueId val="{00000054-409D-4D64-8083-27FBE39F5999}"/>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Classifica!$AL$2</c:f>
          <c:strCache>
            <c:ptCount val="1"/>
            <c:pt idx="0">
              <c:v>2 da affrontare subito: NFR-01, NFR-11</c:v>
            </c:pt>
          </c:strCache>
        </c:strRef>
      </c:tx>
      <c:overlay val="0"/>
    </c:title>
    <c:autoTitleDeleted val="0"/>
    <c:plotArea>
      <c:layout/>
      <c:barChart>
        <c:barDir val="bar"/>
        <c:grouping val="clustered"/>
        <c:varyColors val="0"/>
        <c:ser>
          <c:idx val="0"/>
          <c:order val="0"/>
          <c:tx>
            <c:v>Agire ora (X + Y &gt; Z)</c:v>
          </c:tx>
          <c:spPr>
            <a:solidFill>
              <a:srgbClr val="C00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NFR-02 ▲  Concentrazione su un fornitore clo…</c:v>
                </c:pt>
                <c:pt idx="2">
                  <c:v>NFR-07 ●  Ransomware presso un fornitore di …</c:v>
                </c:pt>
                <c:pt idx="3">
                  <c:v>NFR-12 ●  Errori operativi nei pagamenti ist…</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[0]!classificaAgire</c:f>
              <c:numCache>
                <c:formatCode>0.00;\-0.00;;</c:formatCode>
                <c:ptCount val="13"/>
                <c:pt idx="0">
                  <c:v>4.4000000000000004</c:v>
                </c:pt>
                <c:pt idx="1">
                  <c:v>0</c:v>
                </c:pt>
                <c:pt idx="2">
                  <c:v>0</c:v>
                </c:pt>
                <c:pt idx="3">
                  <c:v>0</c:v>
                </c:pt>
                <c:pt idx="4">
                  <c:v>0</c:v>
                </c:pt>
                <c:pt idx="5">
                  <c:v>0</c:v>
                </c:pt>
                <c:pt idx="6">
                  <c:v>0</c:v>
                </c:pt>
                <c:pt idx="7">
                  <c:v>0</c:v>
                </c:pt>
                <c:pt idx="8">
                  <c:v>0</c:v>
                </c:pt>
                <c:pt idx="9">
                  <c:v>0</c:v>
                </c:pt>
                <c:pt idx="10">
                  <c:v>2.8</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210-4B57-ADE9-4AA0780325FE}"/>
            </c:ext>
          </c:extLst>
        </c:ser>
        <c:ser>
          <c:idx val="1"/>
          <c:order val="1"/>
          <c:tx>
            <c:v>Agire entro l'anno</c:v>
          </c:tx>
          <c:spPr>
            <a:solidFill>
              <a:srgbClr val="FFC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NFR-02 ▲  Concentrazione su un fornitore clo…</c:v>
                </c:pt>
                <c:pt idx="2">
                  <c:v>NFR-07 ●  Ransomware presso un fornitore di …</c:v>
                </c:pt>
                <c:pt idx="3">
                  <c:v>NFR-12 ●  Errori operativi nei pagamenti ist…</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[0]!classificaEntro</c:f>
              <c:numCache>
                <c:formatCode>0.00;\-0.00;;</c:formatCode>
                <c:ptCount val="13"/>
                <c:pt idx="0">
                  <c:v>0</c:v>
                </c:pt>
                <c:pt idx="1">
                  <c:v>0</c:v>
                </c:pt>
                <c:pt idx="2">
                  <c:v>3.75</c:v>
                </c:pt>
                <c:pt idx="3">
                  <c:v>3.65</c:v>
                </c:pt>
                <c:pt idx="4">
                  <c:v>3</c:v>
                </c:pt>
                <c:pt idx="5">
                  <c:v>0</c:v>
                </c:pt>
                <c:pt idx="6">
                  <c:v>3</c:v>
                </c:pt>
                <c:pt idx="7">
                  <c:v>0</c:v>
                </c:pt>
                <c:pt idx="8">
                  <c:v>0</c:v>
                </c:pt>
                <c:pt idx="9">
                  <c:v>2.8</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210-4B57-ADE9-4AA0780325FE}"/>
            </c:ext>
          </c:extLst>
        </c:ser>
        <c:ser>
          <c:idx val="2"/>
          <c:order val="2"/>
          <c:tx>
            <c:v>Con margine</c:v>
          </c:tx>
          <c:spPr>
            <a:solidFill>
              <a:srgbClr val="A6A6A6"/>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NFR-02 ▲  Concentrazione su un fornitore clo…</c:v>
                </c:pt>
                <c:pt idx="2">
                  <c:v>NFR-07 ●  Ransomware presso un fornitore di …</c:v>
                </c:pt>
                <c:pt idx="3">
                  <c:v>NFR-12 ●  Errori operativi nei pagamenti ist…</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[0]!classificaMargine</c:f>
              <c:numCache>
                <c:formatCode>0.00;\-0.00;;</c:formatCode>
                <c:ptCount val="13"/>
                <c:pt idx="0">
                  <c:v>0</c:v>
                </c:pt>
                <c:pt idx="1">
                  <c:v>3.8</c:v>
                </c:pt>
                <c:pt idx="2">
                  <c:v>0</c:v>
                </c:pt>
                <c:pt idx="3">
                  <c:v>0</c:v>
                </c:pt>
                <c:pt idx="4">
                  <c:v>0</c:v>
                </c:pt>
                <c:pt idx="5">
                  <c:v>3</c:v>
                </c:pt>
                <c:pt idx="6">
                  <c:v>0</c:v>
                </c:pt>
                <c:pt idx="7">
                  <c:v>3</c:v>
                </c:pt>
                <c:pt idx="8">
                  <c:v>2.9</c:v>
                </c:pt>
                <c:pt idx="9">
                  <c:v>0</c:v>
                </c:pt>
                <c:pt idx="10">
                  <c:v>0</c:v>
                </c:pt>
                <c:pt idx="11">
                  <c:v>2.8</c:v>
                </c:pt>
                <c:pt idx="12">
                  <c:v>2.75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B210-4B57-ADE9-4AA0780325FE}"/>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t"/>
        <c:majorGridlines>
          <c:spPr>
            <a:ln>
              <a:solidFill>
                <a:srgbClr val="EDEDED"/>
              </a:solidFill>
              <a:prstDash val="solid"/>
            </a:ln>
          </c:spPr>
        </c:majorGridlines>
        <c:numFmt formatCode="0.00;\-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Classifica!$AL$3</c:f>
          <c:strCache>
            <c:ptCount val="1"/>
            <c:pt idx="0">
              <c:v>Lente di Mosca: chi e' in ritardo, e di quanto (anni)</c:v>
            </c:pt>
          </c:strCache>
        </c:strRef>
      </c:tx>
      <c:overlay val="0"/>
    </c:title>
    <c:autoTitleDeleted val="0"/>
    <c:plotArea>
      <c:layout/>
      <c:barChart>
        <c:barDir val="col"/>
        <c:grouping val="stacked"/>
        <c:varyColors val="0"/>
        <c:ser>
          <c:idx val="0"/>
          <c:order val="0"/>
          <c:tx>
            <c:v>X: decidere e avviare</c:v>
          </c:tx>
          <c:spPr>
            <a:solidFill>
              <a:srgbClr val="BFBFBF"/>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[0]!lenteX</c:f>
              <c:numCache>
                <c:formatCode>General</c:formatCode>
                <c:ptCount val="13"/>
                <c:pt idx="0">
                  <c:v>0.25</c:v>
                </c:pt>
                <c:pt idx="1">
                  <c:v>0.25</c:v>
                </c:pt>
                <c:pt idx="2">
                  <c:v>0.25</c:v>
                </c:pt>
                <c:pt idx="3">
                  <c:v>0.25</c:v>
                </c:pt>
                <c:pt idx="4">
                  <c:v>0.25</c:v>
                </c:pt>
                <c:pt idx="5">
                  <c:v>0.25</c:v>
                </c:pt>
                <c:pt idx="6">
                  <c:v>0.25</c:v>
                </c:pt>
                <c:pt idx="7">
                  <c:v>0.25</c:v>
                </c:pt>
                <c:pt idx="8">
                  <c:v>0.25</c:v>
                </c:pt>
                <c:pt idx="9">
                  <c:v>0.25</c:v>
                </c:pt>
                <c:pt idx="10">
                  <c:v>0.25</c:v>
                </c:pt>
                <c:pt idx="11">
                  <c:v>0.25</c:v>
                </c:pt>
                <c:pt idx="12">
                  <c:v>0.25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8578-41AC-A8E7-565E138866D1}"/>
            </c:ext>
          </c:extLst>
        </c:ser>
        <c:ser>
          <c:idx val="1"/>
          <c:order val="1"/>
          <c:tx>
            <c:v>Y: mitigare, entro Z</c:v>
          </c:tx>
          <c:spPr>
            <a:solidFill>
              <a:srgbClr val="ED7D31"/>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[0]!lenteY</c:f>
              <c:numCache>
                <c:formatCode>General</c:formatCode>
                <c:ptCount val="13"/>
                <c:pt idx="0">
                  <c:v>#N/A</c:v>
                </c:pt>
                <c:pt idx="1">
                  <c:v>#N/A</c:v>
                </c:pt>
                <c:pt idx="2">
                  <c:v>0.25</c:v>
                </c:pt>
                <c:pt idx="3">
                  <c:v>0.25</c:v>
                </c:pt>
                <c:pt idx="4">
                  <c:v>1</c:v>
                </c:pt>
                <c:pt idx="5">
                  <c:v>0.5</c:v>
                </c:pt>
                <c:pt idx="6">
                  <c:v>0.5</c:v>
                </c:pt>
                <c:pt idx="7">
                  <c:v>0.25</c:v>
                </c:pt>
                <c:pt idx="8">
                  <c:v>0.25</c:v>
                </c:pt>
                <c:pt idx="9">
                  <c:v>0.25</c:v>
                </c:pt>
                <c:pt idx="10">
                  <c:v>0.25</c:v>
                </c:pt>
                <c:pt idx="11">
                  <c:v>1</c:v>
                </c:pt>
                <c:pt idx="12">
                  <c:v>0.5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8578-41AC-A8E7-565E138866D1}"/>
            </c:ext>
          </c:extLst>
        </c:ser>
        <c:ser>
          <c:idx val="2"/>
          <c:order val="2"/>
          <c:tx>
            <c:v>Y: mitigare, OLTRE Z</c:v>
          </c:tx>
          <c:spPr>
            <a:solidFill>
              <a:srgbClr val="C00000"/>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[0]!lenteYOltre</c:f>
              <c:numCache>
                <c:formatCode>General</c:formatCode>
                <c:ptCount val="13"/>
                <c:pt idx="0">
                  <c:v>3</c:v>
                </c:pt>
                <c:pt idx="1">
                  <c:v>0.25</c:v>
                </c:pt>
                <c:pt idx="2">
                  <c:v>#N/A</c:v>
                </c:pt>
                <c:pt idx="3">
                  <c:v>#N/A</c:v>
                </c:pt>
                <c:pt idx="4">
                  <c:v>#N/A</c:v>
                </c:pt>
                <c:pt idx="5">
                  <c:v>#N/A</c:v>
                </c:pt>
                <c:pt idx="6">
                  <c:v>#N/A</c:v>
                </c:pt>
                <c:pt idx="7">
                  <c:v>#N/A</c:v>
                </c:pt>
                <c:pt idx="8">
                  <c:v>#N/A</c:v>
                </c:pt>
                <c:pt idx="9">
                  <c:v>#N/A</c:v>
                </c:pt>
                <c:pt idx="10">
                  <c:v>#N/A</c:v>
                </c:pt>
                <c:pt idx="11">
                  <c:v>#N/A</c:v>
                </c:pt>
                <c:pt idx="12">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8578-41AC-A8E7-565E138866D1}"/>
            </c:ext>
          </c:extLst>
        </c:ser>
        <c:dLbls>
          <c:showLegendKey val="0"/>
          <c:showVal val="0"/>
          <c:showCatName val="0"/>
          <c:showSerName val="0"/>
          <c:showPercent val="0"/>
          <c:showBubbleSize val="0"/>
        </c:dLbls>
        <c:gapWidth val="60"/>
        <c:overlap val="100"/>
        <c:axId val="10"/>
        <c:axId val="100"/>
      </c:barChart>
      <c:lineChart>
        <c:grouping val="standard"/>
        <c:varyColors val="1"/>
        <c:ser>
          <c:idx val="3"/>
          <c:order val="3"/>
          <c:tx>
            <c:v>Z: tempo disponibile</c:v>
          </c:tx>
          <c:spPr>
            <a:ln>
              <a:noFill/>
              <a:prstDash val="solid"/>
            </a:ln>
          </c:spPr>
          <c:marker>
            <c:symbol val="diamond"/>
            <c:size val="10"/>
            <c:spPr>
              <a:solidFill>
                <a:srgbClr val="1F3864"/>
              </a:solidFill>
              <a:ln>
                <a:solidFill>
                  <a:srgbClr val="1F3864"/>
                </a:solidFill>
                <a:prstDash val="solid"/>
              </a:ln>
            </c:spPr>
          </c:marker>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[0]!lenteZ</c:f>
              <c:numCache>
                <c:formatCode>General</c:formatCode>
                <c:ptCount val="13"/>
                <c:pt idx="0">
                  <c:v>1.5</c:v>
                </c:pt>
                <c:pt idx="1">
                  <c:v>0</c:v>
                </c:pt>
                <c:pt idx="2">
                  <c:v>0.5</c:v>
                </c:pt>
                <c:pt idx="3">
                  <c:v>0.5</c:v>
                </c:pt>
                <c:pt idx="4">
                  <c:v>1.5</c:v>
                </c:pt>
                <c:pt idx="5">
                  <c:v>1.5</c:v>
                </c:pt>
                <c:pt idx="6">
                  <c:v>1.5</c:v>
                </c:pt>
                <c:pt idx="7">
                  <c:v>1.5</c:v>
                </c:pt>
                <c:pt idx="8">
                  <c:v>1.5</c:v>
                </c:pt>
                <c:pt idx="9">
                  <c:v>1.5</c:v>
                </c:pt>
                <c:pt idx="10">
                  <c:v>1.5</c:v>
                </c:pt>
                <c:pt idx="11">
                  <c:v>2.5</c:v>
                </c:pt>
                <c:pt idx="12">
                  <c:v>2.5</c:v>
                </c:pt>
              </c:numCache>
            </c:numRef>
          </c:val>
          <c:smooth val="0"/>
          <c:extLst>
            <c:ext xmlns:c16="http://schemas.microsoft.com/office/drawing/2014/chart" uri="{C3380CC4-5D6E-409C-BE32-E72D297353CC}">
              <c16:uniqueId val="{00000003-8578-41AC-A8E7-565E138866D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title>
          <c:tx>
            <c:rich>
              <a:bodyPr/>
              <a:lstStyle/>
              <a:p>
                <a:pPr>
                  <a:defRPr/>
                </a:pPr>
                <a:r>
                  <a:t>anni</a:t>
                </a:r>
              </a:p>
            </c:rich>
          </c:tx>
          <c:overlay val="1"/>
        </c:title>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Radar_Mosca!$AE$5:$AE$77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Radar_Mosca!$AF$5:$AF$77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D0F2-4FD5-AFDE-84D66CB3CC4E}"/>
            </c:ext>
          </c:extLst>
        </c:ser>
        <c:ser>
          <c:idx val="1"/>
          <c:order val="1"/>
          <c:tx>
            <c:v>1 anno</c:v>
          </c:tx>
          <c:spPr>
            <a:ln w="12700">
              <a:solidFill>
                <a:srgbClr val="8C8C8C"/>
              </a:solidFill>
              <a:prstDash val="dash"/>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Radar_Mosca!$AG$5:$AG$77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Radar_Mosca!$AH$5:$AH$77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3-D0F2-4FD5-AFDE-84D66CB3CC4E}"/>
            </c:ext>
          </c:extLst>
        </c:ser>
        <c:ser>
          <c:idx val="2"/>
          <c:order val="2"/>
          <c:tx>
            <c:v>2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Radar_Mosca!$AI$5:$AI$77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Radar_Mosca!$AJ$5:$AJ$77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5-D0F2-4FD5-AFDE-84D66CB3CC4E}"/>
            </c:ext>
          </c:extLst>
        </c:ser>
        <c:ser>
          <c:idx val="3"/>
          <c:order val="3"/>
          <c:tx>
            <c:v>3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Radar_Mosca!$AK$5:$AK$77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Radar_Mosca!$AL$5:$AL$77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7-D0F2-4FD5-AFDE-84D66CB3CC4E}"/>
            </c:ext>
          </c:extLst>
        </c:ser>
        <c:ser>
          <c:idx val="4"/>
          <c:order val="4"/>
          <c:tx>
            <c:v>Settore 1</c:v>
          </c:tx>
          <c:spPr>
            <a:ln w="9525">
              <a:solidFill>
                <a:srgbClr val="E7E6E6"/>
              </a:solidFill>
              <a:prstDash val="solid"/>
            </a:ln>
          </c:spPr>
          <c:marker>
            <c:symbol val="none"/>
          </c:marker>
          <c:xVal>
            <c:numRef>
              <c:f>Radar_Mosca!$AN$5:$AN$6</c:f>
              <c:numCache>
                <c:formatCode>General</c:formatCode>
                <c:ptCount val="2"/>
                <c:pt idx="0">
                  <c:v>0</c:v>
                </c:pt>
                <c:pt idx="1">
                  <c:v>0</c:v>
                </c:pt>
              </c:numCache>
            </c:numRef>
          </c:xVal>
          <c:yVal>
            <c:numRef>
              <c:f>Radar_Mosca!$AO$5:$AO$6</c:f>
              <c:numCache>
                <c:formatCode>General</c:formatCode>
                <c:ptCount val="2"/>
                <c:pt idx="0">
                  <c:v>0</c:v>
                </c:pt>
                <c:pt idx="1">
                  <c:v>6.3</c:v>
                </c:pt>
              </c:numCache>
            </c:numRef>
          </c:yVal>
          <c:smooth val="1"/>
          <c:extLst>
            <c:ext xmlns:c16="http://schemas.microsoft.com/office/drawing/2014/chart" uri="{C3380CC4-5D6E-409C-BE32-E72D297353CC}">
              <c16:uniqueId val="{00000008-D0F2-4FD5-AFDE-84D66CB3CC4E}"/>
            </c:ext>
          </c:extLst>
        </c:ser>
        <c:ser>
          <c:idx val="5"/>
          <c:order val="5"/>
          <c:tx>
            <c:v>Settore 2</c:v>
          </c:tx>
          <c:spPr>
            <a:ln w="9525">
              <a:solidFill>
                <a:srgbClr val="E7E6E6"/>
              </a:solidFill>
              <a:prstDash val="solid"/>
            </a:ln>
          </c:spPr>
          <c:marker>
            <c:symbol val="none"/>
          </c:marker>
          <c:xVal>
            <c:numRef>
              <c:f>Radar_Mosca!$AN$7:$AN$8</c:f>
              <c:numCache>
                <c:formatCode>General</c:formatCode>
                <c:ptCount val="2"/>
                <c:pt idx="0">
                  <c:v>0</c:v>
                </c:pt>
                <c:pt idx="1">
                  <c:v>4.0495619410251971</c:v>
                </c:pt>
              </c:numCache>
            </c:numRef>
          </c:xVal>
          <c:yVal>
            <c:numRef>
              <c:f>Radar_Mosca!$AO$7:$AO$8</c:f>
              <c:numCache>
                <c:formatCode>General</c:formatCode>
                <c:ptCount val="2"/>
                <c:pt idx="0">
                  <c:v>0</c:v>
                </c:pt>
                <c:pt idx="1">
                  <c:v>4.8260799916495616</c:v>
                </c:pt>
              </c:numCache>
            </c:numRef>
          </c:yVal>
          <c:smooth val="1"/>
          <c:extLst>
            <c:ext xmlns:c16="http://schemas.microsoft.com/office/drawing/2014/chart" uri="{C3380CC4-5D6E-409C-BE32-E72D297353CC}">
              <c16:uniqueId val="{00000009-D0F2-4FD5-AFDE-84D66CB3CC4E}"/>
            </c:ext>
          </c:extLst>
        </c:ser>
        <c:ser>
          <c:idx val="6"/>
          <c:order val="6"/>
          <c:tx>
            <c:v>Settore 3</c:v>
          </c:tx>
          <c:spPr>
            <a:ln w="9525">
              <a:solidFill>
                <a:srgbClr val="E7E6E6"/>
              </a:solidFill>
              <a:prstDash val="solid"/>
            </a:ln>
          </c:spPr>
          <c:marker>
            <c:symbol val="none"/>
          </c:marker>
          <c:xVal>
            <c:numRef>
              <c:f>Radar_Mosca!$AN$9:$AN$10</c:f>
              <c:numCache>
                <c:formatCode>General</c:formatCode>
                <c:ptCount val="2"/>
                <c:pt idx="0">
                  <c:v>0</c:v>
                </c:pt>
                <c:pt idx="1">
                  <c:v>6.2042888439769106</c:v>
                </c:pt>
              </c:numCache>
            </c:numRef>
          </c:xVal>
          <c:yVal>
            <c:numRef>
              <c:f>Radar_Mosca!$AO$9:$AO$10</c:f>
              <c:numCache>
                <c:formatCode>General</c:formatCode>
                <c:ptCount val="2"/>
                <c:pt idx="0">
                  <c:v>0</c:v>
                </c:pt>
                <c:pt idx="1">
                  <c:v>1.0939835193016616</c:v>
                </c:pt>
              </c:numCache>
            </c:numRef>
          </c:yVal>
          <c:smooth val="1"/>
          <c:extLst>
            <c:ext xmlns:c16="http://schemas.microsoft.com/office/drawing/2014/chart" uri="{C3380CC4-5D6E-409C-BE32-E72D297353CC}">
              <c16:uniqueId val="{0000000A-D0F2-4FD5-AFDE-84D66CB3CC4E}"/>
            </c:ext>
          </c:extLst>
        </c:ser>
        <c:ser>
          <c:idx val="7"/>
          <c:order val="7"/>
          <c:tx>
            <c:v>Settore 4</c:v>
          </c:tx>
          <c:spPr>
            <a:ln w="9525">
              <a:solidFill>
                <a:srgbClr val="E7E6E6"/>
              </a:solidFill>
              <a:prstDash val="solid"/>
            </a:ln>
          </c:spPr>
          <c:marker>
            <c:symbol val="none"/>
          </c:marker>
          <c:xVal>
            <c:numRef>
              <c:f>Radar_Mosca!$AN$11:$AN$12</c:f>
              <c:numCache>
                <c:formatCode>General</c:formatCode>
                <c:ptCount val="2"/>
                <c:pt idx="0">
                  <c:v>0</c:v>
                </c:pt>
                <c:pt idx="1">
                  <c:v>5.455960043841964</c:v>
                </c:pt>
              </c:numCache>
            </c:numRef>
          </c:xVal>
          <c:yVal>
            <c:numRef>
              <c:f>Radar_Mosca!$AO$11:$AO$12</c:f>
              <c:numCache>
                <c:formatCode>General</c:formatCode>
                <c:ptCount val="2"/>
                <c:pt idx="0">
                  <c:v>0</c:v>
                </c:pt>
                <c:pt idx="1">
                  <c:v>-3.1499999999999986</c:v>
                </c:pt>
              </c:numCache>
            </c:numRef>
          </c:yVal>
          <c:smooth val="1"/>
          <c:extLst>
            <c:ext xmlns:c16="http://schemas.microsoft.com/office/drawing/2014/chart" uri="{C3380CC4-5D6E-409C-BE32-E72D297353CC}">
              <c16:uniqueId val="{0000000B-D0F2-4FD5-AFDE-84D66CB3CC4E}"/>
            </c:ext>
          </c:extLst>
        </c:ser>
        <c:ser>
          <c:idx val="8"/>
          <c:order val="8"/>
          <c:tx>
            <c:v>Settore 5</c:v>
          </c:tx>
          <c:spPr>
            <a:ln w="9525">
              <a:solidFill>
                <a:srgbClr val="E7E6E6"/>
              </a:solidFill>
              <a:prstDash val="solid"/>
            </a:ln>
          </c:spPr>
          <c:marker>
            <c:symbol val="none"/>
          </c:marker>
          <c:xVal>
            <c:numRef>
              <c:f>Radar_Mosca!$AN$13:$AN$14</c:f>
              <c:numCache>
                <c:formatCode>General</c:formatCode>
                <c:ptCount val="2"/>
                <c:pt idx="0">
                  <c:v>0</c:v>
                </c:pt>
                <c:pt idx="1">
                  <c:v>2.154726902951714</c:v>
                </c:pt>
              </c:numCache>
            </c:numRef>
          </c:xVal>
          <c:yVal>
            <c:numRef>
              <c:f>Radar_Mosca!$AO$13:$AO$14</c:f>
              <c:numCache>
                <c:formatCode>General</c:formatCode>
                <c:ptCount val="2"/>
                <c:pt idx="0">
                  <c:v>0</c:v>
                </c:pt>
                <c:pt idx="1">
                  <c:v>-5.9200635109512225</c:v>
                </c:pt>
              </c:numCache>
            </c:numRef>
          </c:yVal>
          <c:smooth val="1"/>
          <c:extLst>
            <c:ext xmlns:c16="http://schemas.microsoft.com/office/drawing/2014/chart" uri="{C3380CC4-5D6E-409C-BE32-E72D297353CC}">
              <c16:uniqueId val="{0000000C-D0F2-4FD5-AFDE-84D66CB3CC4E}"/>
            </c:ext>
          </c:extLst>
        </c:ser>
        <c:ser>
          <c:idx val="9"/>
          <c:order val="9"/>
          <c:tx>
            <c:v>Settore 6</c:v>
          </c:tx>
          <c:spPr>
            <a:ln w="9525">
              <a:solidFill>
                <a:srgbClr val="E7E6E6"/>
              </a:solidFill>
              <a:prstDash val="solid"/>
            </a:ln>
          </c:spPr>
          <c:marker>
            <c:symbol val="none"/>
          </c:marker>
          <c:xVal>
            <c:numRef>
              <c:f>Radar_Mosca!$AN$15:$AN$16</c:f>
              <c:numCache>
                <c:formatCode>General</c:formatCode>
                <c:ptCount val="2"/>
                <c:pt idx="0">
                  <c:v>0</c:v>
                </c:pt>
                <c:pt idx="1">
                  <c:v>-2.1547269029517127</c:v>
                </c:pt>
              </c:numCache>
            </c:numRef>
          </c:xVal>
          <c:yVal>
            <c:numRef>
              <c:f>Radar_Mosca!$AO$15:$AO$16</c:f>
              <c:numCache>
                <c:formatCode>General</c:formatCode>
                <c:ptCount val="2"/>
                <c:pt idx="0">
                  <c:v>0</c:v>
                </c:pt>
                <c:pt idx="1">
                  <c:v>-5.9200635109512225</c:v>
                </c:pt>
              </c:numCache>
            </c:numRef>
          </c:yVal>
          <c:smooth val="1"/>
          <c:extLst>
            <c:ext xmlns:c16="http://schemas.microsoft.com/office/drawing/2014/chart" uri="{C3380CC4-5D6E-409C-BE32-E72D297353CC}">
              <c16:uniqueId val="{0000000D-D0F2-4FD5-AFDE-84D66CB3CC4E}"/>
            </c:ext>
          </c:extLst>
        </c:ser>
        <c:ser>
          <c:idx val="10"/>
          <c:order val="10"/>
          <c:tx>
            <c:v>Settore 7</c:v>
          </c:tx>
          <c:spPr>
            <a:ln w="9525">
              <a:solidFill>
                <a:srgbClr val="E7E6E6"/>
              </a:solidFill>
              <a:prstDash val="solid"/>
            </a:ln>
          </c:spPr>
          <c:marker>
            <c:symbol val="none"/>
          </c:marker>
          <c:xVal>
            <c:numRef>
              <c:f>Radar_Mosca!$AN$17:$AN$18</c:f>
              <c:numCache>
                <c:formatCode>General</c:formatCode>
                <c:ptCount val="2"/>
                <c:pt idx="0">
                  <c:v>0</c:v>
                </c:pt>
                <c:pt idx="1">
                  <c:v>-5.4559600438419613</c:v>
                </c:pt>
              </c:numCache>
            </c:numRef>
          </c:xVal>
          <c:yVal>
            <c:numRef>
              <c:f>Radar_Mosca!$AO$17:$AO$18</c:f>
              <c:numCache>
                <c:formatCode>General</c:formatCode>
                <c:ptCount val="2"/>
                <c:pt idx="0">
                  <c:v>0</c:v>
                </c:pt>
                <c:pt idx="1">
                  <c:v>-3.1500000000000026</c:v>
                </c:pt>
              </c:numCache>
            </c:numRef>
          </c:yVal>
          <c:smooth val="1"/>
          <c:extLst>
            <c:ext xmlns:c16="http://schemas.microsoft.com/office/drawing/2014/chart" uri="{C3380CC4-5D6E-409C-BE32-E72D297353CC}">
              <c16:uniqueId val="{0000000E-D0F2-4FD5-AFDE-84D66CB3CC4E}"/>
            </c:ext>
          </c:extLst>
        </c:ser>
        <c:ser>
          <c:idx val="11"/>
          <c:order val="11"/>
          <c:tx>
            <c:v>Settore 8</c:v>
          </c:tx>
          <c:spPr>
            <a:ln w="9525">
              <a:solidFill>
                <a:srgbClr val="E7E6E6"/>
              </a:solidFill>
              <a:prstDash val="solid"/>
            </a:ln>
          </c:spPr>
          <c:marker>
            <c:symbol val="none"/>
          </c:marker>
          <c:xVal>
            <c:numRef>
              <c:f>Radar_Mosca!$AN$19:$AN$20</c:f>
              <c:numCache>
                <c:formatCode>General</c:formatCode>
                <c:ptCount val="2"/>
                <c:pt idx="0">
                  <c:v>0</c:v>
                </c:pt>
                <c:pt idx="1">
                  <c:v>-6.2042888439769115</c:v>
                </c:pt>
              </c:numCache>
            </c:numRef>
          </c:xVal>
          <c:yVal>
            <c:numRef>
              <c:f>Radar_Mosca!$AO$19:$AO$20</c:f>
              <c:numCache>
                <c:formatCode>General</c:formatCode>
                <c:ptCount val="2"/>
                <c:pt idx="0">
                  <c:v>0</c:v>
                </c:pt>
                <c:pt idx="1">
                  <c:v>1.0939835193016587</c:v>
                </c:pt>
              </c:numCache>
            </c:numRef>
          </c:yVal>
          <c:smooth val="1"/>
          <c:extLst>
            <c:ext xmlns:c16="http://schemas.microsoft.com/office/drawing/2014/chart" uri="{C3380CC4-5D6E-409C-BE32-E72D297353CC}">
              <c16:uniqueId val="{0000000F-D0F2-4FD5-AFDE-84D66CB3CC4E}"/>
            </c:ext>
          </c:extLst>
        </c:ser>
        <c:ser>
          <c:idx val="12"/>
          <c:order val="12"/>
          <c:tx>
            <c:v>Settore 9</c:v>
          </c:tx>
          <c:spPr>
            <a:ln w="9525">
              <a:solidFill>
                <a:srgbClr val="E7E6E6"/>
              </a:solidFill>
              <a:prstDash val="solid"/>
            </a:ln>
          </c:spPr>
          <c:marker>
            <c:symbol val="none"/>
          </c:marker>
          <c:xVal>
            <c:numRef>
              <c:f>Radar_Mosca!$AN$21:$AN$22</c:f>
              <c:numCache>
                <c:formatCode>General</c:formatCode>
                <c:ptCount val="2"/>
                <c:pt idx="0">
                  <c:v>0</c:v>
                </c:pt>
                <c:pt idx="1">
                  <c:v>-4.0495619410251988</c:v>
                </c:pt>
              </c:numCache>
            </c:numRef>
          </c:xVal>
          <c:yVal>
            <c:numRef>
              <c:f>Radar_Mosca!$AO$21:$AO$22</c:f>
              <c:numCache>
                <c:formatCode>General</c:formatCode>
                <c:ptCount val="2"/>
                <c:pt idx="0">
                  <c:v>0</c:v>
                </c:pt>
                <c:pt idx="1">
                  <c:v>4.8260799916495598</c:v>
                </c:pt>
              </c:numCache>
            </c:numRef>
          </c:yVal>
          <c:smooth val="1"/>
          <c:extLst>
            <c:ext xmlns:c16="http://schemas.microsoft.com/office/drawing/2014/chart" uri="{C3380CC4-5D6E-409C-BE32-E72D297353CC}">
              <c16:uniqueId val="{00000010-D0F2-4FD5-AFDE-84D66CB3CC4E}"/>
            </c:ext>
          </c:extLst>
        </c:ser>
        <c:ser>
          <c:idx val="13"/>
          <c:order val="13"/>
          <c:tx>
            <c:strRef>
              <c:f>Radar_Mosca!$AQ$5</c:f>
              <c:strCache>
                <c:ptCount val="1"/>
                <c:pt idx="0">
                  <c:v>9.1
Condotta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Radar_Mosca!$AR$5</c:f>
              <c:numCache>
                <c:formatCode>General</c:formatCode>
                <c:ptCount val="1"/>
                <c:pt idx="0">
                  <c:v>2.3770399961133974</c:v>
                </c:pt>
              </c:numCache>
            </c:numRef>
          </c:xVal>
          <c:yVal>
            <c:numRef>
              <c:f>Radar_Mosca!$AS$5</c:f>
              <c:numCache>
                <c:formatCode>General</c:formatCode>
                <c:ptCount val="1"/>
                <c:pt idx="0">
                  <c:v>6.5308637144620638</c:v>
                </c:pt>
              </c:numCache>
            </c:numRef>
          </c:yVal>
          <c:smooth val="1"/>
          <c:extLst>
            <c:ext xmlns:c16="http://schemas.microsoft.com/office/drawing/2014/chart" uri="{C3380CC4-5D6E-409C-BE32-E72D297353CC}">
              <c16:uniqueId val="{00000011-D0F2-4FD5-AFDE-84D66CB3CC4E}"/>
            </c:ext>
          </c:extLst>
        </c:ser>
        <c:ser>
          <c:idx val="14"/>
          <c:order val="14"/>
          <c:tx>
            <c:strRef>
              <c:f>Radar_Mosca!$AQ$6</c:f>
              <c:strCache>
                <c:ptCount val="1"/>
                <c:pt idx="0">
                  <c:v>9.4
Legale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Radar_Mosca!$AR$6</c:f>
              <c:numCache>
                <c:formatCode>General</c:formatCode>
                <c:ptCount val="1"/>
                <c:pt idx="0">
                  <c:v>6.0188765563018487</c:v>
                </c:pt>
              </c:numCache>
            </c:numRef>
          </c:xVal>
          <c:yVal>
            <c:numRef>
              <c:f>Radar_Mosca!$AS$6</c:f>
              <c:numCache>
                <c:formatCode>General</c:formatCode>
                <c:ptCount val="1"/>
                <c:pt idx="0">
                  <c:v>3.475000000000001</c:v>
                </c:pt>
              </c:numCache>
            </c:numRef>
          </c:yVal>
          <c:smooth val="1"/>
          <c:extLst>
            <c:ext xmlns:c16="http://schemas.microsoft.com/office/drawing/2014/chart" uri="{C3380CC4-5D6E-409C-BE32-E72D297353CC}">
              <c16:uniqueId val="{00000012-D0F2-4FD5-AFDE-84D66CB3CC4E}"/>
            </c:ext>
          </c:extLst>
        </c:ser>
        <c:ser>
          <c:idx val="15"/>
          <c:order val="15"/>
          <c:tx>
            <c:strRef>
              <c:f>Radar_Mosca!$AQ$7</c:f>
              <c:strCache>
                <c:ptCount val="1"/>
                <c:pt idx="0">
                  <c:v>9.5
Fiscale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Radar_Mosca!$AR$7</c:f>
              <c:numCache>
                <c:formatCode>General</c:formatCode>
                <c:ptCount val="1"/>
                <c:pt idx="0">
                  <c:v>6.8444138834348456</c:v>
                </c:pt>
              </c:numCache>
            </c:numRef>
          </c:xVal>
          <c:yVal>
            <c:numRef>
              <c:f>Radar_Mosca!$AS$7</c:f>
              <c:numCache>
                <c:formatCode>General</c:formatCode>
                <c:ptCount val="1"/>
                <c:pt idx="0">
                  <c:v>-1.2068548347851655</c:v>
                </c:pt>
              </c:numCache>
            </c:numRef>
          </c:yVal>
          <c:smooth val="1"/>
          <c:extLst>
            <c:ext xmlns:c16="http://schemas.microsoft.com/office/drawing/2014/chart" uri="{C3380CC4-5D6E-409C-BE32-E72D297353CC}">
              <c16:uniqueId val="{00000013-D0F2-4FD5-AFDE-84D66CB3CC4E}"/>
            </c:ext>
          </c:extLst>
        </c:ser>
        <c:ser>
          <c:idx val="16"/>
          <c:order val="16"/>
          <c:tx>
            <c:strRef>
              <c:f>Radar_Mosca!$AQ$8</c:f>
              <c:strCache>
                <c:ptCount val="1"/>
                <c:pt idx="0">
                  <c:v>9.6
Tecnologico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Radar_Mosca!$AR$8</c:f>
              <c:numCache>
                <c:formatCode>General</c:formatCode>
                <c:ptCount val="1"/>
                <c:pt idx="0">
                  <c:v>4.4673738873214495</c:v>
                </c:pt>
              </c:numCache>
            </c:numRef>
          </c:xVal>
          <c:yVal>
            <c:numRef>
              <c:f>Radar_Mosca!$AS$8</c:f>
              <c:numCache>
                <c:formatCode>General</c:formatCode>
                <c:ptCount val="1"/>
                <c:pt idx="0">
                  <c:v>-5.3240088796768967</c:v>
                </c:pt>
              </c:numCache>
            </c:numRef>
          </c:yVal>
          <c:smooth val="1"/>
          <c:extLst>
            <c:ext xmlns:c16="http://schemas.microsoft.com/office/drawing/2014/chart" uri="{C3380CC4-5D6E-409C-BE32-E72D297353CC}">
              <c16:uniqueId val="{00000014-D0F2-4FD5-AFDE-84D66CB3CC4E}"/>
            </c:ext>
          </c:extLst>
        </c:ser>
        <c:ser>
          <c:idx val="17"/>
          <c:order val="17"/>
          <c:tx>
            <c:strRef>
              <c:f>Radar_Mosca!$AQ$9</c:f>
              <c:strCache>
                <c:ptCount val="1"/>
                <c:pt idx="0">
                  <c:v>9.7
Sicurezza informatica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Radar_Mosca!$AR$9</c:f>
              <c:numCache>
                <c:formatCode>General</c:formatCode>
                <c:ptCount val="1"/>
                <c:pt idx="0">
                  <c:v>8.5147817616149091E-16</c:v>
                </c:pt>
              </c:numCache>
            </c:numRef>
          </c:xVal>
          <c:yVal>
            <c:numRef>
              <c:f>Radar_Mosca!$AS$9</c:f>
              <c:numCache>
                <c:formatCode>General</c:formatCode>
                <c:ptCount val="1"/>
                <c:pt idx="0">
                  <c:v>-6.95</c:v>
                </c:pt>
              </c:numCache>
            </c:numRef>
          </c:yVal>
          <c:smooth val="1"/>
          <c:extLst>
            <c:ext xmlns:c16="http://schemas.microsoft.com/office/drawing/2014/chart" uri="{C3380CC4-5D6E-409C-BE32-E72D297353CC}">
              <c16:uniqueId val="{00000015-D0F2-4FD5-AFDE-84D66CB3CC4E}"/>
            </c:ext>
          </c:extLst>
        </c:ser>
        <c:ser>
          <c:idx val="18"/>
          <c:order val="18"/>
          <c:tx>
            <c:strRef>
              <c:f>Radar_Mosca!$AQ$10</c:f>
              <c:strCache>
                <c:ptCount val="1"/>
                <c:pt idx="0">
                  <c:v>9.8
Sicurezza fisica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Radar_Mosca!$AR$10</c:f>
              <c:numCache>
                <c:formatCode>General</c:formatCode>
                <c:ptCount val="1"/>
                <c:pt idx="0">
                  <c:v>-4.4673738873214459</c:v>
                </c:pt>
              </c:numCache>
            </c:numRef>
          </c:xVal>
          <c:yVal>
            <c:numRef>
              <c:f>Radar_Mosca!$AS$10</c:f>
              <c:numCache>
                <c:formatCode>General</c:formatCode>
                <c:ptCount val="1"/>
                <c:pt idx="0">
                  <c:v>-5.3240088796768994</c:v>
                </c:pt>
              </c:numCache>
            </c:numRef>
          </c:yVal>
          <c:smooth val="1"/>
          <c:extLst>
            <c:ext xmlns:c16="http://schemas.microsoft.com/office/drawing/2014/chart" uri="{C3380CC4-5D6E-409C-BE32-E72D297353CC}">
              <c16:uniqueId val="{00000016-D0F2-4FD5-AFDE-84D66CB3CC4E}"/>
            </c:ext>
          </c:extLst>
        </c:ser>
        <c:ser>
          <c:idx val="19"/>
          <c:order val="19"/>
          <c:tx>
            <c:strRef>
              <c:f>Radar_Mosca!$AQ$11</c:f>
              <c:strCache>
                <c:ptCount val="1"/>
                <c:pt idx="0">
                  <c:v>9.9
Terze parti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Radar_Mosca!$AR$11</c:f>
              <c:numCache>
                <c:formatCode>General</c:formatCode>
                <c:ptCount val="1"/>
                <c:pt idx="0">
                  <c:v>-6.8444138834348456</c:v>
                </c:pt>
              </c:numCache>
            </c:numRef>
          </c:xVal>
          <c:yVal>
            <c:numRef>
              <c:f>Radar_Mosca!$AS$11</c:f>
              <c:numCache>
                <c:formatCode>General</c:formatCode>
                <c:ptCount val="1"/>
                <c:pt idx="0">
                  <c:v>-1.2068548347851658</c:v>
                </c:pt>
              </c:numCache>
            </c:numRef>
          </c:yVal>
          <c:smooth val="1"/>
          <c:extLst>
            <c:ext xmlns:c16="http://schemas.microsoft.com/office/drawing/2014/chart" uri="{C3380CC4-5D6E-409C-BE32-E72D297353CC}">
              <c16:uniqueId val="{00000017-D0F2-4FD5-AFDE-84D66CB3CC4E}"/>
            </c:ext>
          </c:extLst>
        </c:ser>
        <c:ser>
          <c:idx val="20"/>
          <c:order val="20"/>
          <c:tx>
            <c:strRef>
              <c:f>Radar_Mosca!$AQ$12</c:f>
              <c:strCache>
                <c:ptCount val="1"/>
                <c:pt idx="0">
                  <c:v>9.11
Employer</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Radar_Mosca!$AR$12</c:f>
              <c:numCache>
                <c:formatCode>General</c:formatCode>
                <c:ptCount val="1"/>
                <c:pt idx="0">
                  <c:v>-6.0188765563018514</c:v>
                </c:pt>
              </c:numCache>
            </c:numRef>
          </c:xVal>
          <c:yVal>
            <c:numRef>
              <c:f>Radar_Mosca!$AS$12</c:f>
              <c:numCache>
                <c:formatCode>General</c:formatCode>
                <c:ptCount val="1"/>
                <c:pt idx="0">
                  <c:v>3.4749999999999956</c:v>
                </c:pt>
              </c:numCache>
            </c:numRef>
          </c:yVal>
          <c:smooth val="1"/>
          <c:extLst>
            <c:ext xmlns:c16="http://schemas.microsoft.com/office/drawing/2014/chart" uri="{C3380CC4-5D6E-409C-BE32-E72D297353CC}">
              <c16:uniqueId val="{00000018-D0F2-4FD5-AFDE-84D66CB3CC4E}"/>
            </c:ext>
          </c:extLst>
        </c:ser>
        <c:ser>
          <c:idx val="21"/>
          <c:order val="21"/>
          <c:tx>
            <c:strRef>
              <c:f>Radar_Mosca!$AQ$13</c:f>
              <c:strCache>
                <c:ptCount val="1"/>
                <c:pt idx="0">
                  <c:v>9.13
Processo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Radar_Mosca!$AR$13</c:f>
              <c:numCache>
                <c:formatCode>General</c:formatCode>
                <c:ptCount val="1"/>
                <c:pt idx="0">
                  <c:v>-2.377039996113397</c:v>
                </c:pt>
              </c:numCache>
            </c:numRef>
          </c:xVal>
          <c:yVal>
            <c:numRef>
              <c:f>Radar_Mosca!$AS$13</c:f>
              <c:numCache>
                <c:formatCode>General</c:formatCode>
                <c:ptCount val="1"/>
                <c:pt idx="0">
                  <c:v>6.5308637144620638</c:v>
                </c:pt>
              </c:numCache>
            </c:numRef>
          </c:yVal>
          <c:smooth val="1"/>
          <c:extLst>
            <c:ext xmlns:c16="http://schemas.microsoft.com/office/drawing/2014/chart" uri="{C3380CC4-5D6E-409C-BE32-E72D297353CC}">
              <c16:uniqueId val="{00000019-D0F2-4FD5-AFDE-84D66CB3CC4E}"/>
            </c:ext>
          </c:extLst>
        </c:ser>
        <c:ser>
          <c:idx val="22"/>
          <c:order val="22"/>
          <c:tx>
            <c:v>P x I = 1 (Attivazione)</c:v>
          </c:tx>
          <c:spPr>
            <a:ln>
              <a:noFill/>
              <a:prstDash val="solid"/>
            </a:ln>
          </c:spPr>
          <c:marker>
            <c:symbol val="circle"/>
            <c:size val="1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Radar_Mosca!$AU$5:$AU$24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D0F2-4FD5-AFDE-84D66CB3CC4E}"/>
            </c:ext>
          </c:extLst>
        </c:ser>
        <c:ser>
          <c:idx val="23"/>
          <c:order val="23"/>
          <c:tx>
            <c:v>P x I = 2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Radar_Mosca!$AV$5:$AV$24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D0F2-4FD5-AFDE-84D66CB3CC4E}"/>
            </c:ext>
          </c:extLst>
        </c:ser>
        <c:ser>
          <c:idx val="24"/>
          <c:order val="24"/>
          <c:tx>
            <c:v>P x I = 3 (Attivazione)</c:v>
          </c:tx>
          <c:spPr>
            <a:ln>
              <a:noFill/>
              <a:prstDash val="solid"/>
            </a:ln>
          </c:spPr>
          <c:marker>
            <c:symbol val="circle"/>
            <c:size val="17"/>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Radar_Mosca!$AW$5:$AW$24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D0F2-4FD5-AFDE-84D66CB3CC4E}"/>
            </c:ext>
          </c:extLst>
        </c:ser>
        <c:ser>
          <c:idx val="25"/>
          <c:order val="25"/>
          <c:tx>
            <c:v>P x I = 4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Radar_Mosca!$AX$5:$AX$24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D0F2-4FD5-AFDE-84D66CB3CC4E}"/>
            </c:ext>
          </c:extLst>
        </c:ser>
        <c:ser>
          <c:idx val="26"/>
          <c:order val="26"/>
          <c:tx>
            <c:v>P x I = 5 (Attivazione)</c:v>
          </c:tx>
          <c:spPr>
            <a:ln>
              <a:noFill/>
              <a:prstDash val="solid"/>
            </a:ln>
          </c:spPr>
          <c:marker>
            <c:symbol val="circle"/>
            <c:size val="22"/>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Radar_Mosca!$AY$5:$AY$24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D0F2-4FD5-AFDE-84D66CB3CC4E}"/>
            </c:ext>
          </c:extLst>
        </c:ser>
        <c:ser>
          <c:idx val="27"/>
          <c:order val="27"/>
          <c:tx>
            <c:v>P x I = 6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Radar_Mosca!$AZ$5:$AZ$24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D0F2-4FD5-AFDE-84D66CB3CC4E}"/>
            </c:ext>
          </c:extLst>
        </c:ser>
        <c:ser>
          <c:idx val="28"/>
          <c:order val="28"/>
          <c:tx>
            <c:v>P x I = 8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Radar_Mosca!$BA$5:$BA$24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D0F2-4FD5-AFDE-84D66CB3CC4E}"/>
            </c:ext>
          </c:extLst>
        </c:ser>
        <c:ser>
          <c:idx val="29"/>
          <c:order val="29"/>
          <c:tx>
            <c:v>P x I = 9 (Attivazione)</c:v>
          </c:tx>
          <c:spPr>
            <a:ln>
              <a:noFill/>
              <a:prstDash val="solid"/>
            </a:ln>
          </c:spPr>
          <c:marker>
            <c:symbol val="circle"/>
            <c:size val="3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Radar_Mosca!$BB$5:$BB$24</c:f>
              <c:numCache>
                <c:formatCode>General</c:formatCode>
                <c:ptCount val="20"/>
                <c:pt idx="0">
                  <c:v>#N/A</c:v>
                </c:pt>
                <c:pt idx="1">
                  <c:v>#N/A</c:v>
                </c:pt>
                <c:pt idx="2">
                  <c:v>#N/A</c:v>
                </c:pt>
                <c:pt idx="3">
                  <c:v>#N/A</c:v>
                </c:pt>
                <c:pt idx="4">
                  <c:v>#N/A</c:v>
                </c:pt>
                <c:pt idx="5">
                  <c:v>#N/A</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D0F2-4FD5-AFDE-84D66CB3CC4E}"/>
            </c:ext>
          </c:extLst>
        </c:ser>
        <c:ser>
          <c:idx val="30"/>
          <c:order val="30"/>
          <c:tx>
            <c:v>P x I = 10 (Attivazione)</c:v>
          </c:tx>
          <c:spPr>
            <a:ln>
              <a:noFill/>
              <a:prstDash val="solid"/>
            </a:ln>
          </c:spPr>
          <c:marker>
            <c:symbol val="circle"/>
            <c:size val="32"/>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Radar_Mosca!$BC$5:$BC$24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D0F2-4FD5-AFDE-84D66CB3CC4E}"/>
            </c:ext>
          </c:extLst>
        </c:ser>
        <c:ser>
          <c:idx val="31"/>
          <c:order val="31"/>
          <c:tx>
            <c:v>P x I = 12 (Attivazione)</c:v>
          </c:tx>
          <c:spPr>
            <a:ln>
              <a:noFill/>
              <a:prstDash val="solid"/>
            </a:ln>
          </c:spPr>
          <c:marker>
            <c:symbol val="circle"/>
            <c:size val="35"/>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Radar_Mosca!$BD$5:$BD$24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D0F2-4FD5-AFDE-84D66CB3CC4E}"/>
            </c:ext>
          </c:extLst>
        </c:ser>
        <c:ser>
          <c:idx val="32"/>
          <c:order val="32"/>
          <c:tx>
            <c:v>P x I = 15 (Attivazione)</c:v>
          </c:tx>
          <c:spPr>
            <a:ln>
              <a:noFill/>
              <a:prstDash val="solid"/>
            </a:ln>
          </c:spPr>
          <c:marker>
            <c:symbol val="circle"/>
            <c:size val="39"/>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Radar_Mosca!$BE$5:$BE$24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D0F2-4FD5-AFDE-84D66CB3CC4E}"/>
            </c:ext>
          </c:extLst>
        </c:ser>
        <c:ser>
          <c:idx val="33"/>
          <c:order val="33"/>
          <c:tx>
            <c:v>P x I = 16 (Attivazione)</c:v>
          </c:tx>
          <c:spPr>
            <a:ln>
              <a:noFill/>
              <a:prstDash val="solid"/>
            </a:ln>
          </c:spPr>
          <c:marker>
            <c:symbol val="circle"/>
            <c:size val="4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Radar_Mosca!$BF$5:$BF$24</c:f>
              <c:numCache>
                <c:formatCode>General</c:formatCode>
                <c:ptCount val="20"/>
                <c:pt idx="0">
                  <c:v>-1.4595673058697358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D0F2-4FD5-AFDE-84D66CB3CC4E}"/>
            </c:ext>
          </c:extLst>
        </c:ser>
        <c:ser>
          <c:idx val="34"/>
          <c:order val="34"/>
          <c:tx>
            <c:v>P x I = 20 (Attivazione)</c:v>
          </c:tx>
          <c:spPr>
            <a:ln>
              <a:noFill/>
              <a:prstDash val="solid"/>
            </a:ln>
          </c:spPr>
          <c:marker>
            <c:symbol val="circle"/>
            <c:size val="45"/>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Radar_Mosca!$BG$5:$BG$24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D0F2-4FD5-AFDE-84D66CB3CC4E}"/>
            </c:ext>
          </c:extLst>
        </c:ser>
        <c:ser>
          <c:idx val="35"/>
          <c:order val="35"/>
          <c:tx>
            <c:v>P x I = 25 (Attivazione)</c:v>
          </c:tx>
          <c:spPr>
            <a:ln>
              <a:noFill/>
              <a:prstDash val="solid"/>
            </a:ln>
          </c:spPr>
          <c:marker>
            <c:symbol val="circle"/>
            <c:size val="5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Radar_Mosca!$BH$5:$BH$24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D0F2-4FD5-AFDE-84D66CB3CC4E}"/>
            </c:ext>
          </c:extLst>
        </c:ser>
        <c:ser>
          <c:idx val="36"/>
          <c:order val="36"/>
          <c:tx>
            <c:v>P x I = 1 (Attenzione)</c:v>
          </c:tx>
          <c:spPr>
            <a:ln>
              <a:noFill/>
              <a:prstDash val="solid"/>
            </a:ln>
          </c:spPr>
          <c:marker>
            <c:symbol val="circle"/>
            <c:size val="1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Radar_Mosca!$BI$5:$BI$24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D0F2-4FD5-AFDE-84D66CB3CC4E}"/>
            </c:ext>
          </c:extLst>
        </c:ser>
        <c:ser>
          <c:idx val="37"/>
          <c:order val="37"/>
          <c:tx>
            <c:v>P x I = 2 (Attenzione)</c:v>
          </c:tx>
          <c:spPr>
            <a:ln>
              <a:noFill/>
              <a:prstDash val="solid"/>
            </a:ln>
          </c:spPr>
          <c:marker>
            <c:symbol val="circle"/>
            <c:size val="14"/>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Radar_Mosca!$BJ$5:$BJ$24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D0F2-4FD5-AFDE-84D66CB3CC4E}"/>
            </c:ext>
          </c:extLst>
        </c:ser>
        <c:ser>
          <c:idx val="38"/>
          <c:order val="38"/>
          <c:tx>
            <c:v>P x I = 3 (Attenzione)</c:v>
          </c:tx>
          <c:spPr>
            <a:ln>
              <a:noFill/>
              <a:prstDash val="solid"/>
            </a:ln>
          </c:spPr>
          <c:marker>
            <c:symbol val="circle"/>
            <c:size val="17"/>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Radar_Mosca!$BK$5:$BK$24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D0F2-4FD5-AFDE-84D66CB3CC4E}"/>
            </c:ext>
          </c:extLst>
        </c:ser>
        <c:ser>
          <c:idx val="39"/>
          <c:order val="39"/>
          <c:tx>
            <c:v>P x I = 4 (Attenzione)</c:v>
          </c:tx>
          <c:spPr>
            <a:ln>
              <a:noFill/>
              <a:prstDash val="solid"/>
            </a:ln>
          </c:spPr>
          <c:marker>
            <c:symbol val="circle"/>
            <c:size val="2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Radar_Mosca!$BL$5:$BL$24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D0F2-4FD5-AFDE-84D66CB3CC4E}"/>
            </c:ext>
          </c:extLst>
        </c:ser>
        <c:ser>
          <c:idx val="40"/>
          <c:order val="40"/>
          <c:tx>
            <c:v>P x I = 5 (Attenzione)</c:v>
          </c:tx>
          <c:spPr>
            <a:ln>
              <a:noFill/>
              <a:prstDash val="solid"/>
            </a:ln>
          </c:spPr>
          <c:marker>
            <c:symbol val="circle"/>
            <c:size val="22"/>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Radar_Mosca!$BM$5:$BM$24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D0F2-4FD5-AFDE-84D66CB3CC4E}"/>
            </c:ext>
          </c:extLst>
        </c:ser>
        <c:ser>
          <c:idx val="41"/>
          <c:order val="41"/>
          <c:tx>
            <c:v>P x I = 6 (Attenzione)</c:v>
          </c:tx>
          <c:spPr>
            <a:ln>
              <a:noFill/>
              <a:prstDash val="solid"/>
            </a:ln>
          </c:spPr>
          <c:marker>
            <c:symbol val="circle"/>
            <c:size val="24"/>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Radar_Mosca!$BN$5:$BN$24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D0F2-4FD5-AFDE-84D66CB3CC4E}"/>
            </c:ext>
          </c:extLst>
        </c:ser>
        <c:ser>
          <c:idx val="42"/>
          <c:order val="42"/>
          <c:tx>
            <c:v>P x I = 8 (Attenzione)</c:v>
          </c:tx>
          <c:spPr>
            <a:ln>
              <a:noFill/>
              <a:prstDash val="solid"/>
            </a:ln>
          </c:spPr>
          <c:marker>
            <c:symbol val="circle"/>
            <c:size val="28"/>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Radar_Mosca!$BO$5:$BO$24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D0F2-4FD5-AFDE-84D66CB3CC4E}"/>
            </c:ext>
          </c:extLst>
        </c:ser>
        <c:ser>
          <c:idx val="43"/>
          <c:order val="43"/>
          <c:tx>
            <c:v>P x I = 9 (Attenzione)</c:v>
          </c:tx>
          <c:spPr>
            <a:ln>
              <a:noFill/>
              <a:prstDash val="solid"/>
            </a:ln>
          </c:spPr>
          <c:marker>
            <c:symbol val="circle"/>
            <c:size val="3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Radar_Mosca!$BP$5:$BP$24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D0F2-4FD5-AFDE-84D66CB3CC4E}"/>
            </c:ext>
          </c:extLst>
        </c:ser>
        <c:ser>
          <c:idx val="44"/>
          <c:order val="44"/>
          <c:tx>
            <c:v>P x I = 10 (Attenzione)</c:v>
          </c:tx>
          <c:spPr>
            <a:ln>
              <a:noFill/>
              <a:prstDash val="solid"/>
            </a:ln>
          </c:spPr>
          <c:marker>
            <c:symbol val="circle"/>
            <c:size val="32"/>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Radar_Mosca!$BQ$5:$BQ$24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D0F2-4FD5-AFDE-84D66CB3CC4E}"/>
            </c:ext>
          </c:extLst>
        </c:ser>
        <c:ser>
          <c:idx val="45"/>
          <c:order val="45"/>
          <c:tx>
            <c:v>P x I = 12 (Attenzione)</c:v>
          </c:tx>
          <c:spPr>
            <a:ln>
              <a:noFill/>
              <a:prstDash val="solid"/>
            </a:ln>
          </c:spPr>
          <c:marker>
            <c:symbol val="circle"/>
            <c:size val="35"/>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Radar_Mosca!$BR$5:$BR$24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D0F2-4FD5-AFDE-84D66CB3CC4E}"/>
            </c:ext>
          </c:extLst>
        </c:ser>
        <c:ser>
          <c:idx val="46"/>
          <c:order val="46"/>
          <c:tx>
            <c:v>P x I = 15 (Attenzione)</c:v>
          </c:tx>
          <c:spPr>
            <a:ln>
              <a:noFill/>
              <a:prstDash val="solid"/>
            </a:ln>
          </c:spPr>
          <c:marker>
            <c:symbol val="circle"/>
            <c:size val="39"/>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Radar_Mosca!$BS$5:$BS$24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D0F2-4FD5-AFDE-84D66CB3CC4E}"/>
            </c:ext>
          </c:extLst>
        </c:ser>
        <c:ser>
          <c:idx val="47"/>
          <c:order val="47"/>
          <c:tx>
            <c:v>P x I = 16 (Attenzione)</c:v>
          </c:tx>
          <c:spPr>
            <a:ln>
              <a:noFill/>
              <a:prstDash val="solid"/>
            </a:ln>
          </c:spPr>
          <c:marker>
            <c:symbol val="circle"/>
            <c:size val="4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Radar_Mosca!$BT$5:$BT$24</c:f>
              <c:numCache>
                <c:formatCode>General</c:formatCode>
                <c:ptCount val="20"/>
                <c:pt idx="0">
                  <c:v>#N/A</c:v>
                </c:pt>
                <c:pt idx="1">
                  <c:v>-1.0260604299770058</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D0F2-4FD5-AFDE-84D66CB3CC4E}"/>
            </c:ext>
          </c:extLst>
        </c:ser>
        <c:ser>
          <c:idx val="48"/>
          <c:order val="48"/>
          <c:tx>
            <c:v>P x I = 20 (Attenzione)</c:v>
          </c:tx>
          <c:spPr>
            <a:ln>
              <a:noFill/>
              <a:prstDash val="solid"/>
            </a:ln>
          </c:spPr>
          <c:marker>
            <c:symbol val="circle"/>
            <c:size val="45"/>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Radar_Mosca!$BU$5:$BU$24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D0F2-4FD5-AFDE-84D66CB3CC4E}"/>
            </c:ext>
          </c:extLst>
        </c:ser>
        <c:ser>
          <c:idx val="49"/>
          <c:order val="49"/>
          <c:tx>
            <c:v>P x I = 25 (Attenzione)</c:v>
          </c:tx>
          <c:spPr>
            <a:ln>
              <a:noFill/>
              <a:prstDash val="solid"/>
            </a:ln>
          </c:spPr>
          <c:marker>
            <c:symbol val="circle"/>
            <c:size val="5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Radar_Mosca!$BV$5:$BV$24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D0F2-4FD5-AFDE-84D66CB3CC4E}"/>
            </c:ext>
          </c:extLst>
        </c:ser>
        <c:ser>
          <c:idx val="50"/>
          <c:order val="50"/>
          <c:tx>
            <c:v>P x I = 1 (Monitoraggio)</c:v>
          </c:tx>
          <c:spPr>
            <a:ln>
              <a:noFill/>
              <a:prstDash val="solid"/>
            </a:ln>
          </c:spPr>
          <c:marker>
            <c:symbol val="circle"/>
            <c:size val="1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Radar_Mosca!$BW$5:$BW$24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D0F2-4FD5-AFDE-84D66CB3CC4E}"/>
            </c:ext>
          </c:extLst>
        </c:ser>
        <c:ser>
          <c:idx val="51"/>
          <c:order val="51"/>
          <c:tx>
            <c:v>P x I = 2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Radar_Mosca!$BX$5:$BX$24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D0F2-4FD5-AFDE-84D66CB3CC4E}"/>
            </c:ext>
          </c:extLst>
        </c:ser>
        <c:ser>
          <c:idx val="52"/>
          <c:order val="52"/>
          <c:tx>
            <c:v>P x I = 3 (Monitoraggio)</c:v>
          </c:tx>
          <c:spPr>
            <a:ln>
              <a:noFill/>
              <a:prstDash val="solid"/>
            </a:ln>
          </c:spPr>
          <c:marker>
            <c:symbol val="circle"/>
            <c:size val="17"/>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D0F2-4FD5-AFDE-84D66CB3CC4E}"/>
            </c:ext>
          </c:extLst>
        </c:ser>
        <c:ser>
          <c:idx val="53"/>
          <c:order val="53"/>
          <c:tx>
            <c:v>P x I = 4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D0F2-4FD5-AFDE-84D66CB3CC4E}"/>
            </c:ext>
          </c:extLst>
        </c:ser>
        <c:ser>
          <c:idx val="54"/>
          <c:order val="54"/>
          <c:tx>
            <c:v>P x I = 5 (Monitoraggio)</c:v>
          </c:tx>
          <c:spPr>
            <a:ln>
              <a:noFill/>
              <a:prstDash val="solid"/>
            </a:ln>
          </c:spPr>
          <c:marker>
            <c:symbol val="circle"/>
            <c:size val="22"/>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D0F2-4FD5-AFDE-84D66CB3CC4E}"/>
            </c:ext>
          </c:extLst>
        </c:ser>
        <c:ser>
          <c:idx val="55"/>
          <c:order val="55"/>
          <c:tx>
            <c:v>P x I = 6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Radar_Mosca!$CB$5:$CB$24</c:f>
              <c:numCache>
                <c:formatCode>General</c:formatCode>
                <c:ptCount val="20"/>
                <c:pt idx="0">
                  <c:v>#N/A</c:v>
                </c:pt>
                <c:pt idx="1">
                  <c:v>#N/A</c:v>
                </c:pt>
                <c:pt idx="2">
                  <c:v>#N/A</c:v>
                </c:pt>
                <c:pt idx="3">
                  <c:v>#N/A</c:v>
                </c:pt>
                <c:pt idx="4">
                  <c:v>#N/A</c:v>
                </c:pt>
                <c:pt idx="5">
                  <c:v>#N/A</c:v>
                </c:pt>
                <c:pt idx="6">
                  <c:v>#N/A</c:v>
                </c:pt>
                <c:pt idx="7">
                  <c:v>-2.9191346117394716</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D0F2-4FD5-AFDE-84D66CB3CC4E}"/>
            </c:ext>
          </c:extLst>
        </c:ser>
        <c:ser>
          <c:idx val="56"/>
          <c:order val="56"/>
          <c:tx>
            <c:v>P x I = 8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Radar_Mosca!$CC$5:$CC$24</c:f>
              <c:numCache>
                <c:formatCode>General</c:formatCode>
                <c:ptCount val="20"/>
                <c:pt idx="0">
                  <c:v>#N/A</c:v>
                </c:pt>
                <c:pt idx="1">
                  <c:v>#N/A</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D0F2-4FD5-AFDE-84D66CB3CC4E}"/>
            </c:ext>
          </c:extLst>
        </c:ser>
        <c:ser>
          <c:idx val="57"/>
          <c:order val="57"/>
          <c:tx>
            <c:v>P x I = 9 (Monitoraggio)</c:v>
          </c:tx>
          <c:spPr>
            <a:ln>
              <a:noFill/>
              <a:prstDash val="solid"/>
            </a:ln>
          </c:spPr>
          <c:marker>
            <c:symbol val="circle"/>
            <c:size val="3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Radar_Mosca!$CD$5:$CD$24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1.8749999999999976</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D0F2-4FD5-AFDE-84D66CB3CC4E}"/>
            </c:ext>
          </c:extLst>
        </c:ser>
        <c:ser>
          <c:idx val="58"/>
          <c:order val="58"/>
          <c:tx>
            <c:v>P x I = 10 (Monitoraggio)</c:v>
          </c:tx>
          <c:spPr>
            <a:ln>
              <a:noFill/>
              <a:prstDash val="solid"/>
            </a:ln>
          </c:spPr>
          <c:marker>
            <c:symbol val="circle"/>
            <c:size val="32"/>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D0F2-4FD5-AFDE-84D66CB3CC4E}"/>
            </c:ext>
          </c:extLst>
        </c:ser>
        <c:ser>
          <c:idx val="59"/>
          <c:order val="59"/>
          <c:tx>
            <c:v>P x I = 12 (Monitoraggio)</c:v>
          </c:tx>
          <c:spPr>
            <a:ln>
              <a:noFill/>
              <a:prstDash val="solid"/>
            </a:ln>
          </c:spPr>
          <c:marker>
            <c:symbol val="circle"/>
            <c:size val="35"/>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D0F2-4FD5-AFDE-84D66CB3CC4E}"/>
            </c:ext>
          </c:extLst>
        </c:ser>
        <c:ser>
          <c:idx val="60"/>
          <c:order val="60"/>
          <c:tx>
            <c:v>P x I = 15 (Monitoraggio)</c:v>
          </c:tx>
          <c:spPr>
            <a:ln>
              <a:noFill/>
              <a:prstDash val="solid"/>
            </a:ln>
          </c:spPr>
          <c:marker>
            <c:symbol val="circle"/>
            <c:size val="39"/>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D0F2-4FD5-AFDE-84D66CB3CC4E}"/>
            </c:ext>
          </c:extLst>
        </c:ser>
        <c:ser>
          <c:idx val="61"/>
          <c:order val="61"/>
          <c:tx>
            <c:v>P x I = 16 (Monitoraggio)</c:v>
          </c:tx>
          <c:spPr>
            <a:ln>
              <a:noFill/>
              <a:prstDash val="solid"/>
            </a:ln>
          </c:spPr>
          <c:marker>
            <c:symbol val="circle"/>
            <c:size val="4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1-D0F2-4FD5-AFDE-84D66CB3CC4E}"/>
            </c:ext>
          </c:extLst>
        </c:ser>
        <c:ser>
          <c:idx val="62"/>
          <c:order val="62"/>
          <c:tx>
            <c:v>P x I = 20 (Monitoraggio)</c:v>
          </c:tx>
          <c:spPr>
            <a:ln>
              <a:noFill/>
              <a:prstDash val="solid"/>
            </a:ln>
          </c:spPr>
          <c:marker>
            <c:symbol val="circle"/>
            <c:size val="45"/>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2-D0F2-4FD5-AFDE-84D66CB3CC4E}"/>
            </c:ext>
          </c:extLst>
        </c:ser>
        <c:ser>
          <c:idx val="63"/>
          <c:order val="63"/>
          <c:tx>
            <c:v>P x I = 25 (Monitoraggio)</c:v>
          </c:tx>
          <c:spPr>
            <a:ln>
              <a:noFill/>
              <a:prstDash val="solid"/>
            </a:ln>
          </c:spPr>
          <c:marker>
            <c:symbol val="circle"/>
            <c:size val="5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Radar_Mosca!$CJ$5:$CJ$24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3-D0F2-4FD5-AFDE-84D66CB3CC4E}"/>
            </c:ext>
          </c:extLst>
        </c:ser>
        <c:ser>
          <c:idx val="64"/>
          <c:order val="64"/>
          <c:tx>
            <c:strRef>
              <c:f>Radar_Mosca!$CL$5</c:f>
              <c:strCache>
                <c:ptCount val="1"/>
                <c:pt idx="0">
                  <c:v>NFR-01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Radar_Mosca!$CK$5</c:f>
              <c:numCache>
                <c:formatCode>General</c:formatCode>
                <c:ptCount val="1"/>
                <c:pt idx="0">
                  <c:v>0.3459238061136598</c:v>
                </c:pt>
              </c:numCache>
            </c:numRef>
          </c:xVal>
          <c:yVal>
            <c:numRef>
              <c:f>Radar_Mosca!$CM$5</c:f>
              <c:numCache>
                <c:formatCode>General</c:formatCode>
                <c:ptCount val="1"/>
                <c:pt idx="0">
                  <c:v>-1.4595673058697358</c:v>
                </c:pt>
              </c:numCache>
            </c:numRef>
          </c:yVal>
          <c:smooth val="1"/>
          <c:extLst>
            <c:ext xmlns:c16="http://schemas.microsoft.com/office/drawing/2014/chart" uri="{C3380CC4-5D6E-409C-BE32-E72D297353CC}">
              <c16:uniqueId val="{00000044-D0F2-4FD5-AFDE-84D66CB3CC4E}"/>
            </c:ext>
          </c:extLst>
        </c:ser>
        <c:ser>
          <c:idx val="65"/>
          <c:order val="65"/>
          <c:tx>
            <c:strRef>
              <c:f>Radar_Mosca!$CL$6</c:f>
              <c:strCache>
                <c:ptCount val="1"/>
                <c:pt idx="0">
                  <c:v>NFR-02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Radar_Mosca!$CK$6</c:f>
              <c:numCache>
                <c:formatCode>General</c:formatCode>
                <c:ptCount val="1"/>
                <c:pt idx="0">
                  <c:v>-2.8190778623577253</c:v>
                </c:pt>
              </c:numCache>
            </c:numRef>
          </c:xVal>
          <c:yVal>
            <c:numRef>
              <c:f>Radar_Mosca!$CM$6</c:f>
              <c:numCache>
                <c:formatCode>General</c:formatCode>
                <c:ptCount val="1"/>
                <c:pt idx="0">
                  <c:v>-1.0260604299770058</c:v>
                </c:pt>
              </c:numCache>
            </c:numRef>
          </c:yVal>
          <c:smooth val="1"/>
          <c:extLst>
            <c:ext xmlns:c16="http://schemas.microsoft.com/office/drawing/2014/chart" uri="{C3380CC4-5D6E-409C-BE32-E72D297353CC}">
              <c16:uniqueId val="{00000045-D0F2-4FD5-AFDE-84D66CB3CC4E}"/>
            </c:ext>
          </c:extLst>
        </c:ser>
        <c:ser>
          <c:idx val="66"/>
          <c:order val="66"/>
          <c:tx>
            <c:strRef>
              <c:f>Radar_Mosca!$CL$7</c:f>
              <c:strCache>
                <c:ptCount val="1"/>
                <c:pt idx="0">
                  <c:v>NFR-03</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Radar_Mosca!$CK$7</c:f>
              <c:numCache>
                <c:formatCode>General</c:formatCode>
                <c:ptCount val="1"/>
                <c:pt idx="0">
                  <c:v>0.34729635533386066</c:v>
                </c:pt>
              </c:numCache>
            </c:numRef>
          </c:xVal>
          <c:yVal>
            <c:numRef>
              <c:f>Radar_Mosca!$CM$7</c:f>
              <c:numCache>
                <c:formatCode>General</c:formatCode>
                <c:ptCount val="1"/>
                <c:pt idx="0">
                  <c:v>1.969615506024416</c:v>
                </c:pt>
              </c:numCache>
            </c:numRef>
          </c:yVal>
          <c:smooth val="1"/>
          <c:extLst>
            <c:ext xmlns:c16="http://schemas.microsoft.com/office/drawing/2014/chart" uri="{C3380CC4-5D6E-409C-BE32-E72D297353CC}">
              <c16:uniqueId val="{00000046-D0F2-4FD5-AFDE-84D66CB3CC4E}"/>
            </c:ext>
          </c:extLst>
        </c:ser>
        <c:ser>
          <c:idx val="67"/>
          <c:order val="67"/>
          <c:tx>
            <c:strRef>
              <c:f>Radar_Mosca!$CL$8</c:f>
              <c:strCache>
                <c:ptCount val="1"/>
                <c:pt idx="0">
                  <c:v>NFR-04</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Radar_Mosca!$CK$8</c:f>
              <c:numCache>
                <c:formatCode>General</c:formatCode>
                <c:ptCount val="1"/>
                <c:pt idx="0">
                  <c:v>-1.7676659266379819</c:v>
                </c:pt>
              </c:numCache>
            </c:numRef>
          </c:xVal>
          <c:yVal>
            <c:numRef>
              <c:f>Radar_Mosca!$CM$8</c:f>
              <c:numCache>
                <c:formatCode>General</c:formatCode>
                <c:ptCount val="1"/>
                <c:pt idx="0">
                  <c:v>-2.1066222185771903</c:v>
                </c:pt>
              </c:numCache>
            </c:numRef>
          </c:yVal>
          <c:smooth val="1"/>
          <c:extLst>
            <c:ext xmlns:c16="http://schemas.microsoft.com/office/drawing/2014/chart" uri="{C3380CC4-5D6E-409C-BE32-E72D297353CC}">
              <c16:uniqueId val="{00000047-D0F2-4FD5-AFDE-84D66CB3CC4E}"/>
            </c:ext>
          </c:extLst>
        </c:ser>
        <c:ser>
          <c:idx val="68"/>
          <c:order val="68"/>
          <c:tx>
            <c:strRef>
              <c:f>Radar_Mosca!$CL$9</c:f>
              <c:strCache>
                <c:ptCount val="1"/>
                <c:pt idx="0">
                  <c:v>NFR-05</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Radar_Mosca!$CK$9</c:f>
              <c:numCache>
                <c:formatCode>General</c:formatCode>
                <c:ptCount val="1"/>
                <c:pt idx="0">
                  <c:v>-1.4999999999999991</c:v>
                </c:pt>
              </c:numCache>
            </c:numRef>
          </c:xVal>
          <c:yVal>
            <c:numRef>
              <c:f>Radar_Mosca!$CM$9</c:f>
              <c:numCache>
                <c:formatCode>General</c:formatCode>
                <c:ptCount val="1"/>
                <c:pt idx="0">
                  <c:v>2.5980762113533165</c:v>
                </c:pt>
              </c:numCache>
            </c:numRef>
          </c:yVal>
          <c:smooth val="1"/>
          <c:extLst>
            <c:ext xmlns:c16="http://schemas.microsoft.com/office/drawing/2014/chart" uri="{C3380CC4-5D6E-409C-BE32-E72D297353CC}">
              <c16:uniqueId val="{00000048-D0F2-4FD5-AFDE-84D66CB3CC4E}"/>
            </c:ext>
          </c:extLst>
        </c:ser>
        <c:ser>
          <c:idx val="69"/>
          <c:order val="69"/>
          <c:tx>
            <c:strRef>
              <c:f>Radar_Mosca!$CL$10</c:f>
              <c:strCache>
                <c:ptCount val="1"/>
                <c:pt idx="0">
                  <c:v>NFR-06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Radar_Mosca!$CK$10</c:f>
              <c:numCache>
                <c:formatCode>General</c:formatCode>
                <c:ptCount val="1"/>
                <c:pt idx="0">
                  <c:v>2.756584023544395E-16</c:v>
                </c:pt>
              </c:numCache>
            </c:numRef>
          </c:xVal>
          <c:yVal>
            <c:numRef>
              <c:f>Radar_Mosca!$CM$10</c:f>
              <c:numCache>
                <c:formatCode>General</c:formatCode>
                <c:ptCount val="1"/>
                <c:pt idx="0">
                  <c:v>-2.25</c:v>
                </c:pt>
              </c:numCache>
            </c:numRef>
          </c:yVal>
          <c:smooth val="1"/>
          <c:extLst>
            <c:ext xmlns:c16="http://schemas.microsoft.com/office/drawing/2014/chart" uri="{C3380CC4-5D6E-409C-BE32-E72D297353CC}">
              <c16:uniqueId val="{00000049-D0F2-4FD5-AFDE-84D66CB3CC4E}"/>
            </c:ext>
          </c:extLst>
        </c:ser>
        <c:ser>
          <c:idx val="70"/>
          <c:order val="70"/>
          <c:tx>
            <c:strRef>
              <c:f>Radar_Mosca!$CL$11</c:f>
              <c:strCache>
                <c:ptCount val="1"/>
                <c:pt idx="0">
                  <c:v>NFR-07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Radar_Mosca!$CK$11</c:f>
              <c:numCache>
                <c:formatCode>General</c:formatCode>
                <c:ptCount val="1"/>
                <c:pt idx="0">
                  <c:v>-2.75</c:v>
                </c:pt>
              </c:numCache>
            </c:numRef>
          </c:xVal>
          <c:yVal>
            <c:numRef>
              <c:f>Radar_Mosca!$CM$11</c:f>
              <c:numCache>
                <c:formatCode>General</c:formatCode>
                <c:ptCount val="1"/>
                <c:pt idx="0">
                  <c:v>-5.0537373764980575E-16</c:v>
                </c:pt>
              </c:numCache>
            </c:numRef>
          </c:yVal>
          <c:smooth val="1"/>
          <c:extLst>
            <c:ext xmlns:c16="http://schemas.microsoft.com/office/drawing/2014/chart" uri="{C3380CC4-5D6E-409C-BE32-E72D297353CC}">
              <c16:uniqueId val="{0000004A-D0F2-4FD5-AFDE-84D66CB3CC4E}"/>
            </c:ext>
          </c:extLst>
        </c:ser>
        <c:ser>
          <c:idx val="71"/>
          <c:order val="71"/>
          <c:tx>
            <c:strRef>
              <c:f>Radar_Mosca!$CL$12</c:f>
              <c:strCache>
                <c:ptCount val="1"/>
                <c:pt idx="0">
                  <c:v>NFR-08</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Radar_Mosca!$CK$12</c:f>
              <c:numCache>
                <c:formatCode>General</c:formatCode>
                <c:ptCount val="1"/>
                <c:pt idx="0">
                  <c:v>-0.69184761222731894</c:v>
                </c:pt>
              </c:numCache>
            </c:numRef>
          </c:xVal>
          <c:yVal>
            <c:numRef>
              <c:f>Radar_Mosca!$CM$12</c:f>
              <c:numCache>
                <c:formatCode>General</c:formatCode>
                <c:ptCount val="1"/>
                <c:pt idx="0">
                  <c:v>-2.9191346117394716</c:v>
                </c:pt>
              </c:numCache>
            </c:numRef>
          </c:yVal>
          <c:smooth val="1"/>
          <c:extLst>
            <c:ext xmlns:c16="http://schemas.microsoft.com/office/drawing/2014/chart" uri="{C3380CC4-5D6E-409C-BE32-E72D297353CC}">
              <c16:uniqueId val="{0000004B-D0F2-4FD5-AFDE-84D66CB3CC4E}"/>
            </c:ext>
          </c:extLst>
        </c:ser>
        <c:ser>
          <c:idx val="72"/>
          <c:order val="72"/>
          <c:tx>
            <c:strRef>
              <c:f>Radar_Mosca!$CL$13</c:f>
              <c:strCache>
                <c:ptCount val="1"/>
                <c:pt idx="0">
                  <c:v>NFR-09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Radar_Mosca!$CK$13</c:f>
              <c:numCache>
                <c:formatCode>General</c:formatCode>
                <c:ptCount val="1"/>
                <c:pt idx="0">
                  <c:v>2.8145825622994254</c:v>
                </c:pt>
              </c:numCache>
            </c:numRef>
          </c:xVal>
          <c:yVal>
            <c:numRef>
              <c:f>Radar_Mosca!$CM$13</c:f>
              <c:numCache>
                <c:formatCode>General</c:formatCode>
                <c:ptCount val="1"/>
                <c:pt idx="0">
                  <c:v>1.6250000000000004</c:v>
                </c:pt>
              </c:numCache>
            </c:numRef>
          </c:yVal>
          <c:smooth val="1"/>
          <c:extLst>
            <c:ext xmlns:c16="http://schemas.microsoft.com/office/drawing/2014/chart" uri="{C3380CC4-5D6E-409C-BE32-E72D297353CC}">
              <c16:uniqueId val="{0000004C-D0F2-4FD5-AFDE-84D66CB3CC4E}"/>
            </c:ext>
          </c:extLst>
        </c:ser>
        <c:ser>
          <c:idx val="73"/>
          <c:order val="73"/>
          <c:tx>
            <c:strRef>
              <c:f>Radar_Mosca!$CL$14</c:f>
              <c:strCache>
                <c:ptCount val="1"/>
                <c:pt idx="0">
                  <c:v>NFR-10</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Radar_Mosca!$CK$14</c:f>
              <c:numCache>
                <c:formatCode>General</c:formatCode>
                <c:ptCount val="1"/>
                <c:pt idx="0">
                  <c:v>1.4999999999999998</c:v>
                </c:pt>
              </c:numCache>
            </c:numRef>
          </c:xVal>
          <c:yVal>
            <c:numRef>
              <c:f>Radar_Mosca!$CM$14</c:f>
              <c:numCache>
                <c:formatCode>General</c:formatCode>
                <c:ptCount val="1"/>
                <c:pt idx="0">
                  <c:v>2.598076211353316</c:v>
                </c:pt>
              </c:numCache>
            </c:numRef>
          </c:yVal>
          <c:smooth val="1"/>
          <c:extLst>
            <c:ext xmlns:c16="http://schemas.microsoft.com/office/drawing/2014/chart" uri="{C3380CC4-5D6E-409C-BE32-E72D297353CC}">
              <c16:uniqueId val="{0000004D-D0F2-4FD5-AFDE-84D66CB3CC4E}"/>
            </c:ext>
          </c:extLst>
        </c:ser>
        <c:ser>
          <c:idx val="74"/>
          <c:order val="74"/>
          <c:tx>
            <c:strRef>
              <c:f>Radar_Mosca!$CL$15</c:f>
              <c:strCache>
                <c:ptCount val="1"/>
                <c:pt idx="0">
                  <c:v>NFR-11</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Radar_Mosca!$CK$15</c:f>
              <c:numCache>
                <c:formatCode>General</c:formatCode>
                <c:ptCount val="1"/>
                <c:pt idx="0">
                  <c:v>0.38567256581192366</c:v>
                </c:pt>
              </c:numCache>
            </c:numRef>
          </c:xVal>
          <c:yVal>
            <c:numRef>
              <c:f>Radar_Mosca!$CM$15</c:f>
              <c:numCache>
                <c:formatCode>General</c:formatCode>
                <c:ptCount val="1"/>
                <c:pt idx="0">
                  <c:v>-0.45962666587138673</c:v>
                </c:pt>
              </c:numCache>
            </c:numRef>
          </c:yVal>
          <c:smooth val="1"/>
          <c:extLst>
            <c:ext xmlns:c16="http://schemas.microsoft.com/office/drawing/2014/chart" uri="{C3380CC4-5D6E-409C-BE32-E72D297353CC}">
              <c16:uniqueId val="{0000004E-D0F2-4FD5-AFDE-84D66CB3CC4E}"/>
            </c:ext>
          </c:extLst>
        </c:ser>
        <c:ser>
          <c:idx val="75"/>
          <c:order val="75"/>
          <c:tx>
            <c:strRef>
              <c:f>Radar_Mosca!$CL$16</c:f>
              <c:strCache>
                <c:ptCount val="1"/>
                <c:pt idx="0">
                  <c:v>NFR-12</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Radar_Mosca!$CK$16</c:f>
              <c:numCache>
                <c:formatCode>General</c:formatCode>
                <c:ptCount val="1"/>
                <c:pt idx="0">
                  <c:v>-0.34729635533386077</c:v>
                </c:pt>
              </c:numCache>
            </c:numRef>
          </c:xVal>
          <c:yVal>
            <c:numRef>
              <c:f>Radar_Mosca!$CM$16</c:f>
              <c:numCache>
                <c:formatCode>General</c:formatCode>
                <c:ptCount val="1"/>
                <c:pt idx="0">
                  <c:v>1.969615506024416</c:v>
                </c:pt>
              </c:numCache>
            </c:numRef>
          </c:yVal>
          <c:smooth val="1"/>
          <c:extLst>
            <c:ext xmlns:c16="http://schemas.microsoft.com/office/drawing/2014/chart" uri="{C3380CC4-5D6E-409C-BE32-E72D297353CC}">
              <c16:uniqueId val="{0000004F-D0F2-4FD5-AFDE-84D66CB3CC4E}"/>
            </c:ext>
          </c:extLst>
        </c:ser>
        <c:ser>
          <c:idx val="76"/>
          <c:order val="76"/>
          <c:tx>
            <c:strRef>
              <c:f>Radar_Mosca!$CL$17</c:f>
              <c:strCache>
                <c:ptCount val="1"/>
                <c:pt idx="0">
                  <c:v>NFR-16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Radar_Mosca!$CK$17</c:f>
              <c:numCache>
                <c:formatCode>General</c:formatCode>
                <c:ptCount val="1"/>
                <c:pt idx="0">
                  <c:v>-3.2475952641916463</c:v>
                </c:pt>
              </c:numCache>
            </c:numRef>
          </c:xVal>
          <c:yVal>
            <c:numRef>
              <c:f>Radar_Mosca!$CM$17</c:f>
              <c:numCache>
                <c:formatCode>General</c:formatCode>
                <c:ptCount val="1"/>
                <c:pt idx="0">
                  <c:v>1.8749999999999976</c:v>
                </c:pt>
              </c:numCache>
            </c:numRef>
          </c:yVal>
          <c:smooth val="1"/>
          <c:extLst>
            <c:ext xmlns:c16="http://schemas.microsoft.com/office/drawing/2014/chart" uri="{C3380CC4-5D6E-409C-BE32-E72D297353CC}">
              <c16:uniqueId val="{00000050-D0F2-4FD5-AFDE-84D66CB3CC4E}"/>
            </c:ext>
          </c:extLst>
        </c:ser>
        <c:ser>
          <c:idx val="77"/>
          <c:order val="77"/>
          <c:tx>
            <c:strRef>
              <c:f>Radar_Mosca!$CL$18</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Radar_Mosca!$CK$18</c:f>
              <c:numCache>
                <c:formatCode>General</c:formatCode>
                <c:ptCount val="1"/>
                <c:pt idx="0">
                  <c:v>#N/A</c:v>
                </c:pt>
              </c:numCache>
            </c:numRef>
          </c:xVal>
          <c:yVal>
            <c:numRef>
              <c:f>Radar_Mosca!$CM$18</c:f>
              <c:numCache>
                <c:formatCode>General</c:formatCode>
                <c:ptCount val="1"/>
                <c:pt idx="0">
                  <c:v>#N/A</c:v>
                </c:pt>
              </c:numCache>
            </c:numRef>
          </c:yVal>
          <c:smooth val="1"/>
          <c:extLst>
            <c:ext xmlns:c16="http://schemas.microsoft.com/office/drawing/2014/chart" uri="{C3380CC4-5D6E-409C-BE32-E72D297353CC}">
              <c16:uniqueId val="{00000051-D0F2-4FD5-AFDE-84D66CB3CC4E}"/>
            </c:ext>
          </c:extLst>
        </c:ser>
        <c:ser>
          <c:idx val="78"/>
          <c:order val="78"/>
          <c:tx>
            <c:strRef>
              <c:f>Radar_Mosca!$CL$19</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Radar_Mosca!$CK$19</c:f>
              <c:numCache>
                <c:formatCode>General</c:formatCode>
                <c:ptCount val="1"/>
                <c:pt idx="0">
                  <c:v>#N/A</c:v>
                </c:pt>
              </c:numCache>
            </c:numRef>
          </c:xVal>
          <c:yVal>
            <c:numRef>
              <c:f>Radar_Mosca!$CM$19</c:f>
              <c:numCache>
                <c:formatCode>General</c:formatCode>
                <c:ptCount val="1"/>
                <c:pt idx="0">
                  <c:v>#N/A</c:v>
                </c:pt>
              </c:numCache>
            </c:numRef>
          </c:yVal>
          <c:smooth val="1"/>
          <c:extLst>
            <c:ext xmlns:c16="http://schemas.microsoft.com/office/drawing/2014/chart" uri="{C3380CC4-5D6E-409C-BE32-E72D297353CC}">
              <c16:uniqueId val="{00000052-D0F2-4FD5-AFDE-84D66CB3CC4E}"/>
            </c:ext>
          </c:extLst>
        </c:ser>
        <c:ser>
          <c:idx val="79"/>
          <c:order val="79"/>
          <c:tx>
            <c:strRef>
              <c:f>Radar_Mosca!$CL$20</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Radar_Mosca!$CK$20</c:f>
              <c:numCache>
                <c:formatCode>General</c:formatCode>
                <c:ptCount val="1"/>
                <c:pt idx="0">
                  <c:v>#N/A</c:v>
                </c:pt>
              </c:numCache>
            </c:numRef>
          </c:xVal>
          <c:yVal>
            <c:numRef>
              <c:f>Radar_Mosca!$CM$20</c:f>
              <c:numCache>
                <c:formatCode>General</c:formatCode>
                <c:ptCount val="1"/>
                <c:pt idx="0">
                  <c:v>#N/A</c:v>
                </c:pt>
              </c:numCache>
            </c:numRef>
          </c:yVal>
          <c:smooth val="1"/>
          <c:extLst>
            <c:ext xmlns:c16="http://schemas.microsoft.com/office/drawing/2014/chart" uri="{C3380CC4-5D6E-409C-BE32-E72D297353CC}">
              <c16:uniqueId val="{00000053-D0F2-4FD5-AFDE-84D66CB3CC4E}"/>
            </c:ext>
          </c:extLst>
        </c:ser>
        <c:ser>
          <c:idx val="80"/>
          <c:order val="80"/>
          <c:tx>
            <c:strRef>
              <c:f>Radar_Mosca!$CL$21</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Radar_Mosca!$CK$21</c:f>
              <c:numCache>
                <c:formatCode>General</c:formatCode>
                <c:ptCount val="1"/>
                <c:pt idx="0">
                  <c:v>#N/A</c:v>
                </c:pt>
              </c:numCache>
            </c:numRef>
          </c:xVal>
          <c:yVal>
            <c:numRef>
              <c:f>Radar_Mosca!$CM$21</c:f>
              <c:numCache>
                <c:formatCode>General</c:formatCode>
                <c:ptCount val="1"/>
                <c:pt idx="0">
                  <c:v>#N/A</c:v>
                </c:pt>
              </c:numCache>
            </c:numRef>
          </c:yVal>
          <c:smooth val="1"/>
          <c:extLst>
            <c:ext xmlns:c16="http://schemas.microsoft.com/office/drawing/2014/chart" uri="{C3380CC4-5D6E-409C-BE32-E72D297353CC}">
              <c16:uniqueId val="{00000054-D0F2-4FD5-AFDE-84D66CB3CC4E}"/>
            </c:ext>
          </c:extLst>
        </c:ser>
        <c:ser>
          <c:idx val="81"/>
          <c:order val="81"/>
          <c:tx>
            <c:strRef>
              <c:f>Radar_Mosca!$CL$22</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Radar_Mosca!$CK$22</c:f>
              <c:numCache>
                <c:formatCode>General</c:formatCode>
                <c:ptCount val="1"/>
                <c:pt idx="0">
                  <c:v>#N/A</c:v>
                </c:pt>
              </c:numCache>
            </c:numRef>
          </c:xVal>
          <c:yVal>
            <c:numRef>
              <c:f>Radar_Mosca!$CM$22</c:f>
              <c:numCache>
                <c:formatCode>General</c:formatCode>
                <c:ptCount val="1"/>
                <c:pt idx="0">
                  <c:v>#N/A</c:v>
                </c:pt>
              </c:numCache>
            </c:numRef>
          </c:yVal>
          <c:smooth val="1"/>
          <c:extLst>
            <c:ext xmlns:c16="http://schemas.microsoft.com/office/drawing/2014/chart" uri="{C3380CC4-5D6E-409C-BE32-E72D297353CC}">
              <c16:uniqueId val="{00000055-D0F2-4FD5-AFDE-84D66CB3CC4E}"/>
            </c:ext>
          </c:extLst>
        </c:ser>
        <c:ser>
          <c:idx val="82"/>
          <c:order val="82"/>
          <c:tx>
            <c:strRef>
              <c:f>Radar_Mosca!$CL$23</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Radar_Mosca!$CK$23</c:f>
              <c:numCache>
                <c:formatCode>General</c:formatCode>
                <c:ptCount val="1"/>
                <c:pt idx="0">
                  <c:v>#N/A</c:v>
                </c:pt>
              </c:numCache>
            </c:numRef>
          </c:xVal>
          <c:yVal>
            <c:numRef>
              <c:f>Radar_Mosca!$CM$23</c:f>
              <c:numCache>
                <c:formatCode>General</c:formatCode>
                <c:ptCount val="1"/>
                <c:pt idx="0">
                  <c:v>#N/A</c:v>
                </c:pt>
              </c:numCache>
            </c:numRef>
          </c:yVal>
          <c:smooth val="1"/>
          <c:extLst>
            <c:ext xmlns:c16="http://schemas.microsoft.com/office/drawing/2014/chart" uri="{C3380CC4-5D6E-409C-BE32-E72D297353CC}">
              <c16:uniqueId val="{00000056-D0F2-4FD5-AFDE-84D66CB3CC4E}"/>
            </c:ext>
          </c:extLst>
        </c:ser>
        <c:ser>
          <c:idx val="83"/>
          <c:order val="83"/>
          <c:tx>
            <c:strRef>
              <c:f>Radar_Mosca!$CL$24</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Radar_Mosca!$CK$24</c:f>
              <c:numCache>
                <c:formatCode>General</c:formatCode>
                <c:ptCount val="1"/>
                <c:pt idx="0">
                  <c:v>#N/A</c:v>
                </c:pt>
              </c:numCache>
            </c:numRef>
          </c:xVal>
          <c:yVal>
            <c:numRef>
              <c:f>Radar_Mosca!$CM$24</c:f>
              <c:numCache>
                <c:formatCode>General</c:formatCode>
                <c:ptCount val="1"/>
                <c:pt idx="0">
                  <c:v>#N/A</c:v>
                </c:pt>
              </c:numCache>
            </c:numRef>
          </c:yVal>
          <c:smooth val="1"/>
          <c:extLst>
            <c:ext xmlns:c16="http://schemas.microsoft.com/office/drawing/2014/chart" uri="{C3380CC4-5D6E-409C-BE32-E72D297353CC}">
              <c16:uniqueId val="{00000057-D0F2-4FD5-AFDE-84D66CB3CC4E}"/>
            </c:ext>
          </c:extLst>
        </c:ser>
        <c:ser>
          <c:idx val="84"/>
          <c:order val="84"/>
          <c:tx>
            <c:strRef>
              <c:f>Radar_Mosca!$CN$5</c:f>
              <c:strCache>
                <c:ptCount val="1"/>
                <c:pt idx="0">
                  <c:v>Attivazione</c:v>
                </c:pt>
              </c:strCache>
            </c:strRef>
          </c:tx>
          <c:spPr>
            <a:ln>
              <a:noFill/>
              <a:prstDash val="solid"/>
            </a:ln>
          </c:spPr>
          <c:marker>
            <c:symbol val="circle"/>
            <c:size val="14"/>
            <c:spPr>
              <a:solidFill>
                <a:srgbClr val="E06666">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Radar_Mosca!$CO$5</c:f>
              <c:numCache>
                <c:formatCode>General</c:formatCode>
                <c:ptCount val="1"/>
                <c:pt idx="0">
                  <c:v>-6.9</c:v>
                </c:pt>
              </c:numCache>
            </c:numRef>
          </c:xVal>
          <c:yVal>
            <c:numRef>
              <c:f>Radar_Mosca!$CP$5</c:f>
              <c:numCache>
                <c:formatCode>General</c:formatCode>
                <c:ptCount val="1"/>
                <c:pt idx="0">
                  <c:v>-8.0499999999999989</c:v>
                </c:pt>
              </c:numCache>
            </c:numRef>
          </c:yVal>
          <c:smooth val="1"/>
          <c:extLst>
            <c:ext xmlns:c16="http://schemas.microsoft.com/office/drawing/2014/chart" uri="{C3380CC4-5D6E-409C-BE32-E72D297353CC}">
              <c16:uniqueId val="{00000058-D0F2-4FD5-AFDE-84D66CB3CC4E}"/>
            </c:ext>
          </c:extLst>
        </c:ser>
        <c:ser>
          <c:idx val="85"/>
          <c:order val="85"/>
          <c:tx>
            <c:strRef>
              <c:f>Radar_Mosca!$CN$6</c:f>
              <c:strCache>
                <c:ptCount val="1"/>
                <c:pt idx="0">
                  <c:v>Attenzione</c:v>
                </c:pt>
              </c:strCache>
            </c:strRef>
          </c:tx>
          <c:spPr>
            <a:ln>
              <a:noFill/>
              <a:prstDash val="solid"/>
            </a:ln>
          </c:spPr>
          <c:marker>
            <c:symbol val="circle"/>
            <c:size val="14"/>
            <c:spPr>
              <a:solidFill>
                <a:srgbClr val="F6C342">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Radar_Mosca!$CO$6</c:f>
              <c:numCache>
                <c:formatCode>General</c:formatCode>
                <c:ptCount val="1"/>
                <c:pt idx="0">
                  <c:v>-6.9</c:v>
                </c:pt>
              </c:numCache>
            </c:numRef>
          </c:xVal>
          <c:yVal>
            <c:numRef>
              <c:f>Radar_Mosca!$CP$6</c:f>
              <c:numCache>
                <c:formatCode>General</c:formatCode>
                <c:ptCount val="1"/>
                <c:pt idx="0">
                  <c:v>-8.6499999999999986</c:v>
                </c:pt>
              </c:numCache>
            </c:numRef>
          </c:yVal>
          <c:smooth val="1"/>
          <c:extLst>
            <c:ext xmlns:c16="http://schemas.microsoft.com/office/drawing/2014/chart" uri="{C3380CC4-5D6E-409C-BE32-E72D297353CC}">
              <c16:uniqueId val="{00000059-D0F2-4FD5-AFDE-84D66CB3CC4E}"/>
            </c:ext>
          </c:extLst>
        </c:ser>
        <c:ser>
          <c:idx val="86"/>
          <c:order val="86"/>
          <c:tx>
            <c:strRef>
              <c:f>Radar_Mosca!$CN$7</c:f>
              <c:strCache>
                <c:ptCount val="1"/>
                <c:pt idx="0">
                  <c:v>Monitoraggio</c:v>
                </c:pt>
              </c:strCache>
            </c:strRef>
          </c:tx>
          <c:spPr>
            <a:ln>
              <a:noFill/>
              <a:prstDash val="solid"/>
            </a:ln>
          </c:spPr>
          <c:marker>
            <c:symbol val="circle"/>
            <c:size val="14"/>
            <c:spPr>
              <a:solidFill>
                <a:srgbClr val="93C47D">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Radar_Mosca!$CO$7</c:f>
              <c:numCache>
                <c:formatCode>General</c:formatCode>
                <c:ptCount val="1"/>
                <c:pt idx="0">
                  <c:v>-6.9</c:v>
                </c:pt>
              </c:numCache>
            </c:numRef>
          </c:xVal>
          <c:yVal>
            <c:numRef>
              <c:f>Radar_Mosca!$CP$7</c:f>
              <c:numCache>
                <c:formatCode>General</c:formatCode>
                <c:ptCount val="1"/>
                <c:pt idx="0">
                  <c:v>-9.2499999999999982</c:v>
                </c:pt>
              </c:numCache>
            </c:numRef>
          </c:yVal>
          <c:smooth val="1"/>
          <c:extLst>
            <c:ext xmlns:c16="http://schemas.microsoft.com/office/drawing/2014/chart" uri="{C3380CC4-5D6E-409C-BE32-E72D297353CC}">
              <c16:uniqueId val="{0000005A-D0F2-4FD5-AFDE-84D66CB3CC4E}"/>
            </c:ext>
          </c:extLst>
        </c:ser>
        <c:ser>
          <c:idx val="87"/>
          <c:order val="87"/>
          <c:tx>
            <c:strRef>
              <c:f>Radar_Mosca!$CN$8</c:f>
              <c:strCache>
                <c:ptCount val="1"/>
                <c:pt idx="0">
                  <c:v>dentro il cerchio rosso: AGIRE ORA (X + Y &gt; Z)</c:v>
                </c:pt>
              </c:strCache>
            </c:strRef>
          </c:tx>
          <c:spPr>
            <a:ln w="28575">
              <a:solidFill>
                <a:srgbClr val="C00000"/>
              </a:solidFill>
              <a:prstDash val="solid"/>
            </a:ln>
          </c:spPr>
          <c:marker>
            <c:symbol val="none"/>
          </c:marker>
          <c:dLbls>
            <c:dLbl>
              <c:idx val="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B-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Radar_Mosca!$CO$8:$CO$9</c:f>
              <c:numCache>
                <c:formatCode>General</c:formatCode>
                <c:ptCount val="2"/>
                <c:pt idx="0">
                  <c:v>-7.35</c:v>
                </c:pt>
                <c:pt idx="1">
                  <c:v>-6.45</c:v>
                </c:pt>
              </c:numCache>
            </c:numRef>
          </c:xVal>
          <c:yVal>
            <c:numRef>
              <c:f>Radar_Mosca!$CP$8:$CP$9</c:f>
              <c:numCache>
                <c:formatCode>General</c:formatCode>
                <c:ptCount val="2"/>
                <c:pt idx="0">
                  <c:v>-9.85</c:v>
                </c:pt>
                <c:pt idx="1">
                  <c:v>-9.85</c:v>
                </c:pt>
              </c:numCache>
            </c:numRef>
          </c:yVal>
          <c:smooth val="1"/>
          <c:extLst>
            <c:ext xmlns:c16="http://schemas.microsoft.com/office/drawing/2014/chart" uri="{C3380CC4-5D6E-409C-BE32-E72D297353CC}">
              <c16:uniqueId val="{0000005C-D0F2-4FD5-AFDE-84D66CB3CC4E}"/>
            </c:ext>
          </c:extLst>
        </c:ser>
        <c:ser>
          <c:idx val="88"/>
          <c:order val="88"/>
          <c:tx>
            <c:strRef>
              <c:f>Radar_Mosca!$CN$10</c:f>
              <c:strCache>
                <c:ptCount val="1"/>
                <c:pt idx="0">
                  <c:v>Area del cerchio = P x I</c:v>
                </c:pt>
              </c:strCache>
            </c:strRef>
          </c:tx>
          <c:spPr>
            <a:ln>
              <a:noFill/>
              <a:prstDash val="solid"/>
            </a:ln>
          </c:spPr>
          <c:marker>
            <c:symbol val="none"/>
          </c:marker>
          <c:dLbls>
            <c:spPr>
              <a:noFill/>
              <a:ln>
                <a:noFill/>
              </a:ln>
              <a:effectLst/>
            </c:spPr>
            <c:txPr>
              <a:bodyPr/>
              <a:lstStyle/>
              <a:p>
                <a:pPr>
                  <a:defRPr sz="800" b="1">
                    <a:solidFill>
                      <a:srgbClr val="595959"/>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Radar_Mosca!$CO$10</c:f>
              <c:numCache>
                <c:formatCode>General</c:formatCode>
                <c:ptCount val="1"/>
                <c:pt idx="0">
                  <c:v>4.4000000000000004</c:v>
                </c:pt>
              </c:numCache>
            </c:numRef>
          </c:xVal>
          <c:yVal>
            <c:numRef>
              <c:f>Radar_Mosca!$CP$10</c:f>
              <c:numCache>
                <c:formatCode>General</c:formatCode>
                <c:ptCount val="1"/>
                <c:pt idx="0">
                  <c:v>-8.0499999999999989</c:v>
                </c:pt>
              </c:numCache>
            </c:numRef>
          </c:yVal>
          <c:smooth val="1"/>
          <c:extLst>
            <c:ext xmlns:c16="http://schemas.microsoft.com/office/drawing/2014/chart" uri="{C3380CC4-5D6E-409C-BE32-E72D297353CC}">
              <c16:uniqueId val="{0000005D-D0F2-4FD5-AFDE-84D66CB3CC4E}"/>
            </c:ext>
          </c:extLst>
        </c:ser>
        <c:ser>
          <c:idx val="89"/>
          <c:order val="89"/>
          <c:tx>
            <c:strRef>
              <c:f>Radar_Mosca!$CN$11</c:f>
              <c:strCache>
                <c:ptCount val="1"/>
                <c:pt idx="0">
                  <c:v>4</c:v>
                </c:pt>
              </c:strCache>
            </c:strRef>
          </c:tx>
          <c:spPr>
            <a:ln>
              <a:noFill/>
              <a:prstDash val="solid"/>
            </a:ln>
          </c:spPr>
          <c:marker>
            <c:symbol val="circle"/>
            <c:size val="2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Radar_Mosca!$CO$11</c:f>
              <c:numCache>
                <c:formatCode>General</c:formatCode>
                <c:ptCount val="1"/>
                <c:pt idx="0">
                  <c:v>3.5</c:v>
                </c:pt>
              </c:numCache>
            </c:numRef>
          </c:xVal>
          <c:yVal>
            <c:numRef>
              <c:f>Radar_Mosca!$CP$11</c:f>
              <c:numCache>
                <c:formatCode>General</c:formatCode>
                <c:ptCount val="1"/>
                <c:pt idx="0">
                  <c:v>-9.1</c:v>
                </c:pt>
              </c:numCache>
            </c:numRef>
          </c:yVal>
          <c:smooth val="1"/>
          <c:extLst>
            <c:ext xmlns:c16="http://schemas.microsoft.com/office/drawing/2014/chart" uri="{C3380CC4-5D6E-409C-BE32-E72D297353CC}">
              <c16:uniqueId val="{0000005E-D0F2-4FD5-AFDE-84D66CB3CC4E}"/>
            </c:ext>
          </c:extLst>
        </c:ser>
        <c:ser>
          <c:idx val="90"/>
          <c:order val="90"/>
          <c:tx>
            <c:strRef>
              <c:f>Radar_Mosca!$CN$12</c:f>
              <c:strCache>
                <c:ptCount val="1"/>
                <c:pt idx="0">
                  <c:v>12</c:v>
                </c:pt>
              </c:strCache>
            </c:strRef>
          </c:tx>
          <c:spPr>
            <a:ln>
              <a:noFill/>
              <a:prstDash val="solid"/>
            </a:ln>
          </c:spPr>
          <c:marker>
            <c:symbol val="circle"/>
            <c:size val="35"/>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Radar_Mosca!$CO$12</c:f>
              <c:numCache>
                <c:formatCode>General</c:formatCode>
                <c:ptCount val="1"/>
                <c:pt idx="0">
                  <c:v>4.8</c:v>
                </c:pt>
              </c:numCache>
            </c:numRef>
          </c:xVal>
          <c:yVal>
            <c:numRef>
              <c:f>Radar_Mosca!$CP$12</c:f>
              <c:numCache>
                <c:formatCode>General</c:formatCode>
                <c:ptCount val="1"/>
                <c:pt idx="0">
                  <c:v>-9.1</c:v>
                </c:pt>
              </c:numCache>
            </c:numRef>
          </c:yVal>
          <c:smooth val="1"/>
          <c:extLst>
            <c:ext xmlns:c16="http://schemas.microsoft.com/office/drawing/2014/chart" uri="{C3380CC4-5D6E-409C-BE32-E72D297353CC}">
              <c16:uniqueId val="{0000005F-D0F2-4FD5-AFDE-84D66CB3CC4E}"/>
            </c:ext>
          </c:extLst>
        </c:ser>
        <c:ser>
          <c:idx val="91"/>
          <c:order val="91"/>
          <c:tx>
            <c:strRef>
              <c:f>Radar_Mosca!$CN$13</c:f>
              <c:strCache>
                <c:ptCount val="1"/>
                <c:pt idx="0">
                  <c:v>25</c:v>
                </c:pt>
              </c:strCache>
            </c:strRef>
          </c:tx>
          <c:spPr>
            <a:ln>
              <a:noFill/>
              <a:prstDash val="solid"/>
            </a:ln>
          </c:spPr>
          <c:marker>
            <c:symbol val="circle"/>
            <c:size val="5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Radar_Mosca!$CO$13</c:f>
              <c:numCache>
                <c:formatCode>General</c:formatCode>
                <c:ptCount val="1"/>
                <c:pt idx="0">
                  <c:v>6.5</c:v>
                </c:pt>
              </c:numCache>
            </c:numRef>
          </c:xVal>
          <c:yVal>
            <c:numRef>
              <c:f>Radar_Mosca!$CP$13</c:f>
              <c:numCache>
                <c:formatCode>General</c:formatCode>
                <c:ptCount val="1"/>
                <c:pt idx="0">
                  <c:v>-9.1</c:v>
                </c:pt>
              </c:numCache>
            </c:numRef>
          </c:yVal>
          <c:smooth val="1"/>
          <c:extLst>
            <c:ext xmlns:c16="http://schemas.microsoft.com/office/drawing/2014/chart" uri="{C3380CC4-5D6E-409C-BE32-E72D297353CC}">
              <c16:uniqueId val="{00000060-D0F2-4FD5-AFDE-84D66CB3CC4E}"/>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10.4"/>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Delta!$AT$2</c:f>
          <c:strCache>
            <c:ptCount val="1"/>
            <c:pt idx="0">
              <c:v>3 in aumento, 0 in diminuzione, 10 invariati</c:v>
            </c:pt>
          </c:strCache>
        </c:strRef>
      </c:tx>
      <c:overlay val="0"/>
    </c:title>
    <c:autoTitleDeleted val="0"/>
    <c:plotArea>
      <c:layout/>
      <c:barChart>
        <c:barDir val="bar"/>
        <c:grouping val="clustered"/>
        <c:varyColors val="0"/>
        <c:ser>
          <c:idx val="0"/>
          <c:order val="0"/>
          <c:tx>
            <c:v>In aumento</c:v>
          </c:tx>
          <c:spPr>
            <a:solidFill>
              <a:srgbClr val="C00000"/>
            </a:solidFill>
            <a:ln>
              <a:noFill/>
              <a:prstDash val="solid"/>
            </a:ln>
          </c:spPr>
          <c:invertIfNegative val="0"/>
          <c:dLbls>
            <c:spPr>
              <a:noFill/>
              <a:ln>
                <a:noFill/>
              </a:ln>
              <a:effectLst/>
            </c:spPr>
            <c:txPr>
              <a:bodyPr/>
              <a:lstStyle/>
              <a:p>
                <a:pPr>
                  <a:defRPr sz="900" b="1">
                    <a:solidFill>
                      <a:srgbClr val="C00000"/>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3"/>
                <c:pt idx="0">
                  <c:v>NFR-16  Vertenze e carenza di tecnici </c:v>
                </c:pt>
                <c:pt idx="1">
                  <c:v>NFR-02  Concentrazione su un fornitore</c:v>
                </c:pt>
                <c:pt idx="2">
                  <c:v>NFR-01  Frodi su pagamenti istantanei </c:v>
                </c:pt>
                <c:pt idx="3">
                  <c:v>NFR-03  Greenwashing nella commerciali</c:v>
                </c:pt>
                <c:pt idx="4">
                  <c:v>NFR-04  Eventi climatici estremi su se</c:v>
                </c:pt>
                <c:pt idx="5">
                  <c:v>NFR-05  Errori di processo nella migra</c:v>
                </c:pt>
                <c:pt idx="6">
                  <c:v>NFR-06  Esfiltrazione di dati tramite </c:v>
                </c:pt>
                <c:pt idx="7">
                  <c:v>NFR-07  Ransomware presso un fornitore</c:v>
                </c:pt>
                <c:pt idx="8">
                  <c:v>NFR-08  Accessi impropri di dipendenti</c:v>
                </c:pt>
                <c:pt idx="9">
                  <c:v>NFR-09  Violazione di sanzioni interna</c:v>
                </c:pt>
                <c:pt idx="10">
                  <c:v>NFR-10  Informazioni errate ai clienti</c:v>
                </c:pt>
                <c:pt idx="11">
                  <c:v>NFR-11  Fine del supporto dei sistemi </c:v>
                </c:pt>
                <c:pt idx="12">
                  <c:v>NFR-12  Errori operativi nei pagamenti</c:v>
                </c:pt>
              </c:strCache>
            </c:strRef>
          </c:cat>
          <c:val>
            <c:numRef>
              <c:f>[0]!deltaSu</c:f>
              <c:numCache>
                <c:formatCode>\+0.00;\-0.00;;</c:formatCode>
                <c:ptCount val="13"/>
                <c:pt idx="0">
                  <c:v>0.60999999999999988</c:v>
                </c:pt>
                <c:pt idx="1">
                  <c:v>0.5</c:v>
                </c:pt>
                <c:pt idx="2">
                  <c:v>0.20000000000000018</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E293-48DC-B60F-55E21FA0B492}"/>
            </c:ext>
          </c:extLst>
        </c:ser>
        <c:ser>
          <c:idx val="1"/>
          <c:order val="1"/>
          <c:tx>
            <c:v>In diminuzione</c:v>
          </c:tx>
          <c:spPr>
            <a:solidFill>
              <a:srgbClr val="2E75B6"/>
            </a:solidFill>
            <a:ln>
              <a:noFill/>
              <a:prstDash val="solid"/>
            </a:ln>
          </c:spPr>
          <c:invertIfNegative val="0"/>
          <c:dLbls>
            <c:spPr>
              <a:noFill/>
              <a:ln>
                <a:noFill/>
              </a:ln>
              <a:effectLst/>
            </c:spPr>
            <c:txPr>
              <a:bodyPr/>
              <a:lstStyle/>
              <a:p>
                <a:pPr>
                  <a:defRPr sz="900" b="1">
                    <a:solidFill>
                      <a:srgbClr val="2E75B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3"/>
                <c:pt idx="0">
                  <c:v>NFR-16  Vertenze e carenza di tecnici </c:v>
                </c:pt>
                <c:pt idx="1">
                  <c:v>NFR-02  Concentrazione su un fornitore</c:v>
                </c:pt>
                <c:pt idx="2">
                  <c:v>NFR-01  Frodi su pagamenti istantanei </c:v>
                </c:pt>
                <c:pt idx="3">
                  <c:v>NFR-03  Greenwashing nella commerciali</c:v>
                </c:pt>
                <c:pt idx="4">
                  <c:v>NFR-04  Eventi climatici estremi su se</c:v>
                </c:pt>
                <c:pt idx="5">
                  <c:v>NFR-05  Errori di processo nella migra</c:v>
                </c:pt>
                <c:pt idx="6">
                  <c:v>NFR-06  Esfiltrazione di dati tramite </c:v>
                </c:pt>
                <c:pt idx="7">
                  <c:v>NFR-07  Ransomware presso un fornitore</c:v>
                </c:pt>
                <c:pt idx="8">
                  <c:v>NFR-08  Accessi impropri di dipendenti</c:v>
                </c:pt>
                <c:pt idx="9">
                  <c:v>NFR-09  Violazione di sanzioni interna</c:v>
                </c:pt>
                <c:pt idx="10">
                  <c:v>NFR-10  Informazioni errate ai clienti</c:v>
                </c:pt>
                <c:pt idx="11">
                  <c:v>NFR-11  Fine del supporto dei sistemi </c:v>
                </c:pt>
                <c:pt idx="12">
                  <c:v>NFR-12  Errori operativi nei pagamenti</c:v>
                </c:pt>
              </c:strCache>
            </c:strRef>
          </c:cat>
          <c:val>
            <c:numRef>
              <c:f>[0]!deltaGiu</c:f>
              <c:numCache>
                <c:formatCode>\+0.00;\-0.00;;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E293-48DC-B60F-55E21FA0B492}"/>
            </c:ext>
          </c:extLst>
        </c:ser>
        <c:ser>
          <c:idx val="2"/>
          <c:order val="2"/>
          <c:tx>
            <c:v>Invariato</c:v>
          </c:tx>
          <c:spPr>
            <a:solidFill>
              <a:srgbClr val="A6A6A6"/>
            </a:solidFill>
            <a:ln>
              <a:noFill/>
              <a:prstDash val="solid"/>
            </a:ln>
          </c:spPr>
          <c:invertIfNegative val="0"/>
          <c:cat>
            <c:strRef>
              <c:f>[0]!deltaEtichette</c:f>
              <c:strCache>
                <c:ptCount val="13"/>
                <c:pt idx="0">
                  <c:v>NFR-16  Vertenze e carenza di tecnici </c:v>
                </c:pt>
                <c:pt idx="1">
                  <c:v>NFR-02  Concentrazione su un fornitore</c:v>
                </c:pt>
                <c:pt idx="2">
                  <c:v>NFR-01  Frodi su pagamenti istantanei </c:v>
                </c:pt>
                <c:pt idx="3">
                  <c:v>NFR-03  Greenwashing nella commerciali</c:v>
                </c:pt>
                <c:pt idx="4">
                  <c:v>NFR-04  Eventi climatici estremi su se</c:v>
                </c:pt>
                <c:pt idx="5">
                  <c:v>NFR-05  Errori di processo nella migra</c:v>
                </c:pt>
                <c:pt idx="6">
                  <c:v>NFR-06  Esfiltrazione di dati tramite </c:v>
                </c:pt>
                <c:pt idx="7">
                  <c:v>NFR-07  Ransomware presso un fornitore</c:v>
                </c:pt>
                <c:pt idx="8">
                  <c:v>NFR-08  Accessi impropri di dipendenti</c:v>
                </c:pt>
                <c:pt idx="9">
                  <c:v>NFR-09  Violazione di sanzioni interna</c:v>
                </c:pt>
                <c:pt idx="10">
                  <c:v>NFR-10  Informazioni errate ai clienti</c:v>
                </c:pt>
                <c:pt idx="11">
                  <c:v>NFR-11  Fine del supporto dei sistemi </c:v>
                </c:pt>
                <c:pt idx="12">
                  <c:v>NFR-12  Errori operativi nei pagamenti</c:v>
                </c:pt>
              </c:strCache>
            </c:strRef>
          </c:cat>
          <c:val>
            <c:numRef>
              <c:f>[0]!deltaZero</c:f>
              <c:numCache>
                <c:formatCode>\+0.00;\-0.00;;</c:formatCode>
                <c:ptCount val="13"/>
                <c:pt idx="0">
                  <c:v>#N/A</c:v>
                </c:pt>
                <c:pt idx="1">
                  <c:v>#N/A</c:v>
                </c:pt>
                <c:pt idx="2">
                  <c:v>#N/A</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E293-48DC-B60F-55E21FA0B492}"/>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low"/>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1.5"/>
          <c:min val="-1.5"/>
        </c:scaling>
        <c:delete val="0"/>
        <c:axPos val="t"/>
        <c:majorGridlines>
          <c:spPr>
            <a:ln>
              <a:solidFill>
                <a:srgbClr val="EDEDED"/>
              </a:solidFill>
              <a:prstDash val="solid"/>
            </a:ln>
          </c:spPr>
        </c:majorGridlines>
        <c:numFmt formatCode="\+0.00;\-0.00;0" sourceLinked="0"/>
        <c:majorTickMark val="none"/>
        <c:minorTickMark val="none"/>
        <c:tickLblPos val="nextTo"/>
        <c:txPr>
          <a:bodyPr/>
          <a:lstStyle/>
          <a:p>
            <a:pPr>
              <a:defRPr sz="900" b="0">
                <a:solidFill>
                  <a:srgbClr val="595959"/>
                </a:solidFill>
              </a:defRPr>
            </a:pPr>
            <a:endParaRPr lang="it-IT"/>
          </a:p>
        </c:txPr>
        <c:crossAx val="10"/>
        <c:crosses val="autoZero"/>
        <c:crossBetween val="between"/>
        <c:majorUnit val="0.5"/>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Score composito per rischio (scala fissa 0-5)</a:t>
            </a:r>
          </a:p>
        </c:rich>
      </c:tx>
      <c:overlay val="0"/>
    </c:title>
    <c:autoTitleDeleted val="0"/>
    <c:plotArea>
      <c:layout/>
      <c:lineChart>
        <c:grouping val="standard"/>
        <c:varyColors val="0"/>
        <c:ser>
          <c:idx val="0"/>
          <c:order val="0"/>
          <c:tx>
            <c:strRef>
              <c:f>Storico!$B$5</c:f>
              <c:strCache>
                <c:ptCount val="1"/>
                <c:pt idx="0">
                  <c:v>Frodi su pagamenti istantanei abilitate da AI generativa</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Storico!$C$5:$J$5</c:f>
              <c:numCache>
                <c:formatCode>0.00</c:formatCode>
                <c:ptCount val="8"/>
                <c:pt idx="0">
                  <c:v>#N/A</c:v>
                </c:pt>
                <c:pt idx="1">
                  <c:v>#N/A</c:v>
                </c:pt>
                <c:pt idx="2">
                  <c:v>#N/A</c:v>
                </c:pt>
                <c:pt idx="3">
                  <c:v>3.45</c:v>
                </c:pt>
                <c:pt idx="4">
                  <c:v>3.65</c:v>
                </c:pt>
                <c:pt idx="5">
                  <c:v>4.2</c:v>
                </c:pt>
                <c:pt idx="6">
                  <c:v>4.2</c:v>
                </c:pt>
                <c:pt idx="7">
                  <c:v>4.4000000000000004</c:v>
                </c:pt>
              </c:numCache>
            </c:numRef>
          </c:val>
          <c:smooth val="0"/>
          <c:extLst>
            <c:ext xmlns:c16="http://schemas.microsoft.com/office/drawing/2014/chart" uri="{C3380CC4-5D6E-409C-BE32-E72D297353CC}">
              <c16:uniqueId val="{00000000-C3CA-4CBC-8997-9AFF78661658}"/>
            </c:ext>
          </c:extLst>
        </c:ser>
        <c:ser>
          <c:idx val="1"/>
          <c:order val="1"/>
          <c:tx>
            <c:strRef>
              <c:f>Storico!$B$6</c:f>
              <c:strCache>
                <c:ptCount val="1"/>
                <c:pt idx="0">
                  <c:v>Concentrazione su un fornitore cloud critico</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Storico!$C$6:$J$6</c:f>
              <c:numCache>
                <c:formatCode>0.00</c:formatCode>
                <c:ptCount val="8"/>
                <c:pt idx="0">
                  <c:v>#N/A</c:v>
                </c:pt>
                <c:pt idx="1">
                  <c:v>#N/A</c:v>
                </c:pt>
                <c:pt idx="2">
                  <c:v>#N/A</c:v>
                </c:pt>
                <c:pt idx="3">
                  <c:v>3.3</c:v>
                </c:pt>
                <c:pt idx="4">
                  <c:v>3.3</c:v>
                </c:pt>
                <c:pt idx="5">
                  <c:v>3.3</c:v>
                </c:pt>
                <c:pt idx="6">
                  <c:v>3.3</c:v>
                </c:pt>
                <c:pt idx="7">
                  <c:v>3.8</c:v>
                </c:pt>
              </c:numCache>
            </c:numRef>
          </c:val>
          <c:smooth val="0"/>
          <c:extLst>
            <c:ext xmlns:c16="http://schemas.microsoft.com/office/drawing/2014/chart" uri="{C3380CC4-5D6E-409C-BE32-E72D297353CC}">
              <c16:uniqueId val="{00000001-C3CA-4CBC-8997-9AFF78661658}"/>
            </c:ext>
          </c:extLst>
        </c:ser>
        <c:ser>
          <c:idx val="2"/>
          <c:order val="2"/>
          <c:tx>
            <c:strRef>
              <c:f>Storico!$B$7</c:f>
              <c:strCache>
                <c:ptCount val="1"/>
                <c:pt idx="0">
                  <c:v>Greenwashing nella commercializzazione di prodotti ESG</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Storico!$C$7:$J$7</c:f>
              <c:numCache>
                <c:formatCode>0.00</c:formatCode>
                <c:ptCount val="8"/>
                <c:pt idx="0">
                  <c:v>#N/A</c:v>
                </c:pt>
                <c:pt idx="1">
                  <c:v>#N/A</c:v>
                </c:pt>
                <c:pt idx="2">
                  <c:v>#N/A</c:v>
                </c:pt>
                <c:pt idx="3">
                  <c:v>2.8</c:v>
                </c:pt>
                <c:pt idx="4">
                  <c:v>2.8</c:v>
                </c:pt>
                <c:pt idx="5">
                  <c:v>2.8</c:v>
                </c:pt>
                <c:pt idx="6">
                  <c:v>3</c:v>
                </c:pt>
                <c:pt idx="7">
                  <c:v>3</c:v>
                </c:pt>
              </c:numCache>
            </c:numRef>
          </c:val>
          <c:smooth val="0"/>
          <c:extLst>
            <c:ext xmlns:c16="http://schemas.microsoft.com/office/drawing/2014/chart" uri="{C3380CC4-5D6E-409C-BE32-E72D297353CC}">
              <c16:uniqueId val="{00000002-C3CA-4CBC-8997-9AFF78661658}"/>
            </c:ext>
          </c:extLst>
        </c:ser>
        <c:ser>
          <c:idx val="3"/>
          <c:order val="3"/>
          <c:tx>
            <c:strRef>
              <c:f>Storico!$B$8</c:f>
              <c:strCache>
                <c:ptCount val="1"/>
                <c:pt idx="0">
                  <c:v>Eventi climatici estremi su sedi e data center</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Storico!$C$8:$J$8</c:f>
              <c:numCache>
                <c:formatCode>0.00</c:formatCode>
                <c:ptCount val="8"/>
                <c:pt idx="0">
                  <c:v>#N/A</c:v>
                </c:pt>
                <c:pt idx="1">
                  <c:v>#N/A</c:v>
                </c:pt>
                <c:pt idx="2">
                  <c:v>#N/A</c:v>
                </c:pt>
                <c:pt idx="3">
                  <c:v>2.6</c:v>
                </c:pt>
                <c:pt idx="4">
                  <c:v>2.6</c:v>
                </c:pt>
                <c:pt idx="5">
                  <c:v>2.8</c:v>
                </c:pt>
                <c:pt idx="6">
                  <c:v>2.8</c:v>
                </c:pt>
                <c:pt idx="7">
                  <c:v>2.8</c:v>
                </c:pt>
              </c:numCache>
            </c:numRef>
          </c:val>
          <c:smooth val="0"/>
          <c:extLst>
            <c:ext xmlns:c16="http://schemas.microsoft.com/office/drawing/2014/chart" uri="{C3380CC4-5D6E-409C-BE32-E72D297353CC}">
              <c16:uniqueId val="{00000003-C3CA-4CBC-8997-9AFF78661658}"/>
            </c:ext>
          </c:extLst>
        </c:ser>
        <c:ser>
          <c:idx val="4"/>
          <c:order val="4"/>
          <c:tx>
            <c:strRef>
              <c:f>Storico!$B$9</c:f>
              <c:strCache>
                <c:ptCount val="1"/>
                <c:pt idx="0">
                  <c:v>Errori di processo nella migrazione del core banking</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Storico!$C$9:$J$9</c:f>
              <c:numCache>
                <c:formatCode>0.00</c:formatCode>
                <c:ptCount val="8"/>
                <c:pt idx="0">
                  <c:v>#N/A</c:v>
                </c:pt>
                <c:pt idx="1">
                  <c:v>#N/A</c:v>
                </c:pt>
                <c:pt idx="2">
                  <c:v>#N/A</c:v>
                </c:pt>
                <c:pt idx="3">
                  <c:v>3.2</c:v>
                </c:pt>
                <c:pt idx="4">
                  <c:v>3.2</c:v>
                </c:pt>
                <c:pt idx="5">
                  <c:v>3</c:v>
                </c:pt>
                <c:pt idx="6">
                  <c:v>3</c:v>
                </c:pt>
                <c:pt idx="7">
                  <c:v>3</c:v>
                </c:pt>
              </c:numCache>
            </c:numRef>
          </c:val>
          <c:smooth val="0"/>
          <c:extLst>
            <c:ext xmlns:c16="http://schemas.microsoft.com/office/drawing/2014/chart" uri="{C3380CC4-5D6E-409C-BE32-E72D297353CC}">
              <c16:uniqueId val="{00000004-C3CA-4CBC-8997-9AFF78661658}"/>
            </c:ext>
          </c:extLst>
        </c:ser>
        <c:ser>
          <c:idx val="5"/>
          <c:order val="5"/>
          <c:tx>
            <c:strRef>
              <c:f>Storico!$B$10</c:f>
              <c:strCache>
                <c:ptCount val="1"/>
                <c:pt idx="0">
                  <c:v>Esfiltrazione di dati tramite strumenti di AI non autorizzati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Storico!$C$10:$J$10</c:f>
              <c:numCache>
                <c:formatCode>0.00</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5-C3CA-4CBC-8997-9AFF78661658}"/>
            </c:ext>
          </c:extLst>
        </c:ser>
        <c:ser>
          <c:idx val="6"/>
          <c:order val="6"/>
          <c:tx>
            <c:strRef>
              <c:f>Storico!$B$11</c:f>
              <c:strCache>
                <c:ptCount val="1"/>
                <c:pt idx="0">
                  <c:v>Ransomware presso un fornitore di servizi di pagamento</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Storico!$C$11:$J$11</c:f>
              <c:numCache>
                <c:formatCode>0.00</c:formatCode>
                <c:ptCount val="8"/>
                <c:pt idx="0">
                  <c:v>#N/A</c:v>
                </c:pt>
                <c:pt idx="1">
                  <c:v>#N/A</c:v>
                </c:pt>
                <c:pt idx="2">
                  <c:v>#N/A</c:v>
                </c:pt>
                <c:pt idx="3">
                  <c:v>3.75</c:v>
                </c:pt>
                <c:pt idx="4">
                  <c:v>3.75</c:v>
                </c:pt>
                <c:pt idx="5">
                  <c:v>3.75</c:v>
                </c:pt>
                <c:pt idx="6">
                  <c:v>3.75</c:v>
                </c:pt>
                <c:pt idx="7">
                  <c:v>3.75</c:v>
                </c:pt>
              </c:numCache>
            </c:numRef>
          </c:val>
          <c:smooth val="0"/>
          <c:extLst>
            <c:ext xmlns:c16="http://schemas.microsoft.com/office/drawing/2014/chart" uri="{C3380CC4-5D6E-409C-BE32-E72D297353CC}">
              <c16:uniqueId val="{00000006-C3CA-4CBC-8997-9AFF78661658}"/>
            </c:ext>
          </c:extLst>
        </c:ser>
        <c:ser>
          <c:idx val="7"/>
          <c:order val="7"/>
          <c:tx>
            <c:strRef>
              <c:f>Storico!$B$12</c:f>
              <c:strCache>
                <c:ptCount val="1"/>
                <c:pt idx="0">
                  <c:v>Accessi impropri di dipendenti ai dati dei clienti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Storico!$C$12:$J$12</c:f>
              <c:numCache>
                <c:formatCode>0.00</c:formatCode>
                <c:ptCount val="8"/>
                <c:pt idx="0">
                  <c:v>#N/A</c:v>
                </c:pt>
                <c:pt idx="1">
                  <c:v>#N/A</c:v>
                </c:pt>
                <c:pt idx="2">
                  <c:v>#N/A</c:v>
                </c:pt>
                <c:pt idx="3">
                  <c:v>2.75</c:v>
                </c:pt>
                <c:pt idx="4">
                  <c:v>2.75</c:v>
                </c:pt>
                <c:pt idx="5">
                  <c:v>2.75</c:v>
                </c:pt>
                <c:pt idx="6">
                  <c:v>2.75</c:v>
                </c:pt>
                <c:pt idx="7">
                  <c:v>2.75</c:v>
                </c:pt>
              </c:numCache>
            </c:numRef>
          </c:val>
          <c:smooth val="0"/>
          <c:extLst>
            <c:ext xmlns:c16="http://schemas.microsoft.com/office/drawing/2014/chart" uri="{C3380CC4-5D6E-409C-BE32-E72D297353CC}">
              <c16:uniqueId val="{00000007-C3CA-4CBC-8997-9AFF78661658}"/>
            </c:ext>
          </c:extLst>
        </c:ser>
        <c:ser>
          <c:idx val="8"/>
          <c:order val="8"/>
          <c:tx>
            <c:strRef>
              <c:f>Storico!$B$13</c:f>
              <c:strCache>
                <c:ptCount val="1"/>
                <c:pt idx="0">
                  <c:v>Violazione di sanzioni internazionali tramite triangolazioni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Storico!$C$13:$J$13</c:f>
              <c:numCache>
                <c:formatCode>0.00</c:formatCode>
                <c:ptCount val="8"/>
                <c:pt idx="0">
                  <c:v>#N/A</c:v>
                </c:pt>
                <c:pt idx="1">
                  <c:v>#N/A</c:v>
                </c:pt>
                <c:pt idx="2">
                  <c:v>#N/A</c:v>
                </c:pt>
                <c:pt idx="3">
                  <c:v>#N/A</c:v>
                </c:pt>
                <c:pt idx="4">
                  <c:v>2.9</c:v>
                </c:pt>
                <c:pt idx="5">
                  <c:v>2.9</c:v>
                </c:pt>
                <c:pt idx="6">
                  <c:v>2.9</c:v>
                </c:pt>
                <c:pt idx="7">
                  <c:v>2.9</c:v>
                </c:pt>
              </c:numCache>
            </c:numRef>
          </c:val>
          <c:smooth val="0"/>
          <c:extLst>
            <c:ext xmlns:c16="http://schemas.microsoft.com/office/drawing/2014/chart" uri="{C3380CC4-5D6E-409C-BE32-E72D297353CC}">
              <c16:uniqueId val="{00000008-C3CA-4CBC-8997-9AFF78661658}"/>
            </c:ext>
          </c:extLst>
        </c:ser>
        <c:ser>
          <c:idx val="9"/>
          <c:order val="9"/>
          <c:tx>
            <c:strRef>
              <c:f>Storico!$B$14</c:f>
              <c:strCache>
                <c:ptCount val="1"/>
                <c:pt idx="0">
                  <c:v>Informazioni errate ai clienti da assistenti di AI generativa</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Storico!$C$14:$J$14</c:f>
              <c:numCache>
                <c:formatCode>0.00</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9-C3CA-4CBC-8997-9AFF78661658}"/>
            </c:ext>
          </c:extLst>
        </c:ser>
        <c:ser>
          <c:idx val="10"/>
          <c:order val="10"/>
          <c:tx>
            <c:strRef>
              <c:f>Storico!$B$15</c:f>
              <c:strCache>
                <c:ptCount val="1"/>
                <c:pt idx="0">
                  <c:v>Fine del supporto dei sistemi di pagamento legacy</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Storico!$C$15:$J$15</c:f>
              <c:numCache>
                <c:formatCode>0.00</c:formatCode>
                <c:ptCount val="8"/>
                <c:pt idx="0">
                  <c:v>#N/A</c:v>
                </c:pt>
                <c:pt idx="1">
                  <c:v>#N/A</c:v>
                </c:pt>
                <c:pt idx="2">
                  <c:v>#N/A</c:v>
                </c:pt>
                <c:pt idx="3">
                  <c:v>2.8</c:v>
                </c:pt>
                <c:pt idx="4">
                  <c:v>2.8</c:v>
                </c:pt>
                <c:pt idx="5">
                  <c:v>2.8</c:v>
                </c:pt>
                <c:pt idx="6">
                  <c:v>2.8</c:v>
                </c:pt>
                <c:pt idx="7">
                  <c:v>2.8</c:v>
                </c:pt>
              </c:numCache>
            </c:numRef>
          </c:val>
          <c:smooth val="0"/>
          <c:extLst>
            <c:ext xmlns:c16="http://schemas.microsoft.com/office/drawing/2014/chart" uri="{C3380CC4-5D6E-409C-BE32-E72D297353CC}">
              <c16:uniqueId val="{0000000A-C3CA-4CBC-8997-9AFF78661658}"/>
            </c:ext>
          </c:extLst>
        </c:ser>
        <c:ser>
          <c:idx val="11"/>
          <c:order val="11"/>
          <c:tx>
            <c:strRef>
              <c:f>Storico!$B$16</c:f>
              <c:strCache>
                <c:ptCount val="1"/>
                <c:pt idx="0">
                  <c:v>Errori operativi nei pagamenti istantanei obbligatori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Storico!$C$16:$J$16</c:f>
              <c:numCache>
                <c:formatCode>0.00</c:formatCode>
                <c:ptCount val="8"/>
                <c:pt idx="0">
                  <c:v>#N/A</c:v>
                </c:pt>
                <c:pt idx="1">
                  <c:v>#N/A</c:v>
                </c:pt>
                <c:pt idx="2">
                  <c:v>#N/A</c:v>
                </c:pt>
                <c:pt idx="3">
                  <c:v>3.45</c:v>
                </c:pt>
                <c:pt idx="4">
                  <c:v>3.45</c:v>
                </c:pt>
                <c:pt idx="5">
                  <c:v>3.65</c:v>
                </c:pt>
                <c:pt idx="6">
                  <c:v>3.65</c:v>
                </c:pt>
                <c:pt idx="7">
                  <c:v>3.65</c:v>
                </c:pt>
              </c:numCache>
            </c:numRef>
          </c:val>
          <c:smooth val="0"/>
          <c:extLst>
            <c:ext xmlns:c16="http://schemas.microsoft.com/office/drawing/2014/chart" uri="{C3380CC4-5D6E-409C-BE32-E72D297353CC}">
              <c16:uniqueId val="{0000000B-C3CA-4CBC-8997-9AFF78661658}"/>
            </c:ext>
          </c:extLst>
        </c:ser>
        <c:ser>
          <c:idx val="12"/>
          <c:order val="12"/>
          <c:tx>
            <c:strRef>
              <c:f>Storico!$B$17</c:f>
              <c:strCache>
                <c:ptCount val="1"/>
                <c:pt idx="0">
                  <c:v>Vertenze e carenza di tecnici nei ruoli IT critici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Storico!$C$17:$J$17</c:f>
              <c:numCache>
                <c:formatCode>0.00</c:formatCode>
                <c:ptCount val="8"/>
                <c:pt idx="0">
                  <c:v>#N/A</c:v>
                </c:pt>
                <c:pt idx="1">
                  <c:v>#N/A</c:v>
                </c:pt>
                <c:pt idx="2">
                  <c:v>#N/A</c:v>
                </c:pt>
                <c:pt idx="3">
                  <c:v>#N/A</c:v>
                </c:pt>
                <c:pt idx="4">
                  <c:v>#N/A</c:v>
                </c:pt>
                <c:pt idx="5">
                  <c:v>#N/A</c:v>
                </c:pt>
                <c:pt idx="6">
                  <c:v>2.19</c:v>
                </c:pt>
                <c:pt idx="7">
                  <c:v>2.8</c:v>
                </c:pt>
              </c:numCache>
            </c:numRef>
          </c:val>
          <c:smooth val="0"/>
          <c:extLst>
            <c:ext xmlns:c16="http://schemas.microsoft.com/office/drawing/2014/chart" uri="{C3380CC4-5D6E-409C-BE32-E72D297353CC}">
              <c16:uniqueId val="{0000000C-C3CA-4CBC-8997-9AFF78661658}"/>
            </c:ext>
          </c:extLst>
        </c:ser>
        <c:ser>
          <c:idx val="13"/>
          <c:order val="13"/>
          <c:tx>
            <c:strRef>
              <c:f>Storico!$B$18</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Storico!$C$18:$J$18</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D-C3CA-4CBC-8997-9AFF78661658}"/>
            </c:ext>
          </c:extLst>
        </c:ser>
        <c:ser>
          <c:idx val="14"/>
          <c:order val="14"/>
          <c:tx>
            <c:strRef>
              <c:f>Storico!$B$19</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Storico!$C$19:$J$19</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E-C3CA-4CBC-8997-9AFF78661658}"/>
            </c:ext>
          </c:extLst>
        </c:ser>
        <c:ser>
          <c:idx val="15"/>
          <c:order val="15"/>
          <c:tx>
            <c:strRef>
              <c:f>Storico!$B$20</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Storico!$C$20:$J$20</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F-C3CA-4CBC-8997-9AFF78661658}"/>
            </c:ext>
          </c:extLst>
        </c:ser>
        <c:ser>
          <c:idx val="16"/>
          <c:order val="16"/>
          <c:tx>
            <c:strRef>
              <c:f>Storico!$B$21</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Storico!$C$21:$J$21</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0-C3CA-4CBC-8997-9AFF78661658}"/>
            </c:ext>
          </c:extLst>
        </c:ser>
        <c:ser>
          <c:idx val="17"/>
          <c:order val="17"/>
          <c:tx>
            <c:strRef>
              <c:f>Storico!$B$22</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Storico!$C$22:$J$22</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1-C3CA-4CBC-8997-9AFF78661658}"/>
            </c:ext>
          </c:extLst>
        </c:ser>
        <c:ser>
          <c:idx val="18"/>
          <c:order val="18"/>
          <c:tx>
            <c:strRef>
              <c:f>Storico!$B$23</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Storico!$C$23:$J$23</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2-C3CA-4CBC-8997-9AFF78661658}"/>
            </c:ext>
          </c:extLst>
        </c:ser>
        <c:ser>
          <c:idx val="19"/>
          <c:order val="19"/>
          <c:tx>
            <c:strRef>
              <c:f>Storico!$B$24</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Storico!$C$24:$J$24</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3-C3CA-4CBC-8997-9AFF78661658}"/>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l"/>
        <c:majorGridlines>
          <c:spPr>
            <a:ln>
              <a:solidFill>
                <a:srgbClr val="EDEDED"/>
              </a:solidFill>
              <a:prstDash val="solid"/>
            </a:ln>
          </c:spPr>
        </c:majorGridlines>
        <c:numFmt formatCode="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Valore rilevato e soglie, ultimi otto cicli</a:t>
            </a:r>
          </a:p>
        </c:rich>
      </c:tx>
      <c:overlay val="0"/>
    </c:title>
    <c:autoTitleDeleted val="0"/>
    <c:plotArea>
      <c:layout/>
      <c:lineChart>
        <c:grouping val="standard"/>
        <c:varyColors val="0"/>
        <c:ser>
          <c:idx val="0"/>
          <c:order val="0"/>
          <c:tx>
            <c:strRef>
              <c:f>Indicatori!$N$11</c:f>
              <c:strCache>
                <c:ptCount val="1"/>
                <c:pt idx="0">
                  <c:v>Valore</c:v>
                </c:pt>
              </c:strCache>
            </c:strRef>
          </c:tx>
          <c:spPr>
            <a:ln>
              <a:solidFill>
                <a:srgbClr val="1F3864"/>
              </a:solidFill>
              <a:prstDash val="solid"/>
            </a:ln>
          </c:spPr>
          <c:marker>
            <c:symbol val="circle"/>
            <c:size val="5"/>
            <c:spPr>
              <a:ln>
                <a:prstDash val="solid"/>
              </a:ln>
            </c:spPr>
          </c:marker>
          <c:cat>
            <c:strRef>
              <c:f>Indicatori!$M$12:$M$19</c:f>
              <c:strCache>
                <c:ptCount val="8"/>
                <c:pt idx="0">
                  <c:v>2025Q1</c:v>
                </c:pt>
                <c:pt idx="1">
                  <c:v>2025Q2</c:v>
                </c:pt>
                <c:pt idx="2">
                  <c:v>2025Q3</c:v>
                </c:pt>
                <c:pt idx="3">
                  <c:v>2025Q4</c:v>
                </c:pt>
                <c:pt idx="4">
                  <c:v>2026Q1</c:v>
                </c:pt>
                <c:pt idx="5">
                  <c:v>2026Q2</c:v>
                </c:pt>
                <c:pt idx="6">
                  <c:v>2026Q3</c:v>
                </c:pt>
                <c:pt idx="7">
                  <c:v>2026Q4</c:v>
                </c:pt>
              </c:strCache>
            </c:strRef>
          </c:cat>
          <c:val>
            <c:numRef>
              <c:f>Indicatori!$N$12:$N$19</c:f>
              <c:numCache>
                <c:formatCode>General</c:formatCode>
                <c:ptCount val="8"/>
                <c:pt idx="0">
                  <c:v>#N/A</c:v>
                </c:pt>
                <c:pt idx="1">
                  <c:v>#N/A</c:v>
                </c:pt>
                <c:pt idx="2">
                  <c:v>#N/A</c:v>
                </c:pt>
                <c:pt idx="3">
                  <c:v>2.1</c:v>
                </c:pt>
                <c:pt idx="4">
                  <c:v>3.4</c:v>
                </c:pt>
                <c:pt idx="5">
                  <c:v>4.2</c:v>
                </c:pt>
                <c:pt idx="6">
                  <c:v>5.3</c:v>
                </c:pt>
                <c:pt idx="7">
                  <c:v>6.4</c:v>
                </c:pt>
              </c:numCache>
            </c:numRef>
          </c:val>
          <c:smooth val="0"/>
          <c:extLst>
            <c:ext xmlns:c16="http://schemas.microsoft.com/office/drawing/2014/chart" uri="{C3380CC4-5D6E-409C-BE32-E72D297353CC}">
              <c16:uniqueId val="{00000000-D82F-4877-BB6E-D97E69D3411C}"/>
            </c:ext>
          </c:extLst>
        </c:ser>
        <c:ser>
          <c:idx val="1"/>
          <c:order val="1"/>
          <c:tx>
            <c:strRef>
              <c:f>Indicatori!$O$11</c:f>
              <c:strCache>
                <c:ptCount val="1"/>
                <c:pt idx="0">
                  <c:v>Soglia attenzione</c:v>
                </c:pt>
              </c:strCache>
            </c:strRef>
          </c:tx>
          <c:spPr>
            <a:ln>
              <a:solidFill>
                <a:srgbClr val="BF9000"/>
              </a:solidFill>
              <a:prstDash val="dash"/>
            </a:ln>
          </c:spPr>
          <c:marker>
            <c:symbol val="none"/>
          </c:marker>
          <c:cat>
            <c:strRef>
              <c:f>Indicatori!$M$12:$M$19</c:f>
              <c:strCache>
                <c:ptCount val="8"/>
                <c:pt idx="0">
                  <c:v>2025Q1</c:v>
                </c:pt>
                <c:pt idx="1">
                  <c:v>2025Q2</c:v>
                </c:pt>
                <c:pt idx="2">
                  <c:v>2025Q3</c:v>
                </c:pt>
                <c:pt idx="3">
                  <c:v>2025Q4</c:v>
                </c:pt>
                <c:pt idx="4">
                  <c:v>2026Q1</c:v>
                </c:pt>
                <c:pt idx="5">
                  <c:v>2026Q2</c:v>
                </c:pt>
                <c:pt idx="6">
                  <c:v>2026Q3</c:v>
                </c:pt>
                <c:pt idx="7">
                  <c:v>2026Q4</c:v>
                </c:pt>
              </c:strCache>
            </c:strRef>
          </c:cat>
          <c:val>
            <c:numRef>
              <c:f>Indicatori!$O$12:$O$19</c:f>
              <c:numCache>
                <c:formatCode>General</c:formatCode>
                <c:ptCount val="8"/>
                <c:pt idx="0">
                  <c:v>#N/A</c:v>
                </c:pt>
                <c:pt idx="1">
                  <c:v>#N/A</c:v>
                </c:pt>
                <c:pt idx="2">
                  <c:v>#N/A</c:v>
                </c:pt>
                <c:pt idx="3">
                  <c:v>3</c:v>
                </c:pt>
                <c:pt idx="4">
                  <c:v>3</c:v>
                </c:pt>
                <c:pt idx="5">
                  <c:v>3</c:v>
                </c:pt>
                <c:pt idx="6">
                  <c:v>3</c:v>
                </c:pt>
                <c:pt idx="7">
                  <c:v>3</c:v>
                </c:pt>
              </c:numCache>
            </c:numRef>
          </c:val>
          <c:smooth val="0"/>
          <c:extLst>
            <c:ext xmlns:c16="http://schemas.microsoft.com/office/drawing/2014/chart" uri="{C3380CC4-5D6E-409C-BE32-E72D297353CC}">
              <c16:uniqueId val="{00000001-D82F-4877-BB6E-D97E69D3411C}"/>
            </c:ext>
          </c:extLst>
        </c:ser>
        <c:ser>
          <c:idx val="2"/>
          <c:order val="2"/>
          <c:tx>
            <c:strRef>
              <c:f>Indicatori!$P$11</c:f>
              <c:strCache>
                <c:ptCount val="1"/>
                <c:pt idx="0">
                  <c:v>Soglia allerta</c:v>
                </c:pt>
              </c:strCache>
            </c:strRef>
          </c:tx>
          <c:spPr>
            <a:ln>
              <a:solidFill>
                <a:srgbClr val="C00000"/>
              </a:solidFill>
              <a:prstDash val="dash"/>
            </a:ln>
          </c:spPr>
          <c:marker>
            <c:symbol val="none"/>
          </c:marker>
          <c:cat>
            <c:strRef>
              <c:f>Indicatori!$M$12:$M$19</c:f>
              <c:strCache>
                <c:ptCount val="8"/>
                <c:pt idx="0">
                  <c:v>2025Q1</c:v>
                </c:pt>
                <c:pt idx="1">
                  <c:v>2025Q2</c:v>
                </c:pt>
                <c:pt idx="2">
                  <c:v>2025Q3</c:v>
                </c:pt>
                <c:pt idx="3">
                  <c:v>2025Q4</c:v>
                </c:pt>
                <c:pt idx="4">
                  <c:v>2026Q1</c:v>
                </c:pt>
                <c:pt idx="5">
                  <c:v>2026Q2</c:v>
                </c:pt>
                <c:pt idx="6">
                  <c:v>2026Q3</c:v>
                </c:pt>
                <c:pt idx="7">
                  <c:v>2026Q4</c:v>
                </c:pt>
              </c:strCache>
            </c:strRef>
          </c:cat>
          <c:val>
            <c:numRef>
              <c:f>Indicatori!$P$12:$P$19</c:f>
              <c:numCache>
                <c:formatCode>General</c:formatCode>
                <c:ptCount val="8"/>
                <c:pt idx="0">
                  <c:v>#N/A</c:v>
                </c:pt>
                <c:pt idx="1">
                  <c:v>#N/A</c:v>
                </c:pt>
                <c:pt idx="2">
                  <c:v>#N/A</c:v>
                </c:pt>
                <c:pt idx="3">
                  <c:v>6</c:v>
                </c:pt>
                <c:pt idx="4">
                  <c:v>6</c:v>
                </c:pt>
                <c:pt idx="5">
                  <c:v>6</c:v>
                </c:pt>
                <c:pt idx="6">
                  <c:v>6</c:v>
                </c:pt>
                <c:pt idx="7">
                  <c:v>6</c:v>
                </c:pt>
              </c:numCache>
            </c:numRef>
          </c:val>
          <c:smooth val="0"/>
          <c:extLst>
            <c:ext xmlns:c16="http://schemas.microsoft.com/office/drawing/2014/chart" uri="{C3380CC4-5D6E-409C-BE32-E72D297353CC}">
              <c16:uniqueId val="{00000002-D82F-4877-BB6E-D97E69D3411C}"/>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Notizie delle ultime 4 settimane per categoria, per intensita'</a:t>
            </a:r>
          </a:p>
        </c:rich>
      </c:tx>
      <c:overlay val="0"/>
    </c:title>
    <c:autoTitleDeleted val="0"/>
    <c:plotArea>
      <c:layout/>
      <c:barChart>
        <c:barDir val="bar"/>
        <c:grouping val="stacked"/>
        <c:varyColors val="1"/>
        <c:ser>
          <c:idx val="0"/>
          <c:order val="0"/>
          <c:tx>
            <c:strRef>
              <c:f>Notizie!$G$4</c:f>
              <c:strCache>
                <c:ptCount val="1"/>
                <c:pt idx="0">
                  <c:v>Intensita' 1: nesso indiretto</c:v>
                </c:pt>
              </c:strCache>
            </c:strRef>
          </c:tx>
          <c:spPr>
            <a:solidFill>
              <a:srgbClr val="FCE4D6"/>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Notizie!$G$5:$G$13</c:f>
              <c:numCache>
                <c:formatCode>General</c:formatCode>
                <c:ptCount val="9"/>
                <c:pt idx="0">
                  <c:v>1</c:v>
                </c:pt>
                <c:pt idx="1">
                  <c:v>0</c:v>
                </c:pt>
                <c:pt idx="2">
                  <c:v>0</c:v>
                </c:pt>
                <c:pt idx="3">
                  <c:v>0</c:v>
                </c:pt>
                <c:pt idx="4">
                  <c:v>0</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0-FE4B-4E8E-88FA-ACB86C4ECFF8}"/>
            </c:ext>
          </c:extLst>
        </c:ser>
        <c:ser>
          <c:idx val="1"/>
          <c:order val="1"/>
          <c:tx>
            <c:strRef>
              <c:f>Notizie!$H$4</c:f>
              <c:strCache>
                <c:ptCount val="1"/>
                <c:pt idx="0">
                  <c:v>Intensita' 2: nesso diretto</c:v>
                </c:pt>
              </c:strCache>
            </c:strRef>
          </c:tx>
          <c:spPr>
            <a:solidFill>
              <a:srgbClr val="F4B183"/>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Notizie!$H$5:$H$13</c:f>
              <c:numCache>
                <c:formatCode>General</c:formatCode>
                <c:ptCount val="9"/>
                <c:pt idx="0">
                  <c:v>0</c:v>
                </c:pt>
                <c:pt idx="1">
                  <c:v>0</c:v>
                </c:pt>
                <c:pt idx="2">
                  <c:v>0</c:v>
                </c:pt>
                <c:pt idx="3">
                  <c:v>0</c:v>
                </c:pt>
                <c:pt idx="4">
                  <c:v>0</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1-FE4B-4E8E-88FA-ACB86C4ECFF8}"/>
            </c:ext>
          </c:extLst>
        </c:ser>
        <c:ser>
          <c:idx val="2"/>
          <c:order val="2"/>
          <c:tx>
            <c:strRef>
              <c:f>Notizie!$I$4</c:f>
              <c:strCache>
                <c:ptCount val="1"/>
                <c:pt idx="0">
                  <c:v>Intensita' 3: diretto e immediato</c:v>
                </c:pt>
              </c:strCache>
            </c:strRef>
          </c:tx>
          <c:spPr>
            <a:solidFill>
              <a:srgbClr val="C55A11"/>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Notizie!$I$5:$I$13</c:f>
              <c:numCache>
                <c:formatCode>General</c:formatCode>
                <c:ptCount val="9"/>
                <c:pt idx="0">
                  <c:v>0</c:v>
                </c:pt>
                <c:pt idx="1">
                  <c:v>0</c:v>
                </c:pt>
                <c:pt idx="2">
                  <c:v>0</c:v>
                </c:pt>
                <c:pt idx="3">
                  <c:v>0</c:v>
                </c:pt>
                <c:pt idx="4">
                  <c:v>1</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2-FE4B-4E8E-88FA-ACB86C4ECFF8}"/>
            </c:ext>
          </c:extLst>
        </c:ser>
        <c:dLbls>
          <c:showLegendKey val="0"/>
          <c:showVal val="0"/>
          <c:showCatName val="0"/>
          <c:showSerName val="0"/>
          <c:showPercent val="0"/>
          <c:showBubbleSize val="0"/>
        </c:dLbls>
        <c:gapWidth val="150"/>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t"/>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Segnali per settimana</a:t>
            </a:r>
          </a:p>
        </c:rich>
      </c:tx>
      <c:overlay val="0"/>
    </c:title>
    <c:autoTitleDeleted val="0"/>
    <c:plotArea>
      <c:layout/>
      <c:barChart>
        <c:barDir val="col"/>
        <c:grouping val="clustered"/>
        <c:varyColors val="1"/>
        <c:ser>
          <c:idx val="0"/>
          <c:order val="0"/>
          <c:tx>
            <c:strRef>
              <c:f>Notizie!$C$18</c:f>
              <c:strCache>
                <c:ptCount val="1"/>
                <c:pt idx="0">
                  <c:v>Peggiorativi</c:v>
                </c:pt>
              </c:strCache>
            </c:strRef>
          </c:tx>
          <c:spPr>
            <a:solidFill>
              <a:srgbClr val="C00000"/>
            </a:solidFill>
            <a:ln>
              <a:prstDash val="solid"/>
            </a:ln>
          </c:spPr>
          <c:invertIfNegative val="1"/>
          <c:cat>
            <c:numRef>
              <c:f>Notizie!$A$19:$A$30</c:f>
              <c:numCache>
                <c:formatCode>m/d/yyyy</c:formatCode>
                <c:ptCount val="12"/>
                <c:pt idx="0">
                  <c:v>46265</c:v>
                </c:pt>
                <c:pt idx="1">
                  <c:v>46272</c:v>
                </c:pt>
                <c:pt idx="2">
                  <c:v>46279</c:v>
                </c:pt>
                <c:pt idx="3">
                  <c:v>46286</c:v>
                </c:pt>
                <c:pt idx="4">
                  <c:v>46293</c:v>
                </c:pt>
                <c:pt idx="5">
                  <c:v>46300</c:v>
                </c:pt>
                <c:pt idx="6">
                  <c:v>46307</c:v>
                </c:pt>
                <c:pt idx="7">
                  <c:v>46314</c:v>
                </c:pt>
                <c:pt idx="8">
                  <c:v>46321</c:v>
                </c:pt>
                <c:pt idx="9">
                  <c:v>46328</c:v>
                </c:pt>
                <c:pt idx="10">
                  <c:v>46335</c:v>
                </c:pt>
                <c:pt idx="11">
                  <c:v>46342</c:v>
                </c:pt>
              </c:numCache>
            </c:numRef>
          </c:cat>
          <c:val>
            <c:numRef>
              <c:f>Notizie!$C$19:$C$30</c:f>
              <c:numCache>
                <c:formatCode>General</c:formatCode>
                <c:ptCount val="12"/>
                <c:pt idx="0">
                  <c:v>0</c:v>
                </c:pt>
                <c:pt idx="1">
                  <c:v>0</c:v>
                </c:pt>
                <c:pt idx="2">
                  <c:v>0</c:v>
                </c:pt>
                <c:pt idx="3">
                  <c:v>0</c:v>
                </c:pt>
                <c:pt idx="4">
                  <c:v>0</c:v>
                </c:pt>
                <c:pt idx="5">
                  <c:v>4</c:v>
                </c:pt>
                <c:pt idx="6">
                  <c:v>0</c:v>
                </c:pt>
                <c:pt idx="7">
                  <c:v>0</c:v>
                </c:pt>
                <c:pt idx="8">
                  <c:v>0</c:v>
                </c:pt>
                <c:pt idx="9">
                  <c:v>0</c:v>
                </c:pt>
                <c:pt idx="10">
                  <c:v>1</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243-41D3-BEB5-C631C758E532}"/>
            </c:ext>
          </c:extLst>
        </c:ser>
        <c:ser>
          <c:idx val="1"/>
          <c:order val="1"/>
          <c:tx>
            <c:strRef>
              <c:f>Notizie!$D$18</c:f>
              <c:strCache>
                <c:ptCount val="1"/>
                <c:pt idx="0">
                  <c:v>Migliorativi</c:v>
                </c:pt>
              </c:strCache>
            </c:strRef>
          </c:tx>
          <c:spPr>
            <a:solidFill>
              <a:srgbClr val="2E75B6"/>
            </a:solidFill>
            <a:ln>
              <a:prstDash val="solid"/>
            </a:ln>
          </c:spPr>
          <c:invertIfNegative val="1"/>
          <c:cat>
            <c:numRef>
              <c:f>Notizie!$A$19:$A$30</c:f>
              <c:numCache>
                <c:formatCode>m/d/yyyy</c:formatCode>
                <c:ptCount val="12"/>
                <c:pt idx="0">
                  <c:v>46265</c:v>
                </c:pt>
                <c:pt idx="1">
                  <c:v>46272</c:v>
                </c:pt>
                <c:pt idx="2">
                  <c:v>46279</c:v>
                </c:pt>
                <c:pt idx="3">
                  <c:v>46286</c:v>
                </c:pt>
                <c:pt idx="4">
                  <c:v>46293</c:v>
                </c:pt>
                <c:pt idx="5">
                  <c:v>46300</c:v>
                </c:pt>
                <c:pt idx="6">
                  <c:v>46307</c:v>
                </c:pt>
                <c:pt idx="7">
                  <c:v>46314</c:v>
                </c:pt>
                <c:pt idx="8">
                  <c:v>46321</c:v>
                </c:pt>
                <c:pt idx="9">
                  <c:v>46328</c:v>
                </c:pt>
                <c:pt idx="10">
                  <c:v>46335</c:v>
                </c:pt>
                <c:pt idx="11">
                  <c:v>46342</c:v>
                </c:pt>
              </c:numCache>
            </c:numRef>
          </c:cat>
          <c:val>
            <c:numRef>
              <c:f>Notizie!$D$19:$D$30</c:f>
              <c:numCache>
                <c:formatCode>General</c:formatCode>
                <c:ptCount val="12"/>
                <c:pt idx="0">
                  <c:v>0</c:v>
                </c:pt>
                <c:pt idx="1">
                  <c:v>0</c:v>
                </c:pt>
                <c:pt idx="2">
                  <c:v>0</c:v>
                </c:pt>
                <c:pt idx="3">
                  <c:v>0</c:v>
                </c:pt>
                <c:pt idx="4">
                  <c:v>0</c:v>
                </c:pt>
                <c:pt idx="5">
                  <c:v>1</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8243-41D3-BEB5-C631C758E532}"/>
            </c:ext>
          </c:extLst>
        </c:ser>
        <c:dLbls>
          <c:showLegendKey val="0"/>
          <c:showVal val="0"/>
          <c:showCatName val="0"/>
          <c:showSerName val="0"/>
          <c:showPercent val="0"/>
          <c:showBubbleSize val="0"/>
        </c:dLbls>
        <c:gapWidth val="150"/>
        <c:axId val="10"/>
        <c:axId val="100"/>
      </c:barChart>
      <c:dateAx>
        <c:axId val="10"/>
        <c:scaling>
          <c:orientation val="minMax"/>
        </c:scaling>
        <c:delete val="0"/>
        <c:axPos val="b"/>
        <c:numFmt formatCode="m/d/yyyy" sourceLinked="1"/>
        <c:majorTickMark val="none"/>
        <c:minorTickMark val="none"/>
        <c:tickLblPos val="nextTo"/>
        <c:txPr>
          <a:bodyPr/>
          <a:lstStyle/>
          <a:p>
            <a:pPr>
              <a:defRPr sz="900" b="0">
                <a:solidFill>
                  <a:srgbClr val="595959"/>
                </a:solidFill>
              </a:defRPr>
            </a:pPr>
            <a:endParaRPr lang="it-IT"/>
          </a:p>
        </c:txPr>
        <c:crossAx val="100"/>
        <c:crosses val="autoZero"/>
        <c:auto val="1"/>
        <c:lblOffset val="100"/>
        <c:baseTimeUnit val="days"/>
      </c:dateAx>
      <c:valAx>
        <c:axId val="100"/>
        <c:scaling>
          <c:orientation val="minMax"/>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0</xdr:colOff>
      <xdr:row>17</xdr:row>
      <xdr:rowOff>0</xdr:rowOff>
    </xdr:from>
    <xdr:ext cx="306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26</xdr:row>
      <xdr:rowOff>0</xdr:rowOff>
    </xdr:from>
    <xdr:ext cx="5580000" cy="45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xdr:row>
      <xdr:rowOff>0</xdr:rowOff>
    </xdr:from>
    <xdr:ext cx="5580000" cy="45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26</xdr:row>
      <xdr:rowOff>0</xdr:rowOff>
    </xdr:from>
    <xdr:ext cx="6120000" cy="7247368"/>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0</xdr:rowOff>
    </xdr:from>
    <xdr:ext cx="5220000" cy="41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26</xdr:row>
      <xdr:rowOff>0</xdr:rowOff>
    </xdr:from>
    <xdr:ext cx="7920000" cy="468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12</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32</xdr:row>
      <xdr:rowOff>0</xdr:rowOff>
    </xdr:from>
    <xdr:ext cx="7920000" cy="360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53</xdr:row>
      <xdr:rowOff>0</xdr:rowOff>
    </xdr:from>
    <xdr:ext cx="7920000" cy="2880000"/>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ister" displayName="tblRegister" ref="A5:AF75">
  <autoFilter ref="A5:AF75" xr:uid="{00000000-0009-0000-0100-000001000000}"/>
  <tableColumns count="32">
    <tableColumn id="1" xr3:uid="{00000000-0010-0000-0000-000001000000}" name="Ciclo"/>
    <tableColumn id="2" xr3:uid="{00000000-0010-0000-0000-000002000000}" name="Data_Riferimento"/>
    <tableColumn id="3" xr3:uid="{00000000-0010-0000-0000-000003000000}" name="ID_Rischio"/>
    <tableColumn id="4" xr3:uid="{00000000-0010-0000-0000-000004000000}" name="Nome"/>
    <tableColumn id="5" xr3:uid="{00000000-0010-0000-0000-000005000000}" name="Event_Type"/>
    <tableColumn id="6" xr3:uid="{00000000-0010-0000-0000-000006000000}" name="Driver"/>
    <tableColumn id="7" xr3:uid="{00000000-0010-0000-0000-000007000000}" name="Impatto"/>
    <tableColumn id="8" xr3:uid="{00000000-0010-0000-0000-000008000000}" name="Velocity"/>
    <tableColumn id="9" xr3:uid="{00000000-0010-0000-0000-000009000000}" name="Prossimita"/>
    <tableColumn id="10" xr3:uid="{00000000-0010-0000-0000-00000A000000}" name="Score_Composito"/>
    <tableColumn id="11" xr3:uid="{00000000-0010-0000-0000-00000B000000}" name="Probabilita"/>
    <tableColumn id="12" xr3:uid="{00000000-0010-0000-0000-00000C000000}" name="Anni_Adeguamento"/>
    <tableColumn id="13" xr3:uid="{00000000-0010-0000-0000-00000D000000}" name="Esito"/>
    <tableColumn id="14" xr3:uid="{00000000-0010-0000-0000-00000E000000}" name="Descrizione"/>
    <tableColumn id="15" xr3:uid="{00000000-0010-0000-0000-00000F000000}" name="Razionale"/>
    <tableColumn id="16" xr3:uid="{00000000-0010-0000-0000-000010000000}" name="Variazioni"/>
    <tableColumn id="17" xr3:uid="{00000000-0010-0000-0000-000011000000}" name="Fonti"/>
    <tableColumn id="18" xr3:uid="{00000000-0010-0000-0000-000012000000}" name="Rilievi"/>
    <tableColumn id="19" xr3:uid="{00000000-0010-0000-0000-000013000000}" name="Owner"/>
    <tableColumn id="20" xr3:uid="{00000000-0010-0000-0000-000014000000}" name="Chiave"/>
    <tableColumn id="21" xr3:uid="{00000000-0010-0000-0000-000015000000}" name="Data_Scrittura"/>
    <tableColumn id="22" xr3:uid="{00000000-0010-0000-0000-000016000000}" name="Approvato_Da"/>
    <tableColumn id="23" xr3:uid="{00000000-0010-0000-0000-000017000000}" name="Validazione"/>
    <tableColumn id="24" xr3:uid="{00000000-0010-0000-0000-000018000000}" name="Data_Validazione"/>
    <tableColumn id="25" xr3:uid="{00000000-0010-0000-0000-000019000000}" name="Periodo_Valutazione"/>
    <tableColumn id="26" xr3:uid="{00000000-0010-0000-0000-00001A000000}" name="Stato"/>
    <tableColumn id="27" xr3:uid="{00000000-0010-0000-0000-00001B000000}" name="Motivo_Stato"/>
    <tableColumn id="28" xr3:uid="{00000000-0010-0000-0000-00001C000000}" name="Movimento"/>
    <tableColumn id="29" xr3:uid="{00000000-0010-0000-0000-00001D000000}" name="Decisione_Stato"/>
    <tableColumn id="30" xr3:uid="{00000000-0010-0000-0000-00001E000000}" name="Orizzonte_Anni"/>
    <tableColumn id="31" xr3:uid="{00000000-0010-0000-0000-00001F000000}" name="Segnale_Avvicinamento"/>
    <tableColumn id="32" xr3:uid="{00000000-0010-0000-0000-000020000000}" name="Ordine_Osservazi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Azioni" displayName="tblAzioni" ref="A5:L46">
  <autoFilter ref="A5:L46" xr:uid="{00000000-0009-0000-0100-000002000000}"/>
  <tableColumns count="12">
    <tableColumn id="1" xr3:uid="{00000000-0010-0000-0100-000001000000}" name="Ciclo"/>
    <tableColumn id="2" xr3:uid="{00000000-0010-0000-0100-000002000000}" name="ID_Rischio"/>
    <tableColumn id="3" xr3:uid="{00000000-0010-0000-0100-000003000000}" name="ID_Azione"/>
    <tableColumn id="4" xr3:uid="{00000000-0010-0000-0100-000004000000}" name="Descrizione"/>
    <tableColumn id="5" xr3:uid="{00000000-0010-0000-0100-000005000000}" name="Owner"/>
    <tableColumn id="6" xr3:uid="{00000000-0010-0000-0100-000006000000}" name="Orizzonte"/>
    <tableColumn id="7" xr3:uid="{00000000-0010-0000-0100-000007000000}" name="Mesi_Orizzonte"/>
    <tableColumn id="8" xr3:uid="{00000000-0010-0000-0100-000008000000}" name="Razionale"/>
    <tableColumn id="9" xr3:uid="{00000000-0010-0000-0100-000009000000}" name="Stato"/>
    <tableColumn id="10" xr3:uid="{00000000-0010-0000-0100-00000A000000}" name="Data_Decisione"/>
    <tableColumn id="11" xr3:uid="{00000000-0010-0000-0100-00000B000000}" name="Decisa_Da"/>
    <tableColumn id="12" xr3:uid="{00000000-0010-0000-0100-00000C000000}" name="Validazi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KRI" displayName="tblKRI" ref="A5:T122">
  <autoFilter ref="A5:T122" xr:uid="{00000000-0009-0000-0100-000003000000}"/>
  <tableColumns count="20">
    <tableColumn id="1" xr3:uid="{00000000-0010-0000-0200-000001000000}" name="Ciclo"/>
    <tableColumn id="2" xr3:uid="{00000000-0010-0000-0200-000002000000}" name="KRI_ID"/>
    <tableColumn id="3" xr3:uid="{00000000-0010-0000-0200-000003000000}" name="ID_Rischio"/>
    <tableColumn id="4" xr3:uid="{00000000-0010-0000-0200-000004000000}" name="Nome"/>
    <tableColumn id="5" xr3:uid="{00000000-0010-0000-0200-000005000000}" name="Tipo"/>
    <tableColumn id="6" xr3:uid="{00000000-0010-0000-0200-000006000000}" name="Unita"/>
    <tableColumn id="7" xr3:uid="{00000000-0010-0000-0200-000007000000}" name="Fonte_Dati"/>
    <tableColumn id="8" xr3:uid="{00000000-0010-0000-0200-000008000000}" name="Soglia_Attenzione"/>
    <tableColumn id="9" xr3:uid="{00000000-0010-0000-0200-000009000000}" name="Soglia_Allerta"/>
    <tableColumn id="10" xr3:uid="{00000000-0010-0000-0200-00000A000000}" name="Valore_Corrente"/>
    <tableColumn id="11" xr3:uid="{00000000-0010-0000-0200-00000B000000}" name="Data_Rilevazione"/>
    <tableColumn id="12" xr3:uid="{00000000-0010-0000-0200-00000C000000}" name="Fonte_Rilevazione"/>
    <tableColumn id="13" xr3:uid="{00000000-0010-0000-0200-00000D000000}" name="Nota_Rilevazione"/>
    <tableColumn id="14" xr3:uid="{00000000-0010-0000-0200-00000E000000}" name="Stato"/>
    <tableColumn id="15" xr3:uid="{00000000-0010-0000-0200-00000F000000}" name="In_Vigore"/>
    <tableColumn id="16" xr3:uid="{00000000-0010-0000-0200-000010000000}" name="Ciclo_Definizione"/>
    <tableColumn id="17" xr3:uid="{00000000-0010-0000-0200-000011000000}" name="Ciclo_Aggiornamento"/>
    <tableColumn id="18" xr3:uid="{00000000-0010-0000-0200-000012000000}" name="Razionale"/>
    <tableColumn id="19" xr3:uid="{00000000-0010-0000-0200-000013000000}" name="Chiave"/>
    <tableColumn id="20" xr3:uid="{00000000-0010-0000-0200-000014000000}" name="Validazi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News" displayName="tblNews" ref="A5:S21">
  <autoFilter ref="A5:S21" xr:uid="{00000000-0009-0000-0100-000004000000}"/>
  <tableColumns count="19">
    <tableColumn id="1" xr3:uid="{00000000-0010-0000-0300-000001000000}" name="Data"/>
    <tableColumn id="2" xr3:uid="{00000000-0010-0000-0300-000002000000}" name="Settimana"/>
    <tableColumn id="3" xr3:uid="{00000000-0010-0000-0300-000003000000}" name="ID_Notizia"/>
    <tableColumn id="4" xr3:uid="{00000000-0010-0000-0300-000004000000}" name="Titolo"/>
    <tableColumn id="5" xr3:uid="{00000000-0010-0000-0300-000005000000}" name="Fonte"/>
    <tableColumn id="6" xr3:uid="{00000000-0010-0000-0300-000006000000}" name="Codice_Fonte"/>
    <tableColumn id="7" xr3:uid="{00000000-0010-0000-0300-000007000000}" name="Rischio_ID"/>
    <tableColumn id="8" xr3:uid="{00000000-0010-0000-0300-000008000000}" name="Segnale"/>
    <tableColumn id="9" xr3:uid="{00000000-0010-0000-0300-000009000000}" name="Imp_9_1"/>
    <tableColumn id="10" xr3:uid="{00000000-0010-0000-0300-00000A000000}" name="Imp_9_4"/>
    <tableColumn id="11" xr3:uid="{00000000-0010-0000-0300-00000B000000}" name="Imp_9_5"/>
    <tableColumn id="12" xr3:uid="{00000000-0010-0000-0300-00000C000000}" name="Imp_9_6"/>
    <tableColumn id="13" xr3:uid="{00000000-0010-0000-0300-00000D000000}" name="Imp_9_7"/>
    <tableColumn id="14" xr3:uid="{00000000-0010-0000-0300-00000E000000}" name="Imp_9_8"/>
    <tableColumn id="15" xr3:uid="{00000000-0010-0000-0300-00000F000000}" name="Imp_9_9"/>
    <tableColumn id="16" xr3:uid="{00000000-0010-0000-0300-000010000000}" name="Imp_9_11"/>
    <tableColumn id="17" xr3:uid="{00000000-0010-0000-0300-000011000000}" name="Imp_9_13"/>
    <tableColumn id="18" xr3:uid="{00000000-0010-0000-0300-000012000000}" name="Sintesi"/>
    <tableColumn id="19" xr3:uid="{00000000-0010-0000-0300-000013000000}" name="Validazi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intesi" displayName="tblSintesi" ref="A5:J10">
  <autoFilter ref="A5:J10" xr:uid="{00000000-0009-0000-0100-000005000000}"/>
  <tableColumns count="10">
    <tableColumn id="1" xr3:uid="{00000000-0010-0000-0400-000001000000}" name="Ciclo"/>
    <tableColumn id="2" xr3:uid="{00000000-0010-0000-0400-000002000000}" name="Data_Riferimento"/>
    <tableColumn id="3" xr3:uid="{00000000-0010-0000-0400-000003000000}" name="Sintesi_A1"/>
    <tableColumn id="4" xr3:uid="{00000000-0010-0000-0400-000004000000}" name="Sintesi_A5"/>
    <tableColumn id="5" xr3:uid="{00000000-0010-0000-0400-000005000000}" name="Osservazioni_Controlli"/>
    <tableColumn id="6" xr3:uid="{00000000-0010-0000-0400-000006000000}" name="Rilievi_Ciclo"/>
    <tableColumn id="7" xr3:uid="{00000000-0010-0000-0400-000007000000}" name="Rilievi_Superati"/>
    <tableColumn id="8" xr3:uid="{00000000-0010-0000-0400-000008000000}" name="Note_Analista"/>
    <tableColumn id="9" xr3:uid="{00000000-0010-0000-0400-000009000000}" name="Data_Scrittura"/>
    <tableColumn id="10" xr3:uid="{00000000-0010-0000-0400-00000A000000}" name="Straordinari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ettimane" displayName="tblSettimane" ref="A5:F10">
  <autoFilter ref="A5:F10" xr:uid="{00000000-0009-0000-0100-000006000000}"/>
  <tableColumns count="6">
    <tableColumn id="1" xr3:uid="{00000000-0010-0000-0500-000001000000}" name="Settimana"/>
    <tableColumn id="2" xr3:uid="{00000000-0010-0000-0500-000002000000}" name="Notizie"/>
    <tableColumn id="3" xr3:uid="{00000000-0010-0000-0500-000003000000}" name="Sintesi_A3"/>
    <tableColumn id="4" xr3:uid="{00000000-0010-0000-0500-000004000000}" name="Proposta_Straordinario"/>
    <tableColumn id="5" xr3:uid="{00000000-0010-0000-0500-000005000000}" name="Flag_Proposti"/>
    <tableColumn id="6" xr3:uid="{00000000-0010-0000-0500-000006000000}" name="Data_Scrittur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Validazione" displayName="tblValidazione" ref="A5:L616">
  <autoFilter ref="A5:L616" xr:uid="{00000000-0009-0000-0100-000007000000}"/>
  <tableColumns count="12">
    <tableColumn id="1" xr3:uid="{00000000-0010-0000-0600-000001000000}" name="Periodo"/>
    <tableColumn id="2" xr3:uid="{00000000-0010-0000-0600-000002000000}" name="Oggetto"/>
    <tableColumn id="3" xr3:uid="{00000000-0010-0000-0600-000003000000}" name="ID"/>
    <tableColumn id="4" xr3:uid="{00000000-0010-0000-0600-000004000000}" name="Nome"/>
    <tableColumn id="5" xr3:uid="{00000000-0010-0000-0600-000005000000}" name="Campo"/>
    <tableColumn id="6" xr3:uid="{00000000-0010-0000-0600-000006000000}" name="Proposta_Agente"/>
    <tableColumn id="7" xr3:uid="{00000000-0010-0000-0600-000007000000}" name="Decisione"/>
    <tableColumn id="8" xr3:uid="{00000000-0010-0000-0600-000008000000}" name="Valore_Validato"/>
    <tableColumn id="9" xr3:uid="{00000000-0010-0000-0600-000009000000}" name="Motivazione"/>
    <tableColumn id="10" xr3:uid="{00000000-0010-0000-0600-00000A000000}" name="Validato_Da"/>
    <tableColumn id="11" xr3:uid="{00000000-0010-0000-0600-00000B000000}" name="Data_Validazione"/>
    <tableColumn id="12" xr3:uid="{00000000-0010-0000-0600-00000C000000}" name="Sta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E61"/>
  <sheetViews>
    <sheetView showGridLines="0" workbookViewId="0"/>
  </sheetViews>
  <sheetFormatPr defaultRowHeight="14.6" x14ac:dyDescent="0.4"/>
  <cols>
    <col min="1" max="1" width="30" customWidth="1"/>
    <col min="2" max="2" width="28" customWidth="1"/>
    <col min="3" max="4" width="34" customWidth="1"/>
    <col min="5" max="5" width="40" customWidth="1"/>
  </cols>
  <sheetData>
    <row r="1" spans="1:5" ht="28" customHeight="1" x14ac:dyDescent="0.4">
      <c r="A1" s="161" t="str">
        <f>"Horizon Scan NFR — Guida: come si usa questo workbook   ·   "&amp;etichettaCiclo</f>
        <v>Horizon Scan NFR — Guida: come si usa questo workbook   ·   Ciclo 2026Q4 · dati al 31/12/2026 · validato · Uso interno</v>
      </c>
      <c r="B1" s="162"/>
      <c r="C1" s="162"/>
      <c r="D1" s="162"/>
      <c r="E1" s="162"/>
    </row>
    <row r="3" spans="1:5" x14ac:dyDescent="0.4">
      <c r="A3" s="176" t="s">
        <v>51</v>
      </c>
      <c r="B3" s="142"/>
      <c r="C3" s="142"/>
      <c r="D3" s="142"/>
      <c r="E3" s="142"/>
    </row>
    <row r="4" spans="1:5" ht="32.049999999999997" customHeight="1" x14ac:dyDescent="0.4">
      <c r="A4" s="175" t="s">
        <v>52</v>
      </c>
      <c r="B4" s="142"/>
      <c r="C4" s="142"/>
      <c r="D4" s="142"/>
      <c r="E4" s="142"/>
    </row>
    <row r="6" spans="1:5" x14ac:dyDescent="0.4">
      <c r="A6" s="176" t="s">
        <v>53</v>
      </c>
      <c r="B6" s="142"/>
      <c r="C6" s="142"/>
      <c r="D6" s="142"/>
      <c r="E6" s="142"/>
    </row>
    <row r="7" spans="1:5" x14ac:dyDescent="0.4">
      <c r="A7" s="1" t="s">
        <v>54</v>
      </c>
      <c r="B7" s="3" t="s">
        <v>55</v>
      </c>
      <c r="C7" s="4" t="s">
        <v>56</v>
      </c>
      <c r="D7" s="5" t="s">
        <v>57</v>
      </c>
      <c r="E7" s="1" t="s">
        <v>58</v>
      </c>
    </row>
    <row r="8" spans="1:5" x14ac:dyDescent="0.4">
      <c r="A8" s="6" t="s">
        <v>59</v>
      </c>
    </row>
    <row r="9" spans="1:5" ht="29.15" x14ac:dyDescent="0.4">
      <c r="A9" s="7" t="s">
        <v>60</v>
      </c>
      <c r="B9" s="2"/>
      <c r="C9" s="8" t="s">
        <v>61</v>
      </c>
      <c r="D9" s="9" t="s">
        <v>62</v>
      </c>
      <c r="E9" s="2" t="s">
        <v>63</v>
      </c>
    </row>
    <row r="10" spans="1:5" x14ac:dyDescent="0.4">
      <c r="A10" s="7" t="s">
        <v>64</v>
      </c>
      <c r="B10" s="2"/>
      <c r="C10" s="8" t="s">
        <v>65</v>
      </c>
      <c r="D10" s="9" t="s">
        <v>66</v>
      </c>
      <c r="E10" s="2" t="s">
        <v>67</v>
      </c>
    </row>
    <row r="11" spans="1:5" ht="29.15" x14ac:dyDescent="0.4">
      <c r="A11" s="7" t="s">
        <v>68</v>
      </c>
      <c r="B11" s="10" t="s">
        <v>69</v>
      </c>
      <c r="C11" s="8" t="s">
        <v>70</v>
      </c>
      <c r="D11" s="9" t="s">
        <v>71</v>
      </c>
      <c r="E11" s="2" t="s">
        <v>72</v>
      </c>
    </row>
    <row r="12" spans="1:5" x14ac:dyDescent="0.4">
      <c r="A12" s="7" t="s">
        <v>73</v>
      </c>
      <c r="B12" s="2"/>
      <c r="C12" s="8" t="s">
        <v>74</v>
      </c>
      <c r="D12" s="9" t="s">
        <v>66</v>
      </c>
      <c r="E12" s="2" t="s">
        <v>75</v>
      </c>
    </row>
    <row r="13" spans="1:5" x14ac:dyDescent="0.4">
      <c r="A13" s="7" t="s">
        <v>76</v>
      </c>
      <c r="B13" s="2"/>
      <c r="C13" s="8" t="s">
        <v>77</v>
      </c>
      <c r="D13" s="2"/>
      <c r="E13" s="2" t="s">
        <v>78</v>
      </c>
    </row>
    <row r="14" spans="1:5" x14ac:dyDescent="0.4">
      <c r="A14" s="7" t="s">
        <v>79</v>
      </c>
      <c r="B14" s="2"/>
      <c r="C14" s="8" t="s">
        <v>80</v>
      </c>
      <c r="D14" s="9" t="s">
        <v>81</v>
      </c>
      <c r="E14" s="2" t="s">
        <v>82</v>
      </c>
    </row>
    <row r="15" spans="1:5" x14ac:dyDescent="0.4">
      <c r="A15" s="7" t="s">
        <v>83</v>
      </c>
      <c r="B15" s="2"/>
      <c r="C15" s="2"/>
      <c r="D15" s="9" t="s">
        <v>84</v>
      </c>
      <c r="E15" s="2" t="s">
        <v>85</v>
      </c>
    </row>
    <row r="16" spans="1:5" x14ac:dyDescent="0.4">
      <c r="A16" s="6" t="s">
        <v>86</v>
      </c>
    </row>
    <row r="17" spans="1:5" x14ac:dyDescent="0.4">
      <c r="A17" s="7" t="s">
        <v>87</v>
      </c>
      <c r="B17" s="10" t="s">
        <v>88</v>
      </c>
      <c r="C17" s="8" t="s">
        <v>89</v>
      </c>
      <c r="D17" s="9" t="s">
        <v>90</v>
      </c>
      <c r="E17" s="2" t="s">
        <v>91</v>
      </c>
    </row>
    <row r="18" spans="1:5" ht="29.15" x14ac:dyDescent="0.4">
      <c r="A18" s="7" t="s">
        <v>92</v>
      </c>
      <c r="B18" s="2"/>
      <c r="C18" s="8" t="s">
        <v>93</v>
      </c>
      <c r="D18" s="2"/>
      <c r="E18" s="2" t="s">
        <v>94</v>
      </c>
    </row>
    <row r="19" spans="1:5" ht="29.15" x14ac:dyDescent="0.4">
      <c r="A19" s="7" t="s">
        <v>95</v>
      </c>
      <c r="B19" s="10" t="s">
        <v>96</v>
      </c>
      <c r="C19" s="2"/>
      <c r="D19" s="2"/>
      <c r="E19" s="2" t="s">
        <v>97</v>
      </c>
    </row>
    <row r="20" spans="1:5" ht="29.15" x14ac:dyDescent="0.4">
      <c r="A20" s="7" t="s">
        <v>98</v>
      </c>
      <c r="B20" s="2"/>
      <c r="C20" s="8" t="s">
        <v>99</v>
      </c>
      <c r="D20" s="9" t="s">
        <v>100</v>
      </c>
      <c r="E20" s="2" t="s">
        <v>101</v>
      </c>
    </row>
    <row r="21" spans="1:5" ht="29.15" x14ac:dyDescent="0.4">
      <c r="A21" s="7" t="s">
        <v>102</v>
      </c>
      <c r="B21" s="2"/>
      <c r="C21" s="8" t="s">
        <v>103</v>
      </c>
      <c r="D21" s="2"/>
      <c r="E21" s="2" t="s">
        <v>104</v>
      </c>
    </row>
    <row r="22" spans="1:5" ht="29.15" x14ac:dyDescent="0.4">
      <c r="A22" s="7" t="s">
        <v>9</v>
      </c>
      <c r="B22" s="10" t="s">
        <v>105</v>
      </c>
      <c r="C22" s="8" t="s">
        <v>106</v>
      </c>
      <c r="D22" s="9" t="s">
        <v>107</v>
      </c>
      <c r="E22" s="2" t="s">
        <v>108</v>
      </c>
    </row>
    <row r="23" spans="1:5" ht="29.15" x14ac:dyDescent="0.4">
      <c r="A23" s="7" t="s">
        <v>109</v>
      </c>
      <c r="B23" s="10" t="s">
        <v>110</v>
      </c>
      <c r="C23" s="8" t="s">
        <v>111</v>
      </c>
      <c r="D23" s="9" t="s">
        <v>112</v>
      </c>
      <c r="E23" s="2" t="s">
        <v>113</v>
      </c>
    </row>
    <row r="24" spans="1:5" x14ac:dyDescent="0.4">
      <c r="A24" s="7" t="s">
        <v>114</v>
      </c>
      <c r="B24" s="2"/>
      <c r="C24" s="2"/>
      <c r="D24" s="2"/>
      <c r="E24" s="2" t="s">
        <v>115</v>
      </c>
    </row>
    <row r="25" spans="1:5" x14ac:dyDescent="0.4">
      <c r="A25" s="6" t="s">
        <v>116</v>
      </c>
    </row>
    <row r="26" spans="1:5" ht="29.15" x14ac:dyDescent="0.4">
      <c r="A26" s="7" t="s">
        <v>117</v>
      </c>
      <c r="B26" s="2"/>
      <c r="C26" s="8" t="s">
        <v>118</v>
      </c>
      <c r="D26" s="9" t="s">
        <v>119</v>
      </c>
      <c r="E26" s="2" t="s">
        <v>120</v>
      </c>
    </row>
    <row r="27" spans="1:5" ht="29.15" x14ac:dyDescent="0.4">
      <c r="A27" s="7" t="s">
        <v>121</v>
      </c>
      <c r="B27" s="2"/>
      <c r="C27" s="8" t="s">
        <v>99</v>
      </c>
      <c r="D27" s="9" t="s">
        <v>122</v>
      </c>
      <c r="E27" s="2" t="s">
        <v>123</v>
      </c>
    </row>
    <row r="28" spans="1:5" x14ac:dyDescent="0.4">
      <c r="A28" s="7" t="s">
        <v>124</v>
      </c>
      <c r="B28" s="2"/>
      <c r="C28" s="8" t="s">
        <v>125</v>
      </c>
      <c r="D28" s="9" t="s">
        <v>126</v>
      </c>
      <c r="E28" s="2" t="s">
        <v>127</v>
      </c>
    </row>
    <row r="29" spans="1:5" x14ac:dyDescent="0.4">
      <c r="A29" s="7" t="s">
        <v>128</v>
      </c>
      <c r="B29" s="10" t="s">
        <v>129</v>
      </c>
      <c r="C29" s="2"/>
      <c r="D29" s="9" t="s">
        <v>130</v>
      </c>
      <c r="E29" s="2" t="s">
        <v>131</v>
      </c>
    </row>
    <row r="30" spans="1:5" x14ac:dyDescent="0.4">
      <c r="A30" s="7" t="s">
        <v>132</v>
      </c>
      <c r="B30" s="2"/>
      <c r="C30" s="8" t="s">
        <v>133</v>
      </c>
      <c r="D30" s="2"/>
      <c r="E30" s="2" t="s">
        <v>134</v>
      </c>
    </row>
    <row r="31" spans="1:5" x14ac:dyDescent="0.4">
      <c r="A31" s="7" t="s">
        <v>135</v>
      </c>
      <c r="B31" s="10" t="s">
        <v>136</v>
      </c>
      <c r="C31" s="2"/>
      <c r="D31" s="2"/>
      <c r="E31" s="2" t="s">
        <v>137</v>
      </c>
    </row>
    <row r="32" spans="1:5" ht="29.15" x14ac:dyDescent="0.4">
      <c r="A32" s="7" t="s">
        <v>138</v>
      </c>
      <c r="B32" s="10" t="s">
        <v>139</v>
      </c>
      <c r="C32" s="8" t="s">
        <v>140</v>
      </c>
      <c r="D32" s="9" t="s">
        <v>141</v>
      </c>
      <c r="E32" s="2" t="s">
        <v>142</v>
      </c>
    </row>
    <row r="33" spans="1:5" x14ac:dyDescent="0.4">
      <c r="A33" s="6" t="s">
        <v>143</v>
      </c>
    </row>
    <row r="34" spans="1:5" x14ac:dyDescent="0.4">
      <c r="A34" s="7" t="s">
        <v>144</v>
      </c>
      <c r="B34" s="2"/>
      <c r="C34" s="8" t="s">
        <v>145</v>
      </c>
      <c r="D34" s="9" t="s">
        <v>146</v>
      </c>
      <c r="E34" s="2" t="s">
        <v>147</v>
      </c>
    </row>
    <row r="35" spans="1:5" ht="32.049999999999997" customHeight="1" x14ac:dyDescent="0.4">
      <c r="A35" s="175" t="s">
        <v>148</v>
      </c>
      <c r="B35" s="142"/>
      <c r="C35" s="142"/>
      <c r="D35" s="142"/>
      <c r="E35" s="142"/>
    </row>
    <row r="37" spans="1:5" x14ac:dyDescent="0.4">
      <c r="A37" s="178" t="s">
        <v>149</v>
      </c>
      <c r="B37" s="142"/>
      <c r="C37" s="142"/>
      <c r="D37" s="142"/>
      <c r="E37" s="142"/>
    </row>
    <row r="38" spans="1:5" ht="47.05" customHeight="1" x14ac:dyDescent="0.4">
      <c r="A38" s="175" t="s">
        <v>150</v>
      </c>
      <c r="B38" s="142"/>
      <c r="C38" s="142"/>
      <c r="D38" s="142"/>
      <c r="E38" s="142"/>
    </row>
    <row r="39" spans="1:5" ht="32.049999999999997" customHeight="1" x14ac:dyDescent="0.4">
      <c r="A39" s="175" t="s">
        <v>151</v>
      </c>
      <c r="B39" s="142"/>
      <c r="C39" s="142"/>
      <c r="D39" s="142"/>
      <c r="E39" s="142"/>
    </row>
    <row r="41" spans="1:5" x14ac:dyDescent="0.4">
      <c r="A41" s="177" t="s">
        <v>152</v>
      </c>
      <c r="B41" s="142"/>
      <c r="C41" s="142"/>
      <c r="D41" s="142"/>
      <c r="E41" s="142"/>
    </row>
    <row r="42" spans="1:5" x14ac:dyDescent="0.4">
      <c r="A42" s="175" t="s">
        <v>153</v>
      </c>
      <c r="B42" s="142"/>
      <c r="C42" s="142"/>
      <c r="D42" s="142"/>
      <c r="E42" s="142"/>
    </row>
    <row r="43" spans="1:5" ht="32.049999999999997" customHeight="1" x14ac:dyDescent="0.4">
      <c r="A43" s="175" t="s">
        <v>154</v>
      </c>
      <c r="B43" s="142"/>
      <c r="C43" s="142"/>
      <c r="D43" s="142"/>
      <c r="E43" s="142"/>
    </row>
    <row r="44" spans="1:5" x14ac:dyDescent="0.4">
      <c r="A44" s="175" t="s">
        <v>155</v>
      </c>
      <c r="B44" s="142"/>
      <c r="C44" s="142"/>
      <c r="D44" s="142"/>
      <c r="E44" s="142"/>
    </row>
    <row r="45" spans="1:5" x14ac:dyDescent="0.4">
      <c r="A45" s="175" t="s">
        <v>156</v>
      </c>
      <c r="B45" s="142"/>
      <c r="C45" s="142"/>
      <c r="D45" s="142"/>
      <c r="E45" s="142"/>
    </row>
    <row r="46" spans="1:5" ht="47.05" customHeight="1" x14ac:dyDescent="0.4">
      <c r="A46" s="175" t="s">
        <v>157</v>
      </c>
      <c r="B46" s="142"/>
      <c r="C46" s="142"/>
      <c r="D46" s="142"/>
      <c r="E46" s="142"/>
    </row>
    <row r="47" spans="1:5" ht="32.049999999999997" customHeight="1" x14ac:dyDescent="0.4">
      <c r="A47" s="175" t="s">
        <v>158</v>
      </c>
      <c r="B47" s="142"/>
      <c r="C47" s="142"/>
      <c r="D47" s="142"/>
      <c r="E47" s="142"/>
    </row>
    <row r="48" spans="1:5" x14ac:dyDescent="0.4">
      <c r="A48" s="175" t="s">
        <v>159</v>
      </c>
      <c r="B48" s="142"/>
      <c r="C48" s="142"/>
      <c r="D48" s="142"/>
      <c r="E48" s="142"/>
    </row>
    <row r="50" spans="1:5" x14ac:dyDescent="0.4">
      <c r="A50" s="176" t="s">
        <v>160</v>
      </c>
      <c r="B50" s="142"/>
      <c r="C50" s="142"/>
      <c r="D50" s="142"/>
      <c r="E50" s="142"/>
    </row>
    <row r="51" spans="1:5" x14ac:dyDescent="0.4">
      <c r="A51" s="175" t="s">
        <v>161</v>
      </c>
      <c r="B51" s="142"/>
      <c r="C51" s="142"/>
      <c r="D51" s="142"/>
      <c r="E51" s="142"/>
    </row>
    <row r="52" spans="1:5" ht="32.049999999999997" customHeight="1" x14ac:dyDescent="0.4">
      <c r="A52" s="175" t="s">
        <v>162</v>
      </c>
      <c r="B52" s="142"/>
      <c r="C52" s="142"/>
      <c r="D52" s="142"/>
      <c r="E52" s="142"/>
    </row>
    <row r="53" spans="1:5" x14ac:dyDescent="0.4">
      <c r="A53" s="175" t="s">
        <v>163</v>
      </c>
      <c r="B53" s="142"/>
      <c r="C53" s="142"/>
      <c r="D53" s="142"/>
      <c r="E53" s="142"/>
    </row>
    <row r="54" spans="1:5" x14ac:dyDescent="0.4">
      <c r="A54" s="175" t="s">
        <v>164</v>
      </c>
      <c r="B54" s="142"/>
      <c r="C54" s="142"/>
      <c r="D54" s="142"/>
      <c r="E54" s="142"/>
    </row>
    <row r="55" spans="1:5" x14ac:dyDescent="0.4">
      <c r="A55" s="175" t="s">
        <v>165</v>
      </c>
      <c r="B55" s="142"/>
      <c r="C55" s="142"/>
      <c r="D55" s="142"/>
      <c r="E55" s="142"/>
    </row>
    <row r="56" spans="1:5" x14ac:dyDescent="0.4">
      <c r="A56" s="175" t="s">
        <v>166</v>
      </c>
      <c r="B56" s="142"/>
      <c r="C56" s="142"/>
      <c r="D56" s="142"/>
      <c r="E56" s="142"/>
    </row>
    <row r="58" spans="1:5" x14ac:dyDescent="0.4">
      <c r="A58" s="176" t="s">
        <v>167</v>
      </c>
      <c r="B58" s="142"/>
      <c r="C58" s="142"/>
      <c r="D58" s="142"/>
      <c r="E58" s="142"/>
    </row>
    <row r="59" spans="1:5" ht="32.049999999999997" customHeight="1" x14ac:dyDescent="0.4">
      <c r="A59" s="175" t="s">
        <v>168</v>
      </c>
      <c r="B59" s="142"/>
      <c r="C59" s="142"/>
      <c r="D59" s="142"/>
      <c r="E59" s="142"/>
    </row>
    <row r="61" spans="1:5" x14ac:dyDescent="0.4">
      <c r="A61" s="175" t="s">
        <v>169</v>
      </c>
      <c r="B61" s="142"/>
      <c r="C61" s="142"/>
      <c r="D61" s="142"/>
      <c r="E61" s="142"/>
    </row>
  </sheetData>
  <mergeCells count="26">
    <mergeCell ref="A61:E61"/>
    <mergeCell ref="A6:E6"/>
    <mergeCell ref="A54:E54"/>
    <mergeCell ref="A41:E41"/>
    <mergeCell ref="A37:E37"/>
    <mergeCell ref="A46:E46"/>
    <mergeCell ref="A56:E56"/>
    <mergeCell ref="A55:E55"/>
    <mergeCell ref="A50:E50"/>
    <mergeCell ref="A42:E42"/>
    <mergeCell ref="A47:E47"/>
    <mergeCell ref="A53:E53"/>
    <mergeCell ref="A35:E35"/>
    <mergeCell ref="A43:E43"/>
    <mergeCell ref="A38:E38"/>
    <mergeCell ref="A52:E52"/>
    <mergeCell ref="A39:E39"/>
    <mergeCell ref="A59:E59"/>
    <mergeCell ref="A48:E48"/>
    <mergeCell ref="A51:E51"/>
    <mergeCell ref="A1:E1"/>
    <mergeCell ref="A45:E45"/>
    <mergeCell ref="A3:E3"/>
    <mergeCell ref="A4:E4"/>
    <mergeCell ref="A44:E44"/>
    <mergeCell ref="A58:E5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T77"/>
  <sheetViews>
    <sheetView showGridLines="0" tabSelected="1" workbookViewId="0">
      <selection sqref="A1:O1"/>
    </sheetView>
  </sheetViews>
  <sheetFormatPr defaultRowHeight="14.6" x14ac:dyDescent="0.4"/>
  <cols>
    <col min="1" max="8" width="10.4609375" customWidth="1"/>
    <col min="9" max="9" width="3" customWidth="1"/>
    <col min="10" max="15" width="10.4609375" customWidth="1"/>
    <col min="20" max="23" width="13" hidden="1" customWidth="1"/>
    <col min="60" max="124" width="13" hidden="1" customWidth="1"/>
  </cols>
  <sheetData>
    <row r="1" spans="1:124" ht="28" customHeight="1" x14ac:dyDescent="0.4">
      <c r="A1" s="161" t="str">
        <f>"Horizon Scan NFR — Quadro d'insieme   ·   "&amp;etichettaCiclo</f>
        <v>Horizon Scan NFR — Quadro d'insieme   ·   Ciclo 2026Q4 · dati al 31/12/2026 · validato · Uso interno</v>
      </c>
      <c r="B1" s="162"/>
      <c r="C1" s="162"/>
      <c r="D1" s="162"/>
      <c r="E1" s="162"/>
      <c r="F1" s="162"/>
      <c r="G1" s="162"/>
      <c r="H1" s="162"/>
      <c r="I1" s="162"/>
      <c r="J1" s="162"/>
      <c r="K1" s="162"/>
      <c r="L1" s="162"/>
      <c r="M1" s="162"/>
      <c r="N1" s="162"/>
      <c r="O1" s="162"/>
    </row>
    <row r="2" spans="1:124" ht="72.55" customHeight="1" x14ac:dyDescent="0.4">
      <c r="A2" s="173" t="s">
        <v>0</v>
      </c>
      <c r="B2" s="142"/>
      <c r="C2" s="142"/>
      <c r="D2" s="142"/>
      <c r="E2" s="142"/>
      <c r="F2" s="142"/>
      <c r="G2" s="142"/>
      <c r="H2" s="142"/>
      <c r="I2" s="142"/>
      <c r="J2" s="142"/>
      <c r="K2" s="142"/>
      <c r="L2" s="142"/>
      <c r="M2" s="142"/>
      <c r="N2" s="142"/>
      <c r="O2" s="142"/>
    </row>
    <row r="3" spans="1:124" x14ac:dyDescent="0.4">
      <c r="BH3" t="s">
        <v>1</v>
      </c>
      <c r="BY3" t="s">
        <v>2</v>
      </c>
      <c r="BZ3" t="s">
        <v>2</v>
      </c>
      <c r="CA3" t="s">
        <v>2</v>
      </c>
      <c r="CB3" t="s">
        <v>2</v>
      </c>
      <c r="CC3" t="s">
        <v>2</v>
      </c>
      <c r="CD3" t="s">
        <v>2</v>
      </c>
      <c r="CE3" t="s">
        <v>2</v>
      </c>
      <c r="CF3" t="s">
        <v>2</v>
      </c>
      <c r="CG3" t="s">
        <v>2</v>
      </c>
      <c r="CH3" t="s">
        <v>2</v>
      </c>
      <c r="CI3" t="s">
        <v>2</v>
      </c>
      <c r="CJ3" t="s">
        <v>2</v>
      </c>
      <c r="CK3" t="s">
        <v>2</v>
      </c>
      <c r="CL3" t="s">
        <v>2</v>
      </c>
      <c r="CM3" t="s">
        <v>3</v>
      </c>
      <c r="CN3" t="s">
        <v>3</v>
      </c>
      <c r="CO3" t="s">
        <v>3</v>
      </c>
      <c r="CP3" t="s">
        <v>3</v>
      </c>
      <c r="CQ3" t="s">
        <v>3</v>
      </c>
      <c r="CR3" t="s">
        <v>3</v>
      </c>
      <c r="CS3" t="s">
        <v>3</v>
      </c>
      <c r="CT3" t="s">
        <v>3</v>
      </c>
      <c r="CU3" t="s">
        <v>3</v>
      </c>
      <c r="CV3" t="s">
        <v>3</v>
      </c>
      <c r="CW3" t="s">
        <v>3</v>
      </c>
      <c r="CX3" t="s">
        <v>3</v>
      </c>
      <c r="CY3" t="s">
        <v>3</v>
      </c>
      <c r="CZ3" t="s">
        <v>3</v>
      </c>
      <c r="DA3" t="s">
        <v>4</v>
      </c>
      <c r="DB3" t="s">
        <v>4</v>
      </c>
      <c r="DC3" t="s">
        <v>4</v>
      </c>
      <c r="DD3" t="s">
        <v>4</v>
      </c>
      <c r="DE3" t="s">
        <v>4</v>
      </c>
      <c r="DF3" t="s">
        <v>4</v>
      </c>
      <c r="DG3" t="s">
        <v>4</v>
      </c>
      <c r="DH3" t="s">
        <v>4</v>
      </c>
      <c r="DI3" t="s">
        <v>4</v>
      </c>
      <c r="DJ3" t="s">
        <v>4</v>
      </c>
      <c r="DK3" t="s">
        <v>4</v>
      </c>
      <c r="DL3" t="s">
        <v>4</v>
      </c>
      <c r="DM3" t="s">
        <v>4</v>
      </c>
      <c r="DN3" t="s">
        <v>4</v>
      </c>
    </row>
    <row r="4" spans="1:124" x14ac:dyDescent="0.4">
      <c r="A4" s="158" t="s">
        <v>5</v>
      </c>
      <c r="B4" s="159"/>
      <c r="C4" s="160"/>
      <c r="D4" s="157" t="s">
        <v>6</v>
      </c>
      <c r="E4" s="153"/>
      <c r="F4" s="154"/>
      <c r="G4" s="158" t="s">
        <v>7</v>
      </c>
      <c r="H4" s="159"/>
      <c r="I4" s="160"/>
      <c r="J4" s="157" t="s">
        <v>8</v>
      </c>
      <c r="K4" s="153"/>
      <c r="L4" s="154"/>
      <c r="M4" s="143" t="s">
        <v>9</v>
      </c>
      <c r="N4" s="144"/>
      <c r="O4" s="145"/>
      <c r="T4">
        <f>COUNTIF(Radar_Mosca!$AA$5:$AA$24,"Attivazione")</f>
        <v>2</v>
      </c>
      <c r="BY4">
        <v>1</v>
      </c>
      <c r="BZ4">
        <v>2</v>
      </c>
      <c r="CA4">
        <v>3</v>
      </c>
      <c r="CB4">
        <v>4</v>
      </c>
      <c r="CC4">
        <v>5</v>
      </c>
      <c r="CD4">
        <v>6</v>
      </c>
      <c r="CE4">
        <v>8</v>
      </c>
      <c r="CF4">
        <v>9</v>
      </c>
      <c r="CG4">
        <v>10</v>
      </c>
      <c r="CH4">
        <v>12</v>
      </c>
      <c r="CI4">
        <v>15</v>
      </c>
      <c r="CJ4">
        <v>16</v>
      </c>
      <c r="CK4">
        <v>20</v>
      </c>
      <c r="CL4">
        <v>25</v>
      </c>
      <c r="CM4">
        <v>1</v>
      </c>
      <c r="CN4">
        <v>2</v>
      </c>
      <c r="CO4">
        <v>3</v>
      </c>
      <c r="CP4">
        <v>4</v>
      </c>
      <c r="CQ4">
        <v>5</v>
      </c>
      <c r="CR4">
        <v>6</v>
      </c>
      <c r="CS4">
        <v>8</v>
      </c>
      <c r="CT4">
        <v>9</v>
      </c>
      <c r="CU4">
        <v>10</v>
      </c>
      <c r="CV4">
        <v>12</v>
      </c>
      <c r="CW4">
        <v>15</v>
      </c>
      <c r="CX4">
        <v>16</v>
      </c>
      <c r="CY4">
        <v>20</v>
      </c>
      <c r="CZ4">
        <v>25</v>
      </c>
      <c r="DA4">
        <v>1</v>
      </c>
      <c r="DB4">
        <v>2</v>
      </c>
      <c r="DC4">
        <v>3</v>
      </c>
      <c r="DD4">
        <v>4</v>
      </c>
      <c r="DE4">
        <v>5</v>
      </c>
      <c r="DF4">
        <v>6</v>
      </c>
      <c r="DG4">
        <v>8</v>
      </c>
      <c r="DH4">
        <v>9</v>
      </c>
      <c r="DI4">
        <v>10</v>
      </c>
      <c r="DJ4">
        <v>12</v>
      </c>
      <c r="DK4">
        <v>15</v>
      </c>
      <c r="DL4">
        <v>16</v>
      </c>
      <c r="DM4">
        <v>20</v>
      </c>
      <c r="DN4">
        <v>25</v>
      </c>
    </row>
    <row r="5" spans="1:124" ht="36" customHeight="1" x14ac:dyDescent="0.4">
      <c r="A5" s="174">
        <f>coperturaValutati</f>
        <v>13</v>
      </c>
      <c r="B5" s="159"/>
      <c r="C5" s="160"/>
      <c r="D5" s="152" t="str">
        <f>$T$4&amp;" · "&amp;COUNTIF(Radar_Mosca!$AA$5:$AA$24,"Attenzione")</f>
        <v>2 · 6</v>
      </c>
      <c r="E5" s="153"/>
      <c r="F5" s="154"/>
      <c r="G5" s="174" t="str">
        <f>COUNTIFS(RR_Ciclo,cicloCorrente,RR_Stato,"Radar*",RR_Esito,"Variato")&amp;" · "&amp;COUNTIFS(RR_Ciclo,cicloCorrente,RR_Stato,"Radar*",RR_Esito,"Nuovo")</f>
        <v>3 · 0</v>
      </c>
      <c r="H5" s="159"/>
      <c r="I5" s="160"/>
      <c r="J5" s="152">
        <f>COUNTIFS(KRI_Ciclo,cicloCorrente,KRI_In_Vigore,"Sì",KRI_Stato,"Rosso")</f>
        <v>3</v>
      </c>
      <c r="K5" s="153"/>
      <c r="L5" s="154"/>
      <c r="M5" s="167" t="str">
        <f>IF(decisioniDaPrendere&gt;0,decisioniDaPrendere,"✓")</f>
        <v>✓</v>
      </c>
      <c r="N5" s="144"/>
      <c r="O5" s="145"/>
      <c r="T5" t="str">
        <f>IF(Radar_Mosca!$AA$5="Attivazione",Radar_Mosca!$A$5,"")</f>
        <v>NFR-01</v>
      </c>
      <c r="BH5">
        <f>2*PI()*0/72</f>
        <v>0</v>
      </c>
      <c r="BI5">
        <f t="shared" ref="BI5:BI36" si="0">2*SIN($BH5)</f>
        <v>0</v>
      </c>
      <c r="BJ5">
        <f t="shared" ref="BJ5:BJ36" si="1">2*COS($BH5)</f>
        <v>2</v>
      </c>
      <c r="BK5">
        <f t="shared" ref="BK5:BK36" si="2">3*SIN($BH5)</f>
        <v>0</v>
      </c>
      <c r="BL5">
        <f t="shared" ref="BL5:BL36" si="3">3*COS($BH5)</f>
        <v>3</v>
      </c>
      <c r="BM5">
        <f t="shared" ref="BM5:BM36" si="4">4*SIN($BH5)</f>
        <v>0</v>
      </c>
      <c r="BN5">
        <f t="shared" ref="BN5:BN36" si="5">4*COS($BH5)</f>
        <v>4</v>
      </c>
      <c r="BO5">
        <f t="shared" ref="BO5:BO36" si="6">5*SIN($BH5)</f>
        <v>0</v>
      </c>
      <c r="BP5">
        <f t="shared" ref="BP5:BP36" si="7">5*COS($BH5)</f>
        <v>5</v>
      </c>
      <c r="BR5">
        <v>0</v>
      </c>
      <c r="BS5">
        <v>0</v>
      </c>
      <c r="BU5" t="s">
        <v>10</v>
      </c>
      <c r="BV5">
        <f>6.95*SIN(2*PI()*(0+0.5)/ROWS(codiciL1))</f>
        <v>2.3770399961133974</v>
      </c>
      <c r="BW5">
        <f>6.95*COS(2*PI()*(0+0.5)/ROWS(codiciL1))</f>
        <v>6.5308637144620638</v>
      </c>
      <c r="BY5" t="e">
        <f>IF(AND(ISNUMBER(Radar_Mosca!$F5),ISNUMBER(Radar_Mosca!$S5)),IF(AND(Radar_Mosca!$F5=BY$4,Radar_Mosca!$AA5=BY$3),Radar_Mosca!$S5,NA()),NA())</f>
        <v>#N/A</v>
      </c>
      <c r="BZ5" t="e">
        <f>IF(AND(ISNUMBER(Radar_Mosca!$F5),ISNUMBER(Radar_Mosca!$S5)),IF(AND(Radar_Mosca!$F5=BZ$4,Radar_Mosca!$AA5=BZ$3),Radar_Mosca!$S5,NA()),NA())</f>
        <v>#N/A</v>
      </c>
      <c r="CA5" t="e">
        <f>IF(AND(ISNUMBER(Radar_Mosca!$F5),ISNUMBER(Radar_Mosca!$S5)),IF(AND(Radar_Mosca!$F5=CA$4,Radar_Mosca!$AA5=CA$3),Radar_Mosca!$S5,NA()),NA())</f>
        <v>#N/A</v>
      </c>
      <c r="CB5" t="e">
        <f>IF(AND(ISNUMBER(Radar_Mosca!$F5),ISNUMBER(Radar_Mosca!$S5)),IF(AND(Radar_Mosca!$F5=CB$4,Radar_Mosca!$AA5=CB$3),Radar_Mosca!$S5,NA()),NA())</f>
        <v>#N/A</v>
      </c>
      <c r="CC5" t="e">
        <f>IF(AND(ISNUMBER(Radar_Mosca!$F5),ISNUMBER(Radar_Mosca!$S5)),IF(AND(Radar_Mosca!$F5=CC$4,Radar_Mosca!$AA5=CC$3),Radar_Mosca!$S5,NA()),NA())</f>
        <v>#N/A</v>
      </c>
      <c r="CD5" t="e">
        <f>IF(AND(ISNUMBER(Radar_Mosca!$F5),ISNUMBER(Radar_Mosca!$S5)),IF(AND(Radar_Mosca!$F5=CD$4,Radar_Mosca!$AA5=CD$3),Radar_Mosca!$S5,NA()),NA())</f>
        <v>#N/A</v>
      </c>
      <c r="CE5" t="e">
        <f>IF(AND(ISNUMBER(Radar_Mosca!$F5),ISNUMBER(Radar_Mosca!$S5)),IF(AND(Radar_Mosca!$F5=CE$4,Radar_Mosca!$AA5=CE$3),Radar_Mosca!$S5,NA()),NA())</f>
        <v>#N/A</v>
      </c>
      <c r="CF5" t="e">
        <f>IF(AND(ISNUMBER(Radar_Mosca!$F5),ISNUMBER(Radar_Mosca!$S5)),IF(AND(Radar_Mosca!$F5=CF$4,Radar_Mosca!$AA5=CF$3),Radar_Mosca!$S5,NA()),NA())</f>
        <v>#N/A</v>
      </c>
      <c r="CG5" t="e">
        <f>IF(AND(ISNUMBER(Radar_Mosca!$F5),ISNUMBER(Radar_Mosca!$S5)),IF(AND(Radar_Mosca!$F5=CG$4,Radar_Mosca!$AA5=CG$3),Radar_Mosca!$S5,NA()),NA())</f>
        <v>#N/A</v>
      </c>
      <c r="CH5" t="e">
        <f>IF(AND(ISNUMBER(Radar_Mosca!$F5),ISNUMBER(Radar_Mosca!$S5)),IF(AND(Radar_Mosca!$F5=CH$4,Radar_Mosca!$AA5=CH$3),Radar_Mosca!$S5,NA()),NA())</f>
        <v>#N/A</v>
      </c>
      <c r="CI5" t="e">
        <f>IF(AND(ISNUMBER(Radar_Mosca!$F5),ISNUMBER(Radar_Mosca!$S5)),IF(AND(Radar_Mosca!$F5=CI$4,Radar_Mosca!$AA5=CI$3),Radar_Mosca!$S5,NA()),NA())</f>
        <v>#N/A</v>
      </c>
      <c r="CJ5">
        <f>IF(AND(ISNUMBER(Radar_Mosca!$F5),ISNUMBER(Radar_Mosca!$S5)),IF(AND(Radar_Mosca!$F5=CJ$4,Radar_Mosca!$AA5=CJ$3),Radar_Mosca!$S5,NA()),NA())</f>
        <v>-1.4595673058697358</v>
      </c>
      <c r="CK5" t="e">
        <f>IF(AND(ISNUMBER(Radar_Mosca!$F5),ISNUMBER(Radar_Mosca!$S5)),IF(AND(Radar_Mosca!$F5=CK$4,Radar_Mosca!$AA5=CK$3),Radar_Mosca!$S5,NA()),NA())</f>
        <v>#N/A</v>
      </c>
      <c r="CL5" t="e">
        <f>IF(AND(ISNUMBER(Radar_Mosca!$F5),ISNUMBER(Radar_Mosca!$S5)),IF(AND(Radar_Mosca!$F5=CL$4,Radar_Mosca!$AA5=CL$3),Radar_Mosca!$S5,NA()),NA())</f>
        <v>#N/A</v>
      </c>
      <c r="CM5" t="e">
        <f>IF(AND(ISNUMBER(Radar_Mosca!$F5),ISNUMBER(Radar_Mosca!$S5)),IF(AND(Radar_Mosca!$F5=CM$4,Radar_Mosca!$AA5=CM$3),Radar_Mosca!$S5,NA()),NA())</f>
        <v>#N/A</v>
      </c>
      <c r="CN5" t="e">
        <f>IF(AND(ISNUMBER(Radar_Mosca!$F5),ISNUMBER(Radar_Mosca!$S5)),IF(AND(Radar_Mosca!$F5=CN$4,Radar_Mosca!$AA5=CN$3),Radar_Mosca!$S5,NA()),NA())</f>
        <v>#N/A</v>
      </c>
      <c r="CO5" t="e">
        <f>IF(AND(ISNUMBER(Radar_Mosca!$F5),ISNUMBER(Radar_Mosca!$S5)),IF(AND(Radar_Mosca!$F5=CO$4,Radar_Mosca!$AA5=CO$3),Radar_Mosca!$S5,NA()),NA())</f>
        <v>#N/A</v>
      </c>
      <c r="CP5" t="e">
        <f>IF(AND(ISNUMBER(Radar_Mosca!$F5),ISNUMBER(Radar_Mosca!$S5)),IF(AND(Radar_Mosca!$F5=CP$4,Radar_Mosca!$AA5=CP$3),Radar_Mosca!$S5,NA()),NA())</f>
        <v>#N/A</v>
      </c>
      <c r="CQ5" t="e">
        <f>IF(AND(ISNUMBER(Radar_Mosca!$F5),ISNUMBER(Radar_Mosca!$S5)),IF(AND(Radar_Mosca!$F5=CQ$4,Radar_Mosca!$AA5=CQ$3),Radar_Mosca!$S5,NA()),NA())</f>
        <v>#N/A</v>
      </c>
      <c r="CR5" t="e">
        <f>IF(AND(ISNUMBER(Radar_Mosca!$F5),ISNUMBER(Radar_Mosca!$S5)),IF(AND(Radar_Mosca!$F5=CR$4,Radar_Mosca!$AA5=CR$3),Radar_Mosca!$S5,NA()),NA())</f>
        <v>#N/A</v>
      </c>
      <c r="CS5" t="e">
        <f>IF(AND(ISNUMBER(Radar_Mosca!$F5),ISNUMBER(Radar_Mosca!$S5)),IF(AND(Radar_Mosca!$F5=CS$4,Radar_Mosca!$AA5=CS$3),Radar_Mosca!$S5,NA()),NA())</f>
        <v>#N/A</v>
      </c>
      <c r="CT5" t="e">
        <f>IF(AND(ISNUMBER(Radar_Mosca!$F5),ISNUMBER(Radar_Mosca!$S5)),IF(AND(Radar_Mosca!$F5=CT$4,Radar_Mosca!$AA5=CT$3),Radar_Mosca!$S5,NA()),NA())</f>
        <v>#N/A</v>
      </c>
      <c r="CU5" t="e">
        <f>IF(AND(ISNUMBER(Radar_Mosca!$F5),ISNUMBER(Radar_Mosca!$S5)),IF(AND(Radar_Mosca!$F5=CU$4,Radar_Mosca!$AA5=CU$3),Radar_Mosca!$S5,NA()),NA())</f>
        <v>#N/A</v>
      </c>
      <c r="CV5" t="e">
        <f>IF(AND(ISNUMBER(Radar_Mosca!$F5),ISNUMBER(Radar_Mosca!$S5)),IF(AND(Radar_Mosca!$F5=CV$4,Radar_Mosca!$AA5=CV$3),Radar_Mosca!$S5,NA()),NA())</f>
        <v>#N/A</v>
      </c>
      <c r="CW5" t="e">
        <f>IF(AND(ISNUMBER(Radar_Mosca!$F5),ISNUMBER(Radar_Mosca!$S5)),IF(AND(Radar_Mosca!$F5=CW$4,Radar_Mosca!$AA5=CW$3),Radar_Mosca!$S5,NA()),NA())</f>
        <v>#N/A</v>
      </c>
      <c r="CX5" t="e">
        <f>IF(AND(ISNUMBER(Radar_Mosca!$F5),ISNUMBER(Radar_Mosca!$S5)),IF(AND(Radar_Mosca!$F5=CX$4,Radar_Mosca!$AA5=CX$3),Radar_Mosca!$S5,NA()),NA())</f>
        <v>#N/A</v>
      </c>
      <c r="CY5" t="e">
        <f>IF(AND(ISNUMBER(Radar_Mosca!$F5),ISNUMBER(Radar_Mosca!$S5)),IF(AND(Radar_Mosca!$F5=CY$4,Radar_Mosca!$AA5=CY$3),Radar_Mosca!$S5,NA()),NA())</f>
        <v>#N/A</v>
      </c>
      <c r="CZ5" t="e">
        <f>IF(AND(ISNUMBER(Radar_Mosca!$F5),ISNUMBER(Radar_Mosca!$S5)),IF(AND(Radar_Mosca!$F5=CZ$4,Radar_Mosca!$AA5=CZ$3),Radar_Mosca!$S5,NA()),NA())</f>
        <v>#N/A</v>
      </c>
      <c r="DA5" t="e">
        <f>IF(AND(ISNUMBER(Radar_Mosca!$F5),ISNUMBER(Radar_Mosca!$S5)),IF(AND(Radar_Mosca!$F5=DA$4,Radar_Mosca!$AA5=DA$3),Radar_Mosca!$S5,NA()),NA())</f>
        <v>#N/A</v>
      </c>
      <c r="DB5" t="e">
        <f>IF(AND(ISNUMBER(Radar_Mosca!$F5),ISNUMBER(Radar_Mosca!$S5)),IF(AND(Radar_Mosca!$F5=DB$4,Radar_Mosca!$AA5=DB$3),Radar_Mosca!$S5,NA()),NA())</f>
        <v>#N/A</v>
      </c>
      <c r="DC5" t="e">
        <f>IF(AND(ISNUMBER(Radar_Mosca!$F5),ISNUMBER(Radar_Mosca!$S5)),IF(AND(Radar_Mosca!$F5=DC$4,Radar_Mosca!$AA5=DC$3),Radar_Mosca!$S5,NA()),NA())</f>
        <v>#N/A</v>
      </c>
      <c r="DD5" t="e">
        <f>IF(AND(ISNUMBER(Radar_Mosca!$F5),ISNUMBER(Radar_Mosca!$S5)),IF(AND(Radar_Mosca!$F5=DD$4,Radar_Mosca!$AA5=DD$3),Radar_Mosca!$S5,NA()),NA())</f>
        <v>#N/A</v>
      </c>
      <c r="DE5" t="e">
        <f>IF(AND(ISNUMBER(Radar_Mosca!$F5),ISNUMBER(Radar_Mosca!$S5)),IF(AND(Radar_Mosca!$F5=DE$4,Radar_Mosca!$AA5=DE$3),Radar_Mosca!$S5,NA()),NA())</f>
        <v>#N/A</v>
      </c>
      <c r="DF5" t="e">
        <f>IF(AND(ISNUMBER(Radar_Mosca!$F5),ISNUMBER(Radar_Mosca!$S5)),IF(AND(Radar_Mosca!$F5=DF$4,Radar_Mosca!$AA5=DF$3),Radar_Mosca!$S5,NA()),NA())</f>
        <v>#N/A</v>
      </c>
      <c r="DG5" t="e">
        <f>IF(AND(ISNUMBER(Radar_Mosca!$F5),ISNUMBER(Radar_Mosca!$S5)),IF(AND(Radar_Mosca!$F5=DG$4,Radar_Mosca!$AA5=DG$3),Radar_Mosca!$S5,NA()),NA())</f>
        <v>#N/A</v>
      </c>
      <c r="DH5" t="e">
        <f>IF(AND(ISNUMBER(Radar_Mosca!$F5),ISNUMBER(Radar_Mosca!$S5)),IF(AND(Radar_Mosca!$F5=DH$4,Radar_Mosca!$AA5=DH$3),Radar_Mosca!$S5,NA()),NA())</f>
        <v>#N/A</v>
      </c>
      <c r="DI5" t="e">
        <f>IF(AND(ISNUMBER(Radar_Mosca!$F5),ISNUMBER(Radar_Mosca!$S5)),IF(AND(Radar_Mosca!$F5=DI$4,Radar_Mosca!$AA5=DI$3),Radar_Mosca!$S5,NA()),NA())</f>
        <v>#N/A</v>
      </c>
      <c r="DJ5" t="e">
        <f>IF(AND(ISNUMBER(Radar_Mosca!$F5),ISNUMBER(Radar_Mosca!$S5)),IF(AND(Radar_Mosca!$F5=DJ$4,Radar_Mosca!$AA5=DJ$3),Radar_Mosca!$S5,NA()),NA())</f>
        <v>#N/A</v>
      </c>
      <c r="DK5" t="e">
        <f>IF(AND(ISNUMBER(Radar_Mosca!$F5),ISNUMBER(Radar_Mosca!$S5)),IF(AND(Radar_Mosca!$F5=DK$4,Radar_Mosca!$AA5=DK$3),Radar_Mosca!$S5,NA()),NA())</f>
        <v>#N/A</v>
      </c>
      <c r="DL5" t="e">
        <f>IF(AND(ISNUMBER(Radar_Mosca!$F5),ISNUMBER(Radar_Mosca!$S5)),IF(AND(Radar_Mosca!$F5=DL$4,Radar_Mosca!$AA5=DL$3),Radar_Mosca!$S5,NA()),NA())</f>
        <v>#N/A</v>
      </c>
      <c r="DM5" t="e">
        <f>IF(AND(ISNUMBER(Radar_Mosca!$F5),ISNUMBER(Radar_Mosca!$S5)),IF(AND(Radar_Mosca!$F5=DM$4,Radar_Mosca!$AA5=DM$3),Radar_Mosca!$S5,NA()),NA())</f>
        <v>#N/A</v>
      </c>
      <c r="DN5" t="e">
        <f>IF(AND(ISNUMBER(Radar_Mosca!$F5),ISNUMBER(Radar_Mosca!$S5)),IF(AND(Radar_Mosca!$F5=DN$4,Radar_Mosca!$AA5=DN$3),Radar_Mosca!$S5,NA()),NA())</f>
        <v>#N/A</v>
      </c>
      <c r="DO5">
        <f>IF(ISNUMBER(Radar_Mosca!$R5),Radar_Mosca!$R5,NA())</f>
        <v>0.3459238061136598</v>
      </c>
      <c r="DP5" t="str">
        <f>IF(Radar_Mosca!$A5="","",MID(Radar_Mosca!$A5,5,3)&amp;IF(Radar_Mosca!$T5="Sì"," ◆",""))</f>
        <v>01 ◆</v>
      </c>
      <c r="DQ5">
        <f>IF(ISNUMBER(Radar_Mosca!$S5),Radar_Mosca!$S5,NA())</f>
        <v>-1.4595673058697358</v>
      </c>
      <c r="DR5" t="s">
        <v>2</v>
      </c>
      <c r="DS5">
        <v>-7</v>
      </c>
      <c r="DT5">
        <v>-8.0499999999999989</v>
      </c>
    </row>
    <row r="6" spans="1:124" ht="34" customHeight="1" x14ac:dyDescent="0.4">
      <c r="A6" s="172" t="str">
        <f>"su "&amp;coperturaAnagrafica&amp;" in anagrafica · "&amp;IF(coperturaValutati=coperturaAnagrafica,"completo","INCOMPLETO")</f>
        <v>su 13 in anagrafica · completo</v>
      </c>
      <c r="B6" s="159"/>
      <c r="C6" s="160"/>
      <c r="D6" s="156" t="str">
        <f>IF($T$4=0,"nessun rischio in attivazione","in attivazione: "&amp;_xlfn.TEXTJOIN(", ",TRUE,$T$5:$T$24))&amp;" · in monitoraggio "&amp;COUNTIF(Radar_Mosca!$AA$5:$AA$24,"Monitoraggio")</f>
        <v>in attivazione: NFR-01, NFR-11 · in monitoraggio 5</v>
      </c>
      <c r="E6" s="153"/>
      <c r="F6" s="154"/>
      <c r="G6" s="172" t="str">
        <f>"rispetto al "&amp;cicloPrecedente&amp;" · entrati nel radar "&amp;COUNTIFS(RR_Ciclo,cicloCorrente,RR_Movimento,"Entrato")&amp;", usciti "&amp;COUNTIFS(RR_Ciclo,cicloCorrente,RR_Movimento,"Uscito")&amp;" · in osservazione "&amp;COUNTIFS(RR_Ciclo,cicloCorrente,RR_Stato,"Osservazione")</f>
        <v>rispetto al 2026Q3 · entrati nel radar 1, usciti 0 · in osservazione 3</v>
      </c>
      <c r="H6" s="159"/>
      <c r="I6" s="160"/>
      <c r="J6" s="156" t="str">
        <f>"su "&amp;COUNTIFS(KRI_Ciclo,cicloCorrente,KRI_In_Vigore,"Sì")&amp;" in vigore"</f>
        <v>su 26 in vigore</v>
      </c>
      <c r="K6" s="153"/>
      <c r="L6" s="154"/>
      <c r="M6" s="166" t="str">
        <f>IF(decisioniDaPrendere&gt;0,"righe da validare: ciclo non validato","ciclo validato")</f>
        <v>ciclo validato</v>
      </c>
      <c r="N6" s="144"/>
      <c r="O6" s="145"/>
      <c r="T6" t="str">
        <f>IF(Radar_Mosca!$AA$6="Attivazione",Radar_Mosca!$A$6,"")</f>
        <v/>
      </c>
      <c r="BH6">
        <f>2*PI()*1/72</f>
        <v>8.7266462599716474E-2</v>
      </c>
      <c r="BI6">
        <f t="shared" si="0"/>
        <v>0.17431148549531633</v>
      </c>
      <c r="BJ6">
        <f t="shared" si="1"/>
        <v>1.9923893961834911</v>
      </c>
      <c r="BK6">
        <f t="shared" si="2"/>
        <v>0.26146722824297453</v>
      </c>
      <c r="BL6">
        <f t="shared" si="3"/>
        <v>2.9885840942752369</v>
      </c>
      <c r="BM6">
        <f t="shared" si="4"/>
        <v>0.34862297099063266</v>
      </c>
      <c r="BN6">
        <f t="shared" si="5"/>
        <v>3.9847787923669822</v>
      </c>
      <c r="BO6">
        <f t="shared" si="6"/>
        <v>0.4357787137382908</v>
      </c>
      <c r="BP6">
        <f t="shared" si="7"/>
        <v>4.9809734904587275</v>
      </c>
      <c r="BR6">
        <f>6.3*SIN(2*PI()*0/ROWS(codiciL1))</f>
        <v>0</v>
      </c>
      <c r="BS6">
        <f>6.3*COS(2*PI()*0/ROWS(codiciL1))</f>
        <v>6.3</v>
      </c>
      <c r="BU6" t="s">
        <v>11</v>
      </c>
      <c r="BV6">
        <f>6.95*SIN(2*PI()*(1+0.5)/ROWS(codiciL1))</f>
        <v>6.0188765563018487</v>
      </c>
      <c r="BW6">
        <f>6.95*COS(2*PI()*(1+0.5)/ROWS(codiciL1))</f>
        <v>3.475000000000001</v>
      </c>
      <c r="BY6" t="e">
        <f>IF(AND(ISNUMBER(Radar_Mosca!$F6),ISNUMBER(Radar_Mosca!$S6)),IF(AND(Radar_Mosca!$F6=BY$4,Radar_Mosca!$AA6=BY$3),Radar_Mosca!$S6,NA()),NA())</f>
        <v>#N/A</v>
      </c>
      <c r="BZ6" t="e">
        <f>IF(AND(ISNUMBER(Radar_Mosca!$F6),ISNUMBER(Radar_Mosca!$S6)),IF(AND(Radar_Mosca!$F6=BZ$4,Radar_Mosca!$AA6=BZ$3),Radar_Mosca!$S6,NA()),NA())</f>
        <v>#N/A</v>
      </c>
      <c r="CA6" t="e">
        <f>IF(AND(ISNUMBER(Radar_Mosca!$F6),ISNUMBER(Radar_Mosca!$S6)),IF(AND(Radar_Mosca!$F6=CA$4,Radar_Mosca!$AA6=CA$3),Radar_Mosca!$S6,NA()),NA())</f>
        <v>#N/A</v>
      </c>
      <c r="CB6" t="e">
        <f>IF(AND(ISNUMBER(Radar_Mosca!$F6),ISNUMBER(Radar_Mosca!$S6)),IF(AND(Radar_Mosca!$F6=CB$4,Radar_Mosca!$AA6=CB$3),Radar_Mosca!$S6,NA()),NA())</f>
        <v>#N/A</v>
      </c>
      <c r="CC6" t="e">
        <f>IF(AND(ISNUMBER(Radar_Mosca!$F6),ISNUMBER(Radar_Mosca!$S6)),IF(AND(Radar_Mosca!$F6=CC$4,Radar_Mosca!$AA6=CC$3),Radar_Mosca!$S6,NA()),NA())</f>
        <v>#N/A</v>
      </c>
      <c r="CD6" t="e">
        <f>IF(AND(ISNUMBER(Radar_Mosca!$F6),ISNUMBER(Radar_Mosca!$S6)),IF(AND(Radar_Mosca!$F6=CD$4,Radar_Mosca!$AA6=CD$3),Radar_Mosca!$S6,NA()),NA())</f>
        <v>#N/A</v>
      </c>
      <c r="CE6" t="e">
        <f>IF(AND(ISNUMBER(Radar_Mosca!$F6),ISNUMBER(Radar_Mosca!$S6)),IF(AND(Radar_Mosca!$F6=CE$4,Radar_Mosca!$AA6=CE$3),Radar_Mosca!$S6,NA()),NA())</f>
        <v>#N/A</v>
      </c>
      <c r="CF6" t="e">
        <f>IF(AND(ISNUMBER(Radar_Mosca!$F6),ISNUMBER(Radar_Mosca!$S6)),IF(AND(Radar_Mosca!$F6=CF$4,Radar_Mosca!$AA6=CF$3),Radar_Mosca!$S6,NA()),NA())</f>
        <v>#N/A</v>
      </c>
      <c r="CG6" t="e">
        <f>IF(AND(ISNUMBER(Radar_Mosca!$F6),ISNUMBER(Radar_Mosca!$S6)),IF(AND(Radar_Mosca!$F6=CG$4,Radar_Mosca!$AA6=CG$3),Radar_Mosca!$S6,NA()),NA())</f>
        <v>#N/A</v>
      </c>
      <c r="CH6" t="e">
        <f>IF(AND(ISNUMBER(Radar_Mosca!$F6),ISNUMBER(Radar_Mosca!$S6)),IF(AND(Radar_Mosca!$F6=CH$4,Radar_Mosca!$AA6=CH$3),Radar_Mosca!$S6,NA()),NA())</f>
        <v>#N/A</v>
      </c>
      <c r="CI6" t="e">
        <f>IF(AND(ISNUMBER(Radar_Mosca!$F6),ISNUMBER(Radar_Mosca!$S6)),IF(AND(Radar_Mosca!$F6=CI$4,Radar_Mosca!$AA6=CI$3),Radar_Mosca!$S6,NA()),NA())</f>
        <v>#N/A</v>
      </c>
      <c r="CJ6" t="e">
        <f>IF(AND(ISNUMBER(Radar_Mosca!$F6),ISNUMBER(Radar_Mosca!$S6)),IF(AND(Radar_Mosca!$F6=CJ$4,Radar_Mosca!$AA6=CJ$3),Radar_Mosca!$S6,NA()),NA())</f>
        <v>#N/A</v>
      </c>
      <c r="CK6" t="e">
        <f>IF(AND(ISNUMBER(Radar_Mosca!$F6),ISNUMBER(Radar_Mosca!$S6)),IF(AND(Radar_Mosca!$F6=CK$4,Radar_Mosca!$AA6=CK$3),Radar_Mosca!$S6,NA()),NA())</f>
        <v>#N/A</v>
      </c>
      <c r="CL6" t="e">
        <f>IF(AND(ISNUMBER(Radar_Mosca!$F6),ISNUMBER(Radar_Mosca!$S6)),IF(AND(Radar_Mosca!$F6=CL$4,Radar_Mosca!$AA6=CL$3),Radar_Mosca!$S6,NA()),NA())</f>
        <v>#N/A</v>
      </c>
      <c r="CM6" t="e">
        <f>IF(AND(ISNUMBER(Radar_Mosca!$F6),ISNUMBER(Radar_Mosca!$S6)),IF(AND(Radar_Mosca!$F6=CM$4,Radar_Mosca!$AA6=CM$3),Radar_Mosca!$S6,NA()),NA())</f>
        <v>#N/A</v>
      </c>
      <c r="CN6" t="e">
        <f>IF(AND(ISNUMBER(Radar_Mosca!$F6),ISNUMBER(Radar_Mosca!$S6)),IF(AND(Radar_Mosca!$F6=CN$4,Radar_Mosca!$AA6=CN$3),Radar_Mosca!$S6,NA()),NA())</f>
        <v>#N/A</v>
      </c>
      <c r="CO6" t="e">
        <f>IF(AND(ISNUMBER(Radar_Mosca!$F6),ISNUMBER(Radar_Mosca!$S6)),IF(AND(Radar_Mosca!$F6=CO$4,Radar_Mosca!$AA6=CO$3),Radar_Mosca!$S6,NA()),NA())</f>
        <v>#N/A</v>
      </c>
      <c r="CP6" t="e">
        <f>IF(AND(ISNUMBER(Radar_Mosca!$F6),ISNUMBER(Radar_Mosca!$S6)),IF(AND(Radar_Mosca!$F6=CP$4,Radar_Mosca!$AA6=CP$3),Radar_Mosca!$S6,NA()),NA())</f>
        <v>#N/A</v>
      </c>
      <c r="CQ6" t="e">
        <f>IF(AND(ISNUMBER(Radar_Mosca!$F6),ISNUMBER(Radar_Mosca!$S6)),IF(AND(Radar_Mosca!$F6=CQ$4,Radar_Mosca!$AA6=CQ$3),Radar_Mosca!$S6,NA()),NA())</f>
        <v>#N/A</v>
      </c>
      <c r="CR6" t="e">
        <f>IF(AND(ISNUMBER(Radar_Mosca!$F6),ISNUMBER(Radar_Mosca!$S6)),IF(AND(Radar_Mosca!$F6=CR$4,Radar_Mosca!$AA6=CR$3),Radar_Mosca!$S6,NA()),NA())</f>
        <v>#N/A</v>
      </c>
      <c r="CS6" t="e">
        <f>IF(AND(ISNUMBER(Radar_Mosca!$F6),ISNUMBER(Radar_Mosca!$S6)),IF(AND(Radar_Mosca!$F6=CS$4,Radar_Mosca!$AA6=CS$3),Radar_Mosca!$S6,NA()),NA())</f>
        <v>#N/A</v>
      </c>
      <c r="CT6" t="e">
        <f>IF(AND(ISNUMBER(Radar_Mosca!$F6),ISNUMBER(Radar_Mosca!$S6)),IF(AND(Radar_Mosca!$F6=CT$4,Radar_Mosca!$AA6=CT$3),Radar_Mosca!$S6,NA()),NA())</f>
        <v>#N/A</v>
      </c>
      <c r="CU6" t="e">
        <f>IF(AND(ISNUMBER(Radar_Mosca!$F6),ISNUMBER(Radar_Mosca!$S6)),IF(AND(Radar_Mosca!$F6=CU$4,Radar_Mosca!$AA6=CU$3),Radar_Mosca!$S6,NA()),NA())</f>
        <v>#N/A</v>
      </c>
      <c r="CV6" t="e">
        <f>IF(AND(ISNUMBER(Radar_Mosca!$F6),ISNUMBER(Radar_Mosca!$S6)),IF(AND(Radar_Mosca!$F6=CV$4,Radar_Mosca!$AA6=CV$3),Radar_Mosca!$S6,NA()),NA())</f>
        <v>#N/A</v>
      </c>
      <c r="CW6" t="e">
        <f>IF(AND(ISNUMBER(Radar_Mosca!$F6),ISNUMBER(Radar_Mosca!$S6)),IF(AND(Radar_Mosca!$F6=CW$4,Radar_Mosca!$AA6=CW$3),Radar_Mosca!$S6,NA()),NA())</f>
        <v>#N/A</v>
      </c>
      <c r="CX6">
        <f>IF(AND(ISNUMBER(Radar_Mosca!$F6),ISNUMBER(Radar_Mosca!$S6)),IF(AND(Radar_Mosca!$F6=CX$4,Radar_Mosca!$AA6=CX$3),Radar_Mosca!$S6,NA()),NA())</f>
        <v>-1.0260604299770058</v>
      </c>
      <c r="CY6" t="e">
        <f>IF(AND(ISNUMBER(Radar_Mosca!$F6),ISNUMBER(Radar_Mosca!$S6)),IF(AND(Radar_Mosca!$F6=CY$4,Radar_Mosca!$AA6=CY$3),Radar_Mosca!$S6,NA()),NA())</f>
        <v>#N/A</v>
      </c>
      <c r="CZ6" t="e">
        <f>IF(AND(ISNUMBER(Radar_Mosca!$F6),ISNUMBER(Radar_Mosca!$S6)),IF(AND(Radar_Mosca!$F6=CZ$4,Radar_Mosca!$AA6=CZ$3),Radar_Mosca!$S6,NA()),NA())</f>
        <v>#N/A</v>
      </c>
      <c r="DA6" t="e">
        <f>IF(AND(ISNUMBER(Radar_Mosca!$F6),ISNUMBER(Radar_Mosca!$S6)),IF(AND(Radar_Mosca!$F6=DA$4,Radar_Mosca!$AA6=DA$3),Radar_Mosca!$S6,NA()),NA())</f>
        <v>#N/A</v>
      </c>
      <c r="DB6" t="e">
        <f>IF(AND(ISNUMBER(Radar_Mosca!$F6),ISNUMBER(Radar_Mosca!$S6)),IF(AND(Radar_Mosca!$F6=DB$4,Radar_Mosca!$AA6=DB$3),Radar_Mosca!$S6,NA()),NA())</f>
        <v>#N/A</v>
      </c>
      <c r="DC6" t="e">
        <f>IF(AND(ISNUMBER(Radar_Mosca!$F6),ISNUMBER(Radar_Mosca!$S6)),IF(AND(Radar_Mosca!$F6=DC$4,Radar_Mosca!$AA6=DC$3),Radar_Mosca!$S6,NA()),NA())</f>
        <v>#N/A</v>
      </c>
      <c r="DD6" t="e">
        <f>IF(AND(ISNUMBER(Radar_Mosca!$F6),ISNUMBER(Radar_Mosca!$S6)),IF(AND(Radar_Mosca!$F6=DD$4,Radar_Mosca!$AA6=DD$3),Radar_Mosca!$S6,NA()),NA())</f>
        <v>#N/A</v>
      </c>
      <c r="DE6" t="e">
        <f>IF(AND(ISNUMBER(Radar_Mosca!$F6),ISNUMBER(Radar_Mosca!$S6)),IF(AND(Radar_Mosca!$F6=DE$4,Radar_Mosca!$AA6=DE$3),Radar_Mosca!$S6,NA()),NA())</f>
        <v>#N/A</v>
      </c>
      <c r="DF6" t="e">
        <f>IF(AND(ISNUMBER(Radar_Mosca!$F6),ISNUMBER(Radar_Mosca!$S6)),IF(AND(Radar_Mosca!$F6=DF$4,Radar_Mosca!$AA6=DF$3),Radar_Mosca!$S6,NA()),NA())</f>
        <v>#N/A</v>
      </c>
      <c r="DG6" t="e">
        <f>IF(AND(ISNUMBER(Radar_Mosca!$F6),ISNUMBER(Radar_Mosca!$S6)),IF(AND(Radar_Mosca!$F6=DG$4,Radar_Mosca!$AA6=DG$3),Radar_Mosca!$S6,NA()),NA())</f>
        <v>#N/A</v>
      </c>
      <c r="DH6" t="e">
        <f>IF(AND(ISNUMBER(Radar_Mosca!$F6),ISNUMBER(Radar_Mosca!$S6)),IF(AND(Radar_Mosca!$F6=DH$4,Radar_Mosca!$AA6=DH$3),Radar_Mosca!$S6,NA()),NA())</f>
        <v>#N/A</v>
      </c>
      <c r="DI6" t="e">
        <f>IF(AND(ISNUMBER(Radar_Mosca!$F6),ISNUMBER(Radar_Mosca!$S6)),IF(AND(Radar_Mosca!$F6=DI$4,Radar_Mosca!$AA6=DI$3),Radar_Mosca!$S6,NA()),NA())</f>
        <v>#N/A</v>
      </c>
      <c r="DJ6" t="e">
        <f>IF(AND(ISNUMBER(Radar_Mosca!$F6),ISNUMBER(Radar_Mosca!$S6)),IF(AND(Radar_Mosca!$F6=DJ$4,Radar_Mosca!$AA6=DJ$3),Radar_Mosca!$S6,NA()),NA())</f>
        <v>#N/A</v>
      </c>
      <c r="DK6" t="e">
        <f>IF(AND(ISNUMBER(Radar_Mosca!$F6),ISNUMBER(Radar_Mosca!$S6)),IF(AND(Radar_Mosca!$F6=DK$4,Radar_Mosca!$AA6=DK$3),Radar_Mosca!$S6,NA()),NA())</f>
        <v>#N/A</v>
      </c>
      <c r="DL6" t="e">
        <f>IF(AND(ISNUMBER(Radar_Mosca!$F6),ISNUMBER(Radar_Mosca!$S6)),IF(AND(Radar_Mosca!$F6=DL$4,Radar_Mosca!$AA6=DL$3),Radar_Mosca!$S6,NA()),NA())</f>
        <v>#N/A</v>
      </c>
      <c r="DM6" t="e">
        <f>IF(AND(ISNUMBER(Radar_Mosca!$F6),ISNUMBER(Radar_Mosca!$S6)),IF(AND(Radar_Mosca!$F6=DM$4,Radar_Mosca!$AA6=DM$3),Radar_Mosca!$S6,NA()),NA())</f>
        <v>#N/A</v>
      </c>
      <c r="DN6" t="e">
        <f>IF(AND(ISNUMBER(Radar_Mosca!$F6),ISNUMBER(Radar_Mosca!$S6)),IF(AND(Radar_Mosca!$F6=DN$4,Radar_Mosca!$AA6=DN$3),Radar_Mosca!$S6,NA()),NA())</f>
        <v>#N/A</v>
      </c>
      <c r="DO6">
        <f>IF(ISNUMBER(Radar_Mosca!$R6),Radar_Mosca!$R6,NA())</f>
        <v>-2.8190778623577253</v>
      </c>
      <c r="DP6" t="str">
        <f>IF(Radar_Mosca!$A6="","",MID(Radar_Mosca!$A6,5,3)&amp;IF(Radar_Mosca!$T6="Sì"," ◆",""))</f>
        <v>02 ◆</v>
      </c>
      <c r="DQ6">
        <f>IF(ISNUMBER(Radar_Mosca!$S6),Radar_Mosca!$S6,NA())</f>
        <v>-1.0260604299770058</v>
      </c>
      <c r="DR6" t="s">
        <v>3</v>
      </c>
      <c r="DS6">
        <v>0.3</v>
      </c>
      <c r="DT6">
        <v>-8.0499999999999989</v>
      </c>
    </row>
    <row r="7" spans="1:124" x14ac:dyDescent="0.4">
      <c r="T7" t="str">
        <f>IF(Radar_Mosca!$AA$7="Attivazione",Radar_Mosca!$A$7,"")</f>
        <v/>
      </c>
      <c r="BH7">
        <f>2*PI()*2/72</f>
        <v>0.17453292519943295</v>
      </c>
      <c r="BI7">
        <f t="shared" si="0"/>
        <v>0.34729635533386066</v>
      </c>
      <c r="BJ7">
        <f t="shared" si="1"/>
        <v>1.969615506024416</v>
      </c>
      <c r="BK7">
        <f t="shared" si="2"/>
        <v>0.52094453300079102</v>
      </c>
      <c r="BL7">
        <f t="shared" si="3"/>
        <v>2.9544232590366239</v>
      </c>
      <c r="BM7">
        <f t="shared" si="4"/>
        <v>0.69459271066772132</v>
      </c>
      <c r="BN7">
        <f t="shared" si="5"/>
        <v>3.9392310120488321</v>
      </c>
      <c r="BO7">
        <f t="shared" si="6"/>
        <v>0.86824088833465163</v>
      </c>
      <c r="BP7">
        <f t="shared" si="7"/>
        <v>4.9240387650610398</v>
      </c>
      <c r="BR7">
        <v>0</v>
      </c>
      <c r="BS7">
        <v>0</v>
      </c>
      <c r="BU7" t="s">
        <v>12</v>
      </c>
      <c r="BV7">
        <f>6.95*SIN(2*PI()*(2+0.5)/ROWS(codiciL1))</f>
        <v>6.8444138834348456</v>
      </c>
      <c r="BW7">
        <f>6.95*COS(2*PI()*(2+0.5)/ROWS(codiciL1))</f>
        <v>-1.2068548347851655</v>
      </c>
      <c r="BY7" t="e">
        <f>IF(AND(ISNUMBER(Radar_Mosca!$F7),ISNUMBER(Radar_Mosca!$S7)),IF(AND(Radar_Mosca!$F7=BY$4,Radar_Mosca!$AA7=BY$3),Radar_Mosca!$S7,NA()),NA())</f>
        <v>#N/A</v>
      </c>
      <c r="BZ7" t="e">
        <f>IF(AND(ISNUMBER(Radar_Mosca!$F7),ISNUMBER(Radar_Mosca!$S7)),IF(AND(Radar_Mosca!$F7=BZ$4,Radar_Mosca!$AA7=BZ$3),Radar_Mosca!$S7,NA()),NA())</f>
        <v>#N/A</v>
      </c>
      <c r="CA7" t="e">
        <f>IF(AND(ISNUMBER(Radar_Mosca!$F7),ISNUMBER(Radar_Mosca!$S7)),IF(AND(Radar_Mosca!$F7=CA$4,Radar_Mosca!$AA7=CA$3),Radar_Mosca!$S7,NA()),NA())</f>
        <v>#N/A</v>
      </c>
      <c r="CB7" t="e">
        <f>IF(AND(ISNUMBER(Radar_Mosca!$F7),ISNUMBER(Radar_Mosca!$S7)),IF(AND(Radar_Mosca!$F7=CB$4,Radar_Mosca!$AA7=CB$3),Radar_Mosca!$S7,NA()),NA())</f>
        <v>#N/A</v>
      </c>
      <c r="CC7" t="e">
        <f>IF(AND(ISNUMBER(Radar_Mosca!$F7),ISNUMBER(Radar_Mosca!$S7)),IF(AND(Radar_Mosca!$F7=CC$4,Radar_Mosca!$AA7=CC$3),Radar_Mosca!$S7,NA()),NA())</f>
        <v>#N/A</v>
      </c>
      <c r="CD7" t="e">
        <f>IF(AND(ISNUMBER(Radar_Mosca!$F7),ISNUMBER(Radar_Mosca!$S7)),IF(AND(Radar_Mosca!$F7=CD$4,Radar_Mosca!$AA7=CD$3),Radar_Mosca!$S7,NA()),NA())</f>
        <v>#N/A</v>
      </c>
      <c r="CE7" t="e">
        <f>IF(AND(ISNUMBER(Radar_Mosca!$F7),ISNUMBER(Radar_Mosca!$S7)),IF(AND(Radar_Mosca!$F7=CE$4,Radar_Mosca!$AA7=CE$3),Radar_Mosca!$S7,NA()),NA())</f>
        <v>#N/A</v>
      </c>
      <c r="CF7" t="e">
        <f>IF(AND(ISNUMBER(Radar_Mosca!$F7),ISNUMBER(Radar_Mosca!$S7)),IF(AND(Radar_Mosca!$F7=CF$4,Radar_Mosca!$AA7=CF$3),Radar_Mosca!$S7,NA()),NA())</f>
        <v>#N/A</v>
      </c>
      <c r="CG7" t="e">
        <f>IF(AND(ISNUMBER(Radar_Mosca!$F7),ISNUMBER(Radar_Mosca!$S7)),IF(AND(Radar_Mosca!$F7=CG$4,Radar_Mosca!$AA7=CG$3),Radar_Mosca!$S7,NA()),NA())</f>
        <v>#N/A</v>
      </c>
      <c r="CH7" t="e">
        <f>IF(AND(ISNUMBER(Radar_Mosca!$F7),ISNUMBER(Radar_Mosca!$S7)),IF(AND(Radar_Mosca!$F7=CH$4,Radar_Mosca!$AA7=CH$3),Radar_Mosca!$S7,NA()),NA())</f>
        <v>#N/A</v>
      </c>
      <c r="CI7" t="e">
        <f>IF(AND(ISNUMBER(Radar_Mosca!$F7),ISNUMBER(Radar_Mosca!$S7)),IF(AND(Radar_Mosca!$F7=CI$4,Radar_Mosca!$AA7=CI$3),Radar_Mosca!$S7,NA()),NA())</f>
        <v>#N/A</v>
      </c>
      <c r="CJ7" t="e">
        <f>IF(AND(ISNUMBER(Radar_Mosca!$F7),ISNUMBER(Radar_Mosca!$S7)),IF(AND(Radar_Mosca!$F7=CJ$4,Radar_Mosca!$AA7=CJ$3),Radar_Mosca!$S7,NA()),NA())</f>
        <v>#N/A</v>
      </c>
      <c r="CK7" t="e">
        <f>IF(AND(ISNUMBER(Radar_Mosca!$F7),ISNUMBER(Radar_Mosca!$S7)),IF(AND(Radar_Mosca!$F7=CK$4,Radar_Mosca!$AA7=CK$3),Radar_Mosca!$S7,NA()),NA())</f>
        <v>#N/A</v>
      </c>
      <c r="CL7" t="e">
        <f>IF(AND(ISNUMBER(Radar_Mosca!$F7),ISNUMBER(Radar_Mosca!$S7)),IF(AND(Radar_Mosca!$F7=CL$4,Radar_Mosca!$AA7=CL$3),Radar_Mosca!$S7,NA()),NA())</f>
        <v>#N/A</v>
      </c>
      <c r="CM7" t="e">
        <f>IF(AND(ISNUMBER(Radar_Mosca!$F7),ISNUMBER(Radar_Mosca!$S7)),IF(AND(Radar_Mosca!$F7=CM$4,Radar_Mosca!$AA7=CM$3),Radar_Mosca!$S7,NA()),NA())</f>
        <v>#N/A</v>
      </c>
      <c r="CN7" t="e">
        <f>IF(AND(ISNUMBER(Radar_Mosca!$F7),ISNUMBER(Radar_Mosca!$S7)),IF(AND(Radar_Mosca!$F7=CN$4,Radar_Mosca!$AA7=CN$3),Radar_Mosca!$S7,NA()),NA())</f>
        <v>#N/A</v>
      </c>
      <c r="CO7" t="e">
        <f>IF(AND(ISNUMBER(Radar_Mosca!$F7),ISNUMBER(Radar_Mosca!$S7)),IF(AND(Radar_Mosca!$F7=CO$4,Radar_Mosca!$AA7=CO$3),Radar_Mosca!$S7,NA()),NA())</f>
        <v>#N/A</v>
      </c>
      <c r="CP7" t="e">
        <f>IF(AND(ISNUMBER(Radar_Mosca!$F7),ISNUMBER(Radar_Mosca!$S7)),IF(AND(Radar_Mosca!$F7=CP$4,Radar_Mosca!$AA7=CP$3),Radar_Mosca!$S7,NA()),NA())</f>
        <v>#N/A</v>
      </c>
      <c r="CQ7" t="e">
        <f>IF(AND(ISNUMBER(Radar_Mosca!$F7),ISNUMBER(Radar_Mosca!$S7)),IF(AND(Radar_Mosca!$F7=CQ$4,Radar_Mosca!$AA7=CQ$3),Radar_Mosca!$S7,NA()),NA())</f>
        <v>#N/A</v>
      </c>
      <c r="CR7" t="e">
        <f>IF(AND(ISNUMBER(Radar_Mosca!$F7),ISNUMBER(Radar_Mosca!$S7)),IF(AND(Radar_Mosca!$F7=CR$4,Radar_Mosca!$AA7=CR$3),Radar_Mosca!$S7,NA()),NA())</f>
        <v>#N/A</v>
      </c>
      <c r="CS7" t="e">
        <f>IF(AND(ISNUMBER(Radar_Mosca!$F7),ISNUMBER(Radar_Mosca!$S7)),IF(AND(Radar_Mosca!$F7=CS$4,Radar_Mosca!$AA7=CS$3),Radar_Mosca!$S7,NA()),NA())</f>
        <v>#N/A</v>
      </c>
      <c r="CT7">
        <f>IF(AND(ISNUMBER(Radar_Mosca!$F7),ISNUMBER(Radar_Mosca!$S7)),IF(AND(Radar_Mosca!$F7=CT$4,Radar_Mosca!$AA7=CT$3),Radar_Mosca!$S7,NA()),NA())</f>
        <v>1.969615506024416</v>
      </c>
      <c r="CU7" t="e">
        <f>IF(AND(ISNUMBER(Radar_Mosca!$F7),ISNUMBER(Radar_Mosca!$S7)),IF(AND(Radar_Mosca!$F7=CU$4,Radar_Mosca!$AA7=CU$3),Radar_Mosca!$S7,NA()),NA())</f>
        <v>#N/A</v>
      </c>
      <c r="CV7" t="e">
        <f>IF(AND(ISNUMBER(Radar_Mosca!$F7),ISNUMBER(Radar_Mosca!$S7)),IF(AND(Radar_Mosca!$F7=CV$4,Radar_Mosca!$AA7=CV$3),Radar_Mosca!$S7,NA()),NA())</f>
        <v>#N/A</v>
      </c>
      <c r="CW7" t="e">
        <f>IF(AND(ISNUMBER(Radar_Mosca!$F7),ISNUMBER(Radar_Mosca!$S7)),IF(AND(Radar_Mosca!$F7=CW$4,Radar_Mosca!$AA7=CW$3),Radar_Mosca!$S7,NA()),NA())</f>
        <v>#N/A</v>
      </c>
      <c r="CX7" t="e">
        <f>IF(AND(ISNUMBER(Radar_Mosca!$F7),ISNUMBER(Radar_Mosca!$S7)),IF(AND(Radar_Mosca!$F7=CX$4,Radar_Mosca!$AA7=CX$3),Radar_Mosca!$S7,NA()),NA())</f>
        <v>#N/A</v>
      </c>
      <c r="CY7" t="e">
        <f>IF(AND(ISNUMBER(Radar_Mosca!$F7),ISNUMBER(Radar_Mosca!$S7)),IF(AND(Radar_Mosca!$F7=CY$4,Radar_Mosca!$AA7=CY$3),Radar_Mosca!$S7,NA()),NA())</f>
        <v>#N/A</v>
      </c>
      <c r="CZ7" t="e">
        <f>IF(AND(ISNUMBER(Radar_Mosca!$F7),ISNUMBER(Radar_Mosca!$S7)),IF(AND(Radar_Mosca!$F7=CZ$4,Radar_Mosca!$AA7=CZ$3),Radar_Mosca!$S7,NA()),NA())</f>
        <v>#N/A</v>
      </c>
      <c r="DA7" t="e">
        <f>IF(AND(ISNUMBER(Radar_Mosca!$F7),ISNUMBER(Radar_Mosca!$S7)),IF(AND(Radar_Mosca!$F7=DA$4,Radar_Mosca!$AA7=DA$3),Radar_Mosca!$S7,NA()),NA())</f>
        <v>#N/A</v>
      </c>
      <c r="DB7" t="e">
        <f>IF(AND(ISNUMBER(Radar_Mosca!$F7),ISNUMBER(Radar_Mosca!$S7)),IF(AND(Radar_Mosca!$F7=DB$4,Radar_Mosca!$AA7=DB$3),Radar_Mosca!$S7,NA()),NA())</f>
        <v>#N/A</v>
      </c>
      <c r="DC7" t="e">
        <f>IF(AND(ISNUMBER(Radar_Mosca!$F7),ISNUMBER(Radar_Mosca!$S7)),IF(AND(Radar_Mosca!$F7=DC$4,Radar_Mosca!$AA7=DC$3),Radar_Mosca!$S7,NA()),NA())</f>
        <v>#N/A</v>
      </c>
      <c r="DD7" t="e">
        <f>IF(AND(ISNUMBER(Radar_Mosca!$F7),ISNUMBER(Radar_Mosca!$S7)),IF(AND(Radar_Mosca!$F7=DD$4,Radar_Mosca!$AA7=DD$3),Radar_Mosca!$S7,NA()),NA())</f>
        <v>#N/A</v>
      </c>
      <c r="DE7" t="e">
        <f>IF(AND(ISNUMBER(Radar_Mosca!$F7),ISNUMBER(Radar_Mosca!$S7)),IF(AND(Radar_Mosca!$F7=DE$4,Radar_Mosca!$AA7=DE$3),Radar_Mosca!$S7,NA()),NA())</f>
        <v>#N/A</v>
      </c>
      <c r="DF7" t="e">
        <f>IF(AND(ISNUMBER(Radar_Mosca!$F7),ISNUMBER(Radar_Mosca!$S7)),IF(AND(Radar_Mosca!$F7=DF$4,Radar_Mosca!$AA7=DF$3),Radar_Mosca!$S7,NA()),NA())</f>
        <v>#N/A</v>
      </c>
      <c r="DG7" t="e">
        <f>IF(AND(ISNUMBER(Radar_Mosca!$F7),ISNUMBER(Radar_Mosca!$S7)),IF(AND(Radar_Mosca!$F7=DG$4,Radar_Mosca!$AA7=DG$3),Radar_Mosca!$S7,NA()),NA())</f>
        <v>#N/A</v>
      </c>
      <c r="DH7" t="e">
        <f>IF(AND(ISNUMBER(Radar_Mosca!$F7),ISNUMBER(Radar_Mosca!$S7)),IF(AND(Radar_Mosca!$F7=DH$4,Radar_Mosca!$AA7=DH$3),Radar_Mosca!$S7,NA()),NA())</f>
        <v>#N/A</v>
      </c>
      <c r="DI7" t="e">
        <f>IF(AND(ISNUMBER(Radar_Mosca!$F7),ISNUMBER(Radar_Mosca!$S7)),IF(AND(Radar_Mosca!$F7=DI$4,Radar_Mosca!$AA7=DI$3),Radar_Mosca!$S7,NA()),NA())</f>
        <v>#N/A</v>
      </c>
      <c r="DJ7" t="e">
        <f>IF(AND(ISNUMBER(Radar_Mosca!$F7),ISNUMBER(Radar_Mosca!$S7)),IF(AND(Radar_Mosca!$F7=DJ$4,Radar_Mosca!$AA7=DJ$3),Radar_Mosca!$S7,NA()),NA())</f>
        <v>#N/A</v>
      </c>
      <c r="DK7" t="e">
        <f>IF(AND(ISNUMBER(Radar_Mosca!$F7),ISNUMBER(Radar_Mosca!$S7)),IF(AND(Radar_Mosca!$F7=DK$4,Radar_Mosca!$AA7=DK$3),Radar_Mosca!$S7,NA()),NA())</f>
        <v>#N/A</v>
      </c>
      <c r="DL7" t="e">
        <f>IF(AND(ISNUMBER(Radar_Mosca!$F7),ISNUMBER(Radar_Mosca!$S7)),IF(AND(Radar_Mosca!$F7=DL$4,Radar_Mosca!$AA7=DL$3),Radar_Mosca!$S7,NA()),NA())</f>
        <v>#N/A</v>
      </c>
      <c r="DM7" t="e">
        <f>IF(AND(ISNUMBER(Radar_Mosca!$F7),ISNUMBER(Radar_Mosca!$S7)),IF(AND(Radar_Mosca!$F7=DM$4,Radar_Mosca!$AA7=DM$3),Radar_Mosca!$S7,NA()),NA())</f>
        <v>#N/A</v>
      </c>
      <c r="DN7" t="e">
        <f>IF(AND(ISNUMBER(Radar_Mosca!$F7),ISNUMBER(Radar_Mosca!$S7)),IF(AND(Radar_Mosca!$F7=DN$4,Radar_Mosca!$AA7=DN$3),Radar_Mosca!$S7,NA()),NA())</f>
        <v>#N/A</v>
      </c>
      <c r="DO7">
        <f>IF(ISNUMBER(Radar_Mosca!$R7),Radar_Mosca!$R7,NA())</f>
        <v>0.34729635533386066</v>
      </c>
      <c r="DP7" t="str">
        <f>IF(Radar_Mosca!$A7="","",MID(Radar_Mosca!$A7,5,3)&amp;IF(Radar_Mosca!$T7="Sì"," ◆",""))</f>
        <v>03</v>
      </c>
      <c r="DQ7">
        <f>IF(ISNUMBER(Radar_Mosca!$S7),Radar_Mosca!$S7,NA())</f>
        <v>1.969615506024416</v>
      </c>
      <c r="DR7" t="s">
        <v>4</v>
      </c>
      <c r="DS7">
        <v>-7</v>
      </c>
      <c r="DT7">
        <v>-9.3999999999999986</v>
      </c>
    </row>
    <row r="8" spans="1:124" ht="15.9" x14ac:dyDescent="0.45">
      <c r="A8" s="149" t="s">
        <v>13</v>
      </c>
      <c r="B8" s="150"/>
      <c r="C8" s="150"/>
      <c r="D8" s="150"/>
      <c r="E8" s="150"/>
      <c r="F8" s="150"/>
      <c r="G8" s="150"/>
      <c r="H8" s="150"/>
      <c r="J8" s="149" t="s">
        <v>14</v>
      </c>
      <c r="K8" s="150"/>
      <c r="L8" s="150"/>
      <c r="M8" s="150"/>
      <c r="N8" s="150"/>
      <c r="O8" s="150"/>
      <c r="T8" t="str">
        <f>IF(Radar_Mosca!$AA$8="Attivazione",Radar_Mosca!$A$8,"")</f>
        <v/>
      </c>
      <c r="BH8">
        <f>2*PI()*3/72</f>
        <v>0.26179938779914941</v>
      </c>
      <c r="BI8">
        <f t="shared" si="0"/>
        <v>0.51763809020504148</v>
      </c>
      <c r="BJ8">
        <f t="shared" si="1"/>
        <v>1.9318516525781366</v>
      </c>
      <c r="BK8">
        <f t="shared" si="2"/>
        <v>0.77645713530756222</v>
      </c>
      <c r="BL8">
        <f t="shared" si="3"/>
        <v>2.897777478867205</v>
      </c>
      <c r="BM8">
        <f t="shared" si="4"/>
        <v>1.035276180410083</v>
      </c>
      <c r="BN8">
        <f t="shared" si="5"/>
        <v>3.8637033051562732</v>
      </c>
      <c r="BO8">
        <f t="shared" si="6"/>
        <v>1.2940952255126037</v>
      </c>
      <c r="BP8">
        <f t="shared" si="7"/>
        <v>4.8296291314453415</v>
      </c>
      <c r="BR8">
        <f>6.3*SIN(2*PI()*1/ROWS(codiciL1))</f>
        <v>4.0495619410251971</v>
      </c>
      <c r="BS8">
        <f>6.3*COS(2*PI()*1/ROWS(codiciL1))</f>
        <v>4.8260799916495616</v>
      </c>
      <c r="BU8" t="s">
        <v>15</v>
      </c>
      <c r="BV8">
        <f>6.95*SIN(2*PI()*(3+0.5)/ROWS(codiciL1))</f>
        <v>4.4673738873214495</v>
      </c>
      <c r="BW8">
        <f>6.95*COS(2*PI()*(3+0.5)/ROWS(codiciL1))</f>
        <v>-5.3240088796768967</v>
      </c>
      <c r="BY8" t="e">
        <f>IF(AND(ISNUMBER(Radar_Mosca!$F8),ISNUMBER(Radar_Mosca!$S8)),IF(AND(Radar_Mosca!$F8=BY$4,Radar_Mosca!$AA8=BY$3),Radar_Mosca!$S8,NA()),NA())</f>
        <v>#N/A</v>
      </c>
      <c r="BZ8" t="e">
        <f>IF(AND(ISNUMBER(Radar_Mosca!$F8),ISNUMBER(Radar_Mosca!$S8)),IF(AND(Radar_Mosca!$F8=BZ$4,Radar_Mosca!$AA8=BZ$3),Radar_Mosca!$S8,NA()),NA())</f>
        <v>#N/A</v>
      </c>
      <c r="CA8" t="e">
        <f>IF(AND(ISNUMBER(Radar_Mosca!$F8),ISNUMBER(Radar_Mosca!$S8)),IF(AND(Radar_Mosca!$F8=CA$4,Radar_Mosca!$AA8=CA$3),Radar_Mosca!$S8,NA()),NA())</f>
        <v>#N/A</v>
      </c>
      <c r="CB8" t="e">
        <f>IF(AND(ISNUMBER(Radar_Mosca!$F8),ISNUMBER(Radar_Mosca!$S8)),IF(AND(Radar_Mosca!$F8=CB$4,Radar_Mosca!$AA8=CB$3),Radar_Mosca!$S8,NA()),NA())</f>
        <v>#N/A</v>
      </c>
      <c r="CC8" t="e">
        <f>IF(AND(ISNUMBER(Radar_Mosca!$F8),ISNUMBER(Radar_Mosca!$S8)),IF(AND(Radar_Mosca!$F8=CC$4,Radar_Mosca!$AA8=CC$3),Radar_Mosca!$S8,NA()),NA())</f>
        <v>#N/A</v>
      </c>
      <c r="CD8" t="e">
        <f>IF(AND(ISNUMBER(Radar_Mosca!$F8),ISNUMBER(Radar_Mosca!$S8)),IF(AND(Radar_Mosca!$F8=CD$4,Radar_Mosca!$AA8=CD$3),Radar_Mosca!$S8,NA()),NA())</f>
        <v>#N/A</v>
      </c>
      <c r="CE8" t="e">
        <f>IF(AND(ISNUMBER(Radar_Mosca!$F8),ISNUMBER(Radar_Mosca!$S8)),IF(AND(Radar_Mosca!$F8=CE$4,Radar_Mosca!$AA8=CE$3),Radar_Mosca!$S8,NA()),NA())</f>
        <v>#N/A</v>
      </c>
      <c r="CF8" t="e">
        <f>IF(AND(ISNUMBER(Radar_Mosca!$F8),ISNUMBER(Radar_Mosca!$S8)),IF(AND(Radar_Mosca!$F8=CF$4,Radar_Mosca!$AA8=CF$3),Radar_Mosca!$S8,NA()),NA())</f>
        <v>#N/A</v>
      </c>
      <c r="CG8" t="e">
        <f>IF(AND(ISNUMBER(Radar_Mosca!$F8),ISNUMBER(Radar_Mosca!$S8)),IF(AND(Radar_Mosca!$F8=CG$4,Radar_Mosca!$AA8=CG$3),Radar_Mosca!$S8,NA()),NA())</f>
        <v>#N/A</v>
      </c>
      <c r="CH8" t="e">
        <f>IF(AND(ISNUMBER(Radar_Mosca!$F8),ISNUMBER(Radar_Mosca!$S8)),IF(AND(Radar_Mosca!$F8=CH$4,Radar_Mosca!$AA8=CH$3),Radar_Mosca!$S8,NA()),NA())</f>
        <v>#N/A</v>
      </c>
      <c r="CI8" t="e">
        <f>IF(AND(ISNUMBER(Radar_Mosca!$F8),ISNUMBER(Radar_Mosca!$S8)),IF(AND(Radar_Mosca!$F8=CI$4,Radar_Mosca!$AA8=CI$3),Radar_Mosca!$S8,NA()),NA())</f>
        <v>#N/A</v>
      </c>
      <c r="CJ8" t="e">
        <f>IF(AND(ISNUMBER(Radar_Mosca!$F8),ISNUMBER(Radar_Mosca!$S8)),IF(AND(Radar_Mosca!$F8=CJ$4,Radar_Mosca!$AA8=CJ$3),Radar_Mosca!$S8,NA()),NA())</f>
        <v>#N/A</v>
      </c>
      <c r="CK8" t="e">
        <f>IF(AND(ISNUMBER(Radar_Mosca!$F8),ISNUMBER(Radar_Mosca!$S8)),IF(AND(Radar_Mosca!$F8=CK$4,Radar_Mosca!$AA8=CK$3),Radar_Mosca!$S8,NA()),NA())</f>
        <v>#N/A</v>
      </c>
      <c r="CL8" t="e">
        <f>IF(AND(ISNUMBER(Radar_Mosca!$F8),ISNUMBER(Radar_Mosca!$S8)),IF(AND(Radar_Mosca!$F8=CL$4,Radar_Mosca!$AA8=CL$3),Radar_Mosca!$S8,NA()),NA())</f>
        <v>#N/A</v>
      </c>
      <c r="CM8" t="e">
        <f>IF(AND(ISNUMBER(Radar_Mosca!$F8),ISNUMBER(Radar_Mosca!$S8)),IF(AND(Radar_Mosca!$F8=CM$4,Radar_Mosca!$AA8=CM$3),Radar_Mosca!$S8,NA()),NA())</f>
        <v>#N/A</v>
      </c>
      <c r="CN8" t="e">
        <f>IF(AND(ISNUMBER(Radar_Mosca!$F8),ISNUMBER(Radar_Mosca!$S8)),IF(AND(Radar_Mosca!$F8=CN$4,Radar_Mosca!$AA8=CN$3),Radar_Mosca!$S8,NA()),NA())</f>
        <v>#N/A</v>
      </c>
      <c r="CO8" t="e">
        <f>IF(AND(ISNUMBER(Radar_Mosca!$F8),ISNUMBER(Radar_Mosca!$S8)),IF(AND(Radar_Mosca!$F8=CO$4,Radar_Mosca!$AA8=CO$3),Radar_Mosca!$S8,NA()),NA())</f>
        <v>#N/A</v>
      </c>
      <c r="CP8" t="e">
        <f>IF(AND(ISNUMBER(Radar_Mosca!$F8),ISNUMBER(Radar_Mosca!$S8)),IF(AND(Radar_Mosca!$F8=CP$4,Radar_Mosca!$AA8=CP$3),Radar_Mosca!$S8,NA()),NA())</f>
        <v>#N/A</v>
      </c>
      <c r="CQ8" t="e">
        <f>IF(AND(ISNUMBER(Radar_Mosca!$F8),ISNUMBER(Radar_Mosca!$S8)),IF(AND(Radar_Mosca!$F8=CQ$4,Radar_Mosca!$AA8=CQ$3),Radar_Mosca!$S8,NA()),NA())</f>
        <v>#N/A</v>
      </c>
      <c r="CR8" t="e">
        <f>IF(AND(ISNUMBER(Radar_Mosca!$F8),ISNUMBER(Radar_Mosca!$S8)),IF(AND(Radar_Mosca!$F8=CR$4,Radar_Mosca!$AA8=CR$3),Radar_Mosca!$S8,NA()),NA())</f>
        <v>#N/A</v>
      </c>
      <c r="CS8" t="e">
        <f>IF(AND(ISNUMBER(Radar_Mosca!$F8),ISNUMBER(Radar_Mosca!$S8)),IF(AND(Radar_Mosca!$F8=CS$4,Radar_Mosca!$AA8=CS$3),Radar_Mosca!$S8,NA()),NA())</f>
        <v>#N/A</v>
      </c>
      <c r="CT8">
        <f>IF(AND(ISNUMBER(Radar_Mosca!$F8),ISNUMBER(Radar_Mosca!$S8)),IF(AND(Radar_Mosca!$F8=CT$4,Radar_Mosca!$AA8=CT$3),Radar_Mosca!$S8,NA()),NA())</f>
        <v>-2.1066222185771903</v>
      </c>
      <c r="CU8" t="e">
        <f>IF(AND(ISNUMBER(Radar_Mosca!$F8),ISNUMBER(Radar_Mosca!$S8)),IF(AND(Radar_Mosca!$F8=CU$4,Radar_Mosca!$AA8=CU$3),Radar_Mosca!$S8,NA()),NA())</f>
        <v>#N/A</v>
      </c>
      <c r="CV8" t="e">
        <f>IF(AND(ISNUMBER(Radar_Mosca!$F8),ISNUMBER(Radar_Mosca!$S8)),IF(AND(Radar_Mosca!$F8=CV$4,Radar_Mosca!$AA8=CV$3),Radar_Mosca!$S8,NA()),NA())</f>
        <v>#N/A</v>
      </c>
      <c r="CW8" t="e">
        <f>IF(AND(ISNUMBER(Radar_Mosca!$F8),ISNUMBER(Radar_Mosca!$S8)),IF(AND(Radar_Mosca!$F8=CW$4,Radar_Mosca!$AA8=CW$3),Radar_Mosca!$S8,NA()),NA())</f>
        <v>#N/A</v>
      </c>
      <c r="CX8" t="e">
        <f>IF(AND(ISNUMBER(Radar_Mosca!$F8),ISNUMBER(Radar_Mosca!$S8)),IF(AND(Radar_Mosca!$F8=CX$4,Radar_Mosca!$AA8=CX$3),Radar_Mosca!$S8,NA()),NA())</f>
        <v>#N/A</v>
      </c>
      <c r="CY8" t="e">
        <f>IF(AND(ISNUMBER(Radar_Mosca!$F8),ISNUMBER(Radar_Mosca!$S8)),IF(AND(Radar_Mosca!$F8=CY$4,Radar_Mosca!$AA8=CY$3),Radar_Mosca!$S8,NA()),NA())</f>
        <v>#N/A</v>
      </c>
      <c r="CZ8" t="e">
        <f>IF(AND(ISNUMBER(Radar_Mosca!$F8),ISNUMBER(Radar_Mosca!$S8)),IF(AND(Radar_Mosca!$F8=CZ$4,Radar_Mosca!$AA8=CZ$3),Radar_Mosca!$S8,NA()),NA())</f>
        <v>#N/A</v>
      </c>
      <c r="DA8" t="e">
        <f>IF(AND(ISNUMBER(Radar_Mosca!$F8),ISNUMBER(Radar_Mosca!$S8)),IF(AND(Radar_Mosca!$F8=DA$4,Radar_Mosca!$AA8=DA$3),Radar_Mosca!$S8,NA()),NA())</f>
        <v>#N/A</v>
      </c>
      <c r="DB8" t="e">
        <f>IF(AND(ISNUMBER(Radar_Mosca!$F8),ISNUMBER(Radar_Mosca!$S8)),IF(AND(Radar_Mosca!$F8=DB$4,Radar_Mosca!$AA8=DB$3),Radar_Mosca!$S8,NA()),NA())</f>
        <v>#N/A</v>
      </c>
      <c r="DC8" t="e">
        <f>IF(AND(ISNUMBER(Radar_Mosca!$F8),ISNUMBER(Radar_Mosca!$S8)),IF(AND(Radar_Mosca!$F8=DC$4,Radar_Mosca!$AA8=DC$3),Radar_Mosca!$S8,NA()),NA())</f>
        <v>#N/A</v>
      </c>
      <c r="DD8" t="e">
        <f>IF(AND(ISNUMBER(Radar_Mosca!$F8),ISNUMBER(Radar_Mosca!$S8)),IF(AND(Radar_Mosca!$F8=DD$4,Radar_Mosca!$AA8=DD$3),Radar_Mosca!$S8,NA()),NA())</f>
        <v>#N/A</v>
      </c>
      <c r="DE8" t="e">
        <f>IF(AND(ISNUMBER(Radar_Mosca!$F8),ISNUMBER(Radar_Mosca!$S8)),IF(AND(Radar_Mosca!$F8=DE$4,Radar_Mosca!$AA8=DE$3),Radar_Mosca!$S8,NA()),NA())</f>
        <v>#N/A</v>
      </c>
      <c r="DF8" t="e">
        <f>IF(AND(ISNUMBER(Radar_Mosca!$F8),ISNUMBER(Radar_Mosca!$S8)),IF(AND(Radar_Mosca!$F8=DF$4,Radar_Mosca!$AA8=DF$3),Radar_Mosca!$S8,NA()),NA())</f>
        <v>#N/A</v>
      </c>
      <c r="DG8" t="e">
        <f>IF(AND(ISNUMBER(Radar_Mosca!$F8),ISNUMBER(Radar_Mosca!$S8)),IF(AND(Radar_Mosca!$F8=DG$4,Radar_Mosca!$AA8=DG$3),Radar_Mosca!$S8,NA()),NA())</f>
        <v>#N/A</v>
      </c>
      <c r="DH8" t="e">
        <f>IF(AND(ISNUMBER(Radar_Mosca!$F8),ISNUMBER(Radar_Mosca!$S8)),IF(AND(Radar_Mosca!$F8=DH$4,Radar_Mosca!$AA8=DH$3),Radar_Mosca!$S8,NA()),NA())</f>
        <v>#N/A</v>
      </c>
      <c r="DI8" t="e">
        <f>IF(AND(ISNUMBER(Radar_Mosca!$F8),ISNUMBER(Radar_Mosca!$S8)),IF(AND(Radar_Mosca!$F8=DI$4,Radar_Mosca!$AA8=DI$3),Radar_Mosca!$S8,NA()),NA())</f>
        <v>#N/A</v>
      </c>
      <c r="DJ8" t="e">
        <f>IF(AND(ISNUMBER(Radar_Mosca!$F8),ISNUMBER(Radar_Mosca!$S8)),IF(AND(Radar_Mosca!$F8=DJ$4,Radar_Mosca!$AA8=DJ$3),Radar_Mosca!$S8,NA()),NA())</f>
        <v>#N/A</v>
      </c>
      <c r="DK8" t="e">
        <f>IF(AND(ISNUMBER(Radar_Mosca!$F8),ISNUMBER(Radar_Mosca!$S8)),IF(AND(Radar_Mosca!$F8=DK$4,Radar_Mosca!$AA8=DK$3),Radar_Mosca!$S8,NA()),NA())</f>
        <v>#N/A</v>
      </c>
      <c r="DL8" t="e">
        <f>IF(AND(ISNUMBER(Radar_Mosca!$F8),ISNUMBER(Radar_Mosca!$S8)),IF(AND(Radar_Mosca!$F8=DL$4,Radar_Mosca!$AA8=DL$3),Radar_Mosca!$S8,NA()),NA())</f>
        <v>#N/A</v>
      </c>
      <c r="DM8" t="e">
        <f>IF(AND(ISNUMBER(Radar_Mosca!$F8),ISNUMBER(Radar_Mosca!$S8)),IF(AND(Radar_Mosca!$F8=DM$4,Radar_Mosca!$AA8=DM$3),Radar_Mosca!$S8,NA()),NA())</f>
        <v>#N/A</v>
      </c>
      <c r="DN8" t="e">
        <f>IF(AND(ISNUMBER(Radar_Mosca!$F8),ISNUMBER(Radar_Mosca!$S8)),IF(AND(Radar_Mosca!$F8=DN$4,Radar_Mosca!$AA8=DN$3),Radar_Mosca!$S8,NA()),NA())</f>
        <v>#N/A</v>
      </c>
      <c r="DO8">
        <f>IF(ISNUMBER(Radar_Mosca!$R8),Radar_Mosca!$R8,NA())</f>
        <v>-1.7676659266379819</v>
      </c>
      <c r="DP8" t="str">
        <f>IF(Radar_Mosca!$A8="","",MID(Radar_Mosca!$A8,5,3)&amp;IF(Radar_Mosca!$T8="Sì"," ◆",""))</f>
        <v>04</v>
      </c>
      <c r="DQ8">
        <f>IF(ISNUMBER(Radar_Mosca!$S8),Radar_Mosca!$S8,NA())</f>
        <v>-2.1066222185771903</v>
      </c>
      <c r="DR8" t="s">
        <v>16</v>
      </c>
      <c r="DS8">
        <v>-0.15</v>
      </c>
      <c r="DT8">
        <v>-9.3999999999999986</v>
      </c>
    </row>
    <row r="9" spans="1:124" x14ac:dyDescent="0.4">
      <c r="A9" s="11" t="s">
        <v>17</v>
      </c>
      <c r="B9" s="164" t="s">
        <v>18</v>
      </c>
      <c r="C9" s="142"/>
      <c r="D9" s="142"/>
      <c r="E9" s="142"/>
      <c r="F9" s="11" t="s">
        <v>19</v>
      </c>
      <c r="G9" s="11" t="s">
        <v>20</v>
      </c>
      <c r="H9" s="11" t="s">
        <v>21</v>
      </c>
      <c r="J9" s="12" t="s">
        <v>22</v>
      </c>
      <c r="K9" s="13">
        <v>1</v>
      </c>
      <c r="L9" s="13">
        <v>2</v>
      </c>
      <c r="M9" s="13">
        <v>3</v>
      </c>
      <c r="N9" s="13">
        <v>4</v>
      </c>
      <c r="O9" s="13">
        <v>5</v>
      </c>
      <c r="T9" t="str">
        <f>IF(Radar_Mosca!$AA$9="Attivazione",Radar_Mosca!$A$9,"")</f>
        <v/>
      </c>
      <c r="BH9">
        <f>2*PI()*4/72</f>
        <v>0.3490658503988659</v>
      </c>
      <c r="BI9">
        <f t="shared" si="0"/>
        <v>0.68404028665133743</v>
      </c>
      <c r="BJ9">
        <f t="shared" si="1"/>
        <v>1.8793852415718169</v>
      </c>
      <c r="BK9">
        <f t="shared" si="2"/>
        <v>1.0260604299770062</v>
      </c>
      <c r="BL9">
        <f t="shared" si="3"/>
        <v>2.8190778623577253</v>
      </c>
      <c r="BM9">
        <f t="shared" si="4"/>
        <v>1.3680805733026749</v>
      </c>
      <c r="BN9">
        <f t="shared" si="5"/>
        <v>3.7587704831436337</v>
      </c>
      <c r="BO9">
        <f t="shared" si="6"/>
        <v>1.7101007166283435</v>
      </c>
      <c r="BP9">
        <f t="shared" si="7"/>
        <v>4.6984631039295426</v>
      </c>
      <c r="BR9">
        <v>0</v>
      </c>
      <c r="BS9">
        <v>0</v>
      </c>
      <c r="BU9" t="s">
        <v>23</v>
      </c>
      <c r="BV9">
        <f>6.95*SIN(2*PI()*(4+0.5)/ROWS(codiciL1))</f>
        <v>8.5147817616149091E-16</v>
      </c>
      <c r="BW9">
        <f>6.95*COS(2*PI()*(4+0.5)/ROWS(codiciL1))</f>
        <v>-6.95</v>
      </c>
      <c r="BY9" t="e">
        <f>IF(AND(ISNUMBER(Radar_Mosca!$F9),ISNUMBER(Radar_Mosca!$S9)),IF(AND(Radar_Mosca!$F9=BY$4,Radar_Mosca!$AA9=BY$3),Radar_Mosca!$S9,NA()),NA())</f>
        <v>#N/A</v>
      </c>
      <c r="BZ9" t="e">
        <f>IF(AND(ISNUMBER(Radar_Mosca!$F9),ISNUMBER(Radar_Mosca!$S9)),IF(AND(Radar_Mosca!$F9=BZ$4,Radar_Mosca!$AA9=BZ$3),Radar_Mosca!$S9,NA()),NA())</f>
        <v>#N/A</v>
      </c>
      <c r="CA9" t="e">
        <f>IF(AND(ISNUMBER(Radar_Mosca!$F9),ISNUMBER(Radar_Mosca!$S9)),IF(AND(Radar_Mosca!$F9=CA$4,Radar_Mosca!$AA9=CA$3),Radar_Mosca!$S9,NA()),NA())</f>
        <v>#N/A</v>
      </c>
      <c r="CB9" t="e">
        <f>IF(AND(ISNUMBER(Radar_Mosca!$F9),ISNUMBER(Radar_Mosca!$S9)),IF(AND(Radar_Mosca!$F9=CB$4,Radar_Mosca!$AA9=CB$3),Radar_Mosca!$S9,NA()),NA())</f>
        <v>#N/A</v>
      </c>
      <c r="CC9" t="e">
        <f>IF(AND(ISNUMBER(Radar_Mosca!$F9),ISNUMBER(Radar_Mosca!$S9)),IF(AND(Radar_Mosca!$F9=CC$4,Radar_Mosca!$AA9=CC$3),Radar_Mosca!$S9,NA()),NA())</f>
        <v>#N/A</v>
      </c>
      <c r="CD9" t="e">
        <f>IF(AND(ISNUMBER(Radar_Mosca!$F9),ISNUMBER(Radar_Mosca!$S9)),IF(AND(Radar_Mosca!$F9=CD$4,Radar_Mosca!$AA9=CD$3),Radar_Mosca!$S9,NA()),NA())</f>
        <v>#N/A</v>
      </c>
      <c r="CE9" t="e">
        <f>IF(AND(ISNUMBER(Radar_Mosca!$F9),ISNUMBER(Radar_Mosca!$S9)),IF(AND(Radar_Mosca!$F9=CE$4,Radar_Mosca!$AA9=CE$3),Radar_Mosca!$S9,NA()),NA())</f>
        <v>#N/A</v>
      </c>
      <c r="CF9" t="e">
        <f>IF(AND(ISNUMBER(Radar_Mosca!$F9),ISNUMBER(Radar_Mosca!$S9)),IF(AND(Radar_Mosca!$F9=CF$4,Radar_Mosca!$AA9=CF$3),Radar_Mosca!$S9,NA()),NA())</f>
        <v>#N/A</v>
      </c>
      <c r="CG9" t="e">
        <f>IF(AND(ISNUMBER(Radar_Mosca!$F9),ISNUMBER(Radar_Mosca!$S9)),IF(AND(Radar_Mosca!$F9=CG$4,Radar_Mosca!$AA9=CG$3),Radar_Mosca!$S9,NA()),NA())</f>
        <v>#N/A</v>
      </c>
      <c r="CH9" t="e">
        <f>IF(AND(ISNUMBER(Radar_Mosca!$F9),ISNUMBER(Radar_Mosca!$S9)),IF(AND(Radar_Mosca!$F9=CH$4,Radar_Mosca!$AA9=CH$3),Radar_Mosca!$S9,NA()),NA())</f>
        <v>#N/A</v>
      </c>
      <c r="CI9" t="e">
        <f>IF(AND(ISNUMBER(Radar_Mosca!$F9),ISNUMBER(Radar_Mosca!$S9)),IF(AND(Radar_Mosca!$F9=CI$4,Radar_Mosca!$AA9=CI$3),Radar_Mosca!$S9,NA()),NA())</f>
        <v>#N/A</v>
      </c>
      <c r="CJ9" t="e">
        <f>IF(AND(ISNUMBER(Radar_Mosca!$F9),ISNUMBER(Radar_Mosca!$S9)),IF(AND(Radar_Mosca!$F9=CJ$4,Radar_Mosca!$AA9=CJ$3),Radar_Mosca!$S9,NA()),NA())</f>
        <v>#N/A</v>
      </c>
      <c r="CK9" t="e">
        <f>IF(AND(ISNUMBER(Radar_Mosca!$F9),ISNUMBER(Radar_Mosca!$S9)),IF(AND(Radar_Mosca!$F9=CK$4,Radar_Mosca!$AA9=CK$3),Radar_Mosca!$S9,NA()),NA())</f>
        <v>#N/A</v>
      </c>
      <c r="CL9" t="e">
        <f>IF(AND(ISNUMBER(Radar_Mosca!$F9),ISNUMBER(Radar_Mosca!$S9)),IF(AND(Radar_Mosca!$F9=CL$4,Radar_Mosca!$AA9=CL$3),Radar_Mosca!$S9,NA()),NA())</f>
        <v>#N/A</v>
      </c>
      <c r="CM9" t="e">
        <f>IF(AND(ISNUMBER(Radar_Mosca!$F9),ISNUMBER(Radar_Mosca!$S9)),IF(AND(Radar_Mosca!$F9=CM$4,Radar_Mosca!$AA9=CM$3),Radar_Mosca!$S9,NA()),NA())</f>
        <v>#N/A</v>
      </c>
      <c r="CN9" t="e">
        <f>IF(AND(ISNUMBER(Radar_Mosca!$F9),ISNUMBER(Radar_Mosca!$S9)),IF(AND(Radar_Mosca!$F9=CN$4,Radar_Mosca!$AA9=CN$3),Radar_Mosca!$S9,NA()),NA())</f>
        <v>#N/A</v>
      </c>
      <c r="CO9" t="e">
        <f>IF(AND(ISNUMBER(Radar_Mosca!$F9),ISNUMBER(Radar_Mosca!$S9)),IF(AND(Radar_Mosca!$F9=CO$4,Radar_Mosca!$AA9=CO$3),Radar_Mosca!$S9,NA()),NA())</f>
        <v>#N/A</v>
      </c>
      <c r="CP9" t="e">
        <f>IF(AND(ISNUMBER(Radar_Mosca!$F9),ISNUMBER(Radar_Mosca!$S9)),IF(AND(Radar_Mosca!$F9=CP$4,Radar_Mosca!$AA9=CP$3),Radar_Mosca!$S9,NA()),NA())</f>
        <v>#N/A</v>
      </c>
      <c r="CQ9" t="e">
        <f>IF(AND(ISNUMBER(Radar_Mosca!$F9),ISNUMBER(Radar_Mosca!$S9)),IF(AND(Radar_Mosca!$F9=CQ$4,Radar_Mosca!$AA9=CQ$3),Radar_Mosca!$S9,NA()),NA())</f>
        <v>#N/A</v>
      </c>
      <c r="CR9" t="e">
        <f>IF(AND(ISNUMBER(Radar_Mosca!$F9),ISNUMBER(Radar_Mosca!$S9)),IF(AND(Radar_Mosca!$F9=CR$4,Radar_Mosca!$AA9=CR$3),Radar_Mosca!$S9,NA()),NA())</f>
        <v>#N/A</v>
      </c>
      <c r="CS9" t="e">
        <f>IF(AND(ISNUMBER(Radar_Mosca!$F9),ISNUMBER(Radar_Mosca!$S9)),IF(AND(Radar_Mosca!$F9=CS$4,Radar_Mosca!$AA9=CS$3),Radar_Mosca!$S9,NA()),NA())</f>
        <v>#N/A</v>
      </c>
      <c r="CT9" t="e">
        <f>IF(AND(ISNUMBER(Radar_Mosca!$F9),ISNUMBER(Radar_Mosca!$S9)),IF(AND(Radar_Mosca!$F9=CT$4,Radar_Mosca!$AA9=CT$3),Radar_Mosca!$S9,NA()),NA())</f>
        <v>#N/A</v>
      </c>
      <c r="CU9" t="e">
        <f>IF(AND(ISNUMBER(Radar_Mosca!$F9),ISNUMBER(Radar_Mosca!$S9)),IF(AND(Radar_Mosca!$F9=CU$4,Radar_Mosca!$AA9=CU$3),Radar_Mosca!$S9,NA()),NA())</f>
        <v>#N/A</v>
      </c>
      <c r="CV9" t="e">
        <f>IF(AND(ISNUMBER(Radar_Mosca!$F9),ISNUMBER(Radar_Mosca!$S9)),IF(AND(Radar_Mosca!$F9=CV$4,Radar_Mosca!$AA9=CV$3),Radar_Mosca!$S9,NA()),NA())</f>
        <v>#N/A</v>
      </c>
      <c r="CW9" t="e">
        <f>IF(AND(ISNUMBER(Radar_Mosca!$F9),ISNUMBER(Radar_Mosca!$S9)),IF(AND(Radar_Mosca!$F9=CW$4,Radar_Mosca!$AA9=CW$3),Radar_Mosca!$S9,NA()),NA())</f>
        <v>#N/A</v>
      </c>
      <c r="CX9" t="e">
        <f>IF(AND(ISNUMBER(Radar_Mosca!$F9),ISNUMBER(Radar_Mosca!$S9)),IF(AND(Radar_Mosca!$F9=CX$4,Radar_Mosca!$AA9=CX$3),Radar_Mosca!$S9,NA()),NA())</f>
        <v>#N/A</v>
      </c>
      <c r="CY9" t="e">
        <f>IF(AND(ISNUMBER(Radar_Mosca!$F9),ISNUMBER(Radar_Mosca!$S9)),IF(AND(Radar_Mosca!$F9=CY$4,Radar_Mosca!$AA9=CY$3),Radar_Mosca!$S9,NA()),NA())</f>
        <v>#N/A</v>
      </c>
      <c r="CZ9" t="e">
        <f>IF(AND(ISNUMBER(Radar_Mosca!$F9),ISNUMBER(Radar_Mosca!$S9)),IF(AND(Radar_Mosca!$F9=CZ$4,Radar_Mosca!$AA9=CZ$3),Radar_Mosca!$S9,NA()),NA())</f>
        <v>#N/A</v>
      </c>
      <c r="DA9" t="e">
        <f>IF(AND(ISNUMBER(Radar_Mosca!$F9),ISNUMBER(Radar_Mosca!$S9)),IF(AND(Radar_Mosca!$F9=DA$4,Radar_Mosca!$AA9=DA$3),Radar_Mosca!$S9,NA()),NA())</f>
        <v>#N/A</v>
      </c>
      <c r="DB9" t="e">
        <f>IF(AND(ISNUMBER(Radar_Mosca!$F9),ISNUMBER(Radar_Mosca!$S9)),IF(AND(Radar_Mosca!$F9=DB$4,Radar_Mosca!$AA9=DB$3),Radar_Mosca!$S9,NA()),NA())</f>
        <v>#N/A</v>
      </c>
      <c r="DC9" t="e">
        <f>IF(AND(ISNUMBER(Radar_Mosca!$F9),ISNUMBER(Radar_Mosca!$S9)),IF(AND(Radar_Mosca!$F9=DC$4,Radar_Mosca!$AA9=DC$3),Radar_Mosca!$S9,NA()),NA())</f>
        <v>#N/A</v>
      </c>
      <c r="DD9" t="e">
        <f>IF(AND(ISNUMBER(Radar_Mosca!$F9),ISNUMBER(Radar_Mosca!$S9)),IF(AND(Radar_Mosca!$F9=DD$4,Radar_Mosca!$AA9=DD$3),Radar_Mosca!$S9,NA()),NA())</f>
        <v>#N/A</v>
      </c>
      <c r="DE9" t="e">
        <f>IF(AND(ISNUMBER(Radar_Mosca!$F9),ISNUMBER(Radar_Mosca!$S9)),IF(AND(Radar_Mosca!$F9=DE$4,Radar_Mosca!$AA9=DE$3),Radar_Mosca!$S9,NA()),NA())</f>
        <v>#N/A</v>
      </c>
      <c r="DF9" t="e">
        <f>IF(AND(ISNUMBER(Radar_Mosca!$F9),ISNUMBER(Radar_Mosca!$S9)),IF(AND(Radar_Mosca!$F9=DF$4,Radar_Mosca!$AA9=DF$3),Radar_Mosca!$S9,NA()),NA())</f>
        <v>#N/A</v>
      </c>
      <c r="DG9" t="e">
        <f>IF(AND(ISNUMBER(Radar_Mosca!$F9),ISNUMBER(Radar_Mosca!$S9)),IF(AND(Radar_Mosca!$F9=DG$4,Radar_Mosca!$AA9=DG$3),Radar_Mosca!$S9,NA()),NA())</f>
        <v>#N/A</v>
      </c>
      <c r="DH9">
        <f>IF(AND(ISNUMBER(Radar_Mosca!$F9),ISNUMBER(Radar_Mosca!$S9)),IF(AND(Radar_Mosca!$F9=DH$4,Radar_Mosca!$AA9=DH$3),Radar_Mosca!$S9,NA()),NA())</f>
        <v>2.5980762113533165</v>
      </c>
      <c r="DI9" t="e">
        <f>IF(AND(ISNUMBER(Radar_Mosca!$F9),ISNUMBER(Radar_Mosca!$S9)),IF(AND(Radar_Mosca!$F9=DI$4,Radar_Mosca!$AA9=DI$3),Radar_Mosca!$S9,NA()),NA())</f>
        <v>#N/A</v>
      </c>
      <c r="DJ9" t="e">
        <f>IF(AND(ISNUMBER(Radar_Mosca!$F9),ISNUMBER(Radar_Mosca!$S9)),IF(AND(Radar_Mosca!$F9=DJ$4,Radar_Mosca!$AA9=DJ$3),Radar_Mosca!$S9,NA()),NA())</f>
        <v>#N/A</v>
      </c>
      <c r="DK9" t="e">
        <f>IF(AND(ISNUMBER(Radar_Mosca!$F9),ISNUMBER(Radar_Mosca!$S9)),IF(AND(Radar_Mosca!$F9=DK$4,Radar_Mosca!$AA9=DK$3),Radar_Mosca!$S9,NA()),NA())</f>
        <v>#N/A</v>
      </c>
      <c r="DL9" t="e">
        <f>IF(AND(ISNUMBER(Radar_Mosca!$F9),ISNUMBER(Radar_Mosca!$S9)),IF(AND(Radar_Mosca!$F9=DL$4,Radar_Mosca!$AA9=DL$3),Radar_Mosca!$S9,NA()),NA())</f>
        <v>#N/A</v>
      </c>
      <c r="DM9" t="e">
        <f>IF(AND(ISNUMBER(Radar_Mosca!$F9),ISNUMBER(Radar_Mosca!$S9)),IF(AND(Radar_Mosca!$F9=DM$4,Radar_Mosca!$AA9=DM$3),Radar_Mosca!$S9,NA()),NA())</f>
        <v>#N/A</v>
      </c>
      <c r="DN9" t="e">
        <f>IF(AND(ISNUMBER(Radar_Mosca!$F9),ISNUMBER(Radar_Mosca!$S9)),IF(AND(Radar_Mosca!$F9=DN$4,Radar_Mosca!$AA9=DN$3),Radar_Mosca!$S9,NA()),NA())</f>
        <v>#N/A</v>
      </c>
      <c r="DO9">
        <f>IF(ISNUMBER(Radar_Mosca!$R9),Radar_Mosca!$R9,NA())</f>
        <v>-1.4999999999999991</v>
      </c>
      <c r="DP9" t="str">
        <f>IF(Radar_Mosca!$A9="","",MID(Radar_Mosca!$A9,5,3)&amp;IF(Radar_Mosca!$T9="Sì"," ◆",""))</f>
        <v>05</v>
      </c>
      <c r="DQ9">
        <f>IF(ISNUMBER(Radar_Mosca!$S9),Radar_Mosca!$S9,NA())</f>
        <v>2.5980762113533165</v>
      </c>
      <c r="DS9">
        <v>0.75</v>
      </c>
      <c r="DT9">
        <v>-9.3999999999999986</v>
      </c>
    </row>
    <row r="10" spans="1:124" ht="25" customHeight="1" x14ac:dyDescent="0.4">
      <c r="A10" s="14">
        <f>Classifica!$A$5</f>
        <v>1</v>
      </c>
      <c r="B10" s="147" t="str">
        <f>IF(Classifica!$B$5="","",Classifica!$B$5&amp;"  "&amp;Classifica!$C$5&amp;IFERROR(IF(INDEX(ANA_Attenzione_Supervisore,Classifica!$U$5)="Sì","  ◆",""),""))</f>
        <v>NFR-01  Frodi su pagamenti istantanei abilitate da AI generativa  ◆</v>
      </c>
      <c r="C10" s="148"/>
      <c r="D10" s="148"/>
      <c r="E10" s="148"/>
      <c r="F10" s="17">
        <f>IF(Classifica!$B$5="","",Classifica!$D$5)</f>
        <v>4.4000000000000004</v>
      </c>
      <c r="G10" s="18">
        <f>IF(Classifica!$B$5="","",IF(ISNUMBER(Classifica!$F$5),Classifica!$F$5,"nuovo"))</f>
        <v>0.20000000000000018</v>
      </c>
      <c r="H10" s="19" t="str">
        <f>IF(Classifica!$B$5="","",IF(LEFT(Classifica!$H$5,9)="AGIRE ORA","AGIRE ORA",IF(LEFT(Classifica!$H$5,11)="Agire entro","Entro l'anno",Classifica!$H$5)))</f>
        <v>AGIRE ORA</v>
      </c>
      <c r="J10" s="20">
        <v>5</v>
      </c>
      <c r="K10" s="21" t="str">
        <f>SUBSTITUTE(SUBSTITUTE(Matrice!C5," ◆",""),"NFR-","")</f>
        <v/>
      </c>
      <c r="L10" s="22" t="str">
        <f>SUBSTITUTE(SUBSTITUTE(Matrice!D5," ◆",""),"NFR-","")</f>
        <v/>
      </c>
      <c r="M10" s="23" t="str">
        <f>SUBSTITUTE(SUBSTITUTE(Matrice!E5," ◆",""),"NFR-","")</f>
        <v/>
      </c>
      <c r="N10" s="23" t="str">
        <f>SUBSTITUTE(SUBSTITUTE(Matrice!F5," ◆",""),"NFR-","")</f>
        <v/>
      </c>
      <c r="O10" s="23" t="str">
        <f>SUBSTITUTE(SUBSTITUTE(Matrice!G5," ◆",""),"NFR-","")</f>
        <v/>
      </c>
      <c r="T10" t="str">
        <f>IF(Radar_Mosca!$AA$10="Attivazione",Radar_Mosca!$A$10,"")</f>
        <v/>
      </c>
      <c r="BH10">
        <f>2*PI()*5/72</f>
        <v>0.43633231299858238</v>
      </c>
      <c r="BI10">
        <f t="shared" si="0"/>
        <v>0.84523652348139888</v>
      </c>
      <c r="BJ10">
        <f t="shared" si="1"/>
        <v>1.8126155740732999</v>
      </c>
      <c r="BK10">
        <f t="shared" si="2"/>
        <v>1.2678547852220983</v>
      </c>
      <c r="BL10">
        <f t="shared" si="3"/>
        <v>2.7189233611099497</v>
      </c>
      <c r="BM10">
        <f t="shared" si="4"/>
        <v>1.6904730469627978</v>
      </c>
      <c r="BN10">
        <f t="shared" si="5"/>
        <v>3.6252311481465997</v>
      </c>
      <c r="BO10">
        <f t="shared" si="6"/>
        <v>2.1130913087034973</v>
      </c>
      <c r="BP10">
        <f t="shared" si="7"/>
        <v>4.5315389351832494</v>
      </c>
      <c r="BR10">
        <f>6.3*SIN(2*PI()*2/ROWS(codiciL1))</f>
        <v>6.2042888439769106</v>
      </c>
      <c r="BS10">
        <f>6.3*COS(2*PI()*2/ROWS(codiciL1))</f>
        <v>1.0939835193016616</v>
      </c>
      <c r="BU10" t="s">
        <v>24</v>
      </c>
      <c r="BV10">
        <f>6.95*SIN(2*PI()*(5+0.5)/ROWS(codiciL1))</f>
        <v>-4.4673738873214459</v>
      </c>
      <c r="BW10">
        <f>6.95*COS(2*PI()*(5+0.5)/ROWS(codiciL1))</f>
        <v>-5.3240088796768994</v>
      </c>
      <c r="BY10" t="e">
        <f>IF(AND(ISNUMBER(Radar_Mosca!$F10),ISNUMBER(Radar_Mosca!$S10)),IF(AND(Radar_Mosca!$F10=BY$4,Radar_Mosca!$AA10=BY$3),Radar_Mosca!$S10,NA()),NA())</f>
        <v>#N/A</v>
      </c>
      <c r="BZ10" t="e">
        <f>IF(AND(ISNUMBER(Radar_Mosca!$F10),ISNUMBER(Radar_Mosca!$S10)),IF(AND(Radar_Mosca!$F10=BZ$4,Radar_Mosca!$AA10=BZ$3),Radar_Mosca!$S10,NA()),NA())</f>
        <v>#N/A</v>
      </c>
      <c r="CA10" t="e">
        <f>IF(AND(ISNUMBER(Radar_Mosca!$F10),ISNUMBER(Radar_Mosca!$S10)),IF(AND(Radar_Mosca!$F10=CA$4,Radar_Mosca!$AA10=CA$3),Radar_Mosca!$S10,NA()),NA())</f>
        <v>#N/A</v>
      </c>
      <c r="CB10" t="e">
        <f>IF(AND(ISNUMBER(Radar_Mosca!$F10),ISNUMBER(Radar_Mosca!$S10)),IF(AND(Radar_Mosca!$F10=CB$4,Radar_Mosca!$AA10=CB$3),Radar_Mosca!$S10,NA()),NA())</f>
        <v>#N/A</v>
      </c>
      <c r="CC10" t="e">
        <f>IF(AND(ISNUMBER(Radar_Mosca!$F10),ISNUMBER(Radar_Mosca!$S10)),IF(AND(Radar_Mosca!$F10=CC$4,Radar_Mosca!$AA10=CC$3),Radar_Mosca!$S10,NA()),NA())</f>
        <v>#N/A</v>
      </c>
      <c r="CD10" t="e">
        <f>IF(AND(ISNUMBER(Radar_Mosca!$F10),ISNUMBER(Radar_Mosca!$S10)),IF(AND(Radar_Mosca!$F10=CD$4,Radar_Mosca!$AA10=CD$3),Radar_Mosca!$S10,NA()),NA())</f>
        <v>#N/A</v>
      </c>
      <c r="CE10" t="e">
        <f>IF(AND(ISNUMBER(Radar_Mosca!$F10),ISNUMBER(Radar_Mosca!$S10)),IF(AND(Radar_Mosca!$F10=CE$4,Radar_Mosca!$AA10=CE$3),Radar_Mosca!$S10,NA()),NA())</f>
        <v>#N/A</v>
      </c>
      <c r="CF10" t="e">
        <f>IF(AND(ISNUMBER(Radar_Mosca!$F10),ISNUMBER(Radar_Mosca!$S10)),IF(AND(Radar_Mosca!$F10=CF$4,Radar_Mosca!$AA10=CF$3),Radar_Mosca!$S10,NA()),NA())</f>
        <v>#N/A</v>
      </c>
      <c r="CG10" t="e">
        <f>IF(AND(ISNUMBER(Radar_Mosca!$F10),ISNUMBER(Radar_Mosca!$S10)),IF(AND(Radar_Mosca!$F10=CG$4,Radar_Mosca!$AA10=CG$3),Radar_Mosca!$S10,NA()),NA())</f>
        <v>#N/A</v>
      </c>
      <c r="CH10" t="e">
        <f>IF(AND(ISNUMBER(Radar_Mosca!$F10),ISNUMBER(Radar_Mosca!$S10)),IF(AND(Radar_Mosca!$F10=CH$4,Radar_Mosca!$AA10=CH$3),Radar_Mosca!$S10,NA()),NA())</f>
        <v>#N/A</v>
      </c>
      <c r="CI10" t="e">
        <f>IF(AND(ISNUMBER(Radar_Mosca!$F10),ISNUMBER(Radar_Mosca!$S10)),IF(AND(Radar_Mosca!$F10=CI$4,Radar_Mosca!$AA10=CI$3),Radar_Mosca!$S10,NA()),NA())</f>
        <v>#N/A</v>
      </c>
      <c r="CJ10" t="e">
        <f>IF(AND(ISNUMBER(Radar_Mosca!$F10),ISNUMBER(Radar_Mosca!$S10)),IF(AND(Radar_Mosca!$F10=CJ$4,Radar_Mosca!$AA10=CJ$3),Radar_Mosca!$S10,NA()),NA())</f>
        <v>#N/A</v>
      </c>
      <c r="CK10" t="e">
        <f>IF(AND(ISNUMBER(Radar_Mosca!$F10),ISNUMBER(Radar_Mosca!$S10)),IF(AND(Radar_Mosca!$F10=CK$4,Radar_Mosca!$AA10=CK$3),Radar_Mosca!$S10,NA()),NA())</f>
        <v>#N/A</v>
      </c>
      <c r="CL10" t="e">
        <f>IF(AND(ISNUMBER(Radar_Mosca!$F10),ISNUMBER(Radar_Mosca!$S10)),IF(AND(Radar_Mosca!$F10=CL$4,Radar_Mosca!$AA10=CL$3),Radar_Mosca!$S10,NA()),NA())</f>
        <v>#N/A</v>
      </c>
      <c r="CM10" t="e">
        <f>IF(AND(ISNUMBER(Radar_Mosca!$F10),ISNUMBER(Radar_Mosca!$S10)),IF(AND(Radar_Mosca!$F10=CM$4,Radar_Mosca!$AA10=CM$3),Radar_Mosca!$S10,NA()),NA())</f>
        <v>#N/A</v>
      </c>
      <c r="CN10" t="e">
        <f>IF(AND(ISNUMBER(Radar_Mosca!$F10),ISNUMBER(Radar_Mosca!$S10)),IF(AND(Radar_Mosca!$F10=CN$4,Radar_Mosca!$AA10=CN$3),Radar_Mosca!$S10,NA()),NA())</f>
        <v>#N/A</v>
      </c>
      <c r="CO10" t="e">
        <f>IF(AND(ISNUMBER(Radar_Mosca!$F10),ISNUMBER(Radar_Mosca!$S10)),IF(AND(Radar_Mosca!$F10=CO$4,Radar_Mosca!$AA10=CO$3),Radar_Mosca!$S10,NA()),NA())</f>
        <v>#N/A</v>
      </c>
      <c r="CP10" t="e">
        <f>IF(AND(ISNUMBER(Radar_Mosca!$F10),ISNUMBER(Radar_Mosca!$S10)),IF(AND(Radar_Mosca!$F10=CP$4,Radar_Mosca!$AA10=CP$3),Radar_Mosca!$S10,NA()),NA())</f>
        <v>#N/A</v>
      </c>
      <c r="CQ10" t="e">
        <f>IF(AND(ISNUMBER(Radar_Mosca!$F10),ISNUMBER(Radar_Mosca!$S10)),IF(AND(Radar_Mosca!$F10=CQ$4,Radar_Mosca!$AA10=CQ$3),Radar_Mosca!$S10,NA()),NA())</f>
        <v>#N/A</v>
      </c>
      <c r="CR10" t="e">
        <f>IF(AND(ISNUMBER(Radar_Mosca!$F10),ISNUMBER(Radar_Mosca!$S10)),IF(AND(Radar_Mosca!$F10=CR$4,Radar_Mosca!$AA10=CR$3),Radar_Mosca!$S10,NA()),NA())</f>
        <v>#N/A</v>
      </c>
      <c r="CS10" t="e">
        <f>IF(AND(ISNUMBER(Radar_Mosca!$F10),ISNUMBER(Radar_Mosca!$S10)),IF(AND(Radar_Mosca!$F10=CS$4,Radar_Mosca!$AA10=CS$3),Radar_Mosca!$S10,NA()),NA())</f>
        <v>#N/A</v>
      </c>
      <c r="CT10">
        <f>IF(AND(ISNUMBER(Radar_Mosca!$F10),ISNUMBER(Radar_Mosca!$S10)),IF(AND(Radar_Mosca!$F10=CT$4,Radar_Mosca!$AA10=CT$3),Radar_Mosca!$S10,NA()),NA())</f>
        <v>-2.25</v>
      </c>
      <c r="CU10" t="e">
        <f>IF(AND(ISNUMBER(Radar_Mosca!$F10),ISNUMBER(Radar_Mosca!$S10)),IF(AND(Radar_Mosca!$F10=CU$4,Radar_Mosca!$AA10=CU$3),Radar_Mosca!$S10,NA()),NA())</f>
        <v>#N/A</v>
      </c>
      <c r="CV10" t="e">
        <f>IF(AND(ISNUMBER(Radar_Mosca!$F10),ISNUMBER(Radar_Mosca!$S10)),IF(AND(Radar_Mosca!$F10=CV$4,Radar_Mosca!$AA10=CV$3),Radar_Mosca!$S10,NA()),NA())</f>
        <v>#N/A</v>
      </c>
      <c r="CW10" t="e">
        <f>IF(AND(ISNUMBER(Radar_Mosca!$F10),ISNUMBER(Radar_Mosca!$S10)),IF(AND(Radar_Mosca!$F10=CW$4,Radar_Mosca!$AA10=CW$3),Radar_Mosca!$S10,NA()),NA())</f>
        <v>#N/A</v>
      </c>
      <c r="CX10" t="e">
        <f>IF(AND(ISNUMBER(Radar_Mosca!$F10),ISNUMBER(Radar_Mosca!$S10)),IF(AND(Radar_Mosca!$F10=CX$4,Radar_Mosca!$AA10=CX$3),Radar_Mosca!$S10,NA()),NA())</f>
        <v>#N/A</v>
      </c>
      <c r="CY10" t="e">
        <f>IF(AND(ISNUMBER(Radar_Mosca!$F10),ISNUMBER(Radar_Mosca!$S10)),IF(AND(Radar_Mosca!$F10=CY$4,Radar_Mosca!$AA10=CY$3),Radar_Mosca!$S10,NA()),NA())</f>
        <v>#N/A</v>
      </c>
      <c r="CZ10" t="e">
        <f>IF(AND(ISNUMBER(Radar_Mosca!$F10),ISNUMBER(Radar_Mosca!$S10)),IF(AND(Radar_Mosca!$F10=CZ$4,Radar_Mosca!$AA10=CZ$3),Radar_Mosca!$S10,NA()),NA())</f>
        <v>#N/A</v>
      </c>
      <c r="DA10" t="e">
        <f>IF(AND(ISNUMBER(Radar_Mosca!$F10),ISNUMBER(Radar_Mosca!$S10)),IF(AND(Radar_Mosca!$F10=DA$4,Radar_Mosca!$AA10=DA$3),Radar_Mosca!$S10,NA()),NA())</f>
        <v>#N/A</v>
      </c>
      <c r="DB10" t="e">
        <f>IF(AND(ISNUMBER(Radar_Mosca!$F10),ISNUMBER(Radar_Mosca!$S10)),IF(AND(Radar_Mosca!$F10=DB$4,Radar_Mosca!$AA10=DB$3),Radar_Mosca!$S10,NA()),NA())</f>
        <v>#N/A</v>
      </c>
      <c r="DC10" t="e">
        <f>IF(AND(ISNUMBER(Radar_Mosca!$F10),ISNUMBER(Radar_Mosca!$S10)),IF(AND(Radar_Mosca!$F10=DC$4,Radar_Mosca!$AA10=DC$3),Radar_Mosca!$S10,NA()),NA())</f>
        <v>#N/A</v>
      </c>
      <c r="DD10" t="e">
        <f>IF(AND(ISNUMBER(Radar_Mosca!$F10),ISNUMBER(Radar_Mosca!$S10)),IF(AND(Radar_Mosca!$F10=DD$4,Radar_Mosca!$AA10=DD$3),Radar_Mosca!$S10,NA()),NA())</f>
        <v>#N/A</v>
      </c>
      <c r="DE10" t="e">
        <f>IF(AND(ISNUMBER(Radar_Mosca!$F10),ISNUMBER(Radar_Mosca!$S10)),IF(AND(Radar_Mosca!$F10=DE$4,Radar_Mosca!$AA10=DE$3),Radar_Mosca!$S10,NA()),NA())</f>
        <v>#N/A</v>
      </c>
      <c r="DF10" t="e">
        <f>IF(AND(ISNUMBER(Radar_Mosca!$F10),ISNUMBER(Radar_Mosca!$S10)),IF(AND(Radar_Mosca!$F10=DF$4,Radar_Mosca!$AA10=DF$3),Radar_Mosca!$S10,NA()),NA())</f>
        <v>#N/A</v>
      </c>
      <c r="DG10" t="e">
        <f>IF(AND(ISNUMBER(Radar_Mosca!$F10),ISNUMBER(Radar_Mosca!$S10)),IF(AND(Radar_Mosca!$F10=DG$4,Radar_Mosca!$AA10=DG$3),Radar_Mosca!$S10,NA()),NA())</f>
        <v>#N/A</v>
      </c>
      <c r="DH10" t="e">
        <f>IF(AND(ISNUMBER(Radar_Mosca!$F10),ISNUMBER(Radar_Mosca!$S10)),IF(AND(Radar_Mosca!$F10=DH$4,Radar_Mosca!$AA10=DH$3),Radar_Mosca!$S10,NA()),NA())</f>
        <v>#N/A</v>
      </c>
      <c r="DI10" t="e">
        <f>IF(AND(ISNUMBER(Radar_Mosca!$F10),ISNUMBER(Radar_Mosca!$S10)),IF(AND(Radar_Mosca!$F10=DI$4,Radar_Mosca!$AA10=DI$3),Radar_Mosca!$S10,NA()),NA())</f>
        <v>#N/A</v>
      </c>
      <c r="DJ10" t="e">
        <f>IF(AND(ISNUMBER(Radar_Mosca!$F10),ISNUMBER(Radar_Mosca!$S10)),IF(AND(Radar_Mosca!$F10=DJ$4,Radar_Mosca!$AA10=DJ$3),Radar_Mosca!$S10,NA()),NA())</f>
        <v>#N/A</v>
      </c>
      <c r="DK10" t="e">
        <f>IF(AND(ISNUMBER(Radar_Mosca!$F10),ISNUMBER(Radar_Mosca!$S10)),IF(AND(Radar_Mosca!$F10=DK$4,Radar_Mosca!$AA10=DK$3),Radar_Mosca!$S10,NA()),NA())</f>
        <v>#N/A</v>
      </c>
      <c r="DL10" t="e">
        <f>IF(AND(ISNUMBER(Radar_Mosca!$F10),ISNUMBER(Radar_Mosca!$S10)),IF(AND(Radar_Mosca!$F10=DL$4,Radar_Mosca!$AA10=DL$3),Radar_Mosca!$S10,NA()),NA())</f>
        <v>#N/A</v>
      </c>
      <c r="DM10" t="e">
        <f>IF(AND(ISNUMBER(Radar_Mosca!$F10),ISNUMBER(Radar_Mosca!$S10)),IF(AND(Radar_Mosca!$F10=DM$4,Radar_Mosca!$AA10=DM$3),Radar_Mosca!$S10,NA()),NA())</f>
        <v>#N/A</v>
      </c>
      <c r="DN10" t="e">
        <f>IF(AND(ISNUMBER(Radar_Mosca!$F10),ISNUMBER(Radar_Mosca!$S10)),IF(AND(Radar_Mosca!$F10=DN$4,Radar_Mosca!$AA10=DN$3),Radar_Mosca!$S10,NA()),NA())</f>
        <v>#N/A</v>
      </c>
      <c r="DO10">
        <f>IF(ISNUMBER(Radar_Mosca!$R10),Radar_Mosca!$R10,NA())</f>
        <v>2.756584023544395E-16</v>
      </c>
      <c r="DP10" t="str">
        <f>IF(Radar_Mosca!$A10="","",MID(Radar_Mosca!$A10,5,3)&amp;IF(Radar_Mosca!$T10="Sì"," ◆",""))</f>
        <v>06</v>
      </c>
      <c r="DQ10">
        <f>IF(ISNUMBER(Radar_Mosca!$S10),Radar_Mosca!$S10,NA())</f>
        <v>-2.25</v>
      </c>
      <c r="DR10" t="s">
        <v>25</v>
      </c>
      <c r="DS10">
        <v>4.4000000000000004</v>
      </c>
      <c r="DT10">
        <v>-8.0499999999999989</v>
      </c>
    </row>
    <row r="11" spans="1:124" ht="25" customHeight="1" x14ac:dyDescent="0.4">
      <c r="A11" s="14">
        <f>Classifica!$A$6</f>
        <v>2</v>
      </c>
      <c r="B11" s="147" t="str">
        <f>IF(Classifica!$B$6="","",Classifica!$B$6&amp;"  "&amp;Classifica!$C$6&amp;IFERROR(IF(INDEX(ANA_Attenzione_Supervisore,Classifica!$U$6)="Sì","  ◆",""),""))</f>
        <v>NFR-02  Concentrazione su un fornitore cloud critico  ◆</v>
      </c>
      <c r="C11" s="148"/>
      <c r="D11" s="148"/>
      <c r="E11" s="148"/>
      <c r="F11" s="17">
        <f>IF(Classifica!$B$6="","",Classifica!$D$6)</f>
        <v>3.8</v>
      </c>
      <c r="G11" s="18">
        <f>IF(Classifica!$B$6="","",IF(ISNUMBER(Classifica!$F$6),Classifica!$F$6,"nuovo"))</f>
        <v>0.5</v>
      </c>
      <c r="H11" s="19" t="str">
        <f>IF(Classifica!$B$6="","",IF(LEFT(Classifica!$H$6,9)="AGIRE ORA","AGIRE ORA",IF(LEFT(Classifica!$H$6,11)="Agire entro","Entro l'anno",Classifica!$H$6)))</f>
        <v>Margine 1 anno</v>
      </c>
      <c r="J11" s="20">
        <v>4</v>
      </c>
      <c r="K11" s="21" t="str">
        <f>SUBSTITUTE(SUBSTITUTE(Matrice!C6," ◆",""),"NFR-","")</f>
        <v/>
      </c>
      <c r="L11" s="22" t="str">
        <f>SUBSTITUTE(SUBSTITUTE(Matrice!D6," ◆",""),"NFR-","")</f>
        <v/>
      </c>
      <c r="M11" s="22" t="str">
        <f>SUBSTITUTE(SUBSTITUTE(Matrice!E6," ◆",""),"NFR-","")</f>
        <v>12</v>
      </c>
      <c r="N11" s="23" t="str">
        <f>SUBSTITUTE(SUBSTITUTE(Matrice!F6," ◆",""),"NFR-","")</f>
        <v>01   02</v>
      </c>
      <c r="O11" s="23" t="str">
        <f>SUBSTITUTE(SUBSTITUTE(Matrice!G6," ◆",""),"NFR-","")</f>
        <v/>
      </c>
      <c r="T11" t="str">
        <f>IF(Radar_Mosca!$AA$11="Attivazione",Radar_Mosca!$A$11,"")</f>
        <v/>
      </c>
      <c r="BH11">
        <f>2*PI()*6/72</f>
        <v>0.52359877559829882</v>
      </c>
      <c r="BI11">
        <f t="shared" si="0"/>
        <v>0.99999999999999989</v>
      </c>
      <c r="BJ11">
        <f t="shared" si="1"/>
        <v>1.7320508075688774</v>
      </c>
      <c r="BK11">
        <f t="shared" si="2"/>
        <v>1.4999999999999998</v>
      </c>
      <c r="BL11">
        <f t="shared" si="3"/>
        <v>2.598076211353316</v>
      </c>
      <c r="BM11">
        <f t="shared" si="4"/>
        <v>1.9999999999999998</v>
      </c>
      <c r="BN11">
        <f t="shared" si="5"/>
        <v>3.4641016151377548</v>
      </c>
      <c r="BO11">
        <f t="shared" si="6"/>
        <v>2.4999999999999996</v>
      </c>
      <c r="BP11">
        <f t="shared" si="7"/>
        <v>4.3301270189221936</v>
      </c>
      <c r="BR11">
        <v>0</v>
      </c>
      <c r="BS11">
        <v>0</v>
      </c>
      <c r="BU11" t="s">
        <v>26</v>
      </c>
      <c r="BV11">
        <f>6.95*SIN(2*PI()*(6+0.5)/ROWS(codiciL1))</f>
        <v>-6.8444138834348456</v>
      </c>
      <c r="BW11">
        <f>6.95*COS(2*PI()*(6+0.5)/ROWS(codiciL1))</f>
        <v>-1.2068548347851658</v>
      </c>
      <c r="BY11" t="e">
        <f>IF(AND(ISNUMBER(Radar_Mosca!$F11),ISNUMBER(Radar_Mosca!$S11)),IF(AND(Radar_Mosca!$F11=BY$4,Radar_Mosca!$AA11=BY$3),Radar_Mosca!$S11,NA()),NA())</f>
        <v>#N/A</v>
      </c>
      <c r="BZ11" t="e">
        <f>IF(AND(ISNUMBER(Radar_Mosca!$F11),ISNUMBER(Radar_Mosca!$S11)),IF(AND(Radar_Mosca!$F11=BZ$4,Radar_Mosca!$AA11=BZ$3),Radar_Mosca!$S11,NA()),NA())</f>
        <v>#N/A</v>
      </c>
      <c r="CA11" t="e">
        <f>IF(AND(ISNUMBER(Radar_Mosca!$F11),ISNUMBER(Radar_Mosca!$S11)),IF(AND(Radar_Mosca!$F11=CA$4,Radar_Mosca!$AA11=CA$3),Radar_Mosca!$S11,NA()),NA())</f>
        <v>#N/A</v>
      </c>
      <c r="CB11" t="e">
        <f>IF(AND(ISNUMBER(Radar_Mosca!$F11),ISNUMBER(Radar_Mosca!$S11)),IF(AND(Radar_Mosca!$F11=CB$4,Radar_Mosca!$AA11=CB$3),Radar_Mosca!$S11,NA()),NA())</f>
        <v>#N/A</v>
      </c>
      <c r="CC11" t="e">
        <f>IF(AND(ISNUMBER(Radar_Mosca!$F11),ISNUMBER(Radar_Mosca!$S11)),IF(AND(Radar_Mosca!$F11=CC$4,Radar_Mosca!$AA11=CC$3),Radar_Mosca!$S11,NA()),NA())</f>
        <v>#N/A</v>
      </c>
      <c r="CD11" t="e">
        <f>IF(AND(ISNUMBER(Radar_Mosca!$F11),ISNUMBER(Radar_Mosca!$S11)),IF(AND(Radar_Mosca!$F11=CD$4,Radar_Mosca!$AA11=CD$3),Radar_Mosca!$S11,NA()),NA())</f>
        <v>#N/A</v>
      </c>
      <c r="CE11" t="e">
        <f>IF(AND(ISNUMBER(Radar_Mosca!$F11),ISNUMBER(Radar_Mosca!$S11)),IF(AND(Radar_Mosca!$F11=CE$4,Radar_Mosca!$AA11=CE$3),Radar_Mosca!$S11,NA()),NA())</f>
        <v>#N/A</v>
      </c>
      <c r="CF11" t="e">
        <f>IF(AND(ISNUMBER(Radar_Mosca!$F11),ISNUMBER(Radar_Mosca!$S11)),IF(AND(Radar_Mosca!$F11=CF$4,Radar_Mosca!$AA11=CF$3),Radar_Mosca!$S11,NA()),NA())</f>
        <v>#N/A</v>
      </c>
      <c r="CG11" t="e">
        <f>IF(AND(ISNUMBER(Radar_Mosca!$F11),ISNUMBER(Radar_Mosca!$S11)),IF(AND(Radar_Mosca!$F11=CG$4,Radar_Mosca!$AA11=CG$3),Radar_Mosca!$S11,NA()),NA())</f>
        <v>#N/A</v>
      </c>
      <c r="CH11" t="e">
        <f>IF(AND(ISNUMBER(Radar_Mosca!$F11),ISNUMBER(Radar_Mosca!$S11)),IF(AND(Radar_Mosca!$F11=CH$4,Radar_Mosca!$AA11=CH$3),Radar_Mosca!$S11,NA()),NA())</f>
        <v>#N/A</v>
      </c>
      <c r="CI11" t="e">
        <f>IF(AND(ISNUMBER(Radar_Mosca!$F11),ISNUMBER(Radar_Mosca!$S11)),IF(AND(Radar_Mosca!$F11=CI$4,Radar_Mosca!$AA11=CI$3),Radar_Mosca!$S11,NA()),NA())</f>
        <v>#N/A</v>
      </c>
      <c r="CJ11" t="e">
        <f>IF(AND(ISNUMBER(Radar_Mosca!$F11),ISNUMBER(Radar_Mosca!$S11)),IF(AND(Radar_Mosca!$F11=CJ$4,Radar_Mosca!$AA11=CJ$3),Radar_Mosca!$S11,NA()),NA())</f>
        <v>#N/A</v>
      </c>
      <c r="CK11" t="e">
        <f>IF(AND(ISNUMBER(Radar_Mosca!$F11),ISNUMBER(Radar_Mosca!$S11)),IF(AND(Radar_Mosca!$F11=CK$4,Radar_Mosca!$AA11=CK$3),Radar_Mosca!$S11,NA()),NA())</f>
        <v>#N/A</v>
      </c>
      <c r="CL11" t="e">
        <f>IF(AND(ISNUMBER(Radar_Mosca!$F11),ISNUMBER(Radar_Mosca!$S11)),IF(AND(Radar_Mosca!$F11=CL$4,Radar_Mosca!$AA11=CL$3),Radar_Mosca!$S11,NA()),NA())</f>
        <v>#N/A</v>
      </c>
      <c r="CM11" t="e">
        <f>IF(AND(ISNUMBER(Radar_Mosca!$F11),ISNUMBER(Radar_Mosca!$S11)),IF(AND(Radar_Mosca!$F11=CM$4,Radar_Mosca!$AA11=CM$3),Radar_Mosca!$S11,NA()),NA())</f>
        <v>#N/A</v>
      </c>
      <c r="CN11" t="e">
        <f>IF(AND(ISNUMBER(Radar_Mosca!$F11),ISNUMBER(Radar_Mosca!$S11)),IF(AND(Radar_Mosca!$F11=CN$4,Radar_Mosca!$AA11=CN$3),Radar_Mosca!$S11,NA()),NA())</f>
        <v>#N/A</v>
      </c>
      <c r="CO11" t="e">
        <f>IF(AND(ISNUMBER(Radar_Mosca!$F11),ISNUMBER(Radar_Mosca!$S11)),IF(AND(Radar_Mosca!$F11=CO$4,Radar_Mosca!$AA11=CO$3),Radar_Mosca!$S11,NA()),NA())</f>
        <v>#N/A</v>
      </c>
      <c r="CP11" t="e">
        <f>IF(AND(ISNUMBER(Radar_Mosca!$F11),ISNUMBER(Radar_Mosca!$S11)),IF(AND(Radar_Mosca!$F11=CP$4,Radar_Mosca!$AA11=CP$3),Radar_Mosca!$S11,NA()),NA())</f>
        <v>#N/A</v>
      </c>
      <c r="CQ11" t="e">
        <f>IF(AND(ISNUMBER(Radar_Mosca!$F11),ISNUMBER(Radar_Mosca!$S11)),IF(AND(Radar_Mosca!$F11=CQ$4,Radar_Mosca!$AA11=CQ$3),Radar_Mosca!$S11,NA()),NA())</f>
        <v>#N/A</v>
      </c>
      <c r="CR11" t="e">
        <f>IF(AND(ISNUMBER(Radar_Mosca!$F11),ISNUMBER(Radar_Mosca!$S11)),IF(AND(Radar_Mosca!$F11=CR$4,Radar_Mosca!$AA11=CR$3),Radar_Mosca!$S11,NA()),NA())</f>
        <v>#N/A</v>
      </c>
      <c r="CS11" t="e">
        <f>IF(AND(ISNUMBER(Radar_Mosca!$F11),ISNUMBER(Radar_Mosca!$S11)),IF(AND(Radar_Mosca!$F11=CS$4,Radar_Mosca!$AA11=CS$3),Radar_Mosca!$S11,NA()),NA())</f>
        <v>#N/A</v>
      </c>
      <c r="CT11" t="e">
        <f>IF(AND(ISNUMBER(Radar_Mosca!$F11),ISNUMBER(Radar_Mosca!$S11)),IF(AND(Radar_Mosca!$F11=CT$4,Radar_Mosca!$AA11=CT$3),Radar_Mosca!$S11,NA()),NA())</f>
        <v>#N/A</v>
      </c>
      <c r="CU11" t="e">
        <f>IF(AND(ISNUMBER(Radar_Mosca!$F11),ISNUMBER(Radar_Mosca!$S11)),IF(AND(Radar_Mosca!$F11=CU$4,Radar_Mosca!$AA11=CU$3),Radar_Mosca!$S11,NA()),NA())</f>
        <v>#N/A</v>
      </c>
      <c r="CV11">
        <f>IF(AND(ISNUMBER(Radar_Mosca!$F11),ISNUMBER(Radar_Mosca!$S11)),IF(AND(Radar_Mosca!$F11=CV$4,Radar_Mosca!$AA11=CV$3),Radar_Mosca!$S11,NA()),NA())</f>
        <v>-5.0537373764980575E-16</v>
      </c>
      <c r="CW11" t="e">
        <f>IF(AND(ISNUMBER(Radar_Mosca!$F11),ISNUMBER(Radar_Mosca!$S11)),IF(AND(Radar_Mosca!$F11=CW$4,Radar_Mosca!$AA11=CW$3),Radar_Mosca!$S11,NA()),NA())</f>
        <v>#N/A</v>
      </c>
      <c r="CX11" t="e">
        <f>IF(AND(ISNUMBER(Radar_Mosca!$F11),ISNUMBER(Radar_Mosca!$S11)),IF(AND(Radar_Mosca!$F11=CX$4,Radar_Mosca!$AA11=CX$3),Radar_Mosca!$S11,NA()),NA())</f>
        <v>#N/A</v>
      </c>
      <c r="CY11" t="e">
        <f>IF(AND(ISNUMBER(Radar_Mosca!$F11),ISNUMBER(Radar_Mosca!$S11)),IF(AND(Radar_Mosca!$F11=CY$4,Radar_Mosca!$AA11=CY$3),Radar_Mosca!$S11,NA()),NA())</f>
        <v>#N/A</v>
      </c>
      <c r="CZ11" t="e">
        <f>IF(AND(ISNUMBER(Radar_Mosca!$F11),ISNUMBER(Radar_Mosca!$S11)),IF(AND(Radar_Mosca!$F11=CZ$4,Radar_Mosca!$AA11=CZ$3),Radar_Mosca!$S11,NA()),NA())</f>
        <v>#N/A</v>
      </c>
      <c r="DA11" t="e">
        <f>IF(AND(ISNUMBER(Radar_Mosca!$F11),ISNUMBER(Radar_Mosca!$S11)),IF(AND(Radar_Mosca!$F11=DA$4,Radar_Mosca!$AA11=DA$3),Radar_Mosca!$S11,NA()),NA())</f>
        <v>#N/A</v>
      </c>
      <c r="DB11" t="e">
        <f>IF(AND(ISNUMBER(Radar_Mosca!$F11),ISNUMBER(Radar_Mosca!$S11)),IF(AND(Radar_Mosca!$F11=DB$4,Radar_Mosca!$AA11=DB$3),Radar_Mosca!$S11,NA()),NA())</f>
        <v>#N/A</v>
      </c>
      <c r="DC11" t="e">
        <f>IF(AND(ISNUMBER(Radar_Mosca!$F11),ISNUMBER(Radar_Mosca!$S11)),IF(AND(Radar_Mosca!$F11=DC$4,Radar_Mosca!$AA11=DC$3),Radar_Mosca!$S11,NA()),NA())</f>
        <v>#N/A</v>
      </c>
      <c r="DD11" t="e">
        <f>IF(AND(ISNUMBER(Radar_Mosca!$F11),ISNUMBER(Radar_Mosca!$S11)),IF(AND(Radar_Mosca!$F11=DD$4,Radar_Mosca!$AA11=DD$3),Radar_Mosca!$S11,NA()),NA())</f>
        <v>#N/A</v>
      </c>
      <c r="DE11" t="e">
        <f>IF(AND(ISNUMBER(Radar_Mosca!$F11),ISNUMBER(Radar_Mosca!$S11)),IF(AND(Radar_Mosca!$F11=DE$4,Radar_Mosca!$AA11=DE$3),Radar_Mosca!$S11,NA()),NA())</f>
        <v>#N/A</v>
      </c>
      <c r="DF11" t="e">
        <f>IF(AND(ISNUMBER(Radar_Mosca!$F11),ISNUMBER(Radar_Mosca!$S11)),IF(AND(Radar_Mosca!$F11=DF$4,Radar_Mosca!$AA11=DF$3),Radar_Mosca!$S11,NA()),NA())</f>
        <v>#N/A</v>
      </c>
      <c r="DG11" t="e">
        <f>IF(AND(ISNUMBER(Radar_Mosca!$F11),ISNUMBER(Radar_Mosca!$S11)),IF(AND(Radar_Mosca!$F11=DG$4,Radar_Mosca!$AA11=DG$3),Radar_Mosca!$S11,NA()),NA())</f>
        <v>#N/A</v>
      </c>
      <c r="DH11" t="e">
        <f>IF(AND(ISNUMBER(Radar_Mosca!$F11),ISNUMBER(Radar_Mosca!$S11)),IF(AND(Radar_Mosca!$F11=DH$4,Radar_Mosca!$AA11=DH$3),Radar_Mosca!$S11,NA()),NA())</f>
        <v>#N/A</v>
      </c>
      <c r="DI11" t="e">
        <f>IF(AND(ISNUMBER(Radar_Mosca!$F11),ISNUMBER(Radar_Mosca!$S11)),IF(AND(Radar_Mosca!$F11=DI$4,Radar_Mosca!$AA11=DI$3),Radar_Mosca!$S11,NA()),NA())</f>
        <v>#N/A</v>
      </c>
      <c r="DJ11" t="e">
        <f>IF(AND(ISNUMBER(Radar_Mosca!$F11),ISNUMBER(Radar_Mosca!$S11)),IF(AND(Radar_Mosca!$F11=DJ$4,Radar_Mosca!$AA11=DJ$3),Radar_Mosca!$S11,NA()),NA())</f>
        <v>#N/A</v>
      </c>
      <c r="DK11" t="e">
        <f>IF(AND(ISNUMBER(Radar_Mosca!$F11),ISNUMBER(Radar_Mosca!$S11)),IF(AND(Radar_Mosca!$F11=DK$4,Radar_Mosca!$AA11=DK$3),Radar_Mosca!$S11,NA()),NA())</f>
        <v>#N/A</v>
      </c>
      <c r="DL11" t="e">
        <f>IF(AND(ISNUMBER(Radar_Mosca!$F11),ISNUMBER(Radar_Mosca!$S11)),IF(AND(Radar_Mosca!$F11=DL$4,Radar_Mosca!$AA11=DL$3),Radar_Mosca!$S11,NA()),NA())</f>
        <v>#N/A</v>
      </c>
      <c r="DM11" t="e">
        <f>IF(AND(ISNUMBER(Radar_Mosca!$F11),ISNUMBER(Radar_Mosca!$S11)),IF(AND(Radar_Mosca!$F11=DM$4,Radar_Mosca!$AA11=DM$3),Radar_Mosca!$S11,NA()),NA())</f>
        <v>#N/A</v>
      </c>
      <c r="DN11" t="e">
        <f>IF(AND(ISNUMBER(Radar_Mosca!$F11),ISNUMBER(Radar_Mosca!$S11)),IF(AND(Radar_Mosca!$F11=DN$4,Radar_Mosca!$AA11=DN$3),Radar_Mosca!$S11,NA()),NA())</f>
        <v>#N/A</v>
      </c>
      <c r="DO11">
        <f>IF(ISNUMBER(Radar_Mosca!$R11),Radar_Mosca!$R11,NA())</f>
        <v>-2.75</v>
      </c>
      <c r="DP11" t="str">
        <f>IF(Radar_Mosca!$A11="","",MID(Radar_Mosca!$A11,5,3)&amp;IF(Radar_Mosca!$T11="Sì"," ◆",""))</f>
        <v>07 ◆</v>
      </c>
      <c r="DQ11">
        <f>IF(ISNUMBER(Radar_Mosca!$S11),Radar_Mosca!$S11,NA())</f>
        <v>-5.0537373764980575E-16</v>
      </c>
      <c r="DR11" t="s">
        <v>27</v>
      </c>
      <c r="DS11">
        <v>3.5</v>
      </c>
      <c r="DT11">
        <v>-9.1</v>
      </c>
    </row>
    <row r="12" spans="1:124" ht="25" customHeight="1" x14ac:dyDescent="0.4">
      <c r="A12" s="14">
        <f>Classifica!$A$7</f>
        <v>3</v>
      </c>
      <c r="B12" s="147" t="str">
        <f>IF(Classifica!$B$7="","",Classifica!$B$7&amp;"  "&amp;Classifica!$C$7&amp;IFERROR(IF(INDEX(ANA_Attenzione_Supervisore,Classifica!$U$7)="Sì","  ◆",""),""))</f>
        <v>NFR-07  Ransomware presso un fornitore di servizi di pagamento  ◆</v>
      </c>
      <c r="C12" s="148"/>
      <c r="D12" s="148"/>
      <c r="E12" s="148"/>
      <c r="F12" s="17">
        <f>IF(Classifica!$B$7="","",Classifica!$D$7)</f>
        <v>3.75</v>
      </c>
      <c r="G12" s="18">
        <f>IF(Classifica!$B$7="","",IF(ISNUMBER(Classifica!$F$7),Classifica!$F$7,"nuovo"))</f>
        <v>0</v>
      </c>
      <c r="H12" s="19" t="str">
        <f>IF(Classifica!$B$7="","",IF(LEFT(Classifica!$H$7,9)="AGIRE ORA","AGIRE ORA",IF(LEFT(Classifica!$H$7,11)="Agire entro","Entro l'anno",Classifica!$H$7)))</f>
        <v>Entro l'anno</v>
      </c>
      <c r="J12" s="20">
        <v>3</v>
      </c>
      <c r="K12" s="21" t="str">
        <f>SUBSTITUTE(SUBSTITUTE(Matrice!C7," ◆",""),"NFR-","")</f>
        <v/>
      </c>
      <c r="L12" s="21" t="str">
        <f>SUBSTITUTE(SUBSTITUTE(Matrice!D7," ◆",""),"NFR-","")</f>
        <v/>
      </c>
      <c r="M12" s="22" t="str">
        <f>SUBSTITUTE(SUBSTITUTE(Matrice!E7," ◆",""),"NFR-","")</f>
        <v>03   04   05   06   10   11   16</v>
      </c>
      <c r="N12" s="22" t="str">
        <f>SUBSTITUTE(SUBSTITUTE(Matrice!F7," ◆",""),"NFR-","")</f>
        <v>07</v>
      </c>
      <c r="O12" s="23" t="str">
        <f>SUBSTITUTE(SUBSTITUTE(Matrice!G7," ◆",""),"NFR-","")</f>
        <v/>
      </c>
      <c r="T12" t="str">
        <f>IF(Radar_Mosca!$AA$12="Attivazione",Radar_Mosca!$A$12,"")</f>
        <v/>
      </c>
      <c r="BH12">
        <f>2*PI()*7/72</f>
        <v>0.6108652381980153</v>
      </c>
      <c r="BI12">
        <f t="shared" si="0"/>
        <v>1.1471528727020921</v>
      </c>
      <c r="BJ12">
        <f t="shared" si="1"/>
        <v>1.6383040885779836</v>
      </c>
      <c r="BK12">
        <f t="shared" si="2"/>
        <v>1.7207293090531381</v>
      </c>
      <c r="BL12">
        <f t="shared" si="3"/>
        <v>2.4574561328669753</v>
      </c>
      <c r="BM12">
        <f t="shared" si="4"/>
        <v>2.2943057454041842</v>
      </c>
      <c r="BN12">
        <f t="shared" si="5"/>
        <v>3.2766081771559672</v>
      </c>
      <c r="BO12">
        <f t="shared" si="6"/>
        <v>2.8678821817552302</v>
      </c>
      <c r="BP12">
        <f t="shared" si="7"/>
        <v>4.0957602214449587</v>
      </c>
      <c r="BR12">
        <f>6.3*SIN(2*PI()*3/ROWS(codiciL1))</f>
        <v>5.455960043841964</v>
      </c>
      <c r="BS12">
        <f>6.3*COS(2*PI()*3/ROWS(codiciL1))</f>
        <v>-3.1499999999999986</v>
      </c>
      <c r="BU12" t="s">
        <v>28</v>
      </c>
      <c r="BV12">
        <f>6.95*SIN(2*PI()*(7+0.5)/ROWS(codiciL1))</f>
        <v>-6.0188765563018514</v>
      </c>
      <c r="BW12">
        <f>6.95*COS(2*PI()*(7+0.5)/ROWS(codiciL1))</f>
        <v>3.4749999999999956</v>
      </c>
      <c r="BY12" t="e">
        <f>IF(AND(ISNUMBER(Radar_Mosca!$F12),ISNUMBER(Radar_Mosca!$S12)),IF(AND(Radar_Mosca!$F12=BY$4,Radar_Mosca!$AA12=BY$3),Radar_Mosca!$S12,NA()),NA())</f>
        <v>#N/A</v>
      </c>
      <c r="BZ12" t="e">
        <f>IF(AND(ISNUMBER(Radar_Mosca!$F12),ISNUMBER(Radar_Mosca!$S12)),IF(AND(Radar_Mosca!$F12=BZ$4,Radar_Mosca!$AA12=BZ$3),Radar_Mosca!$S12,NA()),NA())</f>
        <v>#N/A</v>
      </c>
      <c r="CA12" t="e">
        <f>IF(AND(ISNUMBER(Radar_Mosca!$F12),ISNUMBER(Radar_Mosca!$S12)),IF(AND(Radar_Mosca!$F12=CA$4,Radar_Mosca!$AA12=CA$3),Radar_Mosca!$S12,NA()),NA())</f>
        <v>#N/A</v>
      </c>
      <c r="CB12" t="e">
        <f>IF(AND(ISNUMBER(Radar_Mosca!$F12),ISNUMBER(Radar_Mosca!$S12)),IF(AND(Radar_Mosca!$F12=CB$4,Radar_Mosca!$AA12=CB$3),Radar_Mosca!$S12,NA()),NA())</f>
        <v>#N/A</v>
      </c>
      <c r="CC12" t="e">
        <f>IF(AND(ISNUMBER(Radar_Mosca!$F12),ISNUMBER(Radar_Mosca!$S12)),IF(AND(Radar_Mosca!$F12=CC$4,Radar_Mosca!$AA12=CC$3),Radar_Mosca!$S12,NA()),NA())</f>
        <v>#N/A</v>
      </c>
      <c r="CD12" t="e">
        <f>IF(AND(ISNUMBER(Radar_Mosca!$F12),ISNUMBER(Radar_Mosca!$S12)),IF(AND(Radar_Mosca!$F12=CD$4,Radar_Mosca!$AA12=CD$3),Radar_Mosca!$S12,NA()),NA())</f>
        <v>#N/A</v>
      </c>
      <c r="CE12" t="e">
        <f>IF(AND(ISNUMBER(Radar_Mosca!$F12),ISNUMBER(Radar_Mosca!$S12)),IF(AND(Radar_Mosca!$F12=CE$4,Radar_Mosca!$AA12=CE$3),Radar_Mosca!$S12,NA()),NA())</f>
        <v>#N/A</v>
      </c>
      <c r="CF12" t="e">
        <f>IF(AND(ISNUMBER(Radar_Mosca!$F12),ISNUMBER(Radar_Mosca!$S12)),IF(AND(Radar_Mosca!$F12=CF$4,Radar_Mosca!$AA12=CF$3),Radar_Mosca!$S12,NA()),NA())</f>
        <v>#N/A</v>
      </c>
      <c r="CG12" t="e">
        <f>IF(AND(ISNUMBER(Radar_Mosca!$F12),ISNUMBER(Radar_Mosca!$S12)),IF(AND(Radar_Mosca!$F12=CG$4,Radar_Mosca!$AA12=CG$3),Radar_Mosca!$S12,NA()),NA())</f>
        <v>#N/A</v>
      </c>
      <c r="CH12" t="e">
        <f>IF(AND(ISNUMBER(Radar_Mosca!$F12),ISNUMBER(Radar_Mosca!$S12)),IF(AND(Radar_Mosca!$F12=CH$4,Radar_Mosca!$AA12=CH$3),Radar_Mosca!$S12,NA()),NA())</f>
        <v>#N/A</v>
      </c>
      <c r="CI12" t="e">
        <f>IF(AND(ISNUMBER(Radar_Mosca!$F12),ISNUMBER(Radar_Mosca!$S12)),IF(AND(Radar_Mosca!$F12=CI$4,Radar_Mosca!$AA12=CI$3),Radar_Mosca!$S12,NA()),NA())</f>
        <v>#N/A</v>
      </c>
      <c r="CJ12" t="e">
        <f>IF(AND(ISNUMBER(Radar_Mosca!$F12),ISNUMBER(Radar_Mosca!$S12)),IF(AND(Radar_Mosca!$F12=CJ$4,Radar_Mosca!$AA12=CJ$3),Radar_Mosca!$S12,NA()),NA())</f>
        <v>#N/A</v>
      </c>
      <c r="CK12" t="e">
        <f>IF(AND(ISNUMBER(Radar_Mosca!$F12),ISNUMBER(Radar_Mosca!$S12)),IF(AND(Radar_Mosca!$F12=CK$4,Radar_Mosca!$AA12=CK$3),Radar_Mosca!$S12,NA()),NA())</f>
        <v>#N/A</v>
      </c>
      <c r="CL12" t="e">
        <f>IF(AND(ISNUMBER(Radar_Mosca!$F12),ISNUMBER(Radar_Mosca!$S12)),IF(AND(Radar_Mosca!$F12=CL$4,Radar_Mosca!$AA12=CL$3),Radar_Mosca!$S12,NA()),NA())</f>
        <v>#N/A</v>
      </c>
      <c r="CM12" t="e">
        <f>IF(AND(ISNUMBER(Radar_Mosca!$F12),ISNUMBER(Radar_Mosca!$S12)),IF(AND(Radar_Mosca!$F12=CM$4,Radar_Mosca!$AA12=CM$3),Radar_Mosca!$S12,NA()),NA())</f>
        <v>#N/A</v>
      </c>
      <c r="CN12" t="e">
        <f>IF(AND(ISNUMBER(Radar_Mosca!$F12),ISNUMBER(Radar_Mosca!$S12)),IF(AND(Radar_Mosca!$F12=CN$4,Radar_Mosca!$AA12=CN$3),Radar_Mosca!$S12,NA()),NA())</f>
        <v>#N/A</v>
      </c>
      <c r="CO12" t="e">
        <f>IF(AND(ISNUMBER(Radar_Mosca!$F12),ISNUMBER(Radar_Mosca!$S12)),IF(AND(Radar_Mosca!$F12=CO$4,Radar_Mosca!$AA12=CO$3),Radar_Mosca!$S12,NA()),NA())</f>
        <v>#N/A</v>
      </c>
      <c r="CP12" t="e">
        <f>IF(AND(ISNUMBER(Radar_Mosca!$F12),ISNUMBER(Radar_Mosca!$S12)),IF(AND(Radar_Mosca!$F12=CP$4,Radar_Mosca!$AA12=CP$3),Radar_Mosca!$S12,NA()),NA())</f>
        <v>#N/A</v>
      </c>
      <c r="CQ12" t="e">
        <f>IF(AND(ISNUMBER(Radar_Mosca!$F12),ISNUMBER(Radar_Mosca!$S12)),IF(AND(Radar_Mosca!$F12=CQ$4,Radar_Mosca!$AA12=CQ$3),Radar_Mosca!$S12,NA()),NA())</f>
        <v>#N/A</v>
      </c>
      <c r="CR12" t="e">
        <f>IF(AND(ISNUMBER(Radar_Mosca!$F12),ISNUMBER(Radar_Mosca!$S12)),IF(AND(Radar_Mosca!$F12=CR$4,Radar_Mosca!$AA12=CR$3),Radar_Mosca!$S12,NA()),NA())</f>
        <v>#N/A</v>
      </c>
      <c r="CS12" t="e">
        <f>IF(AND(ISNUMBER(Radar_Mosca!$F12),ISNUMBER(Radar_Mosca!$S12)),IF(AND(Radar_Mosca!$F12=CS$4,Radar_Mosca!$AA12=CS$3),Radar_Mosca!$S12,NA()),NA())</f>
        <v>#N/A</v>
      </c>
      <c r="CT12" t="e">
        <f>IF(AND(ISNUMBER(Radar_Mosca!$F12),ISNUMBER(Radar_Mosca!$S12)),IF(AND(Radar_Mosca!$F12=CT$4,Radar_Mosca!$AA12=CT$3),Radar_Mosca!$S12,NA()),NA())</f>
        <v>#N/A</v>
      </c>
      <c r="CU12" t="e">
        <f>IF(AND(ISNUMBER(Radar_Mosca!$F12),ISNUMBER(Radar_Mosca!$S12)),IF(AND(Radar_Mosca!$F12=CU$4,Radar_Mosca!$AA12=CU$3),Radar_Mosca!$S12,NA()),NA())</f>
        <v>#N/A</v>
      </c>
      <c r="CV12" t="e">
        <f>IF(AND(ISNUMBER(Radar_Mosca!$F12),ISNUMBER(Radar_Mosca!$S12)),IF(AND(Radar_Mosca!$F12=CV$4,Radar_Mosca!$AA12=CV$3),Radar_Mosca!$S12,NA()),NA())</f>
        <v>#N/A</v>
      </c>
      <c r="CW12" t="e">
        <f>IF(AND(ISNUMBER(Radar_Mosca!$F12),ISNUMBER(Radar_Mosca!$S12)),IF(AND(Radar_Mosca!$F12=CW$4,Radar_Mosca!$AA12=CW$3),Radar_Mosca!$S12,NA()),NA())</f>
        <v>#N/A</v>
      </c>
      <c r="CX12" t="e">
        <f>IF(AND(ISNUMBER(Radar_Mosca!$F12),ISNUMBER(Radar_Mosca!$S12)),IF(AND(Radar_Mosca!$F12=CX$4,Radar_Mosca!$AA12=CX$3),Radar_Mosca!$S12,NA()),NA())</f>
        <v>#N/A</v>
      </c>
      <c r="CY12" t="e">
        <f>IF(AND(ISNUMBER(Radar_Mosca!$F12),ISNUMBER(Radar_Mosca!$S12)),IF(AND(Radar_Mosca!$F12=CY$4,Radar_Mosca!$AA12=CY$3),Radar_Mosca!$S12,NA()),NA())</f>
        <v>#N/A</v>
      </c>
      <c r="CZ12" t="e">
        <f>IF(AND(ISNUMBER(Radar_Mosca!$F12),ISNUMBER(Radar_Mosca!$S12)),IF(AND(Radar_Mosca!$F12=CZ$4,Radar_Mosca!$AA12=CZ$3),Radar_Mosca!$S12,NA()),NA())</f>
        <v>#N/A</v>
      </c>
      <c r="DA12" t="e">
        <f>IF(AND(ISNUMBER(Radar_Mosca!$F12),ISNUMBER(Radar_Mosca!$S12)),IF(AND(Radar_Mosca!$F12=DA$4,Radar_Mosca!$AA12=DA$3),Radar_Mosca!$S12,NA()),NA())</f>
        <v>#N/A</v>
      </c>
      <c r="DB12" t="e">
        <f>IF(AND(ISNUMBER(Radar_Mosca!$F12),ISNUMBER(Radar_Mosca!$S12)),IF(AND(Radar_Mosca!$F12=DB$4,Radar_Mosca!$AA12=DB$3),Radar_Mosca!$S12,NA()),NA())</f>
        <v>#N/A</v>
      </c>
      <c r="DC12" t="e">
        <f>IF(AND(ISNUMBER(Radar_Mosca!$F12),ISNUMBER(Radar_Mosca!$S12)),IF(AND(Radar_Mosca!$F12=DC$4,Radar_Mosca!$AA12=DC$3),Radar_Mosca!$S12,NA()),NA())</f>
        <v>#N/A</v>
      </c>
      <c r="DD12" t="e">
        <f>IF(AND(ISNUMBER(Radar_Mosca!$F12),ISNUMBER(Radar_Mosca!$S12)),IF(AND(Radar_Mosca!$F12=DD$4,Radar_Mosca!$AA12=DD$3),Radar_Mosca!$S12,NA()),NA())</f>
        <v>#N/A</v>
      </c>
      <c r="DE12" t="e">
        <f>IF(AND(ISNUMBER(Radar_Mosca!$F12),ISNUMBER(Radar_Mosca!$S12)),IF(AND(Radar_Mosca!$F12=DE$4,Radar_Mosca!$AA12=DE$3),Radar_Mosca!$S12,NA()),NA())</f>
        <v>#N/A</v>
      </c>
      <c r="DF12">
        <f>IF(AND(ISNUMBER(Radar_Mosca!$F12),ISNUMBER(Radar_Mosca!$S12)),IF(AND(Radar_Mosca!$F12=DF$4,Radar_Mosca!$AA12=DF$3),Radar_Mosca!$S12,NA()),NA())</f>
        <v>-2.9191346117394716</v>
      </c>
      <c r="DG12" t="e">
        <f>IF(AND(ISNUMBER(Radar_Mosca!$F12),ISNUMBER(Radar_Mosca!$S12)),IF(AND(Radar_Mosca!$F12=DG$4,Radar_Mosca!$AA12=DG$3),Radar_Mosca!$S12,NA()),NA())</f>
        <v>#N/A</v>
      </c>
      <c r="DH12" t="e">
        <f>IF(AND(ISNUMBER(Radar_Mosca!$F12),ISNUMBER(Radar_Mosca!$S12)),IF(AND(Radar_Mosca!$F12=DH$4,Radar_Mosca!$AA12=DH$3),Radar_Mosca!$S12,NA()),NA())</f>
        <v>#N/A</v>
      </c>
      <c r="DI12" t="e">
        <f>IF(AND(ISNUMBER(Radar_Mosca!$F12),ISNUMBER(Radar_Mosca!$S12)),IF(AND(Radar_Mosca!$F12=DI$4,Radar_Mosca!$AA12=DI$3),Radar_Mosca!$S12,NA()),NA())</f>
        <v>#N/A</v>
      </c>
      <c r="DJ12" t="e">
        <f>IF(AND(ISNUMBER(Radar_Mosca!$F12),ISNUMBER(Radar_Mosca!$S12)),IF(AND(Radar_Mosca!$F12=DJ$4,Radar_Mosca!$AA12=DJ$3),Radar_Mosca!$S12,NA()),NA())</f>
        <v>#N/A</v>
      </c>
      <c r="DK12" t="e">
        <f>IF(AND(ISNUMBER(Radar_Mosca!$F12),ISNUMBER(Radar_Mosca!$S12)),IF(AND(Radar_Mosca!$F12=DK$4,Radar_Mosca!$AA12=DK$3),Radar_Mosca!$S12,NA()),NA())</f>
        <v>#N/A</v>
      </c>
      <c r="DL12" t="e">
        <f>IF(AND(ISNUMBER(Radar_Mosca!$F12),ISNUMBER(Radar_Mosca!$S12)),IF(AND(Radar_Mosca!$F12=DL$4,Radar_Mosca!$AA12=DL$3),Radar_Mosca!$S12,NA()),NA())</f>
        <v>#N/A</v>
      </c>
      <c r="DM12" t="e">
        <f>IF(AND(ISNUMBER(Radar_Mosca!$F12),ISNUMBER(Radar_Mosca!$S12)),IF(AND(Radar_Mosca!$F12=DM$4,Radar_Mosca!$AA12=DM$3),Radar_Mosca!$S12,NA()),NA())</f>
        <v>#N/A</v>
      </c>
      <c r="DN12" t="e">
        <f>IF(AND(ISNUMBER(Radar_Mosca!$F12),ISNUMBER(Radar_Mosca!$S12)),IF(AND(Radar_Mosca!$F12=DN$4,Radar_Mosca!$AA12=DN$3),Radar_Mosca!$S12,NA()),NA())</f>
        <v>#N/A</v>
      </c>
      <c r="DO12">
        <f>IF(ISNUMBER(Radar_Mosca!$R12),Radar_Mosca!$R12,NA())</f>
        <v>-0.69184761222731894</v>
      </c>
      <c r="DP12" t="str">
        <f>IF(Radar_Mosca!$A12="","",MID(Radar_Mosca!$A12,5,3)&amp;IF(Radar_Mosca!$T12="Sì"," ◆",""))</f>
        <v>08</v>
      </c>
      <c r="DQ12">
        <f>IF(ISNUMBER(Radar_Mosca!$S12),Radar_Mosca!$S12,NA())</f>
        <v>-2.9191346117394716</v>
      </c>
      <c r="DR12" t="s">
        <v>29</v>
      </c>
      <c r="DS12">
        <v>4.8</v>
      </c>
      <c r="DT12">
        <v>-9.1</v>
      </c>
    </row>
    <row r="13" spans="1:124" ht="25" customHeight="1" x14ac:dyDescent="0.4">
      <c r="A13" s="14">
        <f>Classifica!$A$8</f>
        <v>4</v>
      </c>
      <c r="B13" s="147" t="str">
        <f>IF(Classifica!$B$8="","",Classifica!$B$8&amp;"  "&amp;Classifica!$C$8&amp;IFERROR(IF(INDEX(ANA_Attenzione_Supervisore,Classifica!$U$8)="Sì","  ◆",""),""))</f>
        <v>NFR-12  Errori operativi nei pagamenti istantanei obbligatori</v>
      </c>
      <c r="C13" s="148"/>
      <c r="D13" s="148"/>
      <c r="E13" s="148"/>
      <c r="F13" s="17">
        <f>IF(Classifica!$B$8="","",Classifica!$D$8)</f>
        <v>3.65</v>
      </c>
      <c r="G13" s="18">
        <f>IF(Classifica!$B$8="","",IF(ISNUMBER(Classifica!$F$8),Classifica!$F$8,"nuovo"))</f>
        <v>0</v>
      </c>
      <c r="H13" s="19" t="str">
        <f>IF(Classifica!$B$8="","",IF(LEFT(Classifica!$H$8,9)="AGIRE ORA","AGIRE ORA",IF(LEFT(Classifica!$H$8,11)="Agire entro","Entro l'anno",Classifica!$H$8)))</f>
        <v>Entro l'anno</v>
      </c>
      <c r="J13" s="20">
        <v>2</v>
      </c>
      <c r="K13" s="21" t="str">
        <f>SUBSTITUTE(SUBSTITUTE(Matrice!C8," ◆",""),"NFR-","")</f>
        <v/>
      </c>
      <c r="L13" s="21" t="str">
        <f>SUBSTITUTE(SUBSTITUTE(Matrice!D8," ◆",""),"NFR-","")</f>
        <v/>
      </c>
      <c r="M13" s="21" t="str">
        <f>SUBSTITUTE(SUBSTITUTE(Matrice!E8," ◆",""),"NFR-","")</f>
        <v>08</v>
      </c>
      <c r="N13" s="22" t="str">
        <f>SUBSTITUTE(SUBSTITUTE(Matrice!F8," ◆",""),"NFR-","")</f>
        <v>09</v>
      </c>
      <c r="O13" s="22" t="str">
        <f>SUBSTITUTE(SUBSTITUTE(Matrice!G8," ◆",""),"NFR-","")</f>
        <v/>
      </c>
      <c r="T13" t="str">
        <f>IF(Radar_Mosca!$AA$13="Attivazione",Radar_Mosca!$A$13,"")</f>
        <v/>
      </c>
      <c r="BH13">
        <f>2*PI()*8/72</f>
        <v>0.69813170079773179</v>
      </c>
      <c r="BI13">
        <f t="shared" si="0"/>
        <v>1.2855752193730785</v>
      </c>
      <c r="BJ13">
        <f t="shared" si="1"/>
        <v>1.532088886237956</v>
      </c>
      <c r="BK13">
        <f t="shared" si="2"/>
        <v>1.9283628290596178</v>
      </c>
      <c r="BL13">
        <f t="shared" si="3"/>
        <v>2.2981333293569342</v>
      </c>
      <c r="BM13">
        <f t="shared" si="4"/>
        <v>2.571150438746157</v>
      </c>
      <c r="BN13">
        <f t="shared" si="5"/>
        <v>3.0641777724759121</v>
      </c>
      <c r="BO13">
        <f t="shared" si="6"/>
        <v>3.2139380484326963</v>
      </c>
      <c r="BP13">
        <f t="shared" si="7"/>
        <v>3.83022221559489</v>
      </c>
      <c r="BR13">
        <v>0</v>
      </c>
      <c r="BS13">
        <v>0</v>
      </c>
      <c r="BU13" t="s">
        <v>30</v>
      </c>
      <c r="BV13">
        <f>6.95*SIN(2*PI()*(8+0.5)/ROWS(codiciL1))</f>
        <v>-2.377039996113397</v>
      </c>
      <c r="BW13">
        <f>6.95*COS(2*PI()*(8+0.5)/ROWS(codiciL1))</f>
        <v>6.5308637144620638</v>
      </c>
      <c r="BY13" t="e">
        <f>IF(AND(ISNUMBER(Radar_Mosca!$F13),ISNUMBER(Radar_Mosca!$S13)),IF(AND(Radar_Mosca!$F13=BY$4,Radar_Mosca!$AA13=BY$3),Radar_Mosca!$S13,NA()),NA())</f>
        <v>#N/A</v>
      </c>
      <c r="BZ13" t="e">
        <f>IF(AND(ISNUMBER(Radar_Mosca!$F13),ISNUMBER(Radar_Mosca!$S13)),IF(AND(Radar_Mosca!$F13=BZ$4,Radar_Mosca!$AA13=BZ$3),Radar_Mosca!$S13,NA()),NA())</f>
        <v>#N/A</v>
      </c>
      <c r="CA13" t="e">
        <f>IF(AND(ISNUMBER(Radar_Mosca!$F13),ISNUMBER(Radar_Mosca!$S13)),IF(AND(Radar_Mosca!$F13=CA$4,Radar_Mosca!$AA13=CA$3),Radar_Mosca!$S13,NA()),NA())</f>
        <v>#N/A</v>
      </c>
      <c r="CB13" t="e">
        <f>IF(AND(ISNUMBER(Radar_Mosca!$F13),ISNUMBER(Radar_Mosca!$S13)),IF(AND(Radar_Mosca!$F13=CB$4,Radar_Mosca!$AA13=CB$3),Radar_Mosca!$S13,NA()),NA())</f>
        <v>#N/A</v>
      </c>
      <c r="CC13" t="e">
        <f>IF(AND(ISNUMBER(Radar_Mosca!$F13),ISNUMBER(Radar_Mosca!$S13)),IF(AND(Radar_Mosca!$F13=CC$4,Radar_Mosca!$AA13=CC$3),Radar_Mosca!$S13,NA()),NA())</f>
        <v>#N/A</v>
      </c>
      <c r="CD13" t="e">
        <f>IF(AND(ISNUMBER(Radar_Mosca!$F13),ISNUMBER(Radar_Mosca!$S13)),IF(AND(Radar_Mosca!$F13=CD$4,Radar_Mosca!$AA13=CD$3),Radar_Mosca!$S13,NA()),NA())</f>
        <v>#N/A</v>
      </c>
      <c r="CE13" t="e">
        <f>IF(AND(ISNUMBER(Radar_Mosca!$F13),ISNUMBER(Radar_Mosca!$S13)),IF(AND(Radar_Mosca!$F13=CE$4,Radar_Mosca!$AA13=CE$3),Radar_Mosca!$S13,NA()),NA())</f>
        <v>#N/A</v>
      </c>
      <c r="CF13" t="e">
        <f>IF(AND(ISNUMBER(Radar_Mosca!$F13),ISNUMBER(Radar_Mosca!$S13)),IF(AND(Radar_Mosca!$F13=CF$4,Radar_Mosca!$AA13=CF$3),Radar_Mosca!$S13,NA()),NA())</f>
        <v>#N/A</v>
      </c>
      <c r="CG13" t="e">
        <f>IF(AND(ISNUMBER(Radar_Mosca!$F13),ISNUMBER(Radar_Mosca!$S13)),IF(AND(Radar_Mosca!$F13=CG$4,Radar_Mosca!$AA13=CG$3),Radar_Mosca!$S13,NA()),NA())</f>
        <v>#N/A</v>
      </c>
      <c r="CH13" t="e">
        <f>IF(AND(ISNUMBER(Radar_Mosca!$F13),ISNUMBER(Radar_Mosca!$S13)),IF(AND(Radar_Mosca!$F13=CH$4,Radar_Mosca!$AA13=CH$3),Radar_Mosca!$S13,NA()),NA())</f>
        <v>#N/A</v>
      </c>
      <c r="CI13" t="e">
        <f>IF(AND(ISNUMBER(Radar_Mosca!$F13),ISNUMBER(Radar_Mosca!$S13)),IF(AND(Radar_Mosca!$F13=CI$4,Radar_Mosca!$AA13=CI$3),Radar_Mosca!$S13,NA()),NA())</f>
        <v>#N/A</v>
      </c>
      <c r="CJ13" t="e">
        <f>IF(AND(ISNUMBER(Radar_Mosca!$F13),ISNUMBER(Radar_Mosca!$S13)),IF(AND(Radar_Mosca!$F13=CJ$4,Radar_Mosca!$AA13=CJ$3),Radar_Mosca!$S13,NA()),NA())</f>
        <v>#N/A</v>
      </c>
      <c r="CK13" t="e">
        <f>IF(AND(ISNUMBER(Radar_Mosca!$F13),ISNUMBER(Radar_Mosca!$S13)),IF(AND(Radar_Mosca!$F13=CK$4,Radar_Mosca!$AA13=CK$3),Radar_Mosca!$S13,NA()),NA())</f>
        <v>#N/A</v>
      </c>
      <c r="CL13" t="e">
        <f>IF(AND(ISNUMBER(Radar_Mosca!$F13),ISNUMBER(Radar_Mosca!$S13)),IF(AND(Radar_Mosca!$F13=CL$4,Radar_Mosca!$AA13=CL$3),Radar_Mosca!$S13,NA()),NA())</f>
        <v>#N/A</v>
      </c>
      <c r="CM13" t="e">
        <f>IF(AND(ISNUMBER(Radar_Mosca!$F13),ISNUMBER(Radar_Mosca!$S13)),IF(AND(Radar_Mosca!$F13=CM$4,Radar_Mosca!$AA13=CM$3),Radar_Mosca!$S13,NA()),NA())</f>
        <v>#N/A</v>
      </c>
      <c r="CN13" t="e">
        <f>IF(AND(ISNUMBER(Radar_Mosca!$F13),ISNUMBER(Radar_Mosca!$S13)),IF(AND(Radar_Mosca!$F13=CN$4,Radar_Mosca!$AA13=CN$3),Radar_Mosca!$S13,NA()),NA())</f>
        <v>#N/A</v>
      </c>
      <c r="CO13" t="e">
        <f>IF(AND(ISNUMBER(Radar_Mosca!$F13),ISNUMBER(Radar_Mosca!$S13)),IF(AND(Radar_Mosca!$F13=CO$4,Radar_Mosca!$AA13=CO$3),Radar_Mosca!$S13,NA()),NA())</f>
        <v>#N/A</v>
      </c>
      <c r="CP13" t="e">
        <f>IF(AND(ISNUMBER(Radar_Mosca!$F13),ISNUMBER(Radar_Mosca!$S13)),IF(AND(Radar_Mosca!$F13=CP$4,Radar_Mosca!$AA13=CP$3),Radar_Mosca!$S13,NA()),NA())</f>
        <v>#N/A</v>
      </c>
      <c r="CQ13" t="e">
        <f>IF(AND(ISNUMBER(Radar_Mosca!$F13),ISNUMBER(Radar_Mosca!$S13)),IF(AND(Radar_Mosca!$F13=CQ$4,Radar_Mosca!$AA13=CQ$3),Radar_Mosca!$S13,NA()),NA())</f>
        <v>#N/A</v>
      </c>
      <c r="CR13" t="e">
        <f>IF(AND(ISNUMBER(Radar_Mosca!$F13),ISNUMBER(Radar_Mosca!$S13)),IF(AND(Radar_Mosca!$F13=CR$4,Radar_Mosca!$AA13=CR$3),Radar_Mosca!$S13,NA()),NA())</f>
        <v>#N/A</v>
      </c>
      <c r="CS13" t="e">
        <f>IF(AND(ISNUMBER(Radar_Mosca!$F13),ISNUMBER(Radar_Mosca!$S13)),IF(AND(Radar_Mosca!$F13=CS$4,Radar_Mosca!$AA13=CS$3),Radar_Mosca!$S13,NA()),NA())</f>
        <v>#N/A</v>
      </c>
      <c r="CT13" t="e">
        <f>IF(AND(ISNUMBER(Radar_Mosca!$F13),ISNUMBER(Radar_Mosca!$S13)),IF(AND(Radar_Mosca!$F13=CT$4,Radar_Mosca!$AA13=CT$3),Radar_Mosca!$S13,NA()),NA())</f>
        <v>#N/A</v>
      </c>
      <c r="CU13" t="e">
        <f>IF(AND(ISNUMBER(Radar_Mosca!$F13),ISNUMBER(Radar_Mosca!$S13)),IF(AND(Radar_Mosca!$F13=CU$4,Radar_Mosca!$AA13=CU$3),Radar_Mosca!$S13,NA()),NA())</f>
        <v>#N/A</v>
      </c>
      <c r="CV13" t="e">
        <f>IF(AND(ISNUMBER(Radar_Mosca!$F13),ISNUMBER(Radar_Mosca!$S13)),IF(AND(Radar_Mosca!$F13=CV$4,Radar_Mosca!$AA13=CV$3),Radar_Mosca!$S13,NA()),NA())</f>
        <v>#N/A</v>
      </c>
      <c r="CW13" t="e">
        <f>IF(AND(ISNUMBER(Radar_Mosca!$F13),ISNUMBER(Radar_Mosca!$S13)),IF(AND(Radar_Mosca!$F13=CW$4,Radar_Mosca!$AA13=CW$3),Radar_Mosca!$S13,NA()),NA())</f>
        <v>#N/A</v>
      </c>
      <c r="CX13" t="e">
        <f>IF(AND(ISNUMBER(Radar_Mosca!$F13),ISNUMBER(Radar_Mosca!$S13)),IF(AND(Radar_Mosca!$F13=CX$4,Radar_Mosca!$AA13=CX$3),Radar_Mosca!$S13,NA()),NA())</f>
        <v>#N/A</v>
      </c>
      <c r="CY13" t="e">
        <f>IF(AND(ISNUMBER(Radar_Mosca!$F13),ISNUMBER(Radar_Mosca!$S13)),IF(AND(Radar_Mosca!$F13=CY$4,Radar_Mosca!$AA13=CY$3),Radar_Mosca!$S13,NA()),NA())</f>
        <v>#N/A</v>
      </c>
      <c r="CZ13" t="e">
        <f>IF(AND(ISNUMBER(Radar_Mosca!$F13),ISNUMBER(Radar_Mosca!$S13)),IF(AND(Radar_Mosca!$F13=CZ$4,Radar_Mosca!$AA13=CZ$3),Radar_Mosca!$S13,NA()),NA())</f>
        <v>#N/A</v>
      </c>
      <c r="DA13" t="e">
        <f>IF(AND(ISNUMBER(Radar_Mosca!$F13),ISNUMBER(Radar_Mosca!$S13)),IF(AND(Radar_Mosca!$F13=DA$4,Radar_Mosca!$AA13=DA$3),Radar_Mosca!$S13,NA()),NA())</f>
        <v>#N/A</v>
      </c>
      <c r="DB13" t="e">
        <f>IF(AND(ISNUMBER(Radar_Mosca!$F13),ISNUMBER(Radar_Mosca!$S13)),IF(AND(Radar_Mosca!$F13=DB$4,Radar_Mosca!$AA13=DB$3),Radar_Mosca!$S13,NA()),NA())</f>
        <v>#N/A</v>
      </c>
      <c r="DC13" t="e">
        <f>IF(AND(ISNUMBER(Radar_Mosca!$F13),ISNUMBER(Radar_Mosca!$S13)),IF(AND(Radar_Mosca!$F13=DC$4,Radar_Mosca!$AA13=DC$3),Radar_Mosca!$S13,NA()),NA())</f>
        <v>#N/A</v>
      </c>
      <c r="DD13" t="e">
        <f>IF(AND(ISNUMBER(Radar_Mosca!$F13),ISNUMBER(Radar_Mosca!$S13)),IF(AND(Radar_Mosca!$F13=DD$4,Radar_Mosca!$AA13=DD$3),Radar_Mosca!$S13,NA()),NA())</f>
        <v>#N/A</v>
      </c>
      <c r="DE13" t="e">
        <f>IF(AND(ISNUMBER(Radar_Mosca!$F13),ISNUMBER(Radar_Mosca!$S13)),IF(AND(Radar_Mosca!$F13=DE$4,Radar_Mosca!$AA13=DE$3),Radar_Mosca!$S13,NA()),NA())</f>
        <v>#N/A</v>
      </c>
      <c r="DF13" t="e">
        <f>IF(AND(ISNUMBER(Radar_Mosca!$F13),ISNUMBER(Radar_Mosca!$S13)),IF(AND(Radar_Mosca!$F13=DF$4,Radar_Mosca!$AA13=DF$3),Radar_Mosca!$S13,NA()),NA())</f>
        <v>#N/A</v>
      </c>
      <c r="DG13">
        <f>IF(AND(ISNUMBER(Radar_Mosca!$F13),ISNUMBER(Radar_Mosca!$S13)),IF(AND(Radar_Mosca!$F13=DG$4,Radar_Mosca!$AA13=DG$3),Radar_Mosca!$S13,NA()),NA())</f>
        <v>1.6250000000000004</v>
      </c>
      <c r="DH13" t="e">
        <f>IF(AND(ISNUMBER(Radar_Mosca!$F13),ISNUMBER(Radar_Mosca!$S13)),IF(AND(Radar_Mosca!$F13=DH$4,Radar_Mosca!$AA13=DH$3),Radar_Mosca!$S13,NA()),NA())</f>
        <v>#N/A</v>
      </c>
      <c r="DI13" t="e">
        <f>IF(AND(ISNUMBER(Radar_Mosca!$F13),ISNUMBER(Radar_Mosca!$S13)),IF(AND(Radar_Mosca!$F13=DI$4,Radar_Mosca!$AA13=DI$3),Radar_Mosca!$S13,NA()),NA())</f>
        <v>#N/A</v>
      </c>
      <c r="DJ13" t="e">
        <f>IF(AND(ISNUMBER(Radar_Mosca!$F13),ISNUMBER(Radar_Mosca!$S13)),IF(AND(Radar_Mosca!$F13=DJ$4,Radar_Mosca!$AA13=DJ$3),Radar_Mosca!$S13,NA()),NA())</f>
        <v>#N/A</v>
      </c>
      <c r="DK13" t="e">
        <f>IF(AND(ISNUMBER(Radar_Mosca!$F13),ISNUMBER(Radar_Mosca!$S13)),IF(AND(Radar_Mosca!$F13=DK$4,Radar_Mosca!$AA13=DK$3),Radar_Mosca!$S13,NA()),NA())</f>
        <v>#N/A</v>
      </c>
      <c r="DL13" t="e">
        <f>IF(AND(ISNUMBER(Radar_Mosca!$F13),ISNUMBER(Radar_Mosca!$S13)),IF(AND(Radar_Mosca!$F13=DL$4,Radar_Mosca!$AA13=DL$3),Radar_Mosca!$S13,NA()),NA())</f>
        <v>#N/A</v>
      </c>
      <c r="DM13" t="e">
        <f>IF(AND(ISNUMBER(Radar_Mosca!$F13),ISNUMBER(Radar_Mosca!$S13)),IF(AND(Radar_Mosca!$F13=DM$4,Radar_Mosca!$AA13=DM$3),Radar_Mosca!$S13,NA()),NA())</f>
        <v>#N/A</v>
      </c>
      <c r="DN13" t="e">
        <f>IF(AND(ISNUMBER(Radar_Mosca!$F13),ISNUMBER(Radar_Mosca!$S13)),IF(AND(Radar_Mosca!$F13=DN$4,Radar_Mosca!$AA13=DN$3),Radar_Mosca!$S13,NA()),NA())</f>
        <v>#N/A</v>
      </c>
      <c r="DO13">
        <f>IF(ISNUMBER(Radar_Mosca!$R13),Radar_Mosca!$R13,NA())</f>
        <v>2.8145825622994254</v>
      </c>
      <c r="DP13" t="str">
        <f>IF(Radar_Mosca!$A13="","",MID(Radar_Mosca!$A13,5,3)&amp;IF(Radar_Mosca!$T13="Sì"," ◆",""))</f>
        <v>09 ◆</v>
      </c>
      <c r="DQ13">
        <f>IF(ISNUMBER(Radar_Mosca!$S13),Radar_Mosca!$S13,NA())</f>
        <v>1.6250000000000004</v>
      </c>
      <c r="DR13" t="s">
        <v>31</v>
      </c>
      <c r="DS13">
        <v>6.5</v>
      </c>
      <c r="DT13">
        <v>-9.1</v>
      </c>
    </row>
    <row r="14" spans="1:124" ht="25" customHeight="1" x14ac:dyDescent="0.4">
      <c r="A14" s="14">
        <f>Classifica!$A$9</f>
        <v>5</v>
      </c>
      <c r="B14" s="147" t="str">
        <f>IF(Classifica!$B$9="","",Classifica!$B$9&amp;"  "&amp;Classifica!$C$9&amp;IFERROR(IF(INDEX(ANA_Attenzione_Supervisore,Classifica!$U$9)="Sì","  ◆",""),""))</f>
        <v>NFR-03  Greenwashing nella commercializzazione di prodotti ESG</v>
      </c>
      <c r="C14" s="148"/>
      <c r="D14" s="148"/>
      <c r="E14" s="148"/>
      <c r="F14" s="17">
        <f>IF(Classifica!$B$9="","",Classifica!$D$9)</f>
        <v>3</v>
      </c>
      <c r="G14" s="18">
        <f>IF(Classifica!$B$9="","",IF(ISNUMBER(Classifica!$F$9),Classifica!$F$9,"nuovo"))</f>
        <v>0</v>
      </c>
      <c r="H14" s="19" t="str">
        <f>IF(Classifica!$B$9="","",IF(LEFT(Classifica!$H$9,9)="AGIRE ORA","AGIRE ORA",IF(LEFT(Classifica!$H$9,11)="Agire entro","Entro l'anno",Classifica!$H$9)))</f>
        <v>Entro l'anno</v>
      </c>
      <c r="J14" s="20">
        <v>1</v>
      </c>
      <c r="K14" s="21" t="str">
        <f>SUBSTITUTE(SUBSTITUTE(Matrice!C9," ◆",""),"NFR-","")</f>
        <v/>
      </c>
      <c r="L14" s="21" t="str">
        <f>SUBSTITUTE(SUBSTITUTE(Matrice!D9," ◆",""),"NFR-","")</f>
        <v/>
      </c>
      <c r="M14" s="21" t="str">
        <f>SUBSTITUTE(SUBSTITUTE(Matrice!E9," ◆",""),"NFR-","")</f>
        <v/>
      </c>
      <c r="N14" s="21" t="str">
        <f>SUBSTITUTE(SUBSTITUTE(Matrice!F9," ◆",""),"NFR-","")</f>
        <v/>
      </c>
      <c r="O14" s="21" t="str">
        <f>SUBSTITUTE(SUBSTITUTE(Matrice!G9," ◆",""),"NFR-","")</f>
        <v/>
      </c>
      <c r="T14" t="str">
        <f>IF(Radar_Mosca!$AA$14="Attivazione",Radar_Mosca!$A$14,"")</f>
        <v/>
      </c>
      <c r="BH14">
        <f>2*PI()*9/72</f>
        <v>0.78539816339744828</v>
      </c>
      <c r="BI14">
        <f t="shared" si="0"/>
        <v>1.4142135623730949</v>
      </c>
      <c r="BJ14">
        <f t="shared" si="1"/>
        <v>1.4142135623730951</v>
      </c>
      <c r="BK14">
        <f t="shared" si="2"/>
        <v>2.1213203435596424</v>
      </c>
      <c r="BL14">
        <f t="shared" si="3"/>
        <v>2.1213203435596428</v>
      </c>
      <c r="BM14">
        <f t="shared" si="4"/>
        <v>2.8284271247461898</v>
      </c>
      <c r="BN14">
        <f t="shared" si="5"/>
        <v>2.8284271247461903</v>
      </c>
      <c r="BO14">
        <f t="shared" si="6"/>
        <v>3.5355339059327373</v>
      </c>
      <c r="BP14">
        <f t="shared" si="7"/>
        <v>3.5355339059327378</v>
      </c>
      <c r="BR14">
        <f>6.3*SIN(2*PI()*4/ROWS(codiciL1))</f>
        <v>2.154726902951714</v>
      </c>
      <c r="BS14">
        <f>6.3*COS(2*PI()*4/ROWS(codiciL1))</f>
        <v>-5.9200635109512225</v>
      </c>
      <c r="BY14" t="e">
        <f>IF(AND(ISNUMBER(Radar_Mosca!$F14),ISNUMBER(Radar_Mosca!$S14)),IF(AND(Radar_Mosca!$F14=BY$4,Radar_Mosca!$AA14=BY$3),Radar_Mosca!$S14,NA()),NA())</f>
        <v>#N/A</v>
      </c>
      <c r="BZ14" t="e">
        <f>IF(AND(ISNUMBER(Radar_Mosca!$F14),ISNUMBER(Radar_Mosca!$S14)),IF(AND(Radar_Mosca!$F14=BZ$4,Radar_Mosca!$AA14=BZ$3),Radar_Mosca!$S14,NA()),NA())</f>
        <v>#N/A</v>
      </c>
      <c r="CA14" t="e">
        <f>IF(AND(ISNUMBER(Radar_Mosca!$F14),ISNUMBER(Radar_Mosca!$S14)),IF(AND(Radar_Mosca!$F14=CA$4,Radar_Mosca!$AA14=CA$3),Radar_Mosca!$S14,NA()),NA())</f>
        <v>#N/A</v>
      </c>
      <c r="CB14" t="e">
        <f>IF(AND(ISNUMBER(Radar_Mosca!$F14),ISNUMBER(Radar_Mosca!$S14)),IF(AND(Radar_Mosca!$F14=CB$4,Radar_Mosca!$AA14=CB$3),Radar_Mosca!$S14,NA()),NA())</f>
        <v>#N/A</v>
      </c>
      <c r="CC14" t="e">
        <f>IF(AND(ISNUMBER(Radar_Mosca!$F14),ISNUMBER(Radar_Mosca!$S14)),IF(AND(Radar_Mosca!$F14=CC$4,Radar_Mosca!$AA14=CC$3),Radar_Mosca!$S14,NA()),NA())</f>
        <v>#N/A</v>
      </c>
      <c r="CD14" t="e">
        <f>IF(AND(ISNUMBER(Radar_Mosca!$F14),ISNUMBER(Radar_Mosca!$S14)),IF(AND(Radar_Mosca!$F14=CD$4,Radar_Mosca!$AA14=CD$3),Radar_Mosca!$S14,NA()),NA())</f>
        <v>#N/A</v>
      </c>
      <c r="CE14" t="e">
        <f>IF(AND(ISNUMBER(Radar_Mosca!$F14),ISNUMBER(Radar_Mosca!$S14)),IF(AND(Radar_Mosca!$F14=CE$4,Radar_Mosca!$AA14=CE$3),Radar_Mosca!$S14,NA()),NA())</f>
        <v>#N/A</v>
      </c>
      <c r="CF14" t="e">
        <f>IF(AND(ISNUMBER(Radar_Mosca!$F14),ISNUMBER(Radar_Mosca!$S14)),IF(AND(Radar_Mosca!$F14=CF$4,Radar_Mosca!$AA14=CF$3),Radar_Mosca!$S14,NA()),NA())</f>
        <v>#N/A</v>
      </c>
      <c r="CG14" t="e">
        <f>IF(AND(ISNUMBER(Radar_Mosca!$F14),ISNUMBER(Radar_Mosca!$S14)),IF(AND(Radar_Mosca!$F14=CG$4,Radar_Mosca!$AA14=CG$3),Radar_Mosca!$S14,NA()),NA())</f>
        <v>#N/A</v>
      </c>
      <c r="CH14" t="e">
        <f>IF(AND(ISNUMBER(Radar_Mosca!$F14),ISNUMBER(Radar_Mosca!$S14)),IF(AND(Radar_Mosca!$F14=CH$4,Radar_Mosca!$AA14=CH$3),Radar_Mosca!$S14,NA()),NA())</f>
        <v>#N/A</v>
      </c>
      <c r="CI14" t="e">
        <f>IF(AND(ISNUMBER(Radar_Mosca!$F14),ISNUMBER(Radar_Mosca!$S14)),IF(AND(Radar_Mosca!$F14=CI$4,Radar_Mosca!$AA14=CI$3),Radar_Mosca!$S14,NA()),NA())</f>
        <v>#N/A</v>
      </c>
      <c r="CJ14" t="e">
        <f>IF(AND(ISNUMBER(Radar_Mosca!$F14),ISNUMBER(Radar_Mosca!$S14)),IF(AND(Radar_Mosca!$F14=CJ$4,Radar_Mosca!$AA14=CJ$3),Radar_Mosca!$S14,NA()),NA())</f>
        <v>#N/A</v>
      </c>
      <c r="CK14" t="e">
        <f>IF(AND(ISNUMBER(Radar_Mosca!$F14),ISNUMBER(Radar_Mosca!$S14)),IF(AND(Radar_Mosca!$F14=CK$4,Radar_Mosca!$AA14=CK$3),Radar_Mosca!$S14,NA()),NA())</f>
        <v>#N/A</v>
      </c>
      <c r="CL14" t="e">
        <f>IF(AND(ISNUMBER(Radar_Mosca!$F14),ISNUMBER(Radar_Mosca!$S14)),IF(AND(Radar_Mosca!$F14=CL$4,Radar_Mosca!$AA14=CL$3),Radar_Mosca!$S14,NA()),NA())</f>
        <v>#N/A</v>
      </c>
      <c r="CM14" t="e">
        <f>IF(AND(ISNUMBER(Radar_Mosca!$F14),ISNUMBER(Radar_Mosca!$S14)),IF(AND(Radar_Mosca!$F14=CM$4,Radar_Mosca!$AA14=CM$3),Radar_Mosca!$S14,NA()),NA())</f>
        <v>#N/A</v>
      </c>
      <c r="CN14" t="e">
        <f>IF(AND(ISNUMBER(Radar_Mosca!$F14),ISNUMBER(Radar_Mosca!$S14)),IF(AND(Radar_Mosca!$F14=CN$4,Radar_Mosca!$AA14=CN$3),Radar_Mosca!$S14,NA()),NA())</f>
        <v>#N/A</v>
      </c>
      <c r="CO14" t="e">
        <f>IF(AND(ISNUMBER(Radar_Mosca!$F14),ISNUMBER(Radar_Mosca!$S14)),IF(AND(Radar_Mosca!$F14=CO$4,Radar_Mosca!$AA14=CO$3),Radar_Mosca!$S14,NA()),NA())</f>
        <v>#N/A</v>
      </c>
      <c r="CP14" t="e">
        <f>IF(AND(ISNUMBER(Radar_Mosca!$F14),ISNUMBER(Radar_Mosca!$S14)),IF(AND(Radar_Mosca!$F14=CP$4,Radar_Mosca!$AA14=CP$3),Radar_Mosca!$S14,NA()),NA())</f>
        <v>#N/A</v>
      </c>
      <c r="CQ14" t="e">
        <f>IF(AND(ISNUMBER(Radar_Mosca!$F14),ISNUMBER(Radar_Mosca!$S14)),IF(AND(Radar_Mosca!$F14=CQ$4,Radar_Mosca!$AA14=CQ$3),Radar_Mosca!$S14,NA()),NA())</f>
        <v>#N/A</v>
      </c>
      <c r="CR14" t="e">
        <f>IF(AND(ISNUMBER(Radar_Mosca!$F14),ISNUMBER(Radar_Mosca!$S14)),IF(AND(Radar_Mosca!$F14=CR$4,Radar_Mosca!$AA14=CR$3),Radar_Mosca!$S14,NA()),NA())</f>
        <v>#N/A</v>
      </c>
      <c r="CS14" t="e">
        <f>IF(AND(ISNUMBER(Radar_Mosca!$F14),ISNUMBER(Radar_Mosca!$S14)),IF(AND(Radar_Mosca!$F14=CS$4,Radar_Mosca!$AA14=CS$3),Radar_Mosca!$S14,NA()),NA())</f>
        <v>#N/A</v>
      </c>
      <c r="CT14" t="e">
        <f>IF(AND(ISNUMBER(Radar_Mosca!$F14),ISNUMBER(Radar_Mosca!$S14)),IF(AND(Radar_Mosca!$F14=CT$4,Radar_Mosca!$AA14=CT$3),Radar_Mosca!$S14,NA()),NA())</f>
        <v>#N/A</v>
      </c>
      <c r="CU14" t="e">
        <f>IF(AND(ISNUMBER(Radar_Mosca!$F14),ISNUMBER(Radar_Mosca!$S14)),IF(AND(Radar_Mosca!$F14=CU$4,Radar_Mosca!$AA14=CU$3),Radar_Mosca!$S14,NA()),NA())</f>
        <v>#N/A</v>
      </c>
      <c r="CV14" t="e">
        <f>IF(AND(ISNUMBER(Radar_Mosca!$F14),ISNUMBER(Radar_Mosca!$S14)),IF(AND(Radar_Mosca!$F14=CV$4,Radar_Mosca!$AA14=CV$3),Radar_Mosca!$S14,NA()),NA())</f>
        <v>#N/A</v>
      </c>
      <c r="CW14" t="e">
        <f>IF(AND(ISNUMBER(Radar_Mosca!$F14),ISNUMBER(Radar_Mosca!$S14)),IF(AND(Radar_Mosca!$F14=CW$4,Radar_Mosca!$AA14=CW$3),Radar_Mosca!$S14,NA()),NA())</f>
        <v>#N/A</v>
      </c>
      <c r="CX14" t="e">
        <f>IF(AND(ISNUMBER(Radar_Mosca!$F14),ISNUMBER(Radar_Mosca!$S14)),IF(AND(Radar_Mosca!$F14=CX$4,Radar_Mosca!$AA14=CX$3),Radar_Mosca!$S14,NA()),NA())</f>
        <v>#N/A</v>
      </c>
      <c r="CY14" t="e">
        <f>IF(AND(ISNUMBER(Radar_Mosca!$F14),ISNUMBER(Radar_Mosca!$S14)),IF(AND(Radar_Mosca!$F14=CY$4,Radar_Mosca!$AA14=CY$3),Radar_Mosca!$S14,NA()),NA())</f>
        <v>#N/A</v>
      </c>
      <c r="CZ14" t="e">
        <f>IF(AND(ISNUMBER(Radar_Mosca!$F14),ISNUMBER(Radar_Mosca!$S14)),IF(AND(Radar_Mosca!$F14=CZ$4,Radar_Mosca!$AA14=CZ$3),Radar_Mosca!$S14,NA()),NA())</f>
        <v>#N/A</v>
      </c>
      <c r="DA14" t="e">
        <f>IF(AND(ISNUMBER(Radar_Mosca!$F14),ISNUMBER(Radar_Mosca!$S14)),IF(AND(Radar_Mosca!$F14=DA$4,Radar_Mosca!$AA14=DA$3),Radar_Mosca!$S14,NA()),NA())</f>
        <v>#N/A</v>
      </c>
      <c r="DB14" t="e">
        <f>IF(AND(ISNUMBER(Radar_Mosca!$F14),ISNUMBER(Radar_Mosca!$S14)),IF(AND(Radar_Mosca!$F14=DB$4,Radar_Mosca!$AA14=DB$3),Radar_Mosca!$S14,NA()),NA())</f>
        <v>#N/A</v>
      </c>
      <c r="DC14" t="e">
        <f>IF(AND(ISNUMBER(Radar_Mosca!$F14),ISNUMBER(Radar_Mosca!$S14)),IF(AND(Radar_Mosca!$F14=DC$4,Radar_Mosca!$AA14=DC$3),Radar_Mosca!$S14,NA()),NA())</f>
        <v>#N/A</v>
      </c>
      <c r="DD14" t="e">
        <f>IF(AND(ISNUMBER(Radar_Mosca!$F14),ISNUMBER(Radar_Mosca!$S14)),IF(AND(Radar_Mosca!$F14=DD$4,Radar_Mosca!$AA14=DD$3),Radar_Mosca!$S14,NA()),NA())</f>
        <v>#N/A</v>
      </c>
      <c r="DE14" t="e">
        <f>IF(AND(ISNUMBER(Radar_Mosca!$F14),ISNUMBER(Radar_Mosca!$S14)),IF(AND(Radar_Mosca!$F14=DE$4,Radar_Mosca!$AA14=DE$3),Radar_Mosca!$S14,NA()),NA())</f>
        <v>#N/A</v>
      </c>
      <c r="DF14" t="e">
        <f>IF(AND(ISNUMBER(Radar_Mosca!$F14),ISNUMBER(Radar_Mosca!$S14)),IF(AND(Radar_Mosca!$F14=DF$4,Radar_Mosca!$AA14=DF$3),Radar_Mosca!$S14,NA()),NA())</f>
        <v>#N/A</v>
      </c>
      <c r="DG14" t="e">
        <f>IF(AND(ISNUMBER(Radar_Mosca!$F14),ISNUMBER(Radar_Mosca!$S14)),IF(AND(Radar_Mosca!$F14=DG$4,Radar_Mosca!$AA14=DG$3),Radar_Mosca!$S14,NA()),NA())</f>
        <v>#N/A</v>
      </c>
      <c r="DH14">
        <f>IF(AND(ISNUMBER(Radar_Mosca!$F14),ISNUMBER(Radar_Mosca!$S14)),IF(AND(Radar_Mosca!$F14=DH$4,Radar_Mosca!$AA14=DH$3),Radar_Mosca!$S14,NA()),NA())</f>
        <v>2.598076211353316</v>
      </c>
      <c r="DI14" t="e">
        <f>IF(AND(ISNUMBER(Radar_Mosca!$F14),ISNUMBER(Radar_Mosca!$S14)),IF(AND(Radar_Mosca!$F14=DI$4,Radar_Mosca!$AA14=DI$3),Radar_Mosca!$S14,NA()),NA())</f>
        <v>#N/A</v>
      </c>
      <c r="DJ14" t="e">
        <f>IF(AND(ISNUMBER(Radar_Mosca!$F14),ISNUMBER(Radar_Mosca!$S14)),IF(AND(Radar_Mosca!$F14=DJ$4,Radar_Mosca!$AA14=DJ$3),Radar_Mosca!$S14,NA()),NA())</f>
        <v>#N/A</v>
      </c>
      <c r="DK14" t="e">
        <f>IF(AND(ISNUMBER(Radar_Mosca!$F14),ISNUMBER(Radar_Mosca!$S14)),IF(AND(Radar_Mosca!$F14=DK$4,Radar_Mosca!$AA14=DK$3),Radar_Mosca!$S14,NA()),NA())</f>
        <v>#N/A</v>
      </c>
      <c r="DL14" t="e">
        <f>IF(AND(ISNUMBER(Radar_Mosca!$F14),ISNUMBER(Radar_Mosca!$S14)),IF(AND(Radar_Mosca!$F14=DL$4,Radar_Mosca!$AA14=DL$3),Radar_Mosca!$S14,NA()),NA())</f>
        <v>#N/A</v>
      </c>
      <c r="DM14" t="e">
        <f>IF(AND(ISNUMBER(Radar_Mosca!$F14),ISNUMBER(Radar_Mosca!$S14)),IF(AND(Radar_Mosca!$F14=DM$4,Radar_Mosca!$AA14=DM$3),Radar_Mosca!$S14,NA()),NA())</f>
        <v>#N/A</v>
      </c>
      <c r="DN14" t="e">
        <f>IF(AND(ISNUMBER(Radar_Mosca!$F14),ISNUMBER(Radar_Mosca!$S14)),IF(AND(Radar_Mosca!$F14=DN$4,Radar_Mosca!$AA14=DN$3),Radar_Mosca!$S14,NA()),NA())</f>
        <v>#N/A</v>
      </c>
      <c r="DO14">
        <f>IF(ISNUMBER(Radar_Mosca!$R14),Radar_Mosca!$R14,NA())</f>
        <v>1.4999999999999998</v>
      </c>
      <c r="DP14" t="str">
        <f>IF(Radar_Mosca!$A14="","",MID(Radar_Mosca!$A14,5,3)&amp;IF(Radar_Mosca!$T14="Sì"," ◆",""))</f>
        <v>10</v>
      </c>
      <c r="DQ14">
        <f>IF(ISNUMBER(Radar_Mosca!$S14),Radar_Mosca!$S14,NA())</f>
        <v>2.598076211353316</v>
      </c>
    </row>
    <row r="15" spans="1:124" x14ac:dyDescent="0.4">
      <c r="A15" s="24" t="s">
        <v>32</v>
      </c>
      <c r="J15" s="24" t="s">
        <v>33</v>
      </c>
      <c r="T15" t="str">
        <f>IF(Radar_Mosca!$AA$15="Attivazione",Radar_Mosca!$A$15,"")</f>
        <v>NFR-11</v>
      </c>
      <c r="BH15">
        <f>2*PI()*10/72</f>
        <v>0.87266462599716477</v>
      </c>
      <c r="BI15">
        <f t="shared" si="0"/>
        <v>1.532088886237956</v>
      </c>
      <c r="BJ15">
        <f t="shared" si="1"/>
        <v>1.2855752193730787</v>
      </c>
      <c r="BK15">
        <f t="shared" si="2"/>
        <v>2.2981333293569342</v>
      </c>
      <c r="BL15">
        <f t="shared" si="3"/>
        <v>1.9283628290596182</v>
      </c>
      <c r="BM15">
        <f t="shared" si="4"/>
        <v>3.0641777724759121</v>
      </c>
      <c r="BN15">
        <f t="shared" si="5"/>
        <v>2.5711504387461575</v>
      </c>
      <c r="BO15">
        <f t="shared" si="6"/>
        <v>3.83022221559489</v>
      </c>
      <c r="BP15">
        <f t="shared" si="7"/>
        <v>3.2139380484326967</v>
      </c>
      <c r="BR15">
        <v>0</v>
      </c>
      <c r="BS15">
        <v>0</v>
      </c>
      <c r="BY15" t="e">
        <f>IF(AND(ISNUMBER(Radar_Mosca!$F15),ISNUMBER(Radar_Mosca!$S15)),IF(AND(Radar_Mosca!$F15=BY$4,Radar_Mosca!$AA15=BY$3),Radar_Mosca!$S15,NA()),NA())</f>
        <v>#N/A</v>
      </c>
      <c r="BZ15" t="e">
        <f>IF(AND(ISNUMBER(Radar_Mosca!$F15),ISNUMBER(Radar_Mosca!$S15)),IF(AND(Radar_Mosca!$F15=BZ$4,Radar_Mosca!$AA15=BZ$3),Radar_Mosca!$S15,NA()),NA())</f>
        <v>#N/A</v>
      </c>
      <c r="CA15" t="e">
        <f>IF(AND(ISNUMBER(Radar_Mosca!$F15),ISNUMBER(Radar_Mosca!$S15)),IF(AND(Radar_Mosca!$F15=CA$4,Radar_Mosca!$AA15=CA$3),Radar_Mosca!$S15,NA()),NA())</f>
        <v>#N/A</v>
      </c>
      <c r="CB15" t="e">
        <f>IF(AND(ISNUMBER(Radar_Mosca!$F15),ISNUMBER(Radar_Mosca!$S15)),IF(AND(Radar_Mosca!$F15=CB$4,Radar_Mosca!$AA15=CB$3),Radar_Mosca!$S15,NA()),NA())</f>
        <v>#N/A</v>
      </c>
      <c r="CC15" t="e">
        <f>IF(AND(ISNUMBER(Radar_Mosca!$F15),ISNUMBER(Radar_Mosca!$S15)),IF(AND(Radar_Mosca!$F15=CC$4,Radar_Mosca!$AA15=CC$3),Radar_Mosca!$S15,NA()),NA())</f>
        <v>#N/A</v>
      </c>
      <c r="CD15" t="e">
        <f>IF(AND(ISNUMBER(Radar_Mosca!$F15),ISNUMBER(Radar_Mosca!$S15)),IF(AND(Radar_Mosca!$F15=CD$4,Radar_Mosca!$AA15=CD$3),Radar_Mosca!$S15,NA()),NA())</f>
        <v>#N/A</v>
      </c>
      <c r="CE15" t="e">
        <f>IF(AND(ISNUMBER(Radar_Mosca!$F15),ISNUMBER(Radar_Mosca!$S15)),IF(AND(Radar_Mosca!$F15=CE$4,Radar_Mosca!$AA15=CE$3),Radar_Mosca!$S15,NA()),NA())</f>
        <v>#N/A</v>
      </c>
      <c r="CF15">
        <f>IF(AND(ISNUMBER(Radar_Mosca!$F15),ISNUMBER(Radar_Mosca!$S15)),IF(AND(Radar_Mosca!$F15=CF$4,Radar_Mosca!$AA15=CF$3),Radar_Mosca!$S15,NA()),NA())</f>
        <v>-0.45962666587138673</v>
      </c>
      <c r="CG15" t="e">
        <f>IF(AND(ISNUMBER(Radar_Mosca!$F15),ISNUMBER(Radar_Mosca!$S15)),IF(AND(Radar_Mosca!$F15=CG$4,Radar_Mosca!$AA15=CG$3),Radar_Mosca!$S15,NA()),NA())</f>
        <v>#N/A</v>
      </c>
      <c r="CH15" t="e">
        <f>IF(AND(ISNUMBER(Radar_Mosca!$F15),ISNUMBER(Radar_Mosca!$S15)),IF(AND(Radar_Mosca!$F15=CH$4,Radar_Mosca!$AA15=CH$3),Radar_Mosca!$S15,NA()),NA())</f>
        <v>#N/A</v>
      </c>
      <c r="CI15" t="e">
        <f>IF(AND(ISNUMBER(Radar_Mosca!$F15),ISNUMBER(Radar_Mosca!$S15)),IF(AND(Radar_Mosca!$F15=CI$4,Radar_Mosca!$AA15=CI$3),Radar_Mosca!$S15,NA()),NA())</f>
        <v>#N/A</v>
      </c>
      <c r="CJ15" t="e">
        <f>IF(AND(ISNUMBER(Radar_Mosca!$F15),ISNUMBER(Radar_Mosca!$S15)),IF(AND(Radar_Mosca!$F15=CJ$4,Radar_Mosca!$AA15=CJ$3),Radar_Mosca!$S15,NA()),NA())</f>
        <v>#N/A</v>
      </c>
      <c r="CK15" t="e">
        <f>IF(AND(ISNUMBER(Radar_Mosca!$F15),ISNUMBER(Radar_Mosca!$S15)),IF(AND(Radar_Mosca!$F15=CK$4,Radar_Mosca!$AA15=CK$3),Radar_Mosca!$S15,NA()),NA())</f>
        <v>#N/A</v>
      </c>
      <c r="CL15" t="e">
        <f>IF(AND(ISNUMBER(Radar_Mosca!$F15),ISNUMBER(Radar_Mosca!$S15)),IF(AND(Radar_Mosca!$F15=CL$4,Radar_Mosca!$AA15=CL$3),Radar_Mosca!$S15,NA()),NA())</f>
        <v>#N/A</v>
      </c>
      <c r="CM15" t="e">
        <f>IF(AND(ISNUMBER(Radar_Mosca!$F15),ISNUMBER(Radar_Mosca!$S15)),IF(AND(Radar_Mosca!$F15=CM$4,Radar_Mosca!$AA15=CM$3),Radar_Mosca!$S15,NA()),NA())</f>
        <v>#N/A</v>
      </c>
      <c r="CN15" t="e">
        <f>IF(AND(ISNUMBER(Radar_Mosca!$F15),ISNUMBER(Radar_Mosca!$S15)),IF(AND(Radar_Mosca!$F15=CN$4,Radar_Mosca!$AA15=CN$3),Radar_Mosca!$S15,NA()),NA())</f>
        <v>#N/A</v>
      </c>
      <c r="CO15" t="e">
        <f>IF(AND(ISNUMBER(Radar_Mosca!$F15),ISNUMBER(Radar_Mosca!$S15)),IF(AND(Radar_Mosca!$F15=CO$4,Radar_Mosca!$AA15=CO$3),Radar_Mosca!$S15,NA()),NA())</f>
        <v>#N/A</v>
      </c>
      <c r="CP15" t="e">
        <f>IF(AND(ISNUMBER(Radar_Mosca!$F15),ISNUMBER(Radar_Mosca!$S15)),IF(AND(Radar_Mosca!$F15=CP$4,Radar_Mosca!$AA15=CP$3),Radar_Mosca!$S15,NA()),NA())</f>
        <v>#N/A</v>
      </c>
      <c r="CQ15" t="e">
        <f>IF(AND(ISNUMBER(Radar_Mosca!$F15),ISNUMBER(Radar_Mosca!$S15)),IF(AND(Radar_Mosca!$F15=CQ$4,Radar_Mosca!$AA15=CQ$3),Radar_Mosca!$S15,NA()),NA())</f>
        <v>#N/A</v>
      </c>
      <c r="CR15" t="e">
        <f>IF(AND(ISNUMBER(Radar_Mosca!$F15),ISNUMBER(Radar_Mosca!$S15)),IF(AND(Radar_Mosca!$F15=CR$4,Radar_Mosca!$AA15=CR$3),Radar_Mosca!$S15,NA()),NA())</f>
        <v>#N/A</v>
      </c>
      <c r="CS15" t="e">
        <f>IF(AND(ISNUMBER(Radar_Mosca!$F15),ISNUMBER(Radar_Mosca!$S15)),IF(AND(Radar_Mosca!$F15=CS$4,Radar_Mosca!$AA15=CS$3),Radar_Mosca!$S15,NA()),NA())</f>
        <v>#N/A</v>
      </c>
      <c r="CT15" t="e">
        <f>IF(AND(ISNUMBER(Radar_Mosca!$F15),ISNUMBER(Radar_Mosca!$S15)),IF(AND(Radar_Mosca!$F15=CT$4,Radar_Mosca!$AA15=CT$3),Radar_Mosca!$S15,NA()),NA())</f>
        <v>#N/A</v>
      </c>
      <c r="CU15" t="e">
        <f>IF(AND(ISNUMBER(Radar_Mosca!$F15),ISNUMBER(Radar_Mosca!$S15)),IF(AND(Radar_Mosca!$F15=CU$4,Radar_Mosca!$AA15=CU$3),Radar_Mosca!$S15,NA()),NA())</f>
        <v>#N/A</v>
      </c>
      <c r="CV15" t="e">
        <f>IF(AND(ISNUMBER(Radar_Mosca!$F15),ISNUMBER(Radar_Mosca!$S15)),IF(AND(Radar_Mosca!$F15=CV$4,Radar_Mosca!$AA15=CV$3),Radar_Mosca!$S15,NA()),NA())</f>
        <v>#N/A</v>
      </c>
      <c r="CW15" t="e">
        <f>IF(AND(ISNUMBER(Radar_Mosca!$F15),ISNUMBER(Radar_Mosca!$S15)),IF(AND(Radar_Mosca!$F15=CW$4,Radar_Mosca!$AA15=CW$3),Radar_Mosca!$S15,NA()),NA())</f>
        <v>#N/A</v>
      </c>
      <c r="CX15" t="e">
        <f>IF(AND(ISNUMBER(Radar_Mosca!$F15),ISNUMBER(Radar_Mosca!$S15)),IF(AND(Radar_Mosca!$F15=CX$4,Radar_Mosca!$AA15=CX$3),Radar_Mosca!$S15,NA()),NA())</f>
        <v>#N/A</v>
      </c>
      <c r="CY15" t="e">
        <f>IF(AND(ISNUMBER(Radar_Mosca!$F15),ISNUMBER(Radar_Mosca!$S15)),IF(AND(Radar_Mosca!$F15=CY$4,Radar_Mosca!$AA15=CY$3),Radar_Mosca!$S15,NA()),NA())</f>
        <v>#N/A</v>
      </c>
      <c r="CZ15" t="e">
        <f>IF(AND(ISNUMBER(Radar_Mosca!$F15),ISNUMBER(Radar_Mosca!$S15)),IF(AND(Radar_Mosca!$F15=CZ$4,Radar_Mosca!$AA15=CZ$3),Radar_Mosca!$S15,NA()),NA())</f>
        <v>#N/A</v>
      </c>
      <c r="DA15" t="e">
        <f>IF(AND(ISNUMBER(Radar_Mosca!$F15),ISNUMBER(Radar_Mosca!$S15)),IF(AND(Radar_Mosca!$F15=DA$4,Radar_Mosca!$AA15=DA$3),Radar_Mosca!$S15,NA()),NA())</f>
        <v>#N/A</v>
      </c>
      <c r="DB15" t="e">
        <f>IF(AND(ISNUMBER(Radar_Mosca!$F15),ISNUMBER(Radar_Mosca!$S15)),IF(AND(Radar_Mosca!$F15=DB$4,Radar_Mosca!$AA15=DB$3),Radar_Mosca!$S15,NA()),NA())</f>
        <v>#N/A</v>
      </c>
      <c r="DC15" t="e">
        <f>IF(AND(ISNUMBER(Radar_Mosca!$F15),ISNUMBER(Radar_Mosca!$S15)),IF(AND(Radar_Mosca!$F15=DC$4,Radar_Mosca!$AA15=DC$3),Radar_Mosca!$S15,NA()),NA())</f>
        <v>#N/A</v>
      </c>
      <c r="DD15" t="e">
        <f>IF(AND(ISNUMBER(Radar_Mosca!$F15),ISNUMBER(Radar_Mosca!$S15)),IF(AND(Radar_Mosca!$F15=DD$4,Radar_Mosca!$AA15=DD$3),Radar_Mosca!$S15,NA()),NA())</f>
        <v>#N/A</v>
      </c>
      <c r="DE15" t="e">
        <f>IF(AND(ISNUMBER(Radar_Mosca!$F15),ISNUMBER(Radar_Mosca!$S15)),IF(AND(Radar_Mosca!$F15=DE$4,Radar_Mosca!$AA15=DE$3),Radar_Mosca!$S15,NA()),NA())</f>
        <v>#N/A</v>
      </c>
      <c r="DF15" t="e">
        <f>IF(AND(ISNUMBER(Radar_Mosca!$F15),ISNUMBER(Radar_Mosca!$S15)),IF(AND(Radar_Mosca!$F15=DF$4,Radar_Mosca!$AA15=DF$3),Radar_Mosca!$S15,NA()),NA())</f>
        <v>#N/A</v>
      </c>
      <c r="DG15" t="e">
        <f>IF(AND(ISNUMBER(Radar_Mosca!$F15),ISNUMBER(Radar_Mosca!$S15)),IF(AND(Radar_Mosca!$F15=DG$4,Radar_Mosca!$AA15=DG$3),Radar_Mosca!$S15,NA()),NA())</f>
        <v>#N/A</v>
      </c>
      <c r="DH15" t="e">
        <f>IF(AND(ISNUMBER(Radar_Mosca!$F15),ISNUMBER(Radar_Mosca!$S15)),IF(AND(Radar_Mosca!$F15=DH$4,Radar_Mosca!$AA15=DH$3),Radar_Mosca!$S15,NA()),NA())</f>
        <v>#N/A</v>
      </c>
      <c r="DI15" t="e">
        <f>IF(AND(ISNUMBER(Radar_Mosca!$F15),ISNUMBER(Radar_Mosca!$S15)),IF(AND(Radar_Mosca!$F15=DI$4,Radar_Mosca!$AA15=DI$3),Radar_Mosca!$S15,NA()),NA())</f>
        <v>#N/A</v>
      </c>
      <c r="DJ15" t="e">
        <f>IF(AND(ISNUMBER(Radar_Mosca!$F15),ISNUMBER(Radar_Mosca!$S15)),IF(AND(Radar_Mosca!$F15=DJ$4,Radar_Mosca!$AA15=DJ$3),Radar_Mosca!$S15,NA()),NA())</f>
        <v>#N/A</v>
      </c>
      <c r="DK15" t="e">
        <f>IF(AND(ISNUMBER(Radar_Mosca!$F15),ISNUMBER(Radar_Mosca!$S15)),IF(AND(Radar_Mosca!$F15=DK$4,Radar_Mosca!$AA15=DK$3),Radar_Mosca!$S15,NA()),NA())</f>
        <v>#N/A</v>
      </c>
      <c r="DL15" t="e">
        <f>IF(AND(ISNUMBER(Radar_Mosca!$F15),ISNUMBER(Radar_Mosca!$S15)),IF(AND(Radar_Mosca!$F15=DL$4,Radar_Mosca!$AA15=DL$3),Radar_Mosca!$S15,NA()),NA())</f>
        <v>#N/A</v>
      </c>
      <c r="DM15" t="e">
        <f>IF(AND(ISNUMBER(Radar_Mosca!$F15),ISNUMBER(Radar_Mosca!$S15)),IF(AND(Radar_Mosca!$F15=DM$4,Radar_Mosca!$AA15=DM$3),Radar_Mosca!$S15,NA()),NA())</f>
        <v>#N/A</v>
      </c>
      <c r="DN15" t="e">
        <f>IF(AND(ISNUMBER(Radar_Mosca!$F15),ISNUMBER(Radar_Mosca!$S15)),IF(AND(Radar_Mosca!$F15=DN$4,Radar_Mosca!$AA15=DN$3),Radar_Mosca!$S15,NA()),NA())</f>
        <v>#N/A</v>
      </c>
      <c r="DO15">
        <f>IF(ISNUMBER(Radar_Mosca!$R15),Radar_Mosca!$R15,NA())</f>
        <v>0.38567256581192366</v>
      </c>
      <c r="DP15" t="str">
        <f>IF(Radar_Mosca!$A15="","",MID(Radar_Mosca!$A15,5,3)&amp;IF(Radar_Mosca!$T15="Sì"," ◆",""))</f>
        <v>11</v>
      </c>
      <c r="DQ15">
        <f>IF(ISNUMBER(Radar_Mosca!$S15),Radar_Mosca!$S15,NA())</f>
        <v>-0.45962666587138673</v>
      </c>
    </row>
    <row r="16" spans="1:124" ht="34" customHeight="1" x14ac:dyDescent="0.4">
      <c r="A16" s="146" t="s">
        <v>34</v>
      </c>
      <c r="B16" s="142"/>
      <c r="C16" s="170"/>
      <c r="D16" s="171"/>
      <c r="E16" s="171"/>
      <c r="F16" s="171"/>
      <c r="G16" s="171"/>
      <c r="H16" s="171"/>
      <c r="I16" s="171"/>
      <c r="J16" s="171"/>
      <c r="K16" s="171"/>
      <c r="L16" s="171"/>
      <c r="M16" s="171"/>
      <c r="N16" s="171"/>
      <c r="O16" s="171"/>
      <c r="T16" t="str">
        <f>IF(Radar_Mosca!$AA$16="Attivazione",Radar_Mosca!$A$16,"")</f>
        <v/>
      </c>
      <c r="BH16">
        <f>2*PI()*11/72</f>
        <v>0.95993108859688114</v>
      </c>
      <c r="BI16">
        <f t="shared" si="0"/>
        <v>1.6383040885779834</v>
      </c>
      <c r="BJ16">
        <f t="shared" si="1"/>
        <v>1.1471528727020923</v>
      </c>
      <c r="BK16">
        <f t="shared" si="2"/>
        <v>2.4574561328669748</v>
      </c>
      <c r="BL16">
        <f t="shared" si="3"/>
        <v>1.7207293090531386</v>
      </c>
      <c r="BM16">
        <f t="shared" si="4"/>
        <v>3.2766081771559668</v>
      </c>
      <c r="BN16">
        <f t="shared" si="5"/>
        <v>2.2943057454041846</v>
      </c>
      <c r="BO16">
        <f t="shared" si="6"/>
        <v>4.0957602214449587</v>
      </c>
      <c r="BP16">
        <f t="shared" si="7"/>
        <v>2.8678821817552307</v>
      </c>
      <c r="BR16">
        <f>6.3*SIN(2*PI()*5/ROWS(codiciL1))</f>
        <v>-2.1547269029517127</v>
      </c>
      <c r="BS16">
        <f>6.3*COS(2*PI()*5/ROWS(codiciL1))</f>
        <v>-5.9200635109512225</v>
      </c>
      <c r="BY16" t="e">
        <f>IF(AND(ISNUMBER(Radar_Mosca!$F16),ISNUMBER(Radar_Mosca!$S16)),IF(AND(Radar_Mosca!$F16=BY$4,Radar_Mosca!$AA16=BY$3),Radar_Mosca!$S16,NA()),NA())</f>
        <v>#N/A</v>
      </c>
      <c r="BZ16" t="e">
        <f>IF(AND(ISNUMBER(Radar_Mosca!$F16),ISNUMBER(Radar_Mosca!$S16)),IF(AND(Radar_Mosca!$F16=BZ$4,Radar_Mosca!$AA16=BZ$3),Radar_Mosca!$S16,NA()),NA())</f>
        <v>#N/A</v>
      </c>
      <c r="CA16" t="e">
        <f>IF(AND(ISNUMBER(Radar_Mosca!$F16),ISNUMBER(Radar_Mosca!$S16)),IF(AND(Radar_Mosca!$F16=CA$4,Radar_Mosca!$AA16=CA$3),Radar_Mosca!$S16,NA()),NA())</f>
        <v>#N/A</v>
      </c>
      <c r="CB16" t="e">
        <f>IF(AND(ISNUMBER(Radar_Mosca!$F16),ISNUMBER(Radar_Mosca!$S16)),IF(AND(Radar_Mosca!$F16=CB$4,Radar_Mosca!$AA16=CB$3),Radar_Mosca!$S16,NA()),NA())</f>
        <v>#N/A</v>
      </c>
      <c r="CC16" t="e">
        <f>IF(AND(ISNUMBER(Radar_Mosca!$F16),ISNUMBER(Radar_Mosca!$S16)),IF(AND(Radar_Mosca!$F16=CC$4,Radar_Mosca!$AA16=CC$3),Radar_Mosca!$S16,NA()),NA())</f>
        <v>#N/A</v>
      </c>
      <c r="CD16" t="e">
        <f>IF(AND(ISNUMBER(Radar_Mosca!$F16),ISNUMBER(Radar_Mosca!$S16)),IF(AND(Radar_Mosca!$F16=CD$4,Radar_Mosca!$AA16=CD$3),Radar_Mosca!$S16,NA()),NA())</f>
        <v>#N/A</v>
      </c>
      <c r="CE16" t="e">
        <f>IF(AND(ISNUMBER(Radar_Mosca!$F16),ISNUMBER(Radar_Mosca!$S16)),IF(AND(Radar_Mosca!$F16=CE$4,Radar_Mosca!$AA16=CE$3),Radar_Mosca!$S16,NA()),NA())</f>
        <v>#N/A</v>
      </c>
      <c r="CF16" t="e">
        <f>IF(AND(ISNUMBER(Radar_Mosca!$F16),ISNUMBER(Radar_Mosca!$S16)),IF(AND(Radar_Mosca!$F16=CF$4,Radar_Mosca!$AA16=CF$3),Radar_Mosca!$S16,NA()),NA())</f>
        <v>#N/A</v>
      </c>
      <c r="CG16" t="e">
        <f>IF(AND(ISNUMBER(Radar_Mosca!$F16),ISNUMBER(Radar_Mosca!$S16)),IF(AND(Radar_Mosca!$F16=CG$4,Radar_Mosca!$AA16=CG$3),Radar_Mosca!$S16,NA()),NA())</f>
        <v>#N/A</v>
      </c>
      <c r="CH16" t="e">
        <f>IF(AND(ISNUMBER(Radar_Mosca!$F16),ISNUMBER(Radar_Mosca!$S16)),IF(AND(Radar_Mosca!$F16=CH$4,Radar_Mosca!$AA16=CH$3),Radar_Mosca!$S16,NA()),NA())</f>
        <v>#N/A</v>
      </c>
      <c r="CI16" t="e">
        <f>IF(AND(ISNUMBER(Radar_Mosca!$F16),ISNUMBER(Radar_Mosca!$S16)),IF(AND(Radar_Mosca!$F16=CI$4,Radar_Mosca!$AA16=CI$3),Radar_Mosca!$S16,NA()),NA())</f>
        <v>#N/A</v>
      </c>
      <c r="CJ16" t="e">
        <f>IF(AND(ISNUMBER(Radar_Mosca!$F16),ISNUMBER(Radar_Mosca!$S16)),IF(AND(Radar_Mosca!$F16=CJ$4,Radar_Mosca!$AA16=CJ$3),Radar_Mosca!$S16,NA()),NA())</f>
        <v>#N/A</v>
      </c>
      <c r="CK16" t="e">
        <f>IF(AND(ISNUMBER(Radar_Mosca!$F16),ISNUMBER(Radar_Mosca!$S16)),IF(AND(Radar_Mosca!$F16=CK$4,Radar_Mosca!$AA16=CK$3),Radar_Mosca!$S16,NA()),NA())</f>
        <v>#N/A</v>
      </c>
      <c r="CL16" t="e">
        <f>IF(AND(ISNUMBER(Radar_Mosca!$F16),ISNUMBER(Radar_Mosca!$S16)),IF(AND(Radar_Mosca!$F16=CL$4,Radar_Mosca!$AA16=CL$3),Radar_Mosca!$S16,NA()),NA())</f>
        <v>#N/A</v>
      </c>
      <c r="CM16" t="e">
        <f>IF(AND(ISNUMBER(Radar_Mosca!$F16),ISNUMBER(Radar_Mosca!$S16)),IF(AND(Radar_Mosca!$F16=CM$4,Radar_Mosca!$AA16=CM$3),Radar_Mosca!$S16,NA()),NA())</f>
        <v>#N/A</v>
      </c>
      <c r="CN16" t="e">
        <f>IF(AND(ISNUMBER(Radar_Mosca!$F16),ISNUMBER(Radar_Mosca!$S16)),IF(AND(Radar_Mosca!$F16=CN$4,Radar_Mosca!$AA16=CN$3),Radar_Mosca!$S16,NA()),NA())</f>
        <v>#N/A</v>
      </c>
      <c r="CO16" t="e">
        <f>IF(AND(ISNUMBER(Radar_Mosca!$F16),ISNUMBER(Radar_Mosca!$S16)),IF(AND(Radar_Mosca!$F16=CO$4,Radar_Mosca!$AA16=CO$3),Radar_Mosca!$S16,NA()),NA())</f>
        <v>#N/A</v>
      </c>
      <c r="CP16" t="e">
        <f>IF(AND(ISNUMBER(Radar_Mosca!$F16),ISNUMBER(Radar_Mosca!$S16)),IF(AND(Radar_Mosca!$F16=CP$4,Radar_Mosca!$AA16=CP$3),Radar_Mosca!$S16,NA()),NA())</f>
        <v>#N/A</v>
      </c>
      <c r="CQ16" t="e">
        <f>IF(AND(ISNUMBER(Radar_Mosca!$F16),ISNUMBER(Radar_Mosca!$S16)),IF(AND(Radar_Mosca!$F16=CQ$4,Radar_Mosca!$AA16=CQ$3),Radar_Mosca!$S16,NA()),NA())</f>
        <v>#N/A</v>
      </c>
      <c r="CR16" t="e">
        <f>IF(AND(ISNUMBER(Radar_Mosca!$F16),ISNUMBER(Radar_Mosca!$S16)),IF(AND(Radar_Mosca!$F16=CR$4,Radar_Mosca!$AA16=CR$3),Radar_Mosca!$S16,NA()),NA())</f>
        <v>#N/A</v>
      </c>
      <c r="CS16" t="e">
        <f>IF(AND(ISNUMBER(Radar_Mosca!$F16),ISNUMBER(Radar_Mosca!$S16)),IF(AND(Radar_Mosca!$F16=CS$4,Radar_Mosca!$AA16=CS$3),Radar_Mosca!$S16,NA()),NA())</f>
        <v>#N/A</v>
      </c>
      <c r="CT16" t="e">
        <f>IF(AND(ISNUMBER(Radar_Mosca!$F16),ISNUMBER(Radar_Mosca!$S16)),IF(AND(Radar_Mosca!$F16=CT$4,Radar_Mosca!$AA16=CT$3),Radar_Mosca!$S16,NA()),NA())</f>
        <v>#N/A</v>
      </c>
      <c r="CU16" t="e">
        <f>IF(AND(ISNUMBER(Radar_Mosca!$F16),ISNUMBER(Radar_Mosca!$S16)),IF(AND(Radar_Mosca!$F16=CU$4,Radar_Mosca!$AA16=CU$3),Radar_Mosca!$S16,NA()),NA())</f>
        <v>#N/A</v>
      </c>
      <c r="CV16">
        <f>IF(AND(ISNUMBER(Radar_Mosca!$F16),ISNUMBER(Radar_Mosca!$S16)),IF(AND(Radar_Mosca!$F16=CV$4,Radar_Mosca!$AA16=CV$3),Radar_Mosca!$S16,NA()),NA())</f>
        <v>1.969615506024416</v>
      </c>
      <c r="CW16" t="e">
        <f>IF(AND(ISNUMBER(Radar_Mosca!$F16),ISNUMBER(Radar_Mosca!$S16)),IF(AND(Radar_Mosca!$F16=CW$4,Radar_Mosca!$AA16=CW$3),Radar_Mosca!$S16,NA()),NA())</f>
        <v>#N/A</v>
      </c>
      <c r="CX16" t="e">
        <f>IF(AND(ISNUMBER(Radar_Mosca!$F16),ISNUMBER(Radar_Mosca!$S16)),IF(AND(Radar_Mosca!$F16=CX$4,Radar_Mosca!$AA16=CX$3),Radar_Mosca!$S16,NA()),NA())</f>
        <v>#N/A</v>
      </c>
      <c r="CY16" t="e">
        <f>IF(AND(ISNUMBER(Radar_Mosca!$F16),ISNUMBER(Radar_Mosca!$S16)),IF(AND(Radar_Mosca!$F16=CY$4,Radar_Mosca!$AA16=CY$3),Radar_Mosca!$S16,NA()),NA())</f>
        <v>#N/A</v>
      </c>
      <c r="CZ16" t="e">
        <f>IF(AND(ISNUMBER(Radar_Mosca!$F16),ISNUMBER(Radar_Mosca!$S16)),IF(AND(Radar_Mosca!$F16=CZ$4,Radar_Mosca!$AA16=CZ$3),Radar_Mosca!$S16,NA()),NA())</f>
        <v>#N/A</v>
      </c>
      <c r="DA16" t="e">
        <f>IF(AND(ISNUMBER(Radar_Mosca!$F16),ISNUMBER(Radar_Mosca!$S16)),IF(AND(Radar_Mosca!$F16=DA$4,Radar_Mosca!$AA16=DA$3),Radar_Mosca!$S16,NA()),NA())</f>
        <v>#N/A</v>
      </c>
      <c r="DB16" t="e">
        <f>IF(AND(ISNUMBER(Radar_Mosca!$F16),ISNUMBER(Radar_Mosca!$S16)),IF(AND(Radar_Mosca!$F16=DB$4,Radar_Mosca!$AA16=DB$3),Radar_Mosca!$S16,NA()),NA())</f>
        <v>#N/A</v>
      </c>
      <c r="DC16" t="e">
        <f>IF(AND(ISNUMBER(Radar_Mosca!$F16),ISNUMBER(Radar_Mosca!$S16)),IF(AND(Radar_Mosca!$F16=DC$4,Radar_Mosca!$AA16=DC$3),Radar_Mosca!$S16,NA()),NA())</f>
        <v>#N/A</v>
      </c>
      <c r="DD16" t="e">
        <f>IF(AND(ISNUMBER(Radar_Mosca!$F16),ISNUMBER(Radar_Mosca!$S16)),IF(AND(Radar_Mosca!$F16=DD$4,Radar_Mosca!$AA16=DD$3),Radar_Mosca!$S16,NA()),NA())</f>
        <v>#N/A</v>
      </c>
      <c r="DE16" t="e">
        <f>IF(AND(ISNUMBER(Radar_Mosca!$F16),ISNUMBER(Radar_Mosca!$S16)),IF(AND(Radar_Mosca!$F16=DE$4,Radar_Mosca!$AA16=DE$3),Radar_Mosca!$S16,NA()),NA())</f>
        <v>#N/A</v>
      </c>
      <c r="DF16" t="e">
        <f>IF(AND(ISNUMBER(Radar_Mosca!$F16),ISNUMBER(Radar_Mosca!$S16)),IF(AND(Radar_Mosca!$F16=DF$4,Radar_Mosca!$AA16=DF$3),Radar_Mosca!$S16,NA()),NA())</f>
        <v>#N/A</v>
      </c>
      <c r="DG16" t="e">
        <f>IF(AND(ISNUMBER(Radar_Mosca!$F16),ISNUMBER(Radar_Mosca!$S16)),IF(AND(Radar_Mosca!$F16=DG$4,Radar_Mosca!$AA16=DG$3),Radar_Mosca!$S16,NA()),NA())</f>
        <v>#N/A</v>
      </c>
      <c r="DH16" t="e">
        <f>IF(AND(ISNUMBER(Radar_Mosca!$F16),ISNUMBER(Radar_Mosca!$S16)),IF(AND(Radar_Mosca!$F16=DH$4,Radar_Mosca!$AA16=DH$3),Radar_Mosca!$S16,NA()),NA())</f>
        <v>#N/A</v>
      </c>
      <c r="DI16" t="e">
        <f>IF(AND(ISNUMBER(Radar_Mosca!$F16),ISNUMBER(Radar_Mosca!$S16)),IF(AND(Radar_Mosca!$F16=DI$4,Radar_Mosca!$AA16=DI$3),Radar_Mosca!$S16,NA()),NA())</f>
        <v>#N/A</v>
      </c>
      <c r="DJ16" t="e">
        <f>IF(AND(ISNUMBER(Radar_Mosca!$F16),ISNUMBER(Radar_Mosca!$S16)),IF(AND(Radar_Mosca!$F16=DJ$4,Radar_Mosca!$AA16=DJ$3),Radar_Mosca!$S16,NA()),NA())</f>
        <v>#N/A</v>
      </c>
      <c r="DK16" t="e">
        <f>IF(AND(ISNUMBER(Radar_Mosca!$F16),ISNUMBER(Radar_Mosca!$S16)),IF(AND(Radar_Mosca!$F16=DK$4,Radar_Mosca!$AA16=DK$3),Radar_Mosca!$S16,NA()),NA())</f>
        <v>#N/A</v>
      </c>
      <c r="DL16" t="e">
        <f>IF(AND(ISNUMBER(Radar_Mosca!$F16),ISNUMBER(Radar_Mosca!$S16)),IF(AND(Radar_Mosca!$F16=DL$4,Radar_Mosca!$AA16=DL$3),Radar_Mosca!$S16,NA()),NA())</f>
        <v>#N/A</v>
      </c>
      <c r="DM16" t="e">
        <f>IF(AND(ISNUMBER(Radar_Mosca!$F16),ISNUMBER(Radar_Mosca!$S16)),IF(AND(Radar_Mosca!$F16=DM$4,Radar_Mosca!$AA16=DM$3),Radar_Mosca!$S16,NA()),NA())</f>
        <v>#N/A</v>
      </c>
      <c r="DN16" t="e">
        <f>IF(AND(ISNUMBER(Radar_Mosca!$F16),ISNUMBER(Radar_Mosca!$S16)),IF(AND(Radar_Mosca!$F16=DN$4,Radar_Mosca!$AA16=DN$3),Radar_Mosca!$S16,NA()),NA())</f>
        <v>#N/A</v>
      </c>
      <c r="DO16">
        <f>IF(ISNUMBER(Radar_Mosca!$R16),Radar_Mosca!$R16,NA())</f>
        <v>-0.34729635533386077</v>
      </c>
      <c r="DP16" t="str">
        <f>IF(Radar_Mosca!$A16="","",MID(Radar_Mosca!$A16,5,3)&amp;IF(Radar_Mosca!$T16="Sì"," ◆",""))</f>
        <v>12</v>
      </c>
      <c r="DQ16">
        <f>IF(ISNUMBER(Radar_Mosca!$S16),Radar_Mosca!$S16,NA())</f>
        <v>1.969615506024416</v>
      </c>
    </row>
    <row r="17" spans="1:121" ht="15.9" x14ac:dyDescent="0.45">
      <c r="A17" s="149" t="s">
        <v>35</v>
      </c>
      <c r="B17" s="150"/>
      <c r="C17" s="150"/>
      <c r="D17" s="150"/>
      <c r="E17" s="150"/>
      <c r="F17" s="150"/>
      <c r="G17" s="150"/>
      <c r="H17" s="150"/>
      <c r="J17" s="149" t="s">
        <v>36</v>
      </c>
      <c r="K17" s="150"/>
      <c r="L17" s="150"/>
      <c r="M17" s="150"/>
      <c r="N17" s="150"/>
      <c r="O17" s="150"/>
      <c r="T17" t="str">
        <f>IF(Radar_Mosca!$AA$17="Attivazione",Radar_Mosca!$A$17,"")</f>
        <v/>
      </c>
      <c r="BH17">
        <f>2*PI()*12/72</f>
        <v>1.0471975511965976</v>
      </c>
      <c r="BI17">
        <f t="shared" si="0"/>
        <v>1.7320508075688772</v>
      </c>
      <c r="BJ17">
        <f t="shared" si="1"/>
        <v>1.0000000000000002</v>
      </c>
      <c r="BK17">
        <f t="shared" si="2"/>
        <v>2.598076211353316</v>
      </c>
      <c r="BL17">
        <f t="shared" si="3"/>
        <v>1.5000000000000004</v>
      </c>
      <c r="BM17">
        <f t="shared" si="4"/>
        <v>3.4641016151377544</v>
      </c>
      <c r="BN17">
        <f t="shared" si="5"/>
        <v>2.0000000000000004</v>
      </c>
      <c r="BO17">
        <f t="shared" si="6"/>
        <v>4.3301270189221928</v>
      </c>
      <c r="BP17">
        <f t="shared" si="7"/>
        <v>2.5000000000000004</v>
      </c>
      <c r="BR17">
        <v>0</v>
      </c>
      <c r="BS17">
        <v>0</v>
      </c>
      <c r="BY17" t="e">
        <f>IF(AND(ISNUMBER(Radar_Mosca!$F17),ISNUMBER(Radar_Mosca!$S17)),IF(AND(Radar_Mosca!$F17=BY$4,Radar_Mosca!$AA17=BY$3),Radar_Mosca!$S17,NA()),NA())</f>
        <v>#N/A</v>
      </c>
      <c r="BZ17" t="e">
        <f>IF(AND(ISNUMBER(Radar_Mosca!$F17),ISNUMBER(Radar_Mosca!$S17)),IF(AND(Radar_Mosca!$F17=BZ$4,Radar_Mosca!$AA17=BZ$3),Radar_Mosca!$S17,NA()),NA())</f>
        <v>#N/A</v>
      </c>
      <c r="CA17" t="e">
        <f>IF(AND(ISNUMBER(Radar_Mosca!$F17),ISNUMBER(Radar_Mosca!$S17)),IF(AND(Radar_Mosca!$F17=CA$4,Radar_Mosca!$AA17=CA$3),Radar_Mosca!$S17,NA()),NA())</f>
        <v>#N/A</v>
      </c>
      <c r="CB17" t="e">
        <f>IF(AND(ISNUMBER(Radar_Mosca!$F17),ISNUMBER(Radar_Mosca!$S17)),IF(AND(Radar_Mosca!$F17=CB$4,Radar_Mosca!$AA17=CB$3),Radar_Mosca!$S17,NA()),NA())</f>
        <v>#N/A</v>
      </c>
      <c r="CC17" t="e">
        <f>IF(AND(ISNUMBER(Radar_Mosca!$F17),ISNUMBER(Radar_Mosca!$S17)),IF(AND(Radar_Mosca!$F17=CC$4,Radar_Mosca!$AA17=CC$3),Radar_Mosca!$S17,NA()),NA())</f>
        <v>#N/A</v>
      </c>
      <c r="CD17" t="e">
        <f>IF(AND(ISNUMBER(Radar_Mosca!$F17),ISNUMBER(Radar_Mosca!$S17)),IF(AND(Radar_Mosca!$F17=CD$4,Radar_Mosca!$AA17=CD$3),Radar_Mosca!$S17,NA()),NA())</f>
        <v>#N/A</v>
      </c>
      <c r="CE17" t="e">
        <f>IF(AND(ISNUMBER(Radar_Mosca!$F17),ISNUMBER(Radar_Mosca!$S17)),IF(AND(Radar_Mosca!$F17=CE$4,Radar_Mosca!$AA17=CE$3),Radar_Mosca!$S17,NA()),NA())</f>
        <v>#N/A</v>
      </c>
      <c r="CF17" t="e">
        <f>IF(AND(ISNUMBER(Radar_Mosca!$F17),ISNUMBER(Radar_Mosca!$S17)),IF(AND(Radar_Mosca!$F17=CF$4,Radar_Mosca!$AA17=CF$3),Radar_Mosca!$S17,NA()),NA())</f>
        <v>#N/A</v>
      </c>
      <c r="CG17" t="e">
        <f>IF(AND(ISNUMBER(Radar_Mosca!$F17),ISNUMBER(Radar_Mosca!$S17)),IF(AND(Radar_Mosca!$F17=CG$4,Radar_Mosca!$AA17=CG$3),Radar_Mosca!$S17,NA()),NA())</f>
        <v>#N/A</v>
      </c>
      <c r="CH17" t="e">
        <f>IF(AND(ISNUMBER(Radar_Mosca!$F17),ISNUMBER(Radar_Mosca!$S17)),IF(AND(Radar_Mosca!$F17=CH$4,Radar_Mosca!$AA17=CH$3),Radar_Mosca!$S17,NA()),NA())</f>
        <v>#N/A</v>
      </c>
      <c r="CI17" t="e">
        <f>IF(AND(ISNUMBER(Radar_Mosca!$F17),ISNUMBER(Radar_Mosca!$S17)),IF(AND(Radar_Mosca!$F17=CI$4,Radar_Mosca!$AA17=CI$3),Radar_Mosca!$S17,NA()),NA())</f>
        <v>#N/A</v>
      </c>
      <c r="CJ17" t="e">
        <f>IF(AND(ISNUMBER(Radar_Mosca!$F17),ISNUMBER(Radar_Mosca!$S17)),IF(AND(Radar_Mosca!$F17=CJ$4,Radar_Mosca!$AA17=CJ$3),Radar_Mosca!$S17,NA()),NA())</f>
        <v>#N/A</v>
      </c>
      <c r="CK17" t="e">
        <f>IF(AND(ISNUMBER(Radar_Mosca!$F17),ISNUMBER(Radar_Mosca!$S17)),IF(AND(Radar_Mosca!$F17=CK$4,Radar_Mosca!$AA17=CK$3),Radar_Mosca!$S17,NA()),NA())</f>
        <v>#N/A</v>
      </c>
      <c r="CL17" t="e">
        <f>IF(AND(ISNUMBER(Radar_Mosca!$F17),ISNUMBER(Radar_Mosca!$S17)),IF(AND(Radar_Mosca!$F17=CL$4,Radar_Mosca!$AA17=CL$3),Radar_Mosca!$S17,NA()),NA())</f>
        <v>#N/A</v>
      </c>
      <c r="CM17" t="e">
        <f>IF(AND(ISNUMBER(Radar_Mosca!$F17),ISNUMBER(Radar_Mosca!$S17)),IF(AND(Radar_Mosca!$F17=CM$4,Radar_Mosca!$AA17=CM$3),Radar_Mosca!$S17,NA()),NA())</f>
        <v>#N/A</v>
      </c>
      <c r="CN17" t="e">
        <f>IF(AND(ISNUMBER(Radar_Mosca!$F17),ISNUMBER(Radar_Mosca!$S17)),IF(AND(Radar_Mosca!$F17=CN$4,Radar_Mosca!$AA17=CN$3),Radar_Mosca!$S17,NA()),NA())</f>
        <v>#N/A</v>
      </c>
      <c r="CO17" t="e">
        <f>IF(AND(ISNUMBER(Radar_Mosca!$F17),ISNUMBER(Radar_Mosca!$S17)),IF(AND(Radar_Mosca!$F17=CO$4,Radar_Mosca!$AA17=CO$3),Radar_Mosca!$S17,NA()),NA())</f>
        <v>#N/A</v>
      </c>
      <c r="CP17" t="e">
        <f>IF(AND(ISNUMBER(Radar_Mosca!$F17),ISNUMBER(Radar_Mosca!$S17)),IF(AND(Radar_Mosca!$F17=CP$4,Radar_Mosca!$AA17=CP$3),Radar_Mosca!$S17,NA()),NA())</f>
        <v>#N/A</v>
      </c>
      <c r="CQ17" t="e">
        <f>IF(AND(ISNUMBER(Radar_Mosca!$F17),ISNUMBER(Radar_Mosca!$S17)),IF(AND(Radar_Mosca!$F17=CQ$4,Radar_Mosca!$AA17=CQ$3),Radar_Mosca!$S17,NA()),NA())</f>
        <v>#N/A</v>
      </c>
      <c r="CR17" t="e">
        <f>IF(AND(ISNUMBER(Radar_Mosca!$F17),ISNUMBER(Radar_Mosca!$S17)),IF(AND(Radar_Mosca!$F17=CR$4,Radar_Mosca!$AA17=CR$3),Radar_Mosca!$S17,NA()),NA())</f>
        <v>#N/A</v>
      </c>
      <c r="CS17" t="e">
        <f>IF(AND(ISNUMBER(Radar_Mosca!$F17),ISNUMBER(Radar_Mosca!$S17)),IF(AND(Radar_Mosca!$F17=CS$4,Radar_Mosca!$AA17=CS$3),Radar_Mosca!$S17,NA()),NA())</f>
        <v>#N/A</v>
      </c>
      <c r="CT17" t="e">
        <f>IF(AND(ISNUMBER(Radar_Mosca!$F17),ISNUMBER(Radar_Mosca!$S17)),IF(AND(Radar_Mosca!$F17=CT$4,Radar_Mosca!$AA17=CT$3),Radar_Mosca!$S17,NA()),NA())</f>
        <v>#N/A</v>
      </c>
      <c r="CU17" t="e">
        <f>IF(AND(ISNUMBER(Radar_Mosca!$F17),ISNUMBER(Radar_Mosca!$S17)),IF(AND(Radar_Mosca!$F17=CU$4,Radar_Mosca!$AA17=CU$3),Radar_Mosca!$S17,NA()),NA())</f>
        <v>#N/A</v>
      </c>
      <c r="CV17" t="e">
        <f>IF(AND(ISNUMBER(Radar_Mosca!$F17),ISNUMBER(Radar_Mosca!$S17)),IF(AND(Radar_Mosca!$F17=CV$4,Radar_Mosca!$AA17=CV$3),Radar_Mosca!$S17,NA()),NA())</f>
        <v>#N/A</v>
      </c>
      <c r="CW17" t="e">
        <f>IF(AND(ISNUMBER(Radar_Mosca!$F17),ISNUMBER(Radar_Mosca!$S17)),IF(AND(Radar_Mosca!$F17=CW$4,Radar_Mosca!$AA17=CW$3),Radar_Mosca!$S17,NA()),NA())</f>
        <v>#N/A</v>
      </c>
      <c r="CX17" t="e">
        <f>IF(AND(ISNUMBER(Radar_Mosca!$F17),ISNUMBER(Radar_Mosca!$S17)),IF(AND(Radar_Mosca!$F17=CX$4,Radar_Mosca!$AA17=CX$3),Radar_Mosca!$S17,NA()),NA())</f>
        <v>#N/A</v>
      </c>
      <c r="CY17" t="e">
        <f>IF(AND(ISNUMBER(Radar_Mosca!$F17),ISNUMBER(Radar_Mosca!$S17)),IF(AND(Radar_Mosca!$F17=CY$4,Radar_Mosca!$AA17=CY$3),Radar_Mosca!$S17,NA()),NA())</f>
        <v>#N/A</v>
      </c>
      <c r="CZ17" t="e">
        <f>IF(AND(ISNUMBER(Radar_Mosca!$F17),ISNUMBER(Radar_Mosca!$S17)),IF(AND(Radar_Mosca!$F17=CZ$4,Radar_Mosca!$AA17=CZ$3),Radar_Mosca!$S17,NA()),NA())</f>
        <v>#N/A</v>
      </c>
      <c r="DA17" t="e">
        <f>IF(AND(ISNUMBER(Radar_Mosca!$F17),ISNUMBER(Radar_Mosca!$S17)),IF(AND(Radar_Mosca!$F17=DA$4,Radar_Mosca!$AA17=DA$3),Radar_Mosca!$S17,NA()),NA())</f>
        <v>#N/A</v>
      </c>
      <c r="DB17" t="e">
        <f>IF(AND(ISNUMBER(Radar_Mosca!$F17),ISNUMBER(Radar_Mosca!$S17)),IF(AND(Radar_Mosca!$F17=DB$4,Radar_Mosca!$AA17=DB$3),Radar_Mosca!$S17,NA()),NA())</f>
        <v>#N/A</v>
      </c>
      <c r="DC17" t="e">
        <f>IF(AND(ISNUMBER(Radar_Mosca!$F17),ISNUMBER(Radar_Mosca!$S17)),IF(AND(Radar_Mosca!$F17=DC$4,Radar_Mosca!$AA17=DC$3),Radar_Mosca!$S17,NA()),NA())</f>
        <v>#N/A</v>
      </c>
      <c r="DD17" t="e">
        <f>IF(AND(ISNUMBER(Radar_Mosca!$F17),ISNUMBER(Radar_Mosca!$S17)),IF(AND(Radar_Mosca!$F17=DD$4,Radar_Mosca!$AA17=DD$3),Radar_Mosca!$S17,NA()),NA())</f>
        <v>#N/A</v>
      </c>
      <c r="DE17" t="e">
        <f>IF(AND(ISNUMBER(Radar_Mosca!$F17),ISNUMBER(Radar_Mosca!$S17)),IF(AND(Radar_Mosca!$F17=DE$4,Radar_Mosca!$AA17=DE$3),Radar_Mosca!$S17,NA()),NA())</f>
        <v>#N/A</v>
      </c>
      <c r="DF17" t="e">
        <f>IF(AND(ISNUMBER(Radar_Mosca!$F17),ISNUMBER(Radar_Mosca!$S17)),IF(AND(Radar_Mosca!$F17=DF$4,Radar_Mosca!$AA17=DF$3),Radar_Mosca!$S17,NA()),NA())</f>
        <v>#N/A</v>
      </c>
      <c r="DG17" t="e">
        <f>IF(AND(ISNUMBER(Radar_Mosca!$F17),ISNUMBER(Radar_Mosca!$S17)),IF(AND(Radar_Mosca!$F17=DG$4,Radar_Mosca!$AA17=DG$3),Radar_Mosca!$S17,NA()),NA())</f>
        <v>#N/A</v>
      </c>
      <c r="DH17">
        <f>IF(AND(ISNUMBER(Radar_Mosca!$F17),ISNUMBER(Radar_Mosca!$S17)),IF(AND(Radar_Mosca!$F17=DH$4,Radar_Mosca!$AA17=DH$3),Radar_Mosca!$S17,NA()),NA())</f>
        <v>1.8749999999999976</v>
      </c>
      <c r="DI17" t="e">
        <f>IF(AND(ISNUMBER(Radar_Mosca!$F17),ISNUMBER(Radar_Mosca!$S17)),IF(AND(Radar_Mosca!$F17=DI$4,Radar_Mosca!$AA17=DI$3),Radar_Mosca!$S17,NA()),NA())</f>
        <v>#N/A</v>
      </c>
      <c r="DJ17" t="e">
        <f>IF(AND(ISNUMBER(Radar_Mosca!$F17),ISNUMBER(Radar_Mosca!$S17)),IF(AND(Radar_Mosca!$F17=DJ$4,Radar_Mosca!$AA17=DJ$3),Radar_Mosca!$S17,NA()),NA())</f>
        <v>#N/A</v>
      </c>
      <c r="DK17" t="e">
        <f>IF(AND(ISNUMBER(Radar_Mosca!$F17),ISNUMBER(Radar_Mosca!$S17)),IF(AND(Radar_Mosca!$F17=DK$4,Radar_Mosca!$AA17=DK$3),Radar_Mosca!$S17,NA()),NA())</f>
        <v>#N/A</v>
      </c>
      <c r="DL17" t="e">
        <f>IF(AND(ISNUMBER(Radar_Mosca!$F17),ISNUMBER(Radar_Mosca!$S17)),IF(AND(Radar_Mosca!$F17=DL$4,Radar_Mosca!$AA17=DL$3),Radar_Mosca!$S17,NA()),NA())</f>
        <v>#N/A</v>
      </c>
      <c r="DM17" t="e">
        <f>IF(AND(ISNUMBER(Radar_Mosca!$F17),ISNUMBER(Radar_Mosca!$S17)),IF(AND(Radar_Mosca!$F17=DM$4,Radar_Mosca!$AA17=DM$3),Radar_Mosca!$S17,NA()),NA())</f>
        <v>#N/A</v>
      </c>
      <c r="DN17" t="e">
        <f>IF(AND(ISNUMBER(Radar_Mosca!$F17),ISNUMBER(Radar_Mosca!$S17)),IF(AND(Radar_Mosca!$F17=DN$4,Radar_Mosca!$AA17=DN$3),Radar_Mosca!$S17,NA()),NA())</f>
        <v>#N/A</v>
      </c>
      <c r="DO17">
        <f>IF(ISNUMBER(Radar_Mosca!$R17),Radar_Mosca!$R17,NA())</f>
        <v>-3.2475952641916463</v>
      </c>
      <c r="DP17" t="str">
        <f>IF(Radar_Mosca!$A17="","",MID(Radar_Mosca!$A17,5,3)&amp;IF(Radar_Mosca!$T17="Sì"," ◆",""))</f>
        <v>16</v>
      </c>
      <c r="DQ17">
        <f>IF(ISNUMBER(Radar_Mosca!$S17),Radar_Mosca!$S17,NA())</f>
        <v>1.8749999999999976</v>
      </c>
    </row>
    <row r="18" spans="1:121" ht="12" customHeight="1" x14ac:dyDescent="0.4">
      <c r="J18" s="25" t="str">
        <f>INDEX(posID,1)&amp;""</f>
        <v>NFR-01</v>
      </c>
      <c r="K18" s="151" t="str">
        <f>IF(J18="","",INDEX(posNome,1)&amp;IF(INDEX(ANA_Attenzione_Supervisore,1)="Sì","  ◆",""))</f>
        <v>Frodi su pagamenti istantanei abilitate da AI generativa  ◆</v>
      </c>
      <c r="L18" s="142"/>
      <c r="M18" s="142"/>
      <c r="N18" s="142"/>
      <c r="O18" s="142"/>
      <c r="T18" t="str">
        <f>IF(Radar_Mosca!$AA$18="Attivazione",Radar_Mosca!$A$18,"")</f>
        <v/>
      </c>
      <c r="BH18">
        <f>2*PI()*13/72</f>
        <v>1.1344640137963142</v>
      </c>
      <c r="BI18">
        <f t="shared" si="0"/>
        <v>1.8126155740732999</v>
      </c>
      <c r="BJ18">
        <f t="shared" si="1"/>
        <v>0.84523652348139888</v>
      </c>
      <c r="BK18">
        <f t="shared" si="2"/>
        <v>2.7189233611099497</v>
      </c>
      <c r="BL18">
        <f t="shared" si="3"/>
        <v>1.2678547852220983</v>
      </c>
      <c r="BM18">
        <f t="shared" si="4"/>
        <v>3.6252311481465997</v>
      </c>
      <c r="BN18">
        <f t="shared" si="5"/>
        <v>1.6904730469627978</v>
      </c>
      <c r="BO18">
        <f t="shared" si="6"/>
        <v>4.5315389351832494</v>
      </c>
      <c r="BP18">
        <f t="shared" si="7"/>
        <v>2.1130913087034973</v>
      </c>
      <c r="BR18">
        <f>6.3*SIN(2*PI()*6/ROWS(codiciL1))</f>
        <v>-5.4559600438419613</v>
      </c>
      <c r="BS18">
        <f>6.3*COS(2*PI()*6/ROWS(codiciL1))</f>
        <v>-3.1500000000000026</v>
      </c>
      <c r="BY18" t="e">
        <f>IF(AND(ISNUMBER(Radar_Mosca!$F18),ISNUMBER(Radar_Mosca!$S18)),IF(AND(Radar_Mosca!$F18=BY$4,Radar_Mosca!$AA18=BY$3),Radar_Mosca!$S18,NA()),NA())</f>
        <v>#N/A</v>
      </c>
      <c r="BZ18" t="e">
        <f>IF(AND(ISNUMBER(Radar_Mosca!$F18),ISNUMBER(Radar_Mosca!$S18)),IF(AND(Radar_Mosca!$F18=BZ$4,Radar_Mosca!$AA18=BZ$3),Radar_Mosca!$S18,NA()),NA())</f>
        <v>#N/A</v>
      </c>
      <c r="CA18" t="e">
        <f>IF(AND(ISNUMBER(Radar_Mosca!$F18),ISNUMBER(Radar_Mosca!$S18)),IF(AND(Radar_Mosca!$F18=CA$4,Radar_Mosca!$AA18=CA$3),Radar_Mosca!$S18,NA()),NA())</f>
        <v>#N/A</v>
      </c>
      <c r="CB18" t="e">
        <f>IF(AND(ISNUMBER(Radar_Mosca!$F18),ISNUMBER(Radar_Mosca!$S18)),IF(AND(Radar_Mosca!$F18=CB$4,Radar_Mosca!$AA18=CB$3),Radar_Mosca!$S18,NA()),NA())</f>
        <v>#N/A</v>
      </c>
      <c r="CC18" t="e">
        <f>IF(AND(ISNUMBER(Radar_Mosca!$F18),ISNUMBER(Radar_Mosca!$S18)),IF(AND(Radar_Mosca!$F18=CC$4,Radar_Mosca!$AA18=CC$3),Radar_Mosca!$S18,NA()),NA())</f>
        <v>#N/A</v>
      </c>
      <c r="CD18" t="e">
        <f>IF(AND(ISNUMBER(Radar_Mosca!$F18),ISNUMBER(Radar_Mosca!$S18)),IF(AND(Radar_Mosca!$F18=CD$4,Radar_Mosca!$AA18=CD$3),Radar_Mosca!$S18,NA()),NA())</f>
        <v>#N/A</v>
      </c>
      <c r="CE18" t="e">
        <f>IF(AND(ISNUMBER(Radar_Mosca!$F18),ISNUMBER(Radar_Mosca!$S18)),IF(AND(Radar_Mosca!$F18=CE$4,Radar_Mosca!$AA18=CE$3),Radar_Mosca!$S18,NA()),NA())</f>
        <v>#N/A</v>
      </c>
      <c r="CF18" t="e">
        <f>IF(AND(ISNUMBER(Radar_Mosca!$F18),ISNUMBER(Radar_Mosca!$S18)),IF(AND(Radar_Mosca!$F18=CF$4,Radar_Mosca!$AA18=CF$3),Radar_Mosca!$S18,NA()),NA())</f>
        <v>#N/A</v>
      </c>
      <c r="CG18" t="e">
        <f>IF(AND(ISNUMBER(Radar_Mosca!$F18),ISNUMBER(Radar_Mosca!$S18)),IF(AND(Radar_Mosca!$F18=CG$4,Radar_Mosca!$AA18=CG$3),Radar_Mosca!$S18,NA()),NA())</f>
        <v>#N/A</v>
      </c>
      <c r="CH18" t="e">
        <f>IF(AND(ISNUMBER(Radar_Mosca!$F18),ISNUMBER(Radar_Mosca!$S18)),IF(AND(Radar_Mosca!$F18=CH$4,Radar_Mosca!$AA18=CH$3),Radar_Mosca!$S18,NA()),NA())</f>
        <v>#N/A</v>
      </c>
      <c r="CI18" t="e">
        <f>IF(AND(ISNUMBER(Radar_Mosca!$F18),ISNUMBER(Radar_Mosca!$S18)),IF(AND(Radar_Mosca!$F18=CI$4,Radar_Mosca!$AA18=CI$3),Radar_Mosca!$S18,NA()),NA())</f>
        <v>#N/A</v>
      </c>
      <c r="CJ18" t="e">
        <f>IF(AND(ISNUMBER(Radar_Mosca!$F18),ISNUMBER(Radar_Mosca!$S18)),IF(AND(Radar_Mosca!$F18=CJ$4,Radar_Mosca!$AA18=CJ$3),Radar_Mosca!$S18,NA()),NA())</f>
        <v>#N/A</v>
      </c>
      <c r="CK18" t="e">
        <f>IF(AND(ISNUMBER(Radar_Mosca!$F18),ISNUMBER(Radar_Mosca!$S18)),IF(AND(Radar_Mosca!$F18=CK$4,Radar_Mosca!$AA18=CK$3),Radar_Mosca!$S18,NA()),NA())</f>
        <v>#N/A</v>
      </c>
      <c r="CL18" t="e">
        <f>IF(AND(ISNUMBER(Radar_Mosca!$F18),ISNUMBER(Radar_Mosca!$S18)),IF(AND(Radar_Mosca!$F18=CL$4,Radar_Mosca!$AA18=CL$3),Radar_Mosca!$S18,NA()),NA())</f>
        <v>#N/A</v>
      </c>
      <c r="CM18" t="e">
        <f>IF(AND(ISNUMBER(Radar_Mosca!$F18),ISNUMBER(Radar_Mosca!$S18)),IF(AND(Radar_Mosca!$F18=CM$4,Radar_Mosca!$AA18=CM$3),Radar_Mosca!$S18,NA()),NA())</f>
        <v>#N/A</v>
      </c>
      <c r="CN18" t="e">
        <f>IF(AND(ISNUMBER(Radar_Mosca!$F18),ISNUMBER(Radar_Mosca!$S18)),IF(AND(Radar_Mosca!$F18=CN$4,Radar_Mosca!$AA18=CN$3),Radar_Mosca!$S18,NA()),NA())</f>
        <v>#N/A</v>
      </c>
      <c r="CO18" t="e">
        <f>IF(AND(ISNUMBER(Radar_Mosca!$F18),ISNUMBER(Radar_Mosca!$S18)),IF(AND(Radar_Mosca!$F18=CO$4,Radar_Mosca!$AA18=CO$3),Radar_Mosca!$S18,NA()),NA())</f>
        <v>#N/A</v>
      </c>
      <c r="CP18" t="e">
        <f>IF(AND(ISNUMBER(Radar_Mosca!$F18),ISNUMBER(Radar_Mosca!$S18)),IF(AND(Radar_Mosca!$F18=CP$4,Radar_Mosca!$AA18=CP$3),Radar_Mosca!$S18,NA()),NA())</f>
        <v>#N/A</v>
      </c>
      <c r="CQ18" t="e">
        <f>IF(AND(ISNUMBER(Radar_Mosca!$F18),ISNUMBER(Radar_Mosca!$S18)),IF(AND(Radar_Mosca!$F18=CQ$4,Radar_Mosca!$AA18=CQ$3),Radar_Mosca!$S18,NA()),NA())</f>
        <v>#N/A</v>
      </c>
      <c r="CR18" t="e">
        <f>IF(AND(ISNUMBER(Radar_Mosca!$F18),ISNUMBER(Radar_Mosca!$S18)),IF(AND(Radar_Mosca!$F18=CR$4,Radar_Mosca!$AA18=CR$3),Radar_Mosca!$S18,NA()),NA())</f>
        <v>#N/A</v>
      </c>
      <c r="CS18" t="e">
        <f>IF(AND(ISNUMBER(Radar_Mosca!$F18),ISNUMBER(Radar_Mosca!$S18)),IF(AND(Radar_Mosca!$F18=CS$4,Radar_Mosca!$AA18=CS$3),Radar_Mosca!$S18,NA()),NA())</f>
        <v>#N/A</v>
      </c>
      <c r="CT18" t="e">
        <f>IF(AND(ISNUMBER(Radar_Mosca!$F18),ISNUMBER(Radar_Mosca!$S18)),IF(AND(Radar_Mosca!$F18=CT$4,Radar_Mosca!$AA18=CT$3),Radar_Mosca!$S18,NA()),NA())</f>
        <v>#N/A</v>
      </c>
      <c r="CU18" t="e">
        <f>IF(AND(ISNUMBER(Radar_Mosca!$F18),ISNUMBER(Radar_Mosca!$S18)),IF(AND(Radar_Mosca!$F18=CU$4,Radar_Mosca!$AA18=CU$3),Radar_Mosca!$S18,NA()),NA())</f>
        <v>#N/A</v>
      </c>
      <c r="CV18" t="e">
        <f>IF(AND(ISNUMBER(Radar_Mosca!$F18),ISNUMBER(Radar_Mosca!$S18)),IF(AND(Radar_Mosca!$F18=CV$4,Radar_Mosca!$AA18=CV$3),Radar_Mosca!$S18,NA()),NA())</f>
        <v>#N/A</v>
      </c>
      <c r="CW18" t="e">
        <f>IF(AND(ISNUMBER(Radar_Mosca!$F18),ISNUMBER(Radar_Mosca!$S18)),IF(AND(Radar_Mosca!$F18=CW$4,Radar_Mosca!$AA18=CW$3),Radar_Mosca!$S18,NA()),NA())</f>
        <v>#N/A</v>
      </c>
      <c r="CX18" t="e">
        <f>IF(AND(ISNUMBER(Radar_Mosca!$F18),ISNUMBER(Radar_Mosca!$S18)),IF(AND(Radar_Mosca!$F18=CX$4,Radar_Mosca!$AA18=CX$3),Radar_Mosca!$S18,NA()),NA())</f>
        <v>#N/A</v>
      </c>
      <c r="CY18" t="e">
        <f>IF(AND(ISNUMBER(Radar_Mosca!$F18),ISNUMBER(Radar_Mosca!$S18)),IF(AND(Radar_Mosca!$F18=CY$4,Radar_Mosca!$AA18=CY$3),Radar_Mosca!$S18,NA()),NA())</f>
        <v>#N/A</v>
      </c>
      <c r="CZ18" t="e">
        <f>IF(AND(ISNUMBER(Radar_Mosca!$F18),ISNUMBER(Radar_Mosca!$S18)),IF(AND(Radar_Mosca!$F18=CZ$4,Radar_Mosca!$AA18=CZ$3),Radar_Mosca!$S18,NA()),NA())</f>
        <v>#N/A</v>
      </c>
      <c r="DA18" t="e">
        <f>IF(AND(ISNUMBER(Radar_Mosca!$F18),ISNUMBER(Radar_Mosca!$S18)),IF(AND(Radar_Mosca!$F18=DA$4,Radar_Mosca!$AA18=DA$3),Radar_Mosca!$S18,NA()),NA())</f>
        <v>#N/A</v>
      </c>
      <c r="DB18" t="e">
        <f>IF(AND(ISNUMBER(Radar_Mosca!$F18),ISNUMBER(Radar_Mosca!$S18)),IF(AND(Radar_Mosca!$F18=DB$4,Radar_Mosca!$AA18=DB$3),Radar_Mosca!$S18,NA()),NA())</f>
        <v>#N/A</v>
      </c>
      <c r="DC18" t="e">
        <f>IF(AND(ISNUMBER(Radar_Mosca!$F18),ISNUMBER(Radar_Mosca!$S18)),IF(AND(Radar_Mosca!$F18=DC$4,Radar_Mosca!$AA18=DC$3),Radar_Mosca!$S18,NA()),NA())</f>
        <v>#N/A</v>
      </c>
      <c r="DD18" t="e">
        <f>IF(AND(ISNUMBER(Radar_Mosca!$F18),ISNUMBER(Radar_Mosca!$S18)),IF(AND(Radar_Mosca!$F18=DD$4,Radar_Mosca!$AA18=DD$3),Radar_Mosca!$S18,NA()),NA())</f>
        <v>#N/A</v>
      </c>
      <c r="DE18" t="e">
        <f>IF(AND(ISNUMBER(Radar_Mosca!$F18),ISNUMBER(Radar_Mosca!$S18)),IF(AND(Radar_Mosca!$F18=DE$4,Radar_Mosca!$AA18=DE$3),Radar_Mosca!$S18,NA()),NA())</f>
        <v>#N/A</v>
      </c>
      <c r="DF18" t="e">
        <f>IF(AND(ISNUMBER(Radar_Mosca!$F18),ISNUMBER(Radar_Mosca!$S18)),IF(AND(Radar_Mosca!$F18=DF$4,Radar_Mosca!$AA18=DF$3),Radar_Mosca!$S18,NA()),NA())</f>
        <v>#N/A</v>
      </c>
      <c r="DG18" t="e">
        <f>IF(AND(ISNUMBER(Radar_Mosca!$F18),ISNUMBER(Radar_Mosca!$S18)),IF(AND(Radar_Mosca!$F18=DG$4,Radar_Mosca!$AA18=DG$3),Radar_Mosca!$S18,NA()),NA())</f>
        <v>#N/A</v>
      </c>
      <c r="DH18" t="e">
        <f>IF(AND(ISNUMBER(Radar_Mosca!$F18),ISNUMBER(Radar_Mosca!$S18)),IF(AND(Radar_Mosca!$F18=DH$4,Radar_Mosca!$AA18=DH$3),Radar_Mosca!$S18,NA()),NA())</f>
        <v>#N/A</v>
      </c>
      <c r="DI18" t="e">
        <f>IF(AND(ISNUMBER(Radar_Mosca!$F18),ISNUMBER(Radar_Mosca!$S18)),IF(AND(Radar_Mosca!$F18=DI$4,Radar_Mosca!$AA18=DI$3),Radar_Mosca!$S18,NA()),NA())</f>
        <v>#N/A</v>
      </c>
      <c r="DJ18" t="e">
        <f>IF(AND(ISNUMBER(Radar_Mosca!$F18),ISNUMBER(Radar_Mosca!$S18)),IF(AND(Radar_Mosca!$F18=DJ$4,Radar_Mosca!$AA18=DJ$3),Radar_Mosca!$S18,NA()),NA())</f>
        <v>#N/A</v>
      </c>
      <c r="DK18" t="e">
        <f>IF(AND(ISNUMBER(Radar_Mosca!$F18),ISNUMBER(Radar_Mosca!$S18)),IF(AND(Radar_Mosca!$F18=DK$4,Radar_Mosca!$AA18=DK$3),Radar_Mosca!$S18,NA()),NA())</f>
        <v>#N/A</v>
      </c>
      <c r="DL18" t="e">
        <f>IF(AND(ISNUMBER(Radar_Mosca!$F18),ISNUMBER(Radar_Mosca!$S18)),IF(AND(Radar_Mosca!$F18=DL$4,Radar_Mosca!$AA18=DL$3),Radar_Mosca!$S18,NA()),NA())</f>
        <v>#N/A</v>
      </c>
      <c r="DM18" t="e">
        <f>IF(AND(ISNUMBER(Radar_Mosca!$F18),ISNUMBER(Radar_Mosca!$S18)),IF(AND(Radar_Mosca!$F18=DM$4,Radar_Mosca!$AA18=DM$3),Radar_Mosca!$S18,NA()),NA())</f>
        <v>#N/A</v>
      </c>
      <c r="DN18" t="e">
        <f>IF(AND(ISNUMBER(Radar_Mosca!$F18),ISNUMBER(Radar_Mosca!$S18)),IF(AND(Radar_Mosca!$F18=DN$4,Radar_Mosca!$AA18=DN$3),Radar_Mosca!$S18,NA()),NA())</f>
        <v>#N/A</v>
      </c>
      <c r="DO18" t="e">
        <f>IF(ISNUMBER(Radar_Mosca!$R18),Radar_Mosca!$R18,NA())</f>
        <v>#N/A</v>
      </c>
      <c r="DP18" t="str">
        <f>IF(Radar_Mosca!$A18="","",MID(Radar_Mosca!$A18,5,3)&amp;IF(Radar_Mosca!$T18="Sì"," ◆",""))</f>
        <v/>
      </c>
      <c r="DQ18" t="e">
        <f>IF(ISNUMBER(Radar_Mosca!$S18),Radar_Mosca!$S18,NA())</f>
        <v>#N/A</v>
      </c>
    </row>
    <row r="19" spans="1:121" ht="12" customHeight="1" x14ac:dyDescent="0.4">
      <c r="J19" s="25" t="str">
        <f>INDEX(posID,2)&amp;""</f>
        <v>NFR-02</v>
      </c>
      <c r="K19" s="151" t="str">
        <f>IF(J19="","",INDEX(posNome,2)&amp;IF(INDEX(ANA_Attenzione_Supervisore,2)="Sì","  ◆",""))</f>
        <v>Concentrazione su un fornitore cloud critico  ◆</v>
      </c>
      <c r="L19" s="142"/>
      <c r="M19" s="142"/>
      <c r="N19" s="142"/>
      <c r="O19" s="142"/>
      <c r="T19" t="str">
        <f>IF(Radar_Mosca!$AA$19="Attivazione",Radar_Mosca!$A$19,"")</f>
        <v/>
      </c>
      <c r="BH19">
        <f>2*PI()*14/72</f>
        <v>1.2217304763960306</v>
      </c>
      <c r="BI19">
        <f t="shared" si="0"/>
        <v>1.8793852415718166</v>
      </c>
      <c r="BJ19">
        <f t="shared" si="1"/>
        <v>0.68404028665133765</v>
      </c>
      <c r="BK19">
        <f t="shared" si="2"/>
        <v>2.8190778623577248</v>
      </c>
      <c r="BL19">
        <f t="shared" si="3"/>
        <v>1.0260604299770064</v>
      </c>
      <c r="BM19">
        <f t="shared" si="4"/>
        <v>3.7587704831436333</v>
      </c>
      <c r="BN19">
        <f t="shared" si="5"/>
        <v>1.3680805733026753</v>
      </c>
      <c r="BO19">
        <f t="shared" si="6"/>
        <v>4.6984631039295417</v>
      </c>
      <c r="BP19">
        <f t="shared" si="7"/>
        <v>1.7101007166283442</v>
      </c>
      <c r="BR19">
        <v>0</v>
      </c>
      <c r="BS19">
        <v>0</v>
      </c>
      <c r="BY19" t="e">
        <f>IF(AND(ISNUMBER(Radar_Mosca!$F19),ISNUMBER(Radar_Mosca!$S19)),IF(AND(Radar_Mosca!$F19=BY$4,Radar_Mosca!$AA19=BY$3),Radar_Mosca!$S19,NA()),NA())</f>
        <v>#N/A</v>
      </c>
      <c r="BZ19" t="e">
        <f>IF(AND(ISNUMBER(Radar_Mosca!$F19),ISNUMBER(Radar_Mosca!$S19)),IF(AND(Radar_Mosca!$F19=BZ$4,Radar_Mosca!$AA19=BZ$3),Radar_Mosca!$S19,NA()),NA())</f>
        <v>#N/A</v>
      </c>
      <c r="CA19" t="e">
        <f>IF(AND(ISNUMBER(Radar_Mosca!$F19),ISNUMBER(Radar_Mosca!$S19)),IF(AND(Radar_Mosca!$F19=CA$4,Radar_Mosca!$AA19=CA$3),Radar_Mosca!$S19,NA()),NA())</f>
        <v>#N/A</v>
      </c>
      <c r="CB19" t="e">
        <f>IF(AND(ISNUMBER(Radar_Mosca!$F19),ISNUMBER(Radar_Mosca!$S19)),IF(AND(Radar_Mosca!$F19=CB$4,Radar_Mosca!$AA19=CB$3),Radar_Mosca!$S19,NA()),NA())</f>
        <v>#N/A</v>
      </c>
      <c r="CC19" t="e">
        <f>IF(AND(ISNUMBER(Radar_Mosca!$F19),ISNUMBER(Radar_Mosca!$S19)),IF(AND(Radar_Mosca!$F19=CC$4,Radar_Mosca!$AA19=CC$3),Radar_Mosca!$S19,NA()),NA())</f>
        <v>#N/A</v>
      </c>
      <c r="CD19" t="e">
        <f>IF(AND(ISNUMBER(Radar_Mosca!$F19),ISNUMBER(Radar_Mosca!$S19)),IF(AND(Radar_Mosca!$F19=CD$4,Radar_Mosca!$AA19=CD$3),Radar_Mosca!$S19,NA()),NA())</f>
        <v>#N/A</v>
      </c>
      <c r="CE19" t="e">
        <f>IF(AND(ISNUMBER(Radar_Mosca!$F19),ISNUMBER(Radar_Mosca!$S19)),IF(AND(Radar_Mosca!$F19=CE$4,Radar_Mosca!$AA19=CE$3),Radar_Mosca!$S19,NA()),NA())</f>
        <v>#N/A</v>
      </c>
      <c r="CF19" t="e">
        <f>IF(AND(ISNUMBER(Radar_Mosca!$F19),ISNUMBER(Radar_Mosca!$S19)),IF(AND(Radar_Mosca!$F19=CF$4,Radar_Mosca!$AA19=CF$3),Radar_Mosca!$S19,NA()),NA())</f>
        <v>#N/A</v>
      </c>
      <c r="CG19" t="e">
        <f>IF(AND(ISNUMBER(Radar_Mosca!$F19),ISNUMBER(Radar_Mosca!$S19)),IF(AND(Radar_Mosca!$F19=CG$4,Radar_Mosca!$AA19=CG$3),Radar_Mosca!$S19,NA()),NA())</f>
        <v>#N/A</v>
      </c>
      <c r="CH19" t="e">
        <f>IF(AND(ISNUMBER(Radar_Mosca!$F19),ISNUMBER(Radar_Mosca!$S19)),IF(AND(Radar_Mosca!$F19=CH$4,Radar_Mosca!$AA19=CH$3),Radar_Mosca!$S19,NA()),NA())</f>
        <v>#N/A</v>
      </c>
      <c r="CI19" t="e">
        <f>IF(AND(ISNUMBER(Radar_Mosca!$F19),ISNUMBER(Radar_Mosca!$S19)),IF(AND(Radar_Mosca!$F19=CI$4,Radar_Mosca!$AA19=CI$3),Radar_Mosca!$S19,NA()),NA())</f>
        <v>#N/A</v>
      </c>
      <c r="CJ19" t="e">
        <f>IF(AND(ISNUMBER(Radar_Mosca!$F19),ISNUMBER(Radar_Mosca!$S19)),IF(AND(Radar_Mosca!$F19=CJ$4,Radar_Mosca!$AA19=CJ$3),Radar_Mosca!$S19,NA()),NA())</f>
        <v>#N/A</v>
      </c>
      <c r="CK19" t="e">
        <f>IF(AND(ISNUMBER(Radar_Mosca!$F19),ISNUMBER(Radar_Mosca!$S19)),IF(AND(Radar_Mosca!$F19=CK$4,Radar_Mosca!$AA19=CK$3),Radar_Mosca!$S19,NA()),NA())</f>
        <v>#N/A</v>
      </c>
      <c r="CL19" t="e">
        <f>IF(AND(ISNUMBER(Radar_Mosca!$F19),ISNUMBER(Radar_Mosca!$S19)),IF(AND(Radar_Mosca!$F19=CL$4,Radar_Mosca!$AA19=CL$3),Radar_Mosca!$S19,NA()),NA())</f>
        <v>#N/A</v>
      </c>
      <c r="CM19" t="e">
        <f>IF(AND(ISNUMBER(Radar_Mosca!$F19),ISNUMBER(Radar_Mosca!$S19)),IF(AND(Radar_Mosca!$F19=CM$4,Radar_Mosca!$AA19=CM$3),Radar_Mosca!$S19,NA()),NA())</f>
        <v>#N/A</v>
      </c>
      <c r="CN19" t="e">
        <f>IF(AND(ISNUMBER(Radar_Mosca!$F19),ISNUMBER(Radar_Mosca!$S19)),IF(AND(Radar_Mosca!$F19=CN$4,Radar_Mosca!$AA19=CN$3),Radar_Mosca!$S19,NA()),NA())</f>
        <v>#N/A</v>
      </c>
      <c r="CO19" t="e">
        <f>IF(AND(ISNUMBER(Radar_Mosca!$F19),ISNUMBER(Radar_Mosca!$S19)),IF(AND(Radar_Mosca!$F19=CO$4,Radar_Mosca!$AA19=CO$3),Radar_Mosca!$S19,NA()),NA())</f>
        <v>#N/A</v>
      </c>
      <c r="CP19" t="e">
        <f>IF(AND(ISNUMBER(Radar_Mosca!$F19),ISNUMBER(Radar_Mosca!$S19)),IF(AND(Radar_Mosca!$F19=CP$4,Radar_Mosca!$AA19=CP$3),Radar_Mosca!$S19,NA()),NA())</f>
        <v>#N/A</v>
      </c>
      <c r="CQ19" t="e">
        <f>IF(AND(ISNUMBER(Radar_Mosca!$F19),ISNUMBER(Radar_Mosca!$S19)),IF(AND(Radar_Mosca!$F19=CQ$4,Radar_Mosca!$AA19=CQ$3),Radar_Mosca!$S19,NA()),NA())</f>
        <v>#N/A</v>
      </c>
      <c r="CR19" t="e">
        <f>IF(AND(ISNUMBER(Radar_Mosca!$F19),ISNUMBER(Radar_Mosca!$S19)),IF(AND(Radar_Mosca!$F19=CR$4,Radar_Mosca!$AA19=CR$3),Radar_Mosca!$S19,NA()),NA())</f>
        <v>#N/A</v>
      </c>
      <c r="CS19" t="e">
        <f>IF(AND(ISNUMBER(Radar_Mosca!$F19),ISNUMBER(Radar_Mosca!$S19)),IF(AND(Radar_Mosca!$F19=CS$4,Radar_Mosca!$AA19=CS$3),Radar_Mosca!$S19,NA()),NA())</f>
        <v>#N/A</v>
      </c>
      <c r="CT19" t="e">
        <f>IF(AND(ISNUMBER(Radar_Mosca!$F19),ISNUMBER(Radar_Mosca!$S19)),IF(AND(Radar_Mosca!$F19=CT$4,Radar_Mosca!$AA19=CT$3),Radar_Mosca!$S19,NA()),NA())</f>
        <v>#N/A</v>
      </c>
      <c r="CU19" t="e">
        <f>IF(AND(ISNUMBER(Radar_Mosca!$F19),ISNUMBER(Radar_Mosca!$S19)),IF(AND(Radar_Mosca!$F19=CU$4,Radar_Mosca!$AA19=CU$3),Radar_Mosca!$S19,NA()),NA())</f>
        <v>#N/A</v>
      </c>
      <c r="CV19" t="e">
        <f>IF(AND(ISNUMBER(Radar_Mosca!$F19),ISNUMBER(Radar_Mosca!$S19)),IF(AND(Radar_Mosca!$F19=CV$4,Radar_Mosca!$AA19=CV$3),Radar_Mosca!$S19,NA()),NA())</f>
        <v>#N/A</v>
      </c>
      <c r="CW19" t="e">
        <f>IF(AND(ISNUMBER(Radar_Mosca!$F19),ISNUMBER(Radar_Mosca!$S19)),IF(AND(Radar_Mosca!$F19=CW$4,Radar_Mosca!$AA19=CW$3),Radar_Mosca!$S19,NA()),NA())</f>
        <v>#N/A</v>
      </c>
      <c r="CX19" t="e">
        <f>IF(AND(ISNUMBER(Radar_Mosca!$F19),ISNUMBER(Radar_Mosca!$S19)),IF(AND(Radar_Mosca!$F19=CX$4,Radar_Mosca!$AA19=CX$3),Radar_Mosca!$S19,NA()),NA())</f>
        <v>#N/A</v>
      </c>
      <c r="CY19" t="e">
        <f>IF(AND(ISNUMBER(Radar_Mosca!$F19),ISNUMBER(Radar_Mosca!$S19)),IF(AND(Radar_Mosca!$F19=CY$4,Radar_Mosca!$AA19=CY$3),Radar_Mosca!$S19,NA()),NA())</f>
        <v>#N/A</v>
      </c>
      <c r="CZ19" t="e">
        <f>IF(AND(ISNUMBER(Radar_Mosca!$F19),ISNUMBER(Radar_Mosca!$S19)),IF(AND(Radar_Mosca!$F19=CZ$4,Radar_Mosca!$AA19=CZ$3),Radar_Mosca!$S19,NA()),NA())</f>
        <v>#N/A</v>
      </c>
      <c r="DA19" t="e">
        <f>IF(AND(ISNUMBER(Radar_Mosca!$F19),ISNUMBER(Radar_Mosca!$S19)),IF(AND(Radar_Mosca!$F19=DA$4,Radar_Mosca!$AA19=DA$3),Radar_Mosca!$S19,NA()),NA())</f>
        <v>#N/A</v>
      </c>
      <c r="DB19" t="e">
        <f>IF(AND(ISNUMBER(Radar_Mosca!$F19),ISNUMBER(Radar_Mosca!$S19)),IF(AND(Radar_Mosca!$F19=DB$4,Radar_Mosca!$AA19=DB$3),Radar_Mosca!$S19,NA()),NA())</f>
        <v>#N/A</v>
      </c>
      <c r="DC19" t="e">
        <f>IF(AND(ISNUMBER(Radar_Mosca!$F19),ISNUMBER(Radar_Mosca!$S19)),IF(AND(Radar_Mosca!$F19=DC$4,Radar_Mosca!$AA19=DC$3),Radar_Mosca!$S19,NA()),NA())</f>
        <v>#N/A</v>
      </c>
      <c r="DD19" t="e">
        <f>IF(AND(ISNUMBER(Radar_Mosca!$F19),ISNUMBER(Radar_Mosca!$S19)),IF(AND(Radar_Mosca!$F19=DD$4,Radar_Mosca!$AA19=DD$3),Radar_Mosca!$S19,NA()),NA())</f>
        <v>#N/A</v>
      </c>
      <c r="DE19" t="e">
        <f>IF(AND(ISNUMBER(Radar_Mosca!$F19),ISNUMBER(Radar_Mosca!$S19)),IF(AND(Radar_Mosca!$F19=DE$4,Radar_Mosca!$AA19=DE$3),Radar_Mosca!$S19,NA()),NA())</f>
        <v>#N/A</v>
      </c>
      <c r="DF19" t="e">
        <f>IF(AND(ISNUMBER(Radar_Mosca!$F19),ISNUMBER(Radar_Mosca!$S19)),IF(AND(Radar_Mosca!$F19=DF$4,Radar_Mosca!$AA19=DF$3),Radar_Mosca!$S19,NA()),NA())</f>
        <v>#N/A</v>
      </c>
      <c r="DG19" t="e">
        <f>IF(AND(ISNUMBER(Radar_Mosca!$F19),ISNUMBER(Radar_Mosca!$S19)),IF(AND(Radar_Mosca!$F19=DG$4,Radar_Mosca!$AA19=DG$3),Radar_Mosca!$S19,NA()),NA())</f>
        <v>#N/A</v>
      </c>
      <c r="DH19" t="e">
        <f>IF(AND(ISNUMBER(Radar_Mosca!$F19),ISNUMBER(Radar_Mosca!$S19)),IF(AND(Radar_Mosca!$F19=DH$4,Radar_Mosca!$AA19=DH$3),Radar_Mosca!$S19,NA()),NA())</f>
        <v>#N/A</v>
      </c>
      <c r="DI19" t="e">
        <f>IF(AND(ISNUMBER(Radar_Mosca!$F19),ISNUMBER(Radar_Mosca!$S19)),IF(AND(Radar_Mosca!$F19=DI$4,Radar_Mosca!$AA19=DI$3),Radar_Mosca!$S19,NA()),NA())</f>
        <v>#N/A</v>
      </c>
      <c r="DJ19" t="e">
        <f>IF(AND(ISNUMBER(Radar_Mosca!$F19),ISNUMBER(Radar_Mosca!$S19)),IF(AND(Radar_Mosca!$F19=DJ$4,Radar_Mosca!$AA19=DJ$3),Radar_Mosca!$S19,NA()),NA())</f>
        <v>#N/A</v>
      </c>
      <c r="DK19" t="e">
        <f>IF(AND(ISNUMBER(Radar_Mosca!$F19),ISNUMBER(Radar_Mosca!$S19)),IF(AND(Radar_Mosca!$F19=DK$4,Radar_Mosca!$AA19=DK$3),Radar_Mosca!$S19,NA()),NA())</f>
        <v>#N/A</v>
      </c>
      <c r="DL19" t="e">
        <f>IF(AND(ISNUMBER(Radar_Mosca!$F19),ISNUMBER(Radar_Mosca!$S19)),IF(AND(Radar_Mosca!$F19=DL$4,Radar_Mosca!$AA19=DL$3),Radar_Mosca!$S19,NA()),NA())</f>
        <v>#N/A</v>
      </c>
      <c r="DM19" t="e">
        <f>IF(AND(ISNUMBER(Radar_Mosca!$F19),ISNUMBER(Radar_Mosca!$S19)),IF(AND(Radar_Mosca!$F19=DM$4,Radar_Mosca!$AA19=DM$3),Radar_Mosca!$S19,NA()),NA())</f>
        <v>#N/A</v>
      </c>
      <c r="DN19" t="e">
        <f>IF(AND(ISNUMBER(Radar_Mosca!$F19),ISNUMBER(Radar_Mosca!$S19)),IF(AND(Radar_Mosca!$F19=DN$4,Radar_Mosca!$AA19=DN$3),Radar_Mosca!$S19,NA()),NA())</f>
        <v>#N/A</v>
      </c>
      <c r="DO19" t="e">
        <f>IF(ISNUMBER(Radar_Mosca!$R19),Radar_Mosca!$R19,NA())</f>
        <v>#N/A</v>
      </c>
      <c r="DP19" t="str">
        <f>IF(Radar_Mosca!$A19="","",MID(Radar_Mosca!$A19,5,3)&amp;IF(Radar_Mosca!$T19="Sì"," ◆",""))</f>
        <v/>
      </c>
      <c r="DQ19" t="e">
        <f>IF(ISNUMBER(Radar_Mosca!$S19),Radar_Mosca!$S19,NA())</f>
        <v>#N/A</v>
      </c>
    </row>
    <row r="20" spans="1:121" ht="12" customHeight="1" x14ac:dyDescent="0.4">
      <c r="J20" s="25" t="str">
        <f>INDEX(posID,3)&amp;""</f>
        <v>NFR-03</v>
      </c>
      <c r="K20" s="151" t="str">
        <f>IF(J20="","",INDEX(posNome,3)&amp;IF(INDEX(ANA_Attenzione_Supervisore,3)="Sì","  ◆",""))</f>
        <v>Greenwashing nella commercializzazione di prodotti ESG</v>
      </c>
      <c r="L20" s="142"/>
      <c r="M20" s="142"/>
      <c r="N20" s="142"/>
      <c r="O20" s="142"/>
      <c r="T20" t="str">
        <f>IF(Radar_Mosca!$AA$20="Attivazione",Radar_Mosca!$A$20,"")</f>
        <v/>
      </c>
      <c r="BH20">
        <f>2*PI()*15/72</f>
        <v>1.308996938995747</v>
      </c>
      <c r="BI20">
        <f t="shared" si="0"/>
        <v>1.9318516525781364</v>
      </c>
      <c r="BJ20">
        <f t="shared" si="1"/>
        <v>0.51763809020504192</v>
      </c>
      <c r="BK20">
        <f t="shared" si="2"/>
        <v>2.8977774788672046</v>
      </c>
      <c r="BL20">
        <f t="shared" si="3"/>
        <v>0.77645713530756288</v>
      </c>
      <c r="BM20">
        <f t="shared" si="4"/>
        <v>3.8637033051562728</v>
      </c>
      <c r="BN20">
        <f t="shared" si="5"/>
        <v>1.0352761804100838</v>
      </c>
      <c r="BO20">
        <f t="shared" si="6"/>
        <v>4.8296291314453406</v>
      </c>
      <c r="BP20">
        <f t="shared" si="7"/>
        <v>1.2940952255126048</v>
      </c>
      <c r="BR20">
        <f>6.3*SIN(2*PI()*7/ROWS(codiciL1))</f>
        <v>-6.2042888439769115</v>
      </c>
      <c r="BS20">
        <f>6.3*COS(2*PI()*7/ROWS(codiciL1))</f>
        <v>1.0939835193016587</v>
      </c>
      <c r="BY20" t="e">
        <f>IF(AND(ISNUMBER(Radar_Mosca!$F20),ISNUMBER(Radar_Mosca!$S20)),IF(AND(Radar_Mosca!$F20=BY$4,Radar_Mosca!$AA20=BY$3),Radar_Mosca!$S20,NA()),NA())</f>
        <v>#N/A</v>
      </c>
      <c r="BZ20" t="e">
        <f>IF(AND(ISNUMBER(Radar_Mosca!$F20),ISNUMBER(Radar_Mosca!$S20)),IF(AND(Radar_Mosca!$F20=BZ$4,Radar_Mosca!$AA20=BZ$3),Radar_Mosca!$S20,NA()),NA())</f>
        <v>#N/A</v>
      </c>
      <c r="CA20" t="e">
        <f>IF(AND(ISNUMBER(Radar_Mosca!$F20),ISNUMBER(Radar_Mosca!$S20)),IF(AND(Radar_Mosca!$F20=CA$4,Radar_Mosca!$AA20=CA$3),Radar_Mosca!$S20,NA()),NA())</f>
        <v>#N/A</v>
      </c>
      <c r="CB20" t="e">
        <f>IF(AND(ISNUMBER(Radar_Mosca!$F20),ISNUMBER(Radar_Mosca!$S20)),IF(AND(Radar_Mosca!$F20=CB$4,Radar_Mosca!$AA20=CB$3),Radar_Mosca!$S20,NA()),NA())</f>
        <v>#N/A</v>
      </c>
      <c r="CC20" t="e">
        <f>IF(AND(ISNUMBER(Radar_Mosca!$F20),ISNUMBER(Radar_Mosca!$S20)),IF(AND(Radar_Mosca!$F20=CC$4,Radar_Mosca!$AA20=CC$3),Radar_Mosca!$S20,NA()),NA())</f>
        <v>#N/A</v>
      </c>
      <c r="CD20" t="e">
        <f>IF(AND(ISNUMBER(Radar_Mosca!$F20),ISNUMBER(Radar_Mosca!$S20)),IF(AND(Radar_Mosca!$F20=CD$4,Radar_Mosca!$AA20=CD$3),Radar_Mosca!$S20,NA()),NA())</f>
        <v>#N/A</v>
      </c>
      <c r="CE20" t="e">
        <f>IF(AND(ISNUMBER(Radar_Mosca!$F20),ISNUMBER(Radar_Mosca!$S20)),IF(AND(Radar_Mosca!$F20=CE$4,Radar_Mosca!$AA20=CE$3),Radar_Mosca!$S20,NA()),NA())</f>
        <v>#N/A</v>
      </c>
      <c r="CF20" t="e">
        <f>IF(AND(ISNUMBER(Radar_Mosca!$F20),ISNUMBER(Radar_Mosca!$S20)),IF(AND(Radar_Mosca!$F20=CF$4,Radar_Mosca!$AA20=CF$3),Radar_Mosca!$S20,NA()),NA())</f>
        <v>#N/A</v>
      </c>
      <c r="CG20" t="e">
        <f>IF(AND(ISNUMBER(Radar_Mosca!$F20),ISNUMBER(Radar_Mosca!$S20)),IF(AND(Radar_Mosca!$F20=CG$4,Radar_Mosca!$AA20=CG$3),Radar_Mosca!$S20,NA()),NA())</f>
        <v>#N/A</v>
      </c>
      <c r="CH20" t="e">
        <f>IF(AND(ISNUMBER(Radar_Mosca!$F20),ISNUMBER(Radar_Mosca!$S20)),IF(AND(Radar_Mosca!$F20=CH$4,Radar_Mosca!$AA20=CH$3),Radar_Mosca!$S20,NA()),NA())</f>
        <v>#N/A</v>
      </c>
      <c r="CI20" t="e">
        <f>IF(AND(ISNUMBER(Radar_Mosca!$F20),ISNUMBER(Radar_Mosca!$S20)),IF(AND(Radar_Mosca!$F20=CI$4,Radar_Mosca!$AA20=CI$3),Radar_Mosca!$S20,NA()),NA())</f>
        <v>#N/A</v>
      </c>
      <c r="CJ20" t="e">
        <f>IF(AND(ISNUMBER(Radar_Mosca!$F20),ISNUMBER(Radar_Mosca!$S20)),IF(AND(Radar_Mosca!$F20=CJ$4,Radar_Mosca!$AA20=CJ$3),Radar_Mosca!$S20,NA()),NA())</f>
        <v>#N/A</v>
      </c>
      <c r="CK20" t="e">
        <f>IF(AND(ISNUMBER(Radar_Mosca!$F20),ISNUMBER(Radar_Mosca!$S20)),IF(AND(Radar_Mosca!$F20=CK$4,Radar_Mosca!$AA20=CK$3),Radar_Mosca!$S20,NA()),NA())</f>
        <v>#N/A</v>
      </c>
      <c r="CL20" t="e">
        <f>IF(AND(ISNUMBER(Radar_Mosca!$F20),ISNUMBER(Radar_Mosca!$S20)),IF(AND(Radar_Mosca!$F20=CL$4,Radar_Mosca!$AA20=CL$3),Radar_Mosca!$S20,NA()),NA())</f>
        <v>#N/A</v>
      </c>
      <c r="CM20" t="e">
        <f>IF(AND(ISNUMBER(Radar_Mosca!$F20),ISNUMBER(Radar_Mosca!$S20)),IF(AND(Radar_Mosca!$F20=CM$4,Radar_Mosca!$AA20=CM$3),Radar_Mosca!$S20,NA()),NA())</f>
        <v>#N/A</v>
      </c>
      <c r="CN20" t="e">
        <f>IF(AND(ISNUMBER(Radar_Mosca!$F20),ISNUMBER(Radar_Mosca!$S20)),IF(AND(Radar_Mosca!$F20=CN$4,Radar_Mosca!$AA20=CN$3),Radar_Mosca!$S20,NA()),NA())</f>
        <v>#N/A</v>
      </c>
      <c r="CO20" t="e">
        <f>IF(AND(ISNUMBER(Radar_Mosca!$F20),ISNUMBER(Radar_Mosca!$S20)),IF(AND(Radar_Mosca!$F20=CO$4,Radar_Mosca!$AA20=CO$3),Radar_Mosca!$S20,NA()),NA())</f>
        <v>#N/A</v>
      </c>
      <c r="CP20" t="e">
        <f>IF(AND(ISNUMBER(Radar_Mosca!$F20),ISNUMBER(Radar_Mosca!$S20)),IF(AND(Radar_Mosca!$F20=CP$4,Radar_Mosca!$AA20=CP$3),Radar_Mosca!$S20,NA()),NA())</f>
        <v>#N/A</v>
      </c>
      <c r="CQ20" t="e">
        <f>IF(AND(ISNUMBER(Radar_Mosca!$F20),ISNUMBER(Radar_Mosca!$S20)),IF(AND(Radar_Mosca!$F20=CQ$4,Radar_Mosca!$AA20=CQ$3),Radar_Mosca!$S20,NA()),NA())</f>
        <v>#N/A</v>
      </c>
      <c r="CR20" t="e">
        <f>IF(AND(ISNUMBER(Radar_Mosca!$F20),ISNUMBER(Radar_Mosca!$S20)),IF(AND(Radar_Mosca!$F20=CR$4,Radar_Mosca!$AA20=CR$3),Radar_Mosca!$S20,NA()),NA())</f>
        <v>#N/A</v>
      </c>
      <c r="CS20" t="e">
        <f>IF(AND(ISNUMBER(Radar_Mosca!$F20),ISNUMBER(Radar_Mosca!$S20)),IF(AND(Radar_Mosca!$F20=CS$4,Radar_Mosca!$AA20=CS$3),Radar_Mosca!$S20,NA()),NA())</f>
        <v>#N/A</v>
      </c>
      <c r="CT20" t="e">
        <f>IF(AND(ISNUMBER(Radar_Mosca!$F20),ISNUMBER(Radar_Mosca!$S20)),IF(AND(Radar_Mosca!$F20=CT$4,Radar_Mosca!$AA20=CT$3),Radar_Mosca!$S20,NA()),NA())</f>
        <v>#N/A</v>
      </c>
      <c r="CU20" t="e">
        <f>IF(AND(ISNUMBER(Radar_Mosca!$F20),ISNUMBER(Radar_Mosca!$S20)),IF(AND(Radar_Mosca!$F20=CU$4,Radar_Mosca!$AA20=CU$3),Radar_Mosca!$S20,NA()),NA())</f>
        <v>#N/A</v>
      </c>
      <c r="CV20" t="e">
        <f>IF(AND(ISNUMBER(Radar_Mosca!$F20),ISNUMBER(Radar_Mosca!$S20)),IF(AND(Radar_Mosca!$F20=CV$4,Radar_Mosca!$AA20=CV$3),Radar_Mosca!$S20,NA()),NA())</f>
        <v>#N/A</v>
      </c>
      <c r="CW20" t="e">
        <f>IF(AND(ISNUMBER(Radar_Mosca!$F20),ISNUMBER(Radar_Mosca!$S20)),IF(AND(Radar_Mosca!$F20=CW$4,Radar_Mosca!$AA20=CW$3),Radar_Mosca!$S20,NA()),NA())</f>
        <v>#N/A</v>
      </c>
      <c r="CX20" t="e">
        <f>IF(AND(ISNUMBER(Radar_Mosca!$F20),ISNUMBER(Radar_Mosca!$S20)),IF(AND(Radar_Mosca!$F20=CX$4,Radar_Mosca!$AA20=CX$3),Radar_Mosca!$S20,NA()),NA())</f>
        <v>#N/A</v>
      </c>
      <c r="CY20" t="e">
        <f>IF(AND(ISNUMBER(Radar_Mosca!$F20),ISNUMBER(Radar_Mosca!$S20)),IF(AND(Radar_Mosca!$F20=CY$4,Radar_Mosca!$AA20=CY$3),Radar_Mosca!$S20,NA()),NA())</f>
        <v>#N/A</v>
      </c>
      <c r="CZ20" t="e">
        <f>IF(AND(ISNUMBER(Radar_Mosca!$F20),ISNUMBER(Radar_Mosca!$S20)),IF(AND(Radar_Mosca!$F20=CZ$4,Radar_Mosca!$AA20=CZ$3),Radar_Mosca!$S20,NA()),NA())</f>
        <v>#N/A</v>
      </c>
      <c r="DA20" t="e">
        <f>IF(AND(ISNUMBER(Radar_Mosca!$F20),ISNUMBER(Radar_Mosca!$S20)),IF(AND(Radar_Mosca!$F20=DA$4,Radar_Mosca!$AA20=DA$3),Radar_Mosca!$S20,NA()),NA())</f>
        <v>#N/A</v>
      </c>
      <c r="DB20" t="e">
        <f>IF(AND(ISNUMBER(Radar_Mosca!$F20),ISNUMBER(Radar_Mosca!$S20)),IF(AND(Radar_Mosca!$F20=DB$4,Radar_Mosca!$AA20=DB$3),Radar_Mosca!$S20,NA()),NA())</f>
        <v>#N/A</v>
      </c>
      <c r="DC20" t="e">
        <f>IF(AND(ISNUMBER(Radar_Mosca!$F20),ISNUMBER(Radar_Mosca!$S20)),IF(AND(Radar_Mosca!$F20=DC$4,Radar_Mosca!$AA20=DC$3),Radar_Mosca!$S20,NA()),NA())</f>
        <v>#N/A</v>
      </c>
      <c r="DD20" t="e">
        <f>IF(AND(ISNUMBER(Radar_Mosca!$F20),ISNUMBER(Radar_Mosca!$S20)),IF(AND(Radar_Mosca!$F20=DD$4,Radar_Mosca!$AA20=DD$3),Radar_Mosca!$S20,NA()),NA())</f>
        <v>#N/A</v>
      </c>
      <c r="DE20" t="e">
        <f>IF(AND(ISNUMBER(Radar_Mosca!$F20),ISNUMBER(Radar_Mosca!$S20)),IF(AND(Radar_Mosca!$F20=DE$4,Radar_Mosca!$AA20=DE$3),Radar_Mosca!$S20,NA()),NA())</f>
        <v>#N/A</v>
      </c>
      <c r="DF20" t="e">
        <f>IF(AND(ISNUMBER(Radar_Mosca!$F20),ISNUMBER(Radar_Mosca!$S20)),IF(AND(Radar_Mosca!$F20=DF$4,Radar_Mosca!$AA20=DF$3),Radar_Mosca!$S20,NA()),NA())</f>
        <v>#N/A</v>
      </c>
      <c r="DG20" t="e">
        <f>IF(AND(ISNUMBER(Radar_Mosca!$F20),ISNUMBER(Radar_Mosca!$S20)),IF(AND(Radar_Mosca!$F20=DG$4,Radar_Mosca!$AA20=DG$3),Radar_Mosca!$S20,NA()),NA())</f>
        <v>#N/A</v>
      </c>
      <c r="DH20" t="e">
        <f>IF(AND(ISNUMBER(Radar_Mosca!$F20),ISNUMBER(Radar_Mosca!$S20)),IF(AND(Radar_Mosca!$F20=DH$4,Radar_Mosca!$AA20=DH$3),Radar_Mosca!$S20,NA()),NA())</f>
        <v>#N/A</v>
      </c>
      <c r="DI20" t="e">
        <f>IF(AND(ISNUMBER(Radar_Mosca!$F20),ISNUMBER(Radar_Mosca!$S20)),IF(AND(Radar_Mosca!$F20=DI$4,Radar_Mosca!$AA20=DI$3),Radar_Mosca!$S20,NA()),NA())</f>
        <v>#N/A</v>
      </c>
      <c r="DJ20" t="e">
        <f>IF(AND(ISNUMBER(Radar_Mosca!$F20),ISNUMBER(Radar_Mosca!$S20)),IF(AND(Radar_Mosca!$F20=DJ$4,Radar_Mosca!$AA20=DJ$3),Radar_Mosca!$S20,NA()),NA())</f>
        <v>#N/A</v>
      </c>
      <c r="DK20" t="e">
        <f>IF(AND(ISNUMBER(Radar_Mosca!$F20),ISNUMBER(Radar_Mosca!$S20)),IF(AND(Radar_Mosca!$F20=DK$4,Radar_Mosca!$AA20=DK$3),Radar_Mosca!$S20,NA()),NA())</f>
        <v>#N/A</v>
      </c>
      <c r="DL20" t="e">
        <f>IF(AND(ISNUMBER(Radar_Mosca!$F20),ISNUMBER(Radar_Mosca!$S20)),IF(AND(Radar_Mosca!$F20=DL$4,Radar_Mosca!$AA20=DL$3),Radar_Mosca!$S20,NA()),NA())</f>
        <v>#N/A</v>
      </c>
      <c r="DM20" t="e">
        <f>IF(AND(ISNUMBER(Radar_Mosca!$F20),ISNUMBER(Radar_Mosca!$S20)),IF(AND(Radar_Mosca!$F20=DM$4,Radar_Mosca!$AA20=DM$3),Radar_Mosca!$S20,NA()),NA())</f>
        <v>#N/A</v>
      </c>
      <c r="DN20" t="e">
        <f>IF(AND(ISNUMBER(Radar_Mosca!$F20),ISNUMBER(Radar_Mosca!$S20)),IF(AND(Radar_Mosca!$F20=DN$4,Radar_Mosca!$AA20=DN$3),Radar_Mosca!$S20,NA()),NA())</f>
        <v>#N/A</v>
      </c>
      <c r="DO20" t="e">
        <f>IF(ISNUMBER(Radar_Mosca!$R20),Radar_Mosca!$R20,NA())</f>
        <v>#N/A</v>
      </c>
      <c r="DP20" t="str">
        <f>IF(Radar_Mosca!$A20="","",MID(Radar_Mosca!$A20,5,3)&amp;IF(Radar_Mosca!$T20="Sì"," ◆",""))</f>
        <v/>
      </c>
      <c r="DQ20" t="e">
        <f>IF(ISNUMBER(Radar_Mosca!$S20),Radar_Mosca!$S20,NA())</f>
        <v>#N/A</v>
      </c>
    </row>
    <row r="21" spans="1:121" ht="12" customHeight="1" x14ac:dyDescent="0.4">
      <c r="J21" s="25" t="str">
        <f>INDEX(posID,4)&amp;""</f>
        <v>NFR-04</v>
      </c>
      <c r="K21" s="151" t="str">
        <f>IF(J21="","",INDEX(posNome,4)&amp;IF(INDEX(ANA_Attenzione_Supervisore,4)="Sì","  ◆",""))</f>
        <v>Eventi climatici estremi su sedi e data center</v>
      </c>
      <c r="L21" s="142"/>
      <c r="M21" s="142"/>
      <c r="N21" s="142"/>
      <c r="O21" s="142"/>
      <c r="T21" t="str">
        <f>IF(Radar_Mosca!$AA$21="Attivazione",Radar_Mosca!$A$21,"")</f>
        <v/>
      </c>
      <c r="BH21">
        <f>2*PI()*16/72</f>
        <v>1.3962634015954636</v>
      </c>
      <c r="BI21">
        <f t="shared" si="0"/>
        <v>1.969615506024416</v>
      </c>
      <c r="BJ21">
        <f t="shared" si="1"/>
        <v>0.34729635533386083</v>
      </c>
      <c r="BK21">
        <f t="shared" si="2"/>
        <v>2.9544232590366239</v>
      </c>
      <c r="BL21">
        <f t="shared" si="3"/>
        <v>0.52094453300079124</v>
      </c>
      <c r="BM21">
        <f t="shared" si="4"/>
        <v>3.9392310120488321</v>
      </c>
      <c r="BN21">
        <f t="shared" si="5"/>
        <v>0.69459271066772166</v>
      </c>
      <c r="BO21">
        <f t="shared" si="6"/>
        <v>4.9240387650610398</v>
      </c>
      <c r="BP21">
        <f t="shared" si="7"/>
        <v>0.86824088833465207</v>
      </c>
      <c r="BR21">
        <v>0</v>
      </c>
      <c r="BS21">
        <v>0</v>
      </c>
      <c r="BY21" t="e">
        <f>IF(AND(ISNUMBER(Radar_Mosca!$F21),ISNUMBER(Radar_Mosca!$S21)),IF(AND(Radar_Mosca!$F21=BY$4,Radar_Mosca!$AA21=BY$3),Radar_Mosca!$S21,NA()),NA())</f>
        <v>#N/A</v>
      </c>
      <c r="BZ21" t="e">
        <f>IF(AND(ISNUMBER(Radar_Mosca!$F21),ISNUMBER(Radar_Mosca!$S21)),IF(AND(Radar_Mosca!$F21=BZ$4,Radar_Mosca!$AA21=BZ$3),Radar_Mosca!$S21,NA()),NA())</f>
        <v>#N/A</v>
      </c>
      <c r="CA21" t="e">
        <f>IF(AND(ISNUMBER(Radar_Mosca!$F21),ISNUMBER(Radar_Mosca!$S21)),IF(AND(Radar_Mosca!$F21=CA$4,Radar_Mosca!$AA21=CA$3),Radar_Mosca!$S21,NA()),NA())</f>
        <v>#N/A</v>
      </c>
      <c r="CB21" t="e">
        <f>IF(AND(ISNUMBER(Radar_Mosca!$F21),ISNUMBER(Radar_Mosca!$S21)),IF(AND(Radar_Mosca!$F21=CB$4,Radar_Mosca!$AA21=CB$3),Radar_Mosca!$S21,NA()),NA())</f>
        <v>#N/A</v>
      </c>
      <c r="CC21" t="e">
        <f>IF(AND(ISNUMBER(Radar_Mosca!$F21),ISNUMBER(Radar_Mosca!$S21)),IF(AND(Radar_Mosca!$F21=CC$4,Radar_Mosca!$AA21=CC$3),Radar_Mosca!$S21,NA()),NA())</f>
        <v>#N/A</v>
      </c>
      <c r="CD21" t="e">
        <f>IF(AND(ISNUMBER(Radar_Mosca!$F21),ISNUMBER(Radar_Mosca!$S21)),IF(AND(Radar_Mosca!$F21=CD$4,Radar_Mosca!$AA21=CD$3),Radar_Mosca!$S21,NA()),NA())</f>
        <v>#N/A</v>
      </c>
      <c r="CE21" t="e">
        <f>IF(AND(ISNUMBER(Radar_Mosca!$F21),ISNUMBER(Radar_Mosca!$S21)),IF(AND(Radar_Mosca!$F21=CE$4,Radar_Mosca!$AA21=CE$3),Radar_Mosca!$S21,NA()),NA())</f>
        <v>#N/A</v>
      </c>
      <c r="CF21" t="e">
        <f>IF(AND(ISNUMBER(Radar_Mosca!$F21),ISNUMBER(Radar_Mosca!$S21)),IF(AND(Radar_Mosca!$F21=CF$4,Radar_Mosca!$AA21=CF$3),Radar_Mosca!$S21,NA()),NA())</f>
        <v>#N/A</v>
      </c>
      <c r="CG21" t="e">
        <f>IF(AND(ISNUMBER(Radar_Mosca!$F21),ISNUMBER(Radar_Mosca!$S21)),IF(AND(Radar_Mosca!$F21=CG$4,Radar_Mosca!$AA21=CG$3),Radar_Mosca!$S21,NA()),NA())</f>
        <v>#N/A</v>
      </c>
      <c r="CH21" t="e">
        <f>IF(AND(ISNUMBER(Radar_Mosca!$F21),ISNUMBER(Radar_Mosca!$S21)),IF(AND(Radar_Mosca!$F21=CH$4,Radar_Mosca!$AA21=CH$3),Radar_Mosca!$S21,NA()),NA())</f>
        <v>#N/A</v>
      </c>
      <c r="CI21" t="e">
        <f>IF(AND(ISNUMBER(Radar_Mosca!$F21),ISNUMBER(Radar_Mosca!$S21)),IF(AND(Radar_Mosca!$F21=CI$4,Radar_Mosca!$AA21=CI$3),Radar_Mosca!$S21,NA()),NA())</f>
        <v>#N/A</v>
      </c>
      <c r="CJ21" t="e">
        <f>IF(AND(ISNUMBER(Radar_Mosca!$F21),ISNUMBER(Radar_Mosca!$S21)),IF(AND(Radar_Mosca!$F21=CJ$4,Radar_Mosca!$AA21=CJ$3),Radar_Mosca!$S21,NA()),NA())</f>
        <v>#N/A</v>
      </c>
      <c r="CK21" t="e">
        <f>IF(AND(ISNUMBER(Radar_Mosca!$F21),ISNUMBER(Radar_Mosca!$S21)),IF(AND(Radar_Mosca!$F21=CK$4,Radar_Mosca!$AA21=CK$3),Radar_Mosca!$S21,NA()),NA())</f>
        <v>#N/A</v>
      </c>
      <c r="CL21" t="e">
        <f>IF(AND(ISNUMBER(Radar_Mosca!$F21),ISNUMBER(Radar_Mosca!$S21)),IF(AND(Radar_Mosca!$F21=CL$4,Radar_Mosca!$AA21=CL$3),Radar_Mosca!$S21,NA()),NA())</f>
        <v>#N/A</v>
      </c>
      <c r="CM21" t="e">
        <f>IF(AND(ISNUMBER(Radar_Mosca!$F21),ISNUMBER(Radar_Mosca!$S21)),IF(AND(Radar_Mosca!$F21=CM$4,Radar_Mosca!$AA21=CM$3),Radar_Mosca!$S21,NA()),NA())</f>
        <v>#N/A</v>
      </c>
      <c r="CN21" t="e">
        <f>IF(AND(ISNUMBER(Radar_Mosca!$F21),ISNUMBER(Radar_Mosca!$S21)),IF(AND(Radar_Mosca!$F21=CN$4,Radar_Mosca!$AA21=CN$3),Radar_Mosca!$S21,NA()),NA())</f>
        <v>#N/A</v>
      </c>
      <c r="CO21" t="e">
        <f>IF(AND(ISNUMBER(Radar_Mosca!$F21),ISNUMBER(Radar_Mosca!$S21)),IF(AND(Radar_Mosca!$F21=CO$4,Radar_Mosca!$AA21=CO$3),Radar_Mosca!$S21,NA()),NA())</f>
        <v>#N/A</v>
      </c>
      <c r="CP21" t="e">
        <f>IF(AND(ISNUMBER(Radar_Mosca!$F21),ISNUMBER(Radar_Mosca!$S21)),IF(AND(Radar_Mosca!$F21=CP$4,Radar_Mosca!$AA21=CP$3),Radar_Mosca!$S21,NA()),NA())</f>
        <v>#N/A</v>
      </c>
      <c r="CQ21" t="e">
        <f>IF(AND(ISNUMBER(Radar_Mosca!$F21),ISNUMBER(Radar_Mosca!$S21)),IF(AND(Radar_Mosca!$F21=CQ$4,Radar_Mosca!$AA21=CQ$3),Radar_Mosca!$S21,NA()),NA())</f>
        <v>#N/A</v>
      </c>
      <c r="CR21" t="e">
        <f>IF(AND(ISNUMBER(Radar_Mosca!$F21),ISNUMBER(Radar_Mosca!$S21)),IF(AND(Radar_Mosca!$F21=CR$4,Radar_Mosca!$AA21=CR$3),Radar_Mosca!$S21,NA()),NA())</f>
        <v>#N/A</v>
      </c>
      <c r="CS21" t="e">
        <f>IF(AND(ISNUMBER(Radar_Mosca!$F21),ISNUMBER(Radar_Mosca!$S21)),IF(AND(Radar_Mosca!$F21=CS$4,Radar_Mosca!$AA21=CS$3),Radar_Mosca!$S21,NA()),NA())</f>
        <v>#N/A</v>
      </c>
      <c r="CT21" t="e">
        <f>IF(AND(ISNUMBER(Radar_Mosca!$F21),ISNUMBER(Radar_Mosca!$S21)),IF(AND(Radar_Mosca!$F21=CT$4,Radar_Mosca!$AA21=CT$3),Radar_Mosca!$S21,NA()),NA())</f>
        <v>#N/A</v>
      </c>
      <c r="CU21" t="e">
        <f>IF(AND(ISNUMBER(Radar_Mosca!$F21),ISNUMBER(Radar_Mosca!$S21)),IF(AND(Radar_Mosca!$F21=CU$4,Radar_Mosca!$AA21=CU$3),Radar_Mosca!$S21,NA()),NA())</f>
        <v>#N/A</v>
      </c>
      <c r="CV21" t="e">
        <f>IF(AND(ISNUMBER(Radar_Mosca!$F21),ISNUMBER(Radar_Mosca!$S21)),IF(AND(Radar_Mosca!$F21=CV$4,Radar_Mosca!$AA21=CV$3),Radar_Mosca!$S21,NA()),NA())</f>
        <v>#N/A</v>
      </c>
      <c r="CW21" t="e">
        <f>IF(AND(ISNUMBER(Radar_Mosca!$F21),ISNUMBER(Radar_Mosca!$S21)),IF(AND(Radar_Mosca!$F21=CW$4,Radar_Mosca!$AA21=CW$3),Radar_Mosca!$S21,NA()),NA())</f>
        <v>#N/A</v>
      </c>
      <c r="CX21" t="e">
        <f>IF(AND(ISNUMBER(Radar_Mosca!$F21),ISNUMBER(Radar_Mosca!$S21)),IF(AND(Radar_Mosca!$F21=CX$4,Radar_Mosca!$AA21=CX$3),Radar_Mosca!$S21,NA()),NA())</f>
        <v>#N/A</v>
      </c>
      <c r="CY21" t="e">
        <f>IF(AND(ISNUMBER(Radar_Mosca!$F21),ISNUMBER(Radar_Mosca!$S21)),IF(AND(Radar_Mosca!$F21=CY$4,Radar_Mosca!$AA21=CY$3),Radar_Mosca!$S21,NA()),NA())</f>
        <v>#N/A</v>
      </c>
      <c r="CZ21" t="e">
        <f>IF(AND(ISNUMBER(Radar_Mosca!$F21),ISNUMBER(Radar_Mosca!$S21)),IF(AND(Radar_Mosca!$F21=CZ$4,Radar_Mosca!$AA21=CZ$3),Radar_Mosca!$S21,NA()),NA())</f>
        <v>#N/A</v>
      </c>
      <c r="DA21" t="e">
        <f>IF(AND(ISNUMBER(Radar_Mosca!$F21),ISNUMBER(Radar_Mosca!$S21)),IF(AND(Radar_Mosca!$F21=DA$4,Radar_Mosca!$AA21=DA$3),Radar_Mosca!$S21,NA()),NA())</f>
        <v>#N/A</v>
      </c>
      <c r="DB21" t="e">
        <f>IF(AND(ISNUMBER(Radar_Mosca!$F21),ISNUMBER(Radar_Mosca!$S21)),IF(AND(Radar_Mosca!$F21=DB$4,Radar_Mosca!$AA21=DB$3),Radar_Mosca!$S21,NA()),NA())</f>
        <v>#N/A</v>
      </c>
      <c r="DC21" t="e">
        <f>IF(AND(ISNUMBER(Radar_Mosca!$F21),ISNUMBER(Radar_Mosca!$S21)),IF(AND(Radar_Mosca!$F21=DC$4,Radar_Mosca!$AA21=DC$3),Radar_Mosca!$S21,NA()),NA())</f>
        <v>#N/A</v>
      </c>
      <c r="DD21" t="e">
        <f>IF(AND(ISNUMBER(Radar_Mosca!$F21),ISNUMBER(Radar_Mosca!$S21)),IF(AND(Radar_Mosca!$F21=DD$4,Radar_Mosca!$AA21=DD$3),Radar_Mosca!$S21,NA()),NA())</f>
        <v>#N/A</v>
      </c>
      <c r="DE21" t="e">
        <f>IF(AND(ISNUMBER(Radar_Mosca!$F21),ISNUMBER(Radar_Mosca!$S21)),IF(AND(Radar_Mosca!$F21=DE$4,Radar_Mosca!$AA21=DE$3),Radar_Mosca!$S21,NA()),NA())</f>
        <v>#N/A</v>
      </c>
      <c r="DF21" t="e">
        <f>IF(AND(ISNUMBER(Radar_Mosca!$F21),ISNUMBER(Radar_Mosca!$S21)),IF(AND(Radar_Mosca!$F21=DF$4,Radar_Mosca!$AA21=DF$3),Radar_Mosca!$S21,NA()),NA())</f>
        <v>#N/A</v>
      </c>
      <c r="DG21" t="e">
        <f>IF(AND(ISNUMBER(Radar_Mosca!$F21),ISNUMBER(Radar_Mosca!$S21)),IF(AND(Radar_Mosca!$F21=DG$4,Radar_Mosca!$AA21=DG$3),Radar_Mosca!$S21,NA()),NA())</f>
        <v>#N/A</v>
      </c>
      <c r="DH21" t="e">
        <f>IF(AND(ISNUMBER(Radar_Mosca!$F21),ISNUMBER(Radar_Mosca!$S21)),IF(AND(Radar_Mosca!$F21=DH$4,Radar_Mosca!$AA21=DH$3),Radar_Mosca!$S21,NA()),NA())</f>
        <v>#N/A</v>
      </c>
      <c r="DI21" t="e">
        <f>IF(AND(ISNUMBER(Radar_Mosca!$F21),ISNUMBER(Radar_Mosca!$S21)),IF(AND(Radar_Mosca!$F21=DI$4,Radar_Mosca!$AA21=DI$3),Radar_Mosca!$S21,NA()),NA())</f>
        <v>#N/A</v>
      </c>
      <c r="DJ21" t="e">
        <f>IF(AND(ISNUMBER(Radar_Mosca!$F21),ISNUMBER(Radar_Mosca!$S21)),IF(AND(Radar_Mosca!$F21=DJ$4,Radar_Mosca!$AA21=DJ$3),Radar_Mosca!$S21,NA()),NA())</f>
        <v>#N/A</v>
      </c>
      <c r="DK21" t="e">
        <f>IF(AND(ISNUMBER(Radar_Mosca!$F21),ISNUMBER(Radar_Mosca!$S21)),IF(AND(Radar_Mosca!$F21=DK$4,Radar_Mosca!$AA21=DK$3),Radar_Mosca!$S21,NA()),NA())</f>
        <v>#N/A</v>
      </c>
      <c r="DL21" t="e">
        <f>IF(AND(ISNUMBER(Radar_Mosca!$F21),ISNUMBER(Radar_Mosca!$S21)),IF(AND(Radar_Mosca!$F21=DL$4,Radar_Mosca!$AA21=DL$3),Radar_Mosca!$S21,NA()),NA())</f>
        <v>#N/A</v>
      </c>
      <c r="DM21" t="e">
        <f>IF(AND(ISNUMBER(Radar_Mosca!$F21),ISNUMBER(Radar_Mosca!$S21)),IF(AND(Radar_Mosca!$F21=DM$4,Radar_Mosca!$AA21=DM$3),Radar_Mosca!$S21,NA()),NA())</f>
        <v>#N/A</v>
      </c>
      <c r="DN21" t="e">
        <f>IF(AND(ISNUMBER(Radar_Mosca!$F21),ISNUMBER(Radar_Mosca!$S21)),IF(AND(Radar_Mosca!$F21=DN$4,Radar_Mosca!$AA21=DN$3),Radar_Mosca!$S21,NA()),NA())</f>
        <v>#N/A</v>
      </c>
      <c r="DO21" t="e">
        <f>IF(ISNUMBER(Radar_Mosca!$R21),Radar_Mosca!$R21,NA())</f>
        <v>#N/A</v>
      </c>
      <c r="DP21" t="str">
        <f>IF(Radar_Mosca!$A21="","",MID(Radar_Mosca!$A21,5,3)&amp;IF(Radar_Mosca!$T21="Sì"," ◆",""))</f>
        <v/>
      </c>
      <c r="DQ21" t="e">
        <f>IF(ISNUMBER(Radar_Mosca!$S21),Radar_Mosca!$S21,NA())</f>
        <v>#N/A</v>
      </c>
    </row>
    <row r="22" spans="1:121" ht="12" customHeight="1" x14ac:dyDescent="0.4">
      <c r="J22" s="25" t="str">
        <f>INDEX(posID,5)&amp;""</f>
        <v>NFR-05</v>
      </c>
      <c r="K22" s="151" t="str">
        <f>IF(J22="","",INDEX(posNome,5)&amp;IF(INDEX(ANA_Attenzione_Supervisore,5)="Sì","  ◆",""))</f>
        <v>Errori di processo nella migrazione del core banking</v>
      </c>
      <c r="L22" s="142"/>
      <c r="M22" s="142"/>
      <c r="N22" s="142"/>
      <c r="O22" s="142"/>
      <c r="T22" t="str">
        <f>IF(Radar_Mosca!$AA$22="Attivazione",Radar_Mosca!$A$22,"")</f>
        <v/>
      </c>
      <c r="BH22">
        <f>2*PI()*17/72</f>
        <v>1.4835298641951802</v>
      </c>
      <c r="BI22">
        <f t="shared" si="0"/>
        <v>1.9923893961834911</v>
      </c>
      <c r="BJ22">
        <f t="shared" si="1"/>
        <v>0.17431148549531628</v>
      </c>
      <c r="BK22">
        <f t="shared" si="2"/>
        <v>2.9885840942752369</v>
      </c>
      <c r="BL22">
        <f t="shared" si="3"/>
        <v>0.26146722824297441</v>
      </c>
      <c r="BM22">
        <f t="shared" si="4"/>
        <v>3.9847787923669822</v>
      </c>
      <c r="BN22">
        <f t="shared" si="5"/>
        <v>0.34862297099063255</v>
      </c>
      <c r="BO22">
        <f t="shared" si="6"/>
        <v>4.9809734904587275</v>
      </c>
      <c r="BP22">
        <f t="shared" si="7"/>
        <v>0.43577871373829069</v>
      </c>
      <c r="BR22">
        <f>6.3*SIN(2*PI()*8/ROWS(codiciL1))</f>
        <v>-4.0495619410251988</v>
      </c>
      <c r="BS22">
        <f>6.3*COS(2*PI()*8/ROWS(codiciL1))</f>
        <v>4.8260799916495598</v>
      </c>
      <c r="BY22" t="e">
        <f>IF(AND(ISNUMBER(Radar_Mosca!$F22),ISNUMBER(Radar_Mosca!$S22)),IF(AND(Radar_Mosca!$F22=BY$4,Radar_Mosca!$AA22=BY$3),Radar_Mosca!$S22,NA()),NA())</f>
        <v>#N/A</v>
      </c>
      <c r="BZ22" t="e">
        <f>IF(AND(ISNUMBER(Radar_Mosca!$F22),ISNUMBER(Radar_Mosca!$S22)),IF(AND(Radar_Mosca!$F22=BZ$4,Radar_Mosca!$AA22=BZ$3),Radar_Mosca!$S22,NA()),NA())</f>
        <v>#N/A</v>
      </c>
      <c r="CA22" t="e">
        <f>IF(AND(ISNUMBER(Radar_Mosca!$F22),ISNUMBER(Radar_Mosca!$S22)),IF(AND(Radar_Mosca!$F22=CA$4,Radar_Mosca!$AA22=CA$3),Radar_Mosca!$S22,NA()),NA())</f>
        <v>#N/A</v>
      </c>
      <c r="CB22" t="e">
        <f>IF(AND(ISNUMBER(Radar_Mosca!$F22),ISNUMBER(Radar_Mosca!$S22)),IF(AND(Radar_Mosca!$F22=CB$4,Radar_Mosca!$AA22=CB$3),Radar_Mosca!$S22,NA()),NA())</f>
        <v>#N/A</v>
      </c>
      <c r="CC22" t="e">
        <f>IF(AND(ISNUMBER(Radar_Mosca!$F22),ISNUMBER(Radar_Mosca!$S22)),IF(AND(Radar_Mosca!$F22=CC$4,Radar_Mosca!$AA22=CC$3),Radar_Mosca!$S22,NA()),NA())</f>
        <v>#N/A</v>
      </c>
      <c r="CD22" t="e">
        <f>IF(AND(ISNUMBER(Radar_Mosca!$F22),ISNUMBER(Radar_Mosca!$S22)),IF(AND(Radar_Mosca!$F22=CD$4,Radar_Mosca!$AA22=CD$3),Radar_Mosca!$S22,NA()),NA())</f>
        <v>#N/A</v>
      </c>
      <c r="CE22" t="e">
        <f>IF(AND(ISNUMBER(Radar_Mosca!$F22),ISNUMBER(Radar_Mosca!$S22)),IF(AND(Radar_Mosca!$F22=CE$4,Radar_Mosca!$AA22=CE$3),Radar_Mosca!$S22,NA()),NA())</f>
        <v>#N/A</v>
      </c>
      <c r="CF22" t="e">
        <f>IF(AND(ISNUMBER(Radar_Mosca!$F22),ISNUMBER(Radar_Mosca!$S22)),IF(AND(Radar_Mosca!$F22=CF$4,Radar_Mosca!$AA22=CF$3),Radar_Mosca!$S22,NA()),NA())</f>
        <v>#N/A</v>
      </c>
      <c r="CG22" t="e">
        <f>IF(AND(ISNUMBER(Radar_Mosca!$F22),ISNUMBER(Radar_Mosca!$S22)),IF(AND(Radar_Mosca!$F22=CG$4,Radar_Mosca!$AA22=CG$3),Radar_Mosca!$S22,NA()),NA())</f>
        <v>#N/A</v>
      </c>
      <c r="CH22" t="e">
        <f>IF(AND(ISNUMBER(Radar_Mosca!$F22),ISNUMBER(Radar_Mosca!$S22)),IF(AND(Radar_Mosca!$F22=CH$4,Radar_Mosca!$AA22=CH$3),Radar_Mosca!$S22,NA()),NA())</f>
        <v>#N/A</v>
      </c>
      <c r="CI22" t="e">
        <f>IF(AND(ISNUMBER(Radar_Mosca!$F22),ISNUMBER(Radar_Mosca!$S22)),IF(AND(Radar_Mosca!$F22=CI$4,Radar_Mosca!$AA22=CI$3),Radar_Mosca!$S22,NA()),NA())</f>
        <v>#N/A</v>
      </c>
      <c r="CJ22" t="e">
        <f>IF(AND(ISNUMBER(Radar_Mosca!$F22),ISNUMBER(Radar_Mosca!$S22)),IF(AND(Radar_Mosca!$F22=CJ$4,Radar_Mosca!$AA22=CJ$3),Radar_Mosca!$S22,NA()),NA())</f>
        <v>#N/A</v>
      </c>
      <c r="CK22" t="e">
        <f>IF(AND(ISNUMBER(Radar_Mosca!$F22),ISNUMBER(Radar_Mosca!$S22)),IF(AND(Radar_Mosca!$F22=CK$4,Radar_Mosca!$AA22=CK$3),Radar_Mosca!$S22,NA()),NA())</f>
        <v>#N/A</v>
      </c>
      <c r="CL22" t="e">
        <f>IF(AND(ISNUMBER(Radar_Mosca!$F22),ISNUMBER(Radar_Mosca!$S22)),IF(AND(Radar_Mosca!$F22=CL$4,Radar_Mosca!$AA22=CL$3),Radar_Mosca!$S22,NA()),NA())</f>
        <v>#N/A</v>
      </c>
      <c r="CM22" t="e">
        <f>IF(AND(ISNUMBER(Radar_Mosca!$F22),ISNUMBER(Radar_Mosca!$S22)),IF(AND(Radar_Mosca!$F22=CM$4,Radar_Mosca!$AA22=CM$3),Radar_Mosca!$S22,NA()),NA())</f>
        <v>#N/A</v>
      </c>
      <c r="CN22" t="e">
        <f>IF(AND(ISNUMBER(Radar_Mosca!$F22),ISNUMBER(Radar_Mosca!$S22)),IF(AND(Radar_Mosca!$F22=CN$4,Radar_Mosca!$AA22=CN$3),Radar_Mosca!$S22,NA()),NA())</f>
        <v>#N/A</v>
      </c>
      <c r="CO22" t="e">
        <f>IF(AND(ISNUMBER(Radar_Mosca!$F22),ISNUMBER(Radar_Mosca!$S22)),IF(AND(Radar_Mosca!$F22=CO$4,Radar_Mosca!$AA22=CO$3),Radar_Mosca!$S22,NA()),NA())</f>
        <v>#N/A</v>
      </c>
      <c r="CP22" t="e">
        <f>IF(AND(ISNUMBER(Radar_Mosca!$F22),ISNUMBER(Radar_Mosca!$S22)),IF(AND(Radar_Mosca!$F22=CP$4,Radar_Mosca!$AA22=CP$3),Radar_Mosca!$S22,NA()),NA())</f>
        <v>#N/A</v>
      </c>
      <c r="CQ22" t="e">
        <f>IF(AND(ISNUMBER(Radar_Mosca!$F22),ISNUMBER(Radar_Mosca!$S22)),IF(AND(Radar_Mosca!$F22=CQ$4,Radar_Mosca!$AA22=CQ$3),Radar_Mosca!$S22,NA()),NA())</f>
        <v>#N/A</v>
      </c>
      <c r="CR22" t="e">
        <f>IF(AND(ISNUMBER(Radar_Mosca!$F22),ISNUMBER(Radar_Mosca!$S22)),IF(AND(Radar_Mosca!$F22=CR$4,Radar_Mosca!$AA22=CR$3),Radar_Mosca!$S22,NA()),NA())</f>
        <v>#N/A</v>
      </c>
      <c r="CS22" t="e">
        <f>IF(AND(ISNUMBER(Radar_Mosca!$F22),ISNUMBER(Radar_Mosca!$S22)),IF(AND(Radar_Mosca!$F22=CS$4,Radar_Mosca!$AA22=CS$3),Radar_Mosca!$S22,NA()),NA())</f>
        <v>#N/A</v>
      </c>
      <c r="CT22" t="e">
        <f>IF(AND(ISNUMBER(Radar_Mosca!$F22),ISNUMBER(Radar_Mosca!$S22)),IF(AND(Radar_Mosca!$F22=CT$4,Radar_Mosca!$AA22=CT$3),Radar_Mosca!$S22,NA()),NA())</f>
        <v>#N/A</v>
      </c>
      <c r="CU22" t="e">
        <f>IF(AND(ISNUMBER(Radar_Mosca!$F22),ISNUMBER(Radar_Mosca!$S22)),IF(AND(Radar_Mosca!$F22=CU$4,Radar_Mosca!$AA22=CU$3),Radar_Mosca!$S22,NA()),NA())</f>
        <v>#N/A</v>
      </c>
      <c r="CV22" t="e">
        <f>IF(AND(ISNUMBER(Radar_Mosca!$F22),ISNUMBER(Radar_Mosca!$S22)),IF(AND(Radar_Mosca!$F22=CV$4,Radar_Mosca!$AA22=CV$3),Radar_Mosca!$S22,NA()),NA())</f>
        <v>#N/A</v>
      </c>
      <c r="CW22" t="e">
        <f>IF(AND(ISNUMBER(Radar_Mosca!$F22),ISNUMBER(Radar_Mosca!$S22)),IF(AND(Radar_Mosca!$F22=CW$4,Radar_Mosca!$AA22=CW$3),Radar_Mosca!$S22,NA()),NA())</f>
        <v>#N/A</v>
      </c>
      <c r="CX22" t="e">
        <f>IF(AND(ISNUMBER(Radar_Mosca!$F22),ISNUMBER(Radar_Mosca!$S22)),IF(AND(Radar_Mosca!$F22=CX$4,Radar_Mosca!$AA22=CX$3),Radar_Mosca!$S22,NA()),NA())</f>
        <v>#N/A</v>
      </c>
      <c r="CY22" t="e">
        <f>IF(AND(ISNUMBER(Radar_Mosca!$F22),ISNUMBER(Radar_Mosca!$S22)),IF(AND(Radar_Mosca!$F22=CY$4,Radar_Mosca!$AA22=CY$3),Radar_Mosca!$S22,NA()),NA())</f>
        <v>#N/A</v>
      </c>
      <c r="CZ22" t="e">
        <f>IF(AND(ISNUMBER(Radar_Mosca!$F22),ISNUMBER(Radar_Mosca!$S22)),IF(AND(Radar_Mosca!$F22=CZ$4,Radar_Mosca!$AA22=CZ$3),Radar_Mosca!$S22,NA()),NA())</f>
        <v>#N/A</v>
      </c>
      <c r="DA22" t="e">
        <f>IF(AND(ISNUMBER(Radar_Mosca!$F22),ISNUMBER(Radar_Mosca!$S22)),IF(AND(Radar_Mosca!$F22=DA$4,Radar_Mosca!$AA22=DA$3),Radar_Mosca!$S22,NA()),NA())</f>
        <v>#N/A</v>
      </c>
      <c r="DB22" t="e">
        <f>IF(AND(ISNUMBER(Radar_Mosca!$F22),ISNUMBER(Radar_Mosca!$S22)),IF(AND(Radar_Mosca!$F22=DB$4,Radar_Mosca!$AA22=DB$3),Radar_Mosca!$S22,NA()),NA())</f>
        <v>#N/A</v>
      </c>
      <c r="DC22" t="e">
        <f>IF(AND(ISNUMBER(Radar_Mosca!$F22),ISNUMBER(Radar_Mosca!$S22)),IF(AND(Radar_Mosca!$F22=DC$4,Radar_Mosca!$AA22=DC$3),Radar_Mosca!$S22,NA()),NA())</f>
        <v>#N/A</v>
      </c>
      <c r="DD22" t="e">
        <f>IF(AND(ISNUMBER(Radar_Mosca!$F22),ISNUMBER(Radar_Mosca!$S22)),IF(AND(Radar_Mosca!$F22=DD$4,Radar_Mosca!$AA22=DD$3),Radar_Mosca!$S22,NA()),NA())</f>
        <v>#N/A</v>
      </c>
      <c r="DE22" t="e">
        <f>IF(AND(ISNUMBER(Radar_Mosca!$F22),ISNUMBER(Radar_Mosca!$S22)),IF(AND(Radar_Mosca!$F22=DE$4,Radar_Mosca!$AA22=DE$3),Radar_Mosca!$S22,NA()),NA())</f>
        <v>#N/A</v>
      </c>
      <c r="DF22" t="e">
        <f>IF(AND(ISNUMBER(Radar_Mosca!$F22),ISNUMBER(Radar_Mosca!$S22)),IF(AND(Radar_Mosca!$F22=DF$4,Radar_Mosca!$AA22=DF$3),Radar_Mosca!$S22,NA()),NA())</f>
        <v>#N/A</v>
      </c>
      <c r="DG22" t="e">
        <f>IF(AND(ISNUMBER(Radar_Mosca!$F22),ISNUMBER(Radar_Mosca!$S22)),IF(AND(Radar_Mosca!$F22=DG$4,Radar_Mosca!$AA22=DG$3),Radar_Mosca!$S22,NA()),NA())</f>
        <v>#N/A</v>
      </c>
      <c r="DH22" t="e">
        <f>IF(AND(ISNUMBER(Radar_Mosca!$F22),ISNUMBER(Radar_Mosca!$S22)),IF(AND(Radar_Mosca!$F22=DH$4,Radar_Mosca!$AA22=DH$3),Radar_Mosca!$S22,NA()),NA())</f>
        <v>#N/A</v>
      </c>
      <c r="DI22" t="e">
        <f>IF(AND(ISNUMBER(Radar_Mosca!$F22),ISNUMBER(Radar_Mosca!$S22)),IF(AND(Radar_Mosca!$F22=DI$4,Radar_Mosca!$AA22=DI$3),Radar_Mosca!$S22,NA()),NA())</f>
        <v>#N/A</v>
      </c>
      <c r="DJ22" t="e">
        <f>IF(AND(ISNUMBER(Radar_Mosca!$F22),ISNUMBER(Radar_Mosca!$S22)),IF(AND(Radar_Mosca!$F22=DJ$4,Radar_Mosca!$AA22=DJ$3),Radar_Mosca!$S22,NA()),NA())</f>
        <v>#N/A</v>
      </c>
      <c r="DK22" t="e">
        <f>IF(AND(ISNUMBER(Radar_Mosca!$F22),ISNUMBER(Radar_Mosca!$S22)),IF(AND(Radar_Mosca!$F22=DK$4,Radar_Mosca!$AA22=DK$3),Radar_Mosca!$S22,NA()),NA())</f>
        <v>#N/A</v>
      </c>
      <c r="DL22" t="e">
        <f>IF(AND(ISNUMBER(Radar_Mosca!$F22),ISNUMBER(Radar_Mosca!$S22)),IF(AND(Radar_Mosca!$F22=DL$4,Radar_Mosca!$AA22=DL$3),Radar_Mosca!$S22,NA()),NA())</f>
        <v>#N/A</v>
      </c>
      <c r="DM22" t="e">
        <f>IF(AND(ISNUMBER(Radar_Mosca!$F22),ISNUMBER(Radar_Mosca!$S22)),IF(AND(Radar_Mosca!$F22=DM$4,Radar_Mosca!$AA22=DM$3),Radar_Mosca!$S22,NA()),NA())</f>
        <v>#N/A</v>
      </c>
      <c r="DN22" t="e">
        <f>IF(AND(ISNUMBER(Radar_Mosca!$F22),ISNUMBER(Radar_Mosca!$S22)),IF(AND(Radar_Mosca!$F22=DN$4,Radar_Mosca!$AA22=DN$3),Radar_Mosca!$S22,NA()),NA())</f>
        <v>#N/A</v>
      </c>
      <c r="DO22" t="e">
        <f>IF(ISNUMBER(Radar_Mosca!$R22),Radar_Mosca!$R22,NA())</f>
        <v>#N/A</v>
      </c>
      <c r="DP22" t="str">
        <f>IF(Radar_Mosca!$A22="","",MID(Radar_Mosca!$A22,5,3)&amp;IF(Radar_Mosca!$T22="Sì"," ◆",""))</f>
        <v/>
      </c>
      <c r="DQ22" t="e">
        <f>IF(ISNUMBER(Radar_Mosca!$S22),Radar_Mosca!$S22,NA())</f>
        <v>#N/A</v>
      </c>
    </row>
    <row r="23" spans="1:121" ht="12" customHeight="1" x14ac:dyDescent="0.4">
      <c r="J23" s="25" t="str">
        <f>INDEX(posID,6)&amp;""</f>
        <v>NFR-06</v>
      </c>
      <c r="K23" s="151" t="str">
        <f>IF(J23="","",INDEX(posNome,6)&amp;IF(INDEX(ANA_Attenzione_Supervisore,6)="Sì","  ◆",""))</f>
        <v>Esfiltrazione di dati tramite strumenti di AI non autorizzati</v>
      </c>
      <c r="L23" s="142"/>
      <c r="M23" s="142"/>
      <c r="N23" s="142"/>
      <c r="O23" s="142"/>
      <c r="T23" t="str">
        <f>IF(Radar_Mosca!$AA$23="Attivazione",Radar_Mosca!$A$23,"")</f>
        <v/>
      </c>
      <c r="BH23">
        <f>2*PI()*18/72</f>
        <v>1.5707963267948966</v>
      </c>
      <c r="BI23">
        <f t="shared" si="0"/>
        <v>2</v>
      </c>
      <c r="BJ23">
        <f t="shared" si="1"/>
        <v>1.22514845490862E-16</v>
      </c>
      <c r="BK23">
        <f t="shared" si="2"/>
        <v>3</v>
      </c>
      <c r="BL23">
        <f t="shared" si="3"/>
        <v>1.83772268236293E-16</v>
      </c>
      <c r="BM23">
        <f t="shared" si="4"/>
        <v>4</v>
      </c>
      <c r="BN23">
        <f t="shared" si="5"/>
        <v>2.45029690981724E-16</v>
      </c>
      <c r="BO23">
        <f t="shared" si="6"/>
        <v>5</v>
      </c>
      <c r="BP23">
        <f t="shared" si="7"/>
        <v>3.06287113727155E-16</v>
      </c>
      <c r="BY23" t="e">
        <f>IF(AND(ISNUMBER(Radar_Mosca!$F23),ISNUMBER(Radar_Mosca!$S23)),IF(AND(Radar_Mosca!$F23=BY$4,Radar_Mosca!$AA23=BY$3),Radar_Mosca!$S23,NA()),NA())</f>
        <v>#N/A</v>
      </c>
      <c r="BZ23" t="e">
        <f>IF(AND(ISNUMBER(Radar_Mosca!$F23),ISNUMBER(Radar_Mosca!$S23)),IF(AND(Radar_Mosca!$F23=BZ$4,Radar_Mosca!$AA23=BZ$3),Radar_Mosca!$S23,NA()),NA())</f>
        <v>#N/A</v>
      </c>
      <c r="CA23" t="e">
        <f>IF(AND(ISNUMBER(Radar_Mosca!$F23),ISNUMBER(Radar_Mosca!$S23)),IF(AND(Radar_Mosca!$F23=CA$4,Radar_Mosca!$AA23=CA$3),Radar_Mosca!$S23,NA()),NA())</f>
        <v>#N/A</v>
      </c>
      <c r="CB23" t="e">
        <f>IF(AND(ISNUMBER(Radar_Mosca!$F23),ISNUMBER(Radar_Mosca!$S23)),IF(AND(Radar_Mosca!$F23=CB$4,Radar_Mosca!$AA23=CB$3),Radar_Mosca!$S23,NA()),NA())</f>
        <v>#N/A</v>
      </c>
      <c r="CC23" t="e">
        <f>IF(AND(ISNUMBER(Radar_Mosca!$F23),ISNUMBER(Radar_Mosca!$S23)),IF(AND(Radar_Mosca!$F23=CC$4,Radar_Mosca!$AA23=CC$3),Radar_Mosca!$S23,NA()),NA())</f>
        <v>#N/A</v>
      </c>
      <c r="CD23" t="e">
        <f>IF(AND(ISNUMBER(Radar_Mosca!$F23),ISNUMBER(Radar_Mosca!$S23)),IF(AND(Radar_Mosca!$F23=CD$4,Radar_Mosca!$AA23=CD$3),Radar_Mosca!$S23,NA()),NA())</f>
        <v>#N/A</v>
      </c>
      <c r="CE23" t="e">
        <f>IF(AND(ISNUMBER(Radar_Mosca!$F23),ISNUMBER(Radar_Mosca!$S23)),IF(AND(Radar_Mosca!$F23=CE$4,Radar_Mosca!$AA23=CE$3),Radar_Mosca!$S23,NA()),NA())</f>
        <v>#N/A</v>
      </c>
      <c r="CF23" t="e">
        <f>IF(AND(ISNUMBER(Radar_Mosca!$F23),ISNUMBER(Radar_Mosca!$S23)),IF(AND(Radar_Mosca!$F23=CF$4,Radar_Mosca!$AA23=CF$3),Radar_Mosca!$S23,NA()),NA())</f>
        <v>#N/A</v>
      </c>
      <c r="CG23" t="e">
        <f>IF(AND(ISNUMBER(Radar_Mosca!$F23),ISNUMBER(Radar_Mosca!$S23)),IF(AND(Radar_Mosca!$F23=CG$4,Radar_Mosca!$AA23=CG$3),Radar_Mosca!$S23,NA()),NA())</f>
        <v>#N/A</v>
      </c>
      <c r="CH23" t="e">
        <f>IF(AND(ISNUMBER(Radar_Mosca!$F23),ISNUMBER(Radar_Mosca!$S23)),IF(AND(Radar_Mosca!$F23=CH$4,Radar_Mosca!$AA23=CH$3),Radar_Mosca!$S23,NA()),NA())</f>
        <v>#N/A</v>
      </c>
      <c r="CI23" t="e">
        <f>IF(AND(ISNUMBER(Radar_Mosca!$F23),ISNUMBER(Radar_Mosca!$S23)),IF(AND(Radar_Mosca!$F23=CI$4,Radar_Mosca!$AA23=CI$3),Radar_Mosca!$S23,NA()),NA())</f>
        <v>#N/A</v>
      </c>
      <c r="CJ23" t="e">
        <f>IF(AND(ISNUMBER(Radar_Mosca!$F23),ISNUMBER(Radar_Mosca!$S23)),IF(AND(Radar_Mosca!$F23=CJ$4,Radar_Mosca!$AA23=CJ$3),Radar_Mosca!$S23,NA()),NA())</f>
        <v>#N/A</v>
      </c>
      <c r="CK23" t="e">
        <f>IF(AND(ISNUMBER(Radar_Mosca!$F23),ISNUMBER(Radar_Mosca!$S23)),IF(AND(Radar_Mosca!$F23=CK$4,Radar_Mosca!$AA23=CK$3),Radar_Mosca!$S23,NA()),NA())</f>
        <v>#N/A</v>
      </c>
      <c r="CL23" t="e">
        <f>IF(AND(ISNUMBER(Radar_Mosca!$F23),ISNUMBER(Radar_Mosca!$S23)),IF(AND(Radar_Mosca!$F23=CL$4,Radar_Mosca!$AA23=CL$3),Radar_Mosca!$S23,NA()),NA())</f>
        <v>#N/A</v>
      </c>
      <c r="CM23" t="e">
        <f>IF(AND(ISNUMBER(Radar_Mosca!$F23),ISNUMBER(Radar_Mosca!$S23)),IF(AND(Radar_Mosca!$F23=CM$4,Radar_Mosca!$AA23=CM$3),Radar_Mosca!$S23,NA()),NA())</f>
        <v>#N/A</v>
      </c>
      <c r="CN23" t="e">
        <f>IF(AND(ISNUMBER(Radar_Mosca!$F23),ISNUMBER(Radar_Mosca!$S23)),IF(AND(Radar_Mosca!$F23=CN$4,Radar_Mosca!$AA23=CN$3),Radar_Mosca!$S23,NA()),NA())</f>
        <v>#N/A</v>
      </c>
      <c r="CO23" t="e">
        <f>IF(AND(ISNUMBER(Radar_Mosca!$F23),ISNUMBER(Radar_Mosca!$S23)),IF(AND(Radar_Mosca!$F23=CO$4,Radar_Mosca!$AA23=CO$3),Radar_Mosca!$S23,NA()),NA())</f>
        <v>#N/A</v>
      </c>
      <c r="CP23" t="e">
        <f>IF(AND(ISNUMBER(Radar_Mosca!$F23),ISNUMBER(Radar_Mosca!$S23)),IF(AND(Radar_Mosca!$F23=CP$4,Radar_Mosca!$AA23=CP$3),Radar_Mosca!$S23,NA()),NA())</f>
        <v>#N/A</v>
      </c>
      <c r="CQ23" t="e">
        <f>IF(AND(ISNUMBER(Radar_Mosca!$F23),ISNUMBER(Radar_Mosca!$S23)),IF(AND(Radar_Mosca!$F23=CQ$4,Radar_Mosca!$AA23=CQ$3),Radar_Mosca!$S23,NA()),NA())</f>
        <v>#N/A</v>
      </c>
      <c r="CR23" t="e">
        <f>IF(AND(ISNUMBER(Radar_Mosca!$F23),ISNUMBER(Radar_Mosca!$S23)),IF(AND(Radar_Mosca!$F23=CR$4,Radar_Mosca!$AA23=CR$3),Radar_Mosca!$S23,NA()),NA())</f>
        <v>#N/A</v>
      </c>
      <c r="CS23" t="e">
        <f>IF(AND(ISNUMBER(Radar_Mosca!$F23),ISNUMBER(Radar_Mosca!$S23)),IF(AND(Radar_Mosca!$F23=CS$4,Radar_Mosca!$AA23=CS$3),Radar_Mosca!$S23,NA()),NA())</f>
        <v>#N/A</v>
      </c>
      <c r="CT23" t="e">
        <f>IF(AND(ISNUMBER(Radar_Mosca!$F23),ISNUMBER(Radar_Mosca!$S23)),IF(AND(Radar_Mosca!$F23=CT$4,Radar_Mosca!$AA23=CT$3),Radar_Mosca!$S23,NA()),NA())</f>
        <v>#N/A</v>
      </c>
      <c r="CU23" t="e">
        <f>IF(AND(ISNUMBER(Radar_Mosca!$F23),ISNUMBER(Radar_Mosca!$S23)),IF(AND(Radar_Mosca!$F23=CU$4,Radar_Mosca!$AA23=CU$3),Radar_Mosca!$S23,NA()),NA())</f>
        <v>#N/A</v>
      </c>
      <c r="CV23" t="e">
        <f>IF(AND(ISNUMBER(Radar_Mosca!$F23),ISNUMBER(Radar_Mosca!$S23)),IF(AND(Radar_Mosca!$F23=CV$4,Radar_Mosca!$AA23=CV$3),Radar_Mosca!$S23,NA()),NA())</f>
        <v>#N/A</v>
      </c>
      <c r="CW23" t="e">
        <f>IF(AND(ISNUMBER(Radar_Mosca!$F23),ISNUMBER(Radar_Mosca!$S23)),IF(AND(Radar_Mosca!$F23=CW$4,Radar_Mosca!$AA23=CW$3),Radar_Mosca!$S23,NA()),NA())</f>
        <v>#N/A</v>
      </c>
      <c r="CX23" t="e">
        <f>IF(AND(ISNUMBER(Radar_Mosca!$F23),ISNUMBER(Radar_Mosca!$S23)),IF(AND(Radar_Mosca!$F23=CX$4,Radar_Mosca!$AA23=CX$3),Radar_Mosca!$S23,NA()),NA())</f>
        <v>#N/A</v>
      </c>
      <c r="CY23" t="e">
        <f>IF(AND(ISNUMBER(Radar_Mosca!$F23),ISNUMBER(Radar_Mosca!$S23)),IF(AND(Radar_Mosca!$F23=CY$4,Radar_Mosca!$AA23=CY$3),Radar_Mosca!$S23,NA()),NA())</f>
        <v>#N/A</v>
      </c>
      <c r="CZ23" t="e">
        <f>IF(AND(ISNUMBER(Radar_Mosca!$F23),ISNUMBER(Radar_Mosca!$S23)),IF(AND(Radar_Mosca!$F23=CZ$4,Radar_Mosca!$AA23=CZ$3),Radar_Mosca!$S23,NA()),NA())</f>
        <v>#N/A</v>
      </c>
      <c r="DA23" t="e">
        <f>IF(AND(ISNUMBER(Radar_Mosca!$F23),ISNUMBER(Radar_Mosca!$S23)),IF(AND(Radar_Mosca!$F23=DA$4,Radar_Mosca!$AA23=DA$3),Radar_Mosca!$S23,NA()),NA())</f>
        <v>#N/A</v>
      </c>
      <c r="DB23" t="e">
        <f>IF(AND(ISNUMBER(Radar_Mosca!$F23),ISNUMBER(Radar_Mosca!$S23)),IF(AND(Radar_Mosca!$F23=DB$4,Radar_Mosca!$AA23=DB$3),Radar_Mosca!$S23,NA()),NA())</f>
        <v>#N/A</v>
      </c>
      <c r="DC23" t="e">
        <f>IF(AND(ISNUMBER(Radar_Mosca!$F23),ISNUMBER(Radar_Mosca!$S23)),IF(AND(Radar_Mosca!$F23=DC$4,Radar_Mosca!$AA23=DC$3),Radar_Mosca!$S23,NA()),NA())</f>
        <v>#N/A</v>
      </c>
      <c r="DD23" t="e">
        <f>IF(AND(ISNUMBER(Radar_Mosca!$F23),ISNUMBER(Radar_Mosca!$S23)),IF(AND(Radar_Mosca!$F23=DD$4,Radar_Mosca!$AA23=DD$3),Radar_Mosca!$S23,NA()),NA())</f>
        <v>#N/A</v>
      </c>
      <c r="DE23" t="e">
        <f>IF(AND(ISNUMBER(Radar_Mosca!$F23),ISNUMBER(Radar_Mosca!$S23)),IF(AND(Radar_Mosca!$F23=DE$4,Radar_Mosca!$AA23=DE$3),Radar_Mosca!$S23,NA()),NA())</f>
        <v>#N/A</v>
      </c>
      <c r="DF23" t="e">
        <f>IF(AND(ISNUMBER(Radar_Mosca!$F23),ISNUMBER(Radar_Mosca!$S23)),IF(AND(Radar_Mosca!$F23=DF$4,Radar_Mosca!$AA23=DF$3),Radar_Mosca!$S23,NA()),NA())</f>
        <v>#N/A</v>
      </c>
      <c r="DG23" t="e">
        <f>IF(AND(ISNUMBER(Radar_Mosca!$F23),ISNUMBER(Radar_Mosca!$S23)),IF(AND(Radar_Mosca!$F23=DG$4,Radar_Mosca!$AA23=DG$3),Radar_Mosca!$S23,NA()),NA())</f>
        <v>#N/A</v>
      </c>
      <c r="DH23" t="e">
        <f>IF(AND(ISNUMBER(Radar_Mosca!$F23),ISNUMBER(Radar_Mosca!$S23)),IF(AND(Radar_Mosca!$F23=DH$4,Radar_Mosca!$AA23=DH$3),Radar_Mosca!$S23,NA()),NA())</f>
        <v>#N/A</v>
      </c>
      <c r="DI23" t="e">
        <f>IF(AND(ISNUMBER(Radar_Mosca!$F23),ISNUMBER(Radar_Mosca!$S23)),IF(AND(Radar_Mosca!$F23=DI$4,Radar_Mosca!$AA23=DI$3),Radar_Mosca!$S23,NA()),NA())</f>
        <v>#N/A</v>
      </c>
      <c r="DJ23" t="e">
        <f>IF(AND(ISNUMBER(Radar_Mosca!$F23),ISNUMBER(Radar_Mosca!$S23)),IF(AND(Radar_Mosca!$F23=DJ$4,Radar_Mosca!$AA23=DJ$3),Radar_Mosca!$S23,NA()),NA())</f>
        <v>#N/A</v>
      </c>
      <c r="DK23" t="e">
        <f>IF(AND(ISNUMBER(Radar_Mosca!$F23),ISNUMBER(Radar_Mosca!$S23)),IF(AND(Radar_Mosca!$F23=DK$4,Radar_Mosca!$AA23=DK$3),Radar_Mosca!$S23,NA()),NA())</f>
        <v>#N/A</v>
      </c>
      <c r="DL23" t="e">
        <f>IF(AND(ISNUMBER(Radar_Mosca!$F23),ISNUMBER(Radar_Mosca!$S23)),IF(AND(Radar_Mosca!$F23=DL$4,Radar_Mosca!$AA23=DL$3),Radar_Mosca!$S23,NA()),NA())</f>
        <v>#N/A</v>
      </c>
      <c r="DM23" t="e">
        <f>IF(AND(ISNUMBER(Radar_Mosca!$F23),ISNUMBER(Radar_Mosca!$S23)),IF(AND(Radar_Mosca!$F23=DM$4,Radar_Mosca!$AA23=DM$3),Radar_Mosca!$S23,NA()),NA())</f>
        <v>#N/A</v>
      </c>
      <c r="DN23" t="e">
        <f>IF(AND(ISNUMBER(Radar_Mosca!$F23),ISNUMBER(Radar_Mosca!$S23)),IF(AND(Radar_Mosca!$F23=DN$4,Radar_Mosca!$AA23=DN$3),Radar_Mosca!$S23,NA()),NA())</f>
        <v>#N/A</v>
      </c>
      <c r="DO23" t="e">
        <f>IF(ISNUMBER(Radar_Mosca!$R23),Radar_Mosca!$R23,NA())</f>
        <v>#N/A</v>
      </c>
      <c r="DP23" t="str">
        <f>IF(Radar_Mosca!$A23="","",MID(Radar_Mosca!$A23,5,3)&amp;IF(Radar_Mosca!$T23="Sì"," ◆",""))</f>
        <v/>
      </c>
      <c r="DQ23" t="e">
        <f>IF(ISNUMBER(Radar_Mosca!$S23),Radar_Mosca!$S23,NA())</f>
        <v>#N/A</v>
      </c>
    </row>
    <row r="24" spans="1:121" ht="12" customHeight="1" x14ac:dyDescent="0.4">
      <c r="J24" s="25" t="str">
        <f>INDEX(posID,7)&amp;""</f>
        <v>NFR-07</v>
      </c>
      <c r="K24" s="151" t="str">
        <f>IF(J24="","",INDEX(posNome,7)&amp;IF(INDEX(ANA_Attenzione_Supervisore,7)="Sì","  ◆",""))</f>
        <v>Ransomware presso un fornitore di servizi di pagamento  ◆</v>
      </c>
      <c r="L24" s="142"/>
      <c r="M24" s="142"/>
      <c r="N24" s="142"/>
      <c r="O24" s="142"/>
      <c r="T24" t="str">
        <f>IF(Radar_Mosca!$AA$24="Attivazione",Radar_Mosca!$A$24,"")</f>
        <v/>
      </c>
      <c r="BH24">
        <f>2*PI()*19/72</f>
        <v>1.6580627893946129</v>
      </c>
      <c r="BI24">
        <f t="shared" si="0"/>
        <v>1.9923893961834911</v>
      </c>
      <c r="BJ24">
        <f t="shared" si="1"/>
        <v>-0.17431148549531603</v>
      </c>
      <c r="BK24">
        <f t="shared" si="2"/>
        <v>2.9885840942752369</v>
      </c>
      <c r="BL24">
        <f t="shared" si="3"/>
        <v>-0.26146722824297403</v>
      </c>
      <c r="BM24">
        <f t="shared" si="4"/>
        <v>3.9847787923669822</v>
      </c>
      <c r="BN24">
        <f t="shared" si="5"/>
        <v>-0.34862297099063205</v>
      </c>
      <c r="BO24">
        <f t="shared" si="6"/>
        <v>4.9809734904587275</v>
      </c>
      <c r="BP24">
        <f t="shared" si="7"/>
        <v>-0.43577871373829008</v>
      </c>
      <c r="BY24" t="e">
        <f>IF(AND(ISNUMBER(Radar_Mosca!$F24),ISNUMBER(Radar_Mosca!$S24)),IF(AND(Radar_Mosca!$F24=BY$4,Radar_Mosca!$AA24=BY$3),Radar_Mosca!$S24,NA()),NA())</f>
        <v>#N/A</v>
      </c>
      <c r="BZ24" t="e">
        <f>IF(AND(ISNUMBER(Radar_Mosca!$F24),ISNUMBER(Radar_Mosca!$S24)),IF(AND(Radar_Mosca!$F24=BZ$4,Radar_Mosca!$AA24=BZ$3),Radar_Mosca!$S24,NA()),NA())</f>
        <v>#N/A</v>
      </c>
      <c r="CA24" t="e">
        <f>IF(AND(ISNUMBER(Radar_Mosca!$F24),ISNUMBER(Radar_Mosca!$S24)),IF(AND(Radar_Mosca!$F24=CA$4,Radar_Mosca!$AA24=CA$3),Radar_Mosca!$S24,NA()),NA())</f>
        <v>#N/A</v>
      </c>
      <c r="CB24" t="e">
        <f>IF(AND(ISNUMBER(Radar_Mosca!$F24),ISNUMBER(Radar_Mosca!$S24)),IF(AND(Radar_Mosca!$F24=CB$4,Radar_Mosca!$AA24=CB$3),Radar_Mosca!$S24,NA()),NA())</f>
        <v>#N/A</v>
      </c>
      <c r="CC24" t="e">
        <f>IF(AND(ISNUMBER(Radar_Mosca!$F24),ISNUMBER(Radar_Mosca!$S24)),IF(AND(Radar_Mosca!$F24=CC$4,Radar_Mosca!$AA24=CC$3),Radar_Mosca!$S24,NA()),NA())</f>
        <v>#N/A</v>
      </c>
      <c r="CD24" t="e">
        <f>IF(AND(ISNUMBER(Radar_Mosca!$F24),ISNUMBER(Radar_Mosca!$S24)),IF(AND(Radar_Mosca!$F24=CD$4,Radar_Mosca!$AA24=CD$3),Radar_Mosca!$S24,NA()),NA())</f>
        <v>#N/A</v>
      </c>
      <c r="CE24" t="e">
        <f>IF(AND(ISNUMBER(Radar_Mosca!$F24),ISNUMBER(Radar_Mosca!$S24)),IF(AND(Radar_Mosca!$F24=CE$4,Radar_Mosca!$AA24=CE$3),Radar_Mosca!$S24,NA()),NA())</f>
        <v>#N/A</v>
      </c>
      <c r="CF24" t="e">
        <f>IF(AND(ISNUMBER(Radar_Mosca!$F24),ISNUMBER(Radar_Mosca!$S24)),IF(AND(Radar_Mosca!$F24=CF$4,Radar_Mosca!$AA24=CF$3),Radar_Mosca!$S24,NA()),NA())</f>
        <v>#N/A</v>
      </c>
      <c r="CG24" t="e">
        <f>IF(AND(ISNUMBER(Radar_Mosca!$F24),ISNUMBER(Radar_Mosca!$S24)),IF(AND(Radar_Mosca!$F24=CG$4,Radar_Mosca!$AA24=CG$3),Radar_Mosca!$S24,NA()),NA())</f>
        <v>#N/A</v>
      </c>
      <c r="CH24" t="e">
        <f>IF(AND(ISNUMBER(Radar_Mosca!$F24),ISNUMBER(Radar_Mosca!$S24)),IF(AND(Radar_Mosca!$F24=CH$4,Radar_Mosca!$AA24=CH$3),Radar_Mosca!$S24,NA()),NA())</f>
        <v>#N/A</v>
      </c>
      <c r="CI24" t="e">
        <f>IF(AND(ISNUMBER(Radar_Mosca!$F24),ISNUMBER(Radar_Mosca!$S24)),IF(AND(Radar_Mosca!$F24=CI$4,Radar_Mosca!$AA24=CI$3),Radar_Mosca!$S24,NA()),NA())</f>
        <v>#N/A</v>
      </c>
      <c r="CJ24" t="e">
        <f>IF(AND(ISNUMBER(Radar_Mosca!$F24),ISNUMBER(Radar_Mosca!$S24)),IF(AND(Radar_Mosca!$F24=CJ$4,Radar_Mosca!$AA24=CJ$3),Radar_Mosca!$S24,NA()),NA())</f>
        <v>#N/A</v>
      </c>
      <c r="CK24" t="e">
        <f>IF(AND(ISNUMBER(Radar_Mosca!$F24),ISNUMBER(Radar_Mosca!$S24)),IF(AND(Radar_Mosca!$F24=CK$4,Radar_Mosca!$AA24=CK$3),Radar_Mosca!$S24,NA()),NA())</f>
        <v>#N/A</v>
      </c>
      <c r="CL24" t="e">
        <f>IF(AND(ISNUMBER(Radar_Mosca!$F24),ISNUMBER(Radar_Mosca!$S24)),IF(AND(Radar_Mosca!$F24=CL$4,Radar_Mosca!$AA24=CL$3),Radar_Mosca!$S24,NA()),NA())</f>
        <v>#N/A</v>
      </c>
      <c r="CM24" t="e">
        <f>IF(AND(ISNUMBER(Radar_Mosca!$F24),ISNUMBER(Radar_Mosca!$S24)),IF(AND(Radar_Mosca!$F24=CM$4,Radar_Mosca!$AA24=CM$3),Radar_Mosca!$S24,NA()),NA())</f>
        <v>#N/A</v>
      </c>
      <c r="CN24" t="e">
        <f>IF(AND(ISNUMBER(Radar_Mosca!$F24),ISNUMBER(Radar_Mosca!$S24)),IF(AND(Radar_Mosca!$F24=CN$4,Radar_Mosca!$AA24=CN$3),Radar_Mosca!$S24,NA()),NA())</f>
        <v>#N/A</v>
      </c>
      <c r="CO24" t="e">
        <f>IF(AND(ISNUMBER(Radar_Mosca!$F24),ISNUMBER(Radar_Mosca!$S24)),IF(AND(Radar_Mosca!$F24=CO$4,Radar_Mosca!$AA24=CO$3),Radar_Mosca!$S24,NA()),NA())</f>
        <v>#N/A</v>
      </c>
      <c r="CP24" t="e">
        <f>IF(AND(ISNUMBER(Radar_Mosca!$F24),ISNUMBER(Radar_Mosca!$S24)),IF(AND(Radar_Mosca!$F24=CP$4,Radar_Mosca!$AA24=CP$3),Radar_Mosca!$S24,NA()),NA())</f>
        <v>#N/A</v>
      </c>
      <c r="CQ24" t="e">
        <f>IF(AND(ISNUMBER(Radar_Mosca!$F24),ISNUMBER(Radar_Mosca!$S24)),IF(AND(Radar_Mosca!$F24=CQ$4,Radar_Mosca!$AA24=CQ$3),Radar_Mosca!$S24,NA()),NA())</f>
        <v>#N/A</v>
      </c>
      <c r="CR24" t="e">
        <f>IF(AND(ISNUMBER(Radar_Mosca!$F24),ISNUMBER(Radar_Mosca!$S24)),IF(AND(Radar_Mosca!$F24=CR$4,Radar_Mosca!$AA24=CR$3),Radar_Mosca!$S24,NA()),NA())</f>
        <v>#N/A</v>
      </c>
      <c r="CS24" t="e">
        <f>IF(AND(ISNUMBER(Radar_Mosca!$F24),ISNUMBER(Radar_Mosca!$S24)),IF(AND(Radar_Mosca!$F24=CS$4,Radar_Mosca!$AA24=CS$3),Radar_Mosca!$S24,NA()),NA())</f>
        <v>#N/A</v>
      </c>
      <c r="CT24" t="e">
        <f>IF(AND(ISNUMBER(Radar_Mosca!$F24),ISNUMBER(Radar_Mosca!$S24)),IF(AND(Radar_Mosca!$F24=CT$4,Radar_Mosca!$AA24=CT$3),Radar_Mosca!$S24,NA()),NA())</f>
        <v>#N/A</v>
      </c>
      <c r="CU24" t="e">
        <f>IF(AND(ISNUMBER(Radar_Mosca!$F24),ISNUMBER(Radar_Mosca!$S24)),IF(AND(Radar_Mosca!$F24=CU$4,Radar_Mosca!$AA24=CU$3),Radar_Mosca!$S24,NA()),NA())</f>
        <v>#N/A</v>
      </c>
      <c r="CV24" t="e">
        <f>IF(AND(ISNUMBER(Radar_Mosca!$F24),ISNUMBER(Radar_Mosca!$S24)),IF(AND(Radar_Mosca!$F24=CV$4,Radar_Mosca!$AA24=CV$3),Radar_Mosca!$S24,NA()),NA())</f>
        <v>#N/A</v>
      </c>
      <c r="CW24" t="e">
        <f>IF(AND(ISNUMBER(Radar_Mosca!$F24),ISNUMBER(Radar_Mosca!$S24)),IF(AND(Radar_Mosca!$F24=CW$4,Radar_Mosca!$AA24=CW$3),Radar_Mosca!$S24,NA()),NA())</f>
        <v>#N/A</v>
      </c>
      <c r="CX24" t="e">
        <f>IF(AND(ISNUMBER(Radar_Mosca!$F24),ISNUMBER(Radar_Mosca!$S24)),IF(AND(Radar_Mosca!$F24=CX$4,Radar_Mosca!$AA24=CX$3),Radar_Mosca!$S24,NA()),NA())</f>
        <v>#N/A</v>
      </c>
      <c r="CY24" t="e">
        <f>IF(AND(ISNUMBER(Radar_Mosca!$F24),ISNUMBER(Radar_Mosca!$S24)),IF(AND(Radar_Mosca!$F24=CY$4,Radar_Mosca!$AA24=CY$3),Radar_Mosca!$S24,NA()),NA())</f>
        <v>#N/A</v>
      </c>
      <c r="CZ24" t="e">
        <f>IF(AND(ISNUMBER(Radar_Mosca!$F24),ISNUMBER(Radar_Mosca!$S24)),IF(AND(Radar_Mosca!$F24=CZ$4,Radar_Mosca!$AA24=CZ$3),Radar_Mosca!$S24,NA()),NA())</f>
        <v>#N/A</v>
      </c>
      <c r="DA24" t="e">
        <f>IF(AND(ISNUMBER(Radar_Mosca!$F24),ISNUMBER(Radar_Mosca!$S24)),IF(AND(Radar_Mosca!$F24=DA$4,Radar_Mosca!$AA24=DA$3),Radar_Mosca!$S24,NA()),NA())</f>
        <v>#N/A</v>
      </c>
      <c r="DB24" t="e">
        <f>IF(AND(ISNUMBER(Radar_Mosca!$F24),ISNUMBER(Radar_Mosca!$S24)),IF(AND(Radar_Mosca!$F24=DB$4,Radar_Mosca!$AA24=DB$3),Radar_Mosca!$S24,NA()),NA())</f>
        <v>#N/A</v>
      </c>
      <c r="DC24" t="e">
        <f>IF(AND(ISNUMBER(Radar_Mosca!$F24),ISNUMBER(Radar_Mosca!$S24)),IF(AND(Radar_Mosca!$F24=DC$4,Radar_Mosca!$AA24=DC$3),Radar_Mosca!$S24,NA()),NA())</f>
        <v>#N/A</v>
      </c>
      <c r="DD24" t="e">
        <f>IF(AND(ISNUMBER(Radar_Mosca!$F24),ISNUMBER(Radar_Mosca!$S24)),IF(AND(Radar_Mosca!$F24=DD$4,Radar_Mosca!$AA24=DD$3),Radar_Mosca!$S24,NA()),NA())</f>
        <v>#N/A</v>
      </c>
      <c r="DE24" t="e">
        <f>IF(AND(ISNUMBER(Radar_Mosca!$F24),ISNUMBER(Radar_Mosca!$S24)),IF(AND(Radar_Mosca!$F24=DE$4,Radar_Mosca!$AA24=DE$3),Radar_Mosca!$S24,NA()),NA())</f>
        <v>#N/A</v>
      </c>
      <c r="DF24" t="e">
        <f>IF(AND(ISNUMBER(Radar_Mosca!$F24),ISNUMBER(Radar_Mosca!$S24)),IF(AND(Radar_Mosca!$F24=DF$4,Radar_Mosca!$AA24=DF$3),Radar_Mosca!$S24,NA()),NA())</f>
        <v>#N/A</v>
      </c>
      <c r="DG24" t="e">
        <f>IF(AND(ISNUMBER(Radar_Mosca!$F24),ISNUMBER(Radar_Mosca!$S24)),IF(AND(Radar_Mosca!$F24=DG$4,Radar_Mosca!$AA24=DG$3),Radar_Mosca!$S24,NA()),NA())</f>
        <v>#N/A</v>
      </c>
      <c r="DH24" t="e">
        <f>IF(AND(ISNUMBER(Radar_Mosca!$F24),ISNUMBER(Radar_Mosca!$S24)),IF(AND(Radar_Mosca!$F24=DH$4,Radar_Mosca!$AA24=DH$3),Radar_Mosca!$S24,NA()),NA())</f>
        <v>#N/A</v>
      </c>
      <c r="DI24" t="e">
        <f>IF(AND(ISNUMBER(Radar_Mosca!$F24),ISNUMBER(Radar_Mosca!$S24)),IF(AND(Radar_Mosca!$F24=DI$4,Radar_Mosca!$AA24=DI$3),Radar_Mosca!$S24,NA()),NA())</f>
        <v>#N/A</v>
      </c>
      <c r="DJ24" t="e">
        <f>IF(AND(ISNUMBER(Radar_Mosca!$F24),ISNUMBER(Radar_Mosca!$S24)),IF(AND(Radar_Mosca!$F24=DJ$4,Radar_Mosca!$AA24=DJ$3),Radar_Mosca!$S24,NA()),NA())</f>
        <v>#N/A</v>
      </c>
      <c r="DK24" t="e">
        <f>IF(AND(ISNUMBER(Radar_Mosca!$F24),ISNUMBER(Radar_Mosca!$S24)),IF(AND(Radar_Mosca!$F24=DK$4,Radar_Mosca!$AA24=DK$3),Radar_Mosca!$S24,NA()),NA())</f>
        <v>#N/A</v>
      </c>
      <c r="DL24" t="e">
        <f>IF(AND(ISNUMBER(Radar_Mosca!$F24),ISNUMBER(Radar_Mosca!$S24)),IF(AND(Radar_Mosca!$F24=DL$4,Radar_Mosca!$AA24=DL$3),Radar_Mosca!$S24,NA()),NA())</f>
        <v>#N/A</v>
      </c>
      <c r="DM24" t="e">
        <f>IF(AND(ISNUMBER(Radar_Mosca!$F24),ISNUMBER(Radar_Mosca!$S24)),IF(AND(Radar_Mosca!$F24=DM$4,Radar_Mosca!$AA24=DM$3),Radar_Mosca!$S24,NA()),NA())</f>
        <v>#N/A</v>
      </c>
      <c r="DN24" t="e">
        <f>IF(AND(ISNUMBER(Radar_Mosca!$F24),ISNUMBER(Radar_Mosca!$S24)),IF(AND(Radar_Mosca!$F24=DN$4,Radar_Mosca!$AA24=DN$3),Radar_Mosca!$S24,NA()),NA())</f>
        <v>#N/A</v>
      </c>
      <c r="DO24" t="e">
        <f>IF(ISNUMBER(Radar_Mosca!$R24),Radar_Mosca!$R24,NA())</f>
        <v>#N/A</v>
      </c>
      <c r="DP24" t="str">
        <f>IF(Radar_Mosca!$A24="","",MID(Radar_Mosca!$A24,5,3)&amp;IF(Radar_Mosca!$T24="Sì"," ◆",""))</f>
        <v/>
      </c>
      <c r="DQ24" t="e">
        <f>IF(ISNUMBER(Radar_Mosca!$S24),Radar_Mosca!$S24,NA())</f>
        <v>#N/A</v>
      </c>
    </row>
    <row r="25" spans="1:121" ht="12" customHeight="1" x14ac:dyDescent="0.4">
      <c r="J25" s="25" t="str">
        <f>INDEX(posID,8)&amp;""</f>
        <v>NFR-08</v>
      </c>
      <c r="K25" s="151" t="str">
        <f>IF(J25="","",INDEX(posNome,8)&amp;IF(INDEX(ANA_Attenzione_Supervisore,8)="Sì","  ◆",""))</f>
        <v>Accessi impropri di dipendenti ai dati dei clienti</v>
      </c>
      <c r="L25" s="142"/>
      <c r="M25" s="142"/>
      <c r="N25" s="142"/>
      <c r="O25" s="142"/>
      <c r="BH25">
        <f>2*PI()*20/72</f>
        <v>1.7453292519943295</v>
      </c>
      <c r="BI25">
        <f t="shared" si="0"/>
        <v>1.969615506024416</v>
      </c>
      <c r="BJ25">
        <f t="shared" si="1"/>
        <v>-0.34729635533386061</v>
      </c>
      <c r="BK25">
        <f t="shared" si="2"/>
        <v>2.9544232590366239</v>
      </c>
      <c r="BL25">
        <f t="shared" si="3"/>
        <v>-0.52094453300079091</v>
      </c>
      <c r="BM25">
        <f t="shared" si="4"/>
        <v>3.9392310120488321</v>
      </c>
      <c r="BN25">
        <f t="shared" si="5"/>
        <v>-0.69459271066772121</v>
      </c>
      <c r="BO25">
        <f t="shared" si="6"/>
        <v>4.9240387650610398</v>
      </c>
      <c r="BP25">
        <f t="shared" si="7"/>
        <v>-0.86824088833465152</v>
      </c>
    </row>
    <row r="26" spans="1:121" ht="12" customHeight="1" x14ac:dyDescent="0.4">
      <c r="J26" s="25" t="str">
        <f>INDEX(posID,9)&amp;""</f>
        <v>NFR-09</v>
      </c>
      <c r="K26" s="151" t="str">
        <f>IF(J26="","",INDEX(posNome,9)&amp;IF(INDEX(ANA_Attenzione_Supervisore,9)="Sì","  ◆",""))</f>
        <v>Violazione di sanzioni internazionali tramite triangolazioni  ◆</v>
      </c>
      <c r="L26" s="142"/>
      <c r="M26" s="142"/>
      <c r="N26" s="142"/>
      <c r="O26" s="142"/>
      <c r="BH26">
        <f>2*PI()*21/72</f>
        <v>1.8325957145940461</v>
      </c>
      <c r="BI26">
        <f t="shared" si="0"/>
        <v>1.9318516525781366</v>
      </c>
      <c r="BJ26">
        <f t="shared" si="1"/>
        <v>-0.5176380902050417</v>
      </c>
      <c r="BK26">
        <f t="shared" si="2"/>
        <v>2.897777478867205</v>
      </c>
      <c r="BL26">
        <f t="shared" si="3"/>
        <v>-0.77645713530756255</v>
      </c>
      <c r="BM26">
        <f t="shared" si="4"/>
        <v>3.8637033051562732</v>
      </c>
      <c r="BN26">
        <f t="shared" si="5"/>
        <v>-1.0352761804100834</v>
      </c>
      <c r="BO26">
        <f t="shared" si="6"/>
        <v>4.8296291314453415</v>
      </c>
      <c r="BP26">
        <f t="shared" si="7"/>
        <v>-1.2940952255126041</v>
      </c>
    </row>
    <row r="27" spans="1:121" ht="12" customHeight="1" x14ac:dyDescent="0.4">
      <c r="J27" s="25" t="str">
        <f>INDEX(posID,10)&amp;""</f>
        <v>NFR-10</v>
      </c>
      <c r="K27" s="151" t="str">
        <f>IF(J27="","",INDEX(posNome,10)&amp;IF(INDEX(ANA_Attenzione_Supervisore,10)="Sì","  ◆",""))</f>
        <v>Informazioni errate ai clienti da assistenti di AI generativa</v>
      </c>
      <c r="L27" s="142"/>
      <c r="M27" s="142"/>
      <c r="N27" s="142"/>
      <c r="O27" s="142"/>
      <c r="BH27">
        <f>2*PI()*22/72</f>
        <v>1.9198621771937623</v>
      </c>
      <c r="BI27">
        <f t="shared" si="0"/>
        <v>1.8793852415718169</v>
      </c>
      <c r="BJ27">
        <f t="shared" si="1"/>
        <v>-0.68404028665133698</v>
      </c>
      <c r="BK27">
        <f t="shared" si="2"/>
        <v>2.8190778623577253</v>
      </c>
      <c r="BL27">
        <f t="shared" si="3"/>
        <v>-1.0260604299770055</v>
      </c>
      <c r="BM27">
        <f t="shared" si="4"/>
        <v>3.7587704831436337</v>
      </c>
      <c r="BN27">
        <f t="shared" si="5"/>
        <v>-1.368080573302674</v>
      </c>
      <c r="BO27">
        <f t="shared" si="6"/>
        <v>4.6984631039295426</v>
      </c>
      <c r="BP27">
        <f t="shared" si="7"/>
        <v>-1.7101007166283424</v>
      </c>
    </row>
    <row r="28" spans="1:121" ht="12" customHeight="1" x14ac:dyDescent="0.4">
      <c r="J28" s="25" t="str">
        <f>INDEX(posID,11)&amp;""</f>
        <v>NFR-11</v>
      </c>
      <c r="K28" s="151" t="str">
        <f>IF(J28="","",INDEX(posNome,11)&amp;IF(INDEX(ANA_Attenzione_Supervisore,11)="Sì","  ◆",""))</f>
        <v>Fine del supporto dei sistemi di pagamento legacy</v>
      </c>
      <c r="L28" s="142"/>
      <c r="M28" s="142"/>
      <c r="N28" s="142"/>
      <c r="O28" s="142"/>
      <c r="BH28">
        <f>2*PI()*23/72</f>
        <v>2.0071286397934789</v>
      </c>
      <c r="BI28">
        <f t="shared" si="0"/>
        <v>1.8126155740733001</v>
      </c>
      <c r="BJ28">
        <f t="shared" si="1"/>
        <v>-0.84523652348139866</v>
      </c>
      <c r="BK28">
        <f t="shared" si="2"/>
        <v>2.7189233611099501</v>
      </c>
      <c r="BL28">
        <f t="shared" si="3"/>
        <v>-1.267854785222098</v>
      </c>
      <c r="BM28">
        <f t="shared" si="4"/>
        <v>3.6252311481466002</v>
      </c>
      <c r="BN28">
        <f t="shared" si="5"/>
        <v>-1.6904730469627973</v>
      </c>
      <c r="BO28">
        <f t="shared" si="6"/>
        <v>4.5315389351832502</v>
      </c>
      <c r="BP28">
        <f t="shared" si="7"/>
        <v>-2.1130913087034968</v>
      </c>
    </row>
    <row r="29" spans="1:121" ht="12" customHeight="1" x14ac:dyDescent="0.4">
      <c r="J29" s="25" t="str">
        <f>INDEX(posID,12)&amp;""</f>
        <v>NFR-12</v>
      </c>
      <c r="K29" s="151" t="str">
        <f>IF(J29="","",INDEX(posNome,12)&amp;IF(INDEX(ANA_Attenzione_Supervisore,12)="Sì","  ◆",""))</f>
        <v>Errori operativi nei pagamenti istantanei obbligatori</v>
      </c>
      <c r="L29" s="142"/>
      <c r="M29" s="142"/>
      <c r="N29" s="142"/>
      <c r="O29" s="142"/>
      <c r="BH29">
        <f>2*PI()*24/72</f>
        <v>2.0943951023931953</v>
      </c>
      <c r="BI29">
        <f t="shared" si="0"/>
        <v>1.7320508075688774</v>
      </c>
      <c r="BJ29">
        <f t="shared" si="1"/>
        <v>-0.99999999999999956</v>
      </c>
      <c r="BK29">
        <f t="shared" si="2"/>
        <v>2.598076211353316</v>
      </c>
      <c r="BL29">
        <f t="shared" si="3"/>
        <v>-1.4999999999999993</v>
      </c>
      <c r="BM29">
        <f t="shared" si="4"/>
        <v>3.4641016151377548</v>
      </c>
      <c r="BN29">
        <f t="shared" si="5"/>
        <v>-1.9999999999999991</v>
      </c>
      <c r="BO29">
        <f t="shared" si="6"/>
        <v>4.3301270189221936</v>
      </c>
      <c r="BP29">
        <f t="shared" si="7"/>
        <v>-2.4999999999999991</v>
      </c>
    </row>
    <row r="30" spans="1:121" ht="12" customHeight="1" x14ac:dyDescent="0.4">
      <c r="J30" s="25" t="str">
        <f>INDEX(posID,13)&amp;""</f>
        <v>NFR-16</v>
      </c>
      <c r="K30" s="151" t="str">
        <f>IF(J30="","",INDEX(posNome,13)&amp;IF(INDEX(ANA_Attenzione_Supervisore,13)="Sì","  ◆",""))</f>
        <v>Vertenze e carenza di tecnici nei ruoli IT critici</v>
      </c>
      <c r="L30" s="142"/>
      <c r="M30" s="142"/>
      <c r="N30" s="142"/>
      <c r="O30" s="142"/>
      <c r="BH30">
        <f>2*PI()*25/72</f>
        <v>2.1816615649929121</v>
      </c>
      <c r="BI30">
        <f t="shared" si="0"/>
        <v>1.6383040885779834</v>
      </c>
      <c r="BJ30">
        <f t="shared" si="1"/>
        <v>-1.1471528727020923</v>
      </c>
      <c r="BK30">
        <f t="shared" si="2"/>
        <v>2.4574561328669748</v>
      </c>
      <c r="BL30">
        <f t="shared" si="3"/>
        <v>-1.7207293090531386</v>
      </c>
      <c r="BM30">
        <f t="shared" si="4"/>
        <v>3.2766081771559668</v>
      </c>
      <c r="BN30">
        <f t="shared" si="5"/>
        <v>-2.2943057454041846</v>
      </c>
      <c r="BO30">
        <f t="shared" si="6"/>
        <v>4.0957602214449587</v>
      </c>
      <c r="BP30">
        <f t="shared" si="7"/>
        <v>-2.8678821817552307</v>
      </c>
    </row>
    <row r="31" spans="1:121" ht="12" customHeight="1" x14ac:dyDescent="0.4">
      <c r="J31" s="25" t="str">
        <f>INDEX(posID,14)&amp;""</f>
        <v/>
      </c>
      <c r="K31" s="151" t="str">
        <f>IF(J31="","",INDEX(posNome,14)&amp;IF(INDEX(ANA_Attenzione_Supervisore,14)="Sì","  ◆",""))</f>
        <v/>
      </c>
      <c r="L31" s="142"/>
      <c r="M31" s="142"/>
      <c r="N31" s="142"/>
      <c r="O31" s="142"/>
      <c r="BH31">
        <f>2*PI()*26/72</f>
        <v>2.2689280275926285</v>
      </c>
      <c r="BI31">
        <f t="shared" si="0"/>
        <v>1.532088886237956</v>
      </c>
      <c r="BJ31">
        <f t="shared" si="1"/>
        <v>-1.2855752193730787</v>
      </c>
      <c r="BK31">
        <f t="shared" si="2"/>
        <v>2.2981333293569342</v>
      </c>
      <c r="BL31">
        <f t="shared" si="3"/>
        <v>-1.9283628290596182</v>
      </c>
      <c r="BM31">
        <f t="shared" si="4"/>
        <v>3.0641777724759121</v>
      </c>
      <c r="BN31">
        <f t="shared" si="5"/>
        <v>-2.5711504387461575</v>
      </c>
      <c r="BO31">
        <f t="shared" si="6"/>
        <v>3.83022221559489</v>
      </c>
      <c r="BP31">
        <f t="shared" si="7"/>
        <v>-3.2139380484326967</v>
      </c>
    </row>
    <row r="32" spans="1:121" ht="12" customHeight="1" x14ac:dyDescent="0.4">
      <c r="J32" s="25" t="str">
        <f>INDEX(posID,15)&amp;""</f>
        <v/>
      </c>
      <c r="K32" s="151" t="str">
        <f>IF(J32="","",INDEX(posNome,15)&amp;IF(INDEX(ANA_Attenzione_Supervisore,15)="Sì","  ◆",""))</f>
        <v/>
      </c>
      <c r="L32" s="142"/>
      <c r="M32" s="142"/>
      <c r="N32" s="142"/>
      <c r="O32" s="142"/>
      <c r="BH32">
        <f>2*PI()*27/72</f>
        <v>2.3561944901923448</v>
      </c>
      <c r="BI32">
        <f t="shared" si="0"/>
        <v>1.4142135623730951</v>
      </c>
      <c r="BJ32">
        <f t="shared" si="1"/>
        <v>-1.4142135623730949</v>
      </c>
      <c r="BK32">
        <f t="shared" si="2"/>
        <v>2.1213203435596428</v>
      </c>
      <c r="BL32">
        <f t="shared" si="3"/>
        <v>-2.1213203435596424</v>
      </c>
      <c r="BM32">
        <f t="shared" si="4"/>
        <v>2.8284271247461903</v>
      </c>
      <c r="BN32">
        <f t="shared" si="5"/>
        <v>-2.8284271247461898</v>
      </c>
      <c r="BO32">
        <f t="shared" si="6"/>
        <v>3.5355339059327378</v>
      </c>
      <c r="BP32">
        <f t="shared" si="7"/>
        <v>-3.5355339059327373</v>
      </c>
    </row>
    <row r="33" spans="1:68" ht="12" customHeight="1" x14ac:dyDescent="0.4">
      <c r="J33" s="25" t="str">
        <f>INDEX(posID,16)&amp;""</f>
        <v/>
      </c>
      <c r="K33" s="151" t="str">
        <f>IF(J33="","",INDEX(posNome,16)&amp;IF(INDEX(ANA_Attenzione_Supervisore,16)="Sì","  ◆",""))</f>
        <v/>
      </c>
      <c r="L33" s="142"/>
      <c r="M33" s="142"/>
      <c r="N33" s="142"/>
      <c r="O33" s="142"/>
      <c r="BH33">
        <f>2*PI()*28/72</f>
        <v>2.4434609527920612</v>
      </c>
      <c r="BI33">
        <f t="shared" si="0"/>
        <v>1.2855752193730789</v>
      </c>
      <c r="BJ33">
        <f t="shared" si="1"/>
        <v>-1.5320888862379558</v>
      </c>
      <c r="BK33">
        <f t="shared" si="2"/>
        <v>1.9283628290596184</v>
      </c>
      <c r="BL33">
        <f t="shared" si="3"/>
        <v>-2.2981333293569337</v>
      </c>
      <c r="BM33">
        <f t="shared" si="4"/>
        <v>2.5711504387461579</v>
      </c>
      <c r="BN33">
        <f t="shared" si="5"/>
        <v>-3.0641777724759116</v>
      </c>
      <c r="BO33">
        <f t="shared" si="6"/>
        <v>3.2139380484326976</v>
      </c>
      <c r="BP33">
        <f t="shared" si="7"/>
        <v>-3.8302222155948895</v>
      </c>
    </row>
    <row r="34" spans="1:68" ht="12" customHeight="1" x14ac:dyDescent="0.4">
      <c r="J34" s="25" t="str">
        <f>INDEX(posID,17)&amp;""</f>
        <v/>
      </c>
      <c r="K34" s="151" t="str">
        <f>IF(J34="","",INDEX(posNome,17)&amp;IF(INDEX(ANA_Attenzione_Supervisore,17)="Sì","  ◆",""))</f>
        <v/>
      </c>
      <c r="L34" s="142"/>
      <c r="M34" s="142"/>
      <c r="N34" s="142"/>
      <c r="O34" s="142"/>
      <c r="BH34">
        <f>2*PI()*29/72</f>
        <v>2.530727415391778</v>
      </c>
      <c r="BI34">
        <f t="shared" si="0"/>
        <v>1.1471528727020919</v>
      </c>
      <c r="BJ34">
        <f t="shared" si="1"/>
        <v>-1.6383040885779838</v>
      </c>
      <c r="BK34">
        <f t="shared" si="2"/>
        <v>1.7207293090531377</v>
      </c>
      <c r="BL34">
        <f t="shared" si="3"/>
        <v>-2.4574561328669757</v>
      </c>
      <c r="BM34">
        <f t="shared" si="4"/>
        <v>2.2943057454041837</v>
      </c>
      <c r="BN34">
        <f t="shared" si="5"/>
        <v>-3.2766081771559676</v>
      </c>
      <c r="BO34">
        <f t="shared" si="6"/>
        <v>2.8678821817552298</v>
      </c>
      <c r="BP34">
        <f t="shared" si="7"/>
        <v>-4.0957602214449595</v>
      </c>
    </row>
    <row r="35" spans="1:68" ht="12" customHeight="1" x14ac:dyDescent="0.4">
      <c r="J35" s="25" t="str">
        <f>INDEX(posID,18)&amp;""</f>
        <v/>
      </c>
      <c r="K35" s="151" t="str">
        <f>IF(J35="","",INDEX(posNome,18)&amp;IF(INDEX(ANA_Attenzione_Supervisore,18)="Sì","  ◆",""))</f>
        <v/>
      </c>
      <c r="L35" s="142"/>
      <c r="M35" s="142"/>
      <c r="N35" s="142"/>
      <c r="O35" s="142"/>
      <c r="BH35">
        <f>2*PI()*30/72</f>
        <v>2.617993877991494</v>
      </c>
      <c r="BI35">
        <f t="shared" si="0"/>
        <v>1.0000000000000007</v>
      </c>
      <c r="BJ35">
        <f t="shared" si="1"/>
        <v>-1.732050807568877</v>
      </c>
      <c r="BK35">
        <f t="shared" si="2"/>
        <v>1.5000000000000009</v>
      </c>
      <c r="BL35">
        <f t="shared" si="3"/>
        <v>-2.5980762113533156</v>
      </c>
      <c r="BM35">
        <f t="shared" si="4"/>
        <v>2.0000000000000013</v>
      </c>
      <c r="BN35">
        <f t="shared" si="5"/>
        <v>-3.4641016151377539</v>
      </c>
      <c r="BO35">
        <f t="shared" si="6"/>
        <v>2.5000000000000018</v>
      </c>
      <c r="BP35">
        <f t="shared" si="7"/>
        <v>-4.3301270189221928</v>
      </c>
    </row>
    <row r="36" spans="1:68" ht="12" customHeight="1" x14ac:dyDescent="0.4">
      <c r="J36" s="25" t="str">
        <f>INDEX(posID,19)&amp;""</f>
        <v/>
      </c>
      <c r="K36" s="151" t="str">
        <f>IF(J36="","",INDEX(posNome,19)&amp;IF(INDEX(ANA_Attenzione_Supervisore,19)="Sì","  ◆",""))</f>
        <v/>
      </c>
      <c r="L36" s="142"/>
      <c r="M36" s="142"/>
      <c r="N36" s="142"/>
      <c r="O36" s="142"/>
      <c r="BH36">
        <f>2*PI()*31/72</f>
        <v>2.7052603405912108</v>
      </c>
      <c r="BI36">
        <f t="shared" si="0"/>
        <v>0.84523652348139899</v>
      </c>
      <c r="BJ36">
        <f t="shared" si="1"/>
        <v>-1.8126155740732999</v>
      </c>
      <c r="BK36">
        <f t="shared" si="2"/>
        <v>1.2678547852220985</v>
      </c>
      <c r="BL36">
        <f t="shared" si="3"/>
        <v>-2.7189233611099497</v>
      </c>
      <c r="BM36">
        <f t="shared" si="4"/>
        <v>1.690473046962798</v>
      </c>
      <c r="BN36">
        <f t="shared" si="5"/>
        <v>-3.6252311481465997</v>
      </c>
      <c r="BO36">
        <f t="shared" si="6"/>
        <v>2.1130913087034973</v>
      </c>
      <c r="BP36">
        <f t="shared" si="7"/>
        <v>-4.5315389351832494</v>
      </c>
    </row>
    <row r="37" spans="1:68" ht="12" customHeight="1" x14ac:dyDescent="0.4">
      <c r="J37" s="25" t="str">
        <f>INDEX(posID,20)&amp;""</f>
        <v/>
      </c>
      <c r="K37" s="151" t="str">
        <f>IF(J37="","",INDEX(posNome,20)&amp;IF(INDEX(ANA_Attenzione_Supervisore,20)="Sì","  ◆",""))</f>
        <v/>
      </c>
      <c r="L37" s="142"/>
      <c r="M37" s="142"/>
      <c r="N37" s="142"/>
      <c r="O37" s="142"/>
      <c r="BH37">
        <f>2*PI()*32/72</f>
        <v>2.7925268031909272</v>
      </c>
      <c r="BI37">
        <f t="shared" ref="BI37:BI68" si="8">2*SIN($BH37)</f>
        <v>0.68404028665133776</v>
      </c>
      <c r="BJ37">
        <f t="shared" ref="BJ37:BJ68" si="9">2*COS($BH37)</f>
        <v>-1.8793852415718166</v>
      </c>
      <c r="BK37">
        <f t="shared" ref="BK37:BK68" si="10">3*SIN($BH37)</f>
        <v>1.0260604299770066</v>
      </c>
      <c r="BL37">
        <f t="shared" ref="BL37:BL68" si="11">3*COS($BH37)</f>
        <v>-2.8190778623577248</v>
      </c>
      <c r="BM37">
        <f t="shared" ref="BM37:BM68" si="12">4*SIN($BH37)</f>
        <v>1.3680805733026755</v>
      </c>
      <c r="BN37">
        <f t="shared" ref="BN37:BN68" si="13">4*COS($BH37)</f>
        <v>-3.7587704831436333</v>
      </c>
      <c r="BO37">
        <f t="shared" ref="BO37:BO68" si="14">5*SIN($BH37)</f>
        <v>1.7101007166283444</v>
      </c>
      <c r="BP37">
        <f t="shared" ref="BP37:BP68" si="15">5*COS($BH37)</f>
        <v>-4.6984631039295417</v>
      </c>
    </row>
    <row r="38" spans="1:68" x14ac:dyDescent="0.4">
      <c r="A38" s="24" t="s">
        <v>37</v>
      </c>
      <c r="BH38">
        <f>2*PI()*33/72</f>
        <v>2.879793265790644</v>
      </c>
      <c r="BI38">
        <f t="shared" si="8"/>
        <v>0.51763809020504115</v>
      </c>
      <c r="BJ38">
        <f t="shared" si="9"/>
        <v>-1.9318516525781366</v>
      </c>
      <c r="BK38">
        <f t="shared" si="10"/>
        <v>0.77645713530756177</v>
      </c>
      <c r="BL38">
        <f t="shared" si="11"/>
        <v>-2.897777478867205</v>
      </c>
      <c r="BM38">
        <f t="shared" si="12"/>
        <v>1.0352761804100823</v>
      </c>
      <c r="BN38">
        <f t="shared" si="13"/>
        <v>-3.8637033051562732</v>
      </c>
      <c r="BO38">
        <f t="shared" si="14"/>
        <v>1.2940952255126028</v>
      </c>
      <c r="BP38">
        <f t="shared" si="15"/>
        <v>-4.8296291314453415</v>
      </c>
    </row>
    <row r="39" spans="1:68" x14ac:dyDescent="0.4">
      <c r="BH39">
        <f>2*PI()*34/72</f>
        <v>2.9670597283903604</v>
      </c>
      <c r="BI39">
        <f t="shared" si="8"/>
        <v>0.34729635533386055</v>
      </c>
      <c r="BJ39">
        <f t="shared" si="9"/>
        <v>-1.969615506024416</v>
      </c>
      <c r="BK39">
        <f t="shared" si="10"/>
        <v>0.5209445330007908</v>
      </c>
      <c r="BL39">
        <f t="shared" si="11"/>
        <v>-2.9544232590366239</v>
      </c>
      <c r="BM39">
        <f t="shared" si="12"/>
        <v>0.6945927106677211</v>
      </c>
      <c r="BN39">
        <f t="shared" si="13"/>
        <v>-3.9392310120488321</v>
      </c>
      <c r="BO39">
        <f t="shared" si="14"/>
        <v>0.86824088833465141</v>
      </c>
      <c r="BP39">
        <f t="shared" si="15"/>
        <v>-4.9240387650610398</v>
      </c>
    </row>
    <row r="40" spans="1:68" ht="15.9" x14ac:dyDescent="0.45">
      <c r="A40" s="149" t="s">
        <v>38</v>
      </c>
      <c r="B40" s="150"/>
      <c r="C40" s="150"/>
      <c r="D40" s="150"/>
      <c r="E40" s="150"/>
      <c r="F40" s="150"/>
      <c r="G40" s="150"/>
      <c r="H40" s="150"/>
      <c r="I40" s="150"/>
      <c r="J40" s="150"/>
      <c r="K40" s="150"/>
      <c r="L40" s="150"/>
      <c r="M40" s="150"/>
      <c r="N40" s="150"/>
      <c r="O40" s="150"/>
      <c r="BH40">
        <f>2*PI()*35/72</f>
        <v>3.0543261909900767</v>
      </c>
      <c r="BI40">
        <f t="shared" si="8"/>
        <v>0.17431148549531639</v>
      </c>
      <c r="BJ40">
        <f t="shared" si="9"/>
        <v>-1.9923893961834911</v>
      </c>
      <c r="BK40">
        <f t="shared" si="10"/>
        <v>0.26146722824297458</v>
      </c>
      <c r="BL40">
        <f t="shared" si="11"/>
        <v>-2.9885840942752369</v>
      </c>
      <c r="BM40">
        <f t="shared" si="12"/>
        <v>0.34862297099063277</v>
      </c>
      <c r="BN40">
        <f t="shared" si="13"/>
        <v>-3.9847787923669822</v>
      </c>
      <c r="BO40">
        <f t="shared" si="14"/>
        <v>0.43577871373829097</v>
      </c>
      <c r="BP40">
        <f t="shared" si="15"/>
        <v>-4.9809734904587275</v>
      </c>
    </row>
    <row r="41" spans="1:68" ht="59.05" customHeight="1" x14ac:dyDescent="0.4">
      <c r="A41" s="165" t="s">
        <v>39</v>
      </c>
      <c r="B41" s="142"/>
      <c r="C41" s="142"/>
      <c r="D41" s="163" t="str">
        <f>IF(T41="","Nessun commento registrato per il ciclo corrente.",TRIM(SUBSTITUTE(SUBSTITUTE(IF(T42&gt;0,LEFT(T41,T42-1),T41),"MESSAGGIO:",""),"Messaggio:","")))</f>
        <v>Nel quarto trimestre 2026 entra nel radar il rischio sui rapporti di impiego (NFR-16), in osservazione dal 2026Q3: la vertenza nazionale del settore e la carenza di tecnici in ruoli IT critici, segnalate dall'aggiornamento settimanale, hanno ora un riscontro interno. Sale la prossimita' delle frodi con voce sintetica (NFR-01) dopo i primi casi su clienti della Banca. Gli altri undici rischi del radar sono confermati. In osservazione si avvicinano i cavi sottomarini (NFR-14, Probabilita da 2 a 3), ancora lontani dalle rotte italiane.</v>
      </c>
      <c r="E41" s="142"/>
      <c r="F41" s="142"/>
      <c r="G41" s="142"/>
      <c r="H41" s="142"/>
      <c r="I41" s="142"/>
      <c r="J41" s="142"/>
      <c r="K41" s="142"/>
      <c r="L41" s="142"/>
      <c r="M41" s="142"/>
      <c r="N41" s="142"/>
      <c r="O41" s="142"/>
      <c r="T41" t="str">
        <f>IFERROR(INDEX(SI_Sintesi_A1,MATCH(cicloCorrente,SI_Ciclo,0))&amp;"","")</f>
        <v>Nel quarto trimestre 2026 entra nel radar il rischio sui rapporti di impiego (NFR-16), in osservazione dal 2026Q3: la vertenza nazionale del settore e la carenza di tecnici in ruoli IT critici, segnalate dall'aggiornamento settimanale, hanno ora un riscontro interno. Sale la prossimita' delle frodi con voce sintetica (NFR-01) dopo i primi casi su clienti della Banca. Gli altri undici rischi del radar sono confermati. In osservazione si avvicinano i cavi sottomarini (NFR-14, Probabilita da 2 a 3), ancora lontani dalle rotte italiane.</v>
      </c>
      <c r="BH41">
        <f>2*PI()*36/72</f>
        <v>3.1415926535897931</v>
      </c>
      <c r="BI41">
        <f t="shared" si="8"/>
        <v>2.45029690981724E-16</v>
      </c>
      <c r="BJ41">
        <f t="shared" si="9"/>
        <v>-2</v>
      </c>
      <c r="BK41">
        <f t="shared" si="10"/>
        <v>3.67544536472586E-16</v>
      </c>
      <c r="BL41">
        <f t="shared" si="11"/>
        <v>-3</v>
      </c>
      <c r="BM41">
        <f t="shared" si="12"/>
        <v>4.90059381963448E-16</v>
      </c>
      <c r="BN41">
        <f t="shared" si="13"/>
        <v>-4</v>
      </c>
      <c r="BO41">
        <f t="shared" si="14"/>
        <v>6.1257422745431001E-16</v>
      </c>
      <c r="BP41">
        <f t="shared" si="15"/>
        <v>-5</v>
      </c>
    </row>
    <row r="42" spans="1:68" ht="18.55" customHeight="1" x14ac:dyDescent="0.4">
      <c r="A42" s="165" t="s">
        <v>40</v>
      </c>
      <c r="B42" s="142"/>
      <c r="C42" s="142"/>
      <c r="D42" s="163" t="str">
        <f>IF(T42&gt;0,TRIM(MID(T41,T42+10,4000)),"—")</f>
        <v>—</v>
      </c>
      <c r="E42" s="142"/>
      <c r="F42" s="142"/>
      <c r="G42" s="142"/>
      <c r="H42" s="142"/>
      <c r="I42" s="142"/>
      <c r="J42" s="142"/>
      <c r="K42" s="142"/>
      <c r="L42" s="142"/>
      <c r="M42" s="142"/>
      <c r="N42" s="142"/>
      <c r="O42" s="142"/>
      <c r="T42">
        <f>IFERROR(SEARCH("DECISIONI:",T41),0)</f>
        <v>0</v>
      </c>
      <c r="BH42">
        <f>2*PI()*37/72</f>
        <v>3.2288591161895095</v>
      </c>
      <c r="BI42">
        <f t="shared" si="8"/>
        <v>-0.17431148549531589</v>
      </c>
      <c r="BJ42">
        <f t="shared" si="9"/>
        <v>-1.9923893961834911</v>
      </c>
      <c r="BK42">
        <f t="shared" si="10"/>
        <v>-0.26146722824297386</v>
      </c>
      <c r="BL42">
        <f t="shared" si="11"/>
        <v>-2.9885840942752369</v>
      </c>
      <c r="BM42">
        <f t="shared" si="12"/>
        <v>-0.34862297099063178</v>
      </c>
      <c r="BN42">
        <f t="shared" si="13"/>
        <v>-3.9847787923669822</v>
      </c>
      <c r="BO42">
        <f t="shared" si="14"/>
        <v>-0.43577871373828969</v>
      </c>
      <c r="BP42">
        <f t="shared" si="15"/>
        <v>-4.9809734904587275</v>
      </c>
    </row>
    <row r="43" spans="1:68" ht="18.55" customHeight="1" x14ac:dyDescent="0.4">
      <c r="A43" s="165" t="s">
        <v>41</v>
      </c>
      <c r="B43" s="142"/>
      <c r="C43" s="142"/>
      <c r="D43" s="163" t="str">
        <f>IFERROR(INDEX(SI_Sintesi_A5,MATCH(cicloCorrente,SI_Ciclo,0))&amp;"","")&amp;IFERROR(" Osservazioni: "&amp;INDEX(SI_Osservazioni_Controlli,MATCH(cicloCorrente,SI_Ciclo,0))&amp;".","")</f>
        <v>A5 non usato in questo ciclo (facoltativo, D-71): valgono i controlli dello script e la validazione. Osservazioni: 0.</v>
      </c>
      <c r="E43" s="142"/>
      <c r="F43" s="142"/>
      <c r="G43" s="142"/>
      <c r="H43" s="142"/>
      <c r="I43" s="142"/>
      <c r="J43" s="142"/>
      <c r="K43" s="142"/>
      <c r="L43" s="142"/>
      <c r="M43" s="142"/>
      <c r="N43" s="142"/>
      <c r="O43" s="142"/>
      <c r="BH43">
        <f>2*PI()*38/72</f>
        <v>3.3161255787892259</v>
      </c>
      <c r="BI43">
        <f t="shared" si="8"/>
        <v>-0.34729635533386005</v>
      </c>
      <c r="BJ43">
        <f t="shared" si="9"/>
        <v>-1.9696155060244163</v>
      </c>
      <c r="BK43">
        <f t="shared" si="10"/>
        <v>-0.52094453300079002</v>
      </c>
      <c r="BL43">
        <f t="shared" si="11"/>
        <v>-2.9544232590366244</v>
      </c>
      <c r="BM43">
        <f t="shared" si="12"/>
        <v>-0.6945927106677201</v>
      </c>
      <c r="BN43">
        <f t="shared" si="13"/>
        <v>-3.9392310120488325</v>
      </c>
      <c r="BO43">
        <f t="shared" si="14"/>
        <v>-0.86824088833465018</v>
      </c>
      <c r="BP43">
        <f t="shared" si="15"/>
        <v>-4.9240387650610407</v>
      </c>
    </row>
    <row r="44" spans="1:68" ht="18.55" customHeight="1" x14ac:dyDescent="0.4">
      <c r="A44" s="165" t="s">
        <v>42</v>
      </c>
      <c r="B44" s="142"/>
      <c r="C44" s="142"/>
      <c r="D44" s="163" t="str">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
      </c>
      <c r="E44" s="142"/>
      <c r="F44" s="142"/>
      <c r="G44" s="142"/>
      <c r="H44" s="142"/>
      <c r="I44" s="142"/>
      <c r="J44" s="142"/>
      <c r="K44" s="142"/>
      <c r="L44" s="142"/>
      <c r="M44" s="142"/>
      <c r="N44" s="142"/>
      <c r="O44" s="142"/>
      <c r="BH44">
        <f>2*PI()*39/72</f>
        <v>3.4033920413889422</v>
      </c>
      <c r="BI44">
        <f t="shared" si="8"/>
        <v>-0.5176380902050407</v>
      </c>
      <c r="BJ44">
        <f t="shared" si="9"/>
        <v>-1.9318516525781368</v>
      </c>
      <c r="BK44">
        <f t="shared" si="10"/>
        <v>-0.77645713530756111</v>
      </c>
      <c r="BL44">
        <f t="shared" si="11"/>
        <v>-2.897777478867205</v>
      </c>
      <c r="BM44">
        <f t="shared" si="12"/>
        <v>-1.0352761804100814</v>
      </c>
      <c r="BN44">
        <f t="shared" si="13"/>
        <v>-3.8637033051562737</v>
      </c>
      <c r="BO44">
        <f t="shared" si="14"/>
        <v>-1.2940952255126017</v>
      </c>
      <c r="BP44">
        <f t="shared" si="15"/>
        <v>-4.8296291314453423</v>
      </c>
    </row>
    <row r="45" spans="1:68" ht="18.55" customHeight="1" x14ac:dyDescent="0.4">
      <c r="A45" s="165" t="s">
        <v>43</v>
      </c>
      <c r="B45" s="142"/>
      <c r="C45" s="142"/>
      <c r="D45" s="163" t="str">
        <f>IFERROR(IF(INDEX(SI_Rilievi_Superati,MATCH(cicloCorrente,SI_Ciclo,0))="","",INDEX(SI_Rilievi_Superati,MATCH(cicloCorrente,SI_Ciclo,0))&amp;" In validazione ogni rischio interessato chiede una motivazione (colonna Segnalazioni)."),"")</f>
        <v/>
      </c>
      <c r="E45" s="142"/>
      <c r="F45" s="142"/>
      <c r="G45" s="142"/>
      <c r="H45" s="142"/>
      <c r="I45" s="142"/>
      <c r="J45" s="142"/>
      <c r="K45" s="142"/>
      <c r="L45" s="142"/>
      <c r="M45" s="142"/>
      <c r="N45" s="142"/>
      <c r="O45" s="142"/>
      <c r="BH45">
        <f>2*PI()*40/72</f>
        <v>3.4906585039886591</v>
      </c>
      <c r="BI45">
        <f t="shared" si="8"/>
        <v>-0.68404028665133731</v>
      </c>
      <c r="BJ45">
        <f t="shared" si="9"/>
        <v>-1.8793852415718169</v>
      </c>
      <c r="BK45">
        <f t="shared" si="10"/>
        <v>-1.026060429977006</v>
      </c>
      <c r="BL45">
        <f t="shared" si="11"/>
        <v>-2.8190778623577253</v>
      </c>
      <c r="BM45">
        <f t="shared" si="12"/>
        <v>-1.3680805733026746</v>
      </c>
      <c r="BN45">
        <f t="shared" si="13"/>
        <v>-3.7587704831436337</v>
      </c>
      <c r="BO45">
        <f t="shared" si="14"/>
        <v>-1.7101007166283433</v>
      </c>
      <c r="BP45">
        <f t="shared" si="15"/>
        <v>-4.6984631039295426</v>
      </c>
    </row>
    <row r="46" spans="1:68" x14ac:dyDescent="0.4">
      <c r="BH46">
        <f>2*PI()*41/72</f>
        <v>3.577924966588375</v>
      </c>
      <c r="BI46">
        <f t="shared" si="8"/>
        <v>-0.84523652348139777</v>
      </c>
      <c r="BJ46">
        <f t="shared" si="9"/>
        <v>-1.8126155740733005</v>
      </c>
      <c r="BK46">
        <f t="shared" si="10"/>
        <v>-1.2678547852220967</v>
      </c>
      <c r="BL46">
        <f t="shared" si="11"/>
        <v>-2.718923361109951</v>
      </c>
      <c r="BM46">
        <f t="shared" si="12"/>
        <v>-1.6904730469627955</v>
      </c>
      <c r="BN46">
        <f t="shared" si="13"/>
        <v>-3.6252311481466011</v>
      </c>
      <c r="BO46">
        <f t="shared" si="14"/>
        <v>-2.1130913087034946</v>
      </c>
      <c r="BP46">
        <f t="shared" si="15"/>
        <v>-4.5315389351832511</v>
      </c>
    </row>
    <row r="47" spans="1:68" ht="15.9" x14ac:dyDescent="0.45">
      <c r="A47" s="149" t="s">
        <v>44</v>
      </c>
      <c r="B47" s="150"/>
      <c r="C47" s="150"/>
      <c r="D47" s="150"/>
      <c r="E47" s="150"/>
      <c r="F47" s="150"/>
      <c r="G47" s="150"/>
      <c r="H47" s="150"/>
      <c r="I47" s="150"/>
      <c r="J47" s="150"/>
      <c r="K47" s="150"/>
      <c r="L47" s="150"/>
      <c r="M47" s="150"/>
      <c r="N47" s="150"/>
      <c r="O47" s="150"/>
      <c r="BH47">
        <f>2*PI()*42/72</f>
        <v>3.6651914291880923</v>
      </c>
      <c r="BI47">
        <f t="shared" si="8"/>
        <v>-1.0000000000000002</v>
      </c>
      <c r="BJ47">
        <f t="shared" si="9"/>
        <v>-1.7320508075688772</v>
      </c>
      <c r="BK47">
        <f t="shared" si="10"/>
        <v>-1.5000000000000004</v>
      </c>
      <c r="BL47">
        <f t="shared" si="11"/>
        <v>-2.598076211353316</v>
      </c>
      <c r="BM47">
        <f t="shared" si="12"/>
        <v>-2.0000000000000004</v>
      </c>
      <c r="BN47">
        <f t="shared" si="13"/>
        <v>-3.4641016151377544</v>
      </c>
      <c r="BO47">
        <f t="shared" si="14"/>
        <v>-2.5000000000000004</v>
      </c>
      <c r="BP47">
        <f t="shared" si="15"/>
        <v>-4.3301270189221928</v>
      </c>
    </row>
    <row r="48" spans="1:68" x14ac:dyDescent="0.4">
      <c r="A48" s="24" t="s">
        <v>45</v>
      </c>
      <c r="BH48">
        <f>2*PI()*43/72</f>
        <v>3.7524578917878082</v>
      </c>
      <c r="BI48">
        <f t="shared" si="8"/>
        <v>-1.1471528727020917</v>
      </c>
      <c r="BJ48">
        <f t="shared" si="9"/>
        <v>-1.638304088577984</v>
      </c>
      <c r="BK48">
        <f t="shared" si="10"/>
        <v>-1.7207293090531375</v>
      </c>
      <c r="BL48">
        <f t="shared" si="11"/>
        <v>-2.4574561328669762</v>
      </c>
      <c r="BM48">
        <f t="shared" si="12"/>
        <v>-2.2943057454041833</v>
      </c>
      <c r="BN48">
        <f t="shared" si="13"/>
        <v>-3.2766081771559681</v>
      </c>
      <c r="BO48">
        <f t="shared" si="14"/>
        <v>-2.8678821817552294</v>
      </c>
      <c r="BP48">
        <f t="shared" si="15"/>
        <v>-4.0957602214449604</v>
      </c>
    </row>
    <row r="49" spans="1:68" x14ac:dyDescent="0.4">
      <c r="A49" s="168" t="s">
        <v>18</v>
      </c>
      <c r="B49" s="169"/>
      <c r="C49" s="169"/>
      <c r="D49" s="26" t="s">
        <v>46</v>
      </c>
      <c r="E49" s="168" t="s">
        <v>47</v>
      </c>
      <c r="F49" s="169"/>
      <c r="G49" s="169"/>
      <c r="H49" s="169"/>
      <c r="I49" s="168" t="s">
        <v>48</v>
      </c>
      <c r="J49" s="169"/>
      <c r="K49" s="169"/>
      <c r="L49" s="169"/>
      <c r="M49" s="169"/>
      <c r="N49" s="169"/>
      <c r="O49" s="169"/>
      <c r="BH49">
        <f>2*PI()*44/72</f>
        <v>3.8397243543875246</v>
      </c>
      <c r="BI49">
        <f t="shared" si="8"/>
        <v>-1.2855752193730778</v>
      </c>
      <c r="BJ49">
        <f t="shared" si="9"/>
        <v>-1.5320888862379567</v>
      </c>
      <c r="BK49">
        <f t="shared" si="10"/>
        <v>-1.9283628290596169</v>
      </c>
      <c r="BL49">
        <f t="shared" si="11"/>
        <v>-2.298133329356935</v>
      </c>
      <c r="BM49">
        <f t="shared" si="12"/>
        <v>-2.5711504387461557</v>
      </c>
      <c r="BN49">
        <f t="shared" si="13"/>
        <v>-3.0641777724759134</v>
      </c>
      <c r="BO49">
        <f t="shared" si="14"/>
        <v>-3.2139380484326945</v>
      </c>
      <c r="BP49">
        <f t="shared" si="15"/>
        <v>-3.8302222155948917</v>
      </c>
    </row>
    <row r="50" spans="1:68" ht="65.8" customHeight="1" x14ac:dyDescent="0.4">
      <c r="A50" s="146" t="str">
        <f>IF($V50="","",INDEX(Classifica!$B$5:$B$24,$V50)&amp;CHAR(10)&amp;INDEX(Classifica!$C$5:$C$24,$V50)&amp;IF(INDEX(ANA_Attenzione_Supervisore,INDEX(Classifica!$U$5:$U$24,$V50))="Sì",CHAR(10)&amp;"◆ attenzione del supervisore",""))</f>
        <v>NFR-01
Frodi su pagamenti istantanei abilitate da AI generativa
◆ attenzione del supervisore</v>
      </c>
      <c r="B50" s="142"/>
      <c r="C50" s="142"/>
      <c r="D50" s="27" t="str">
        <f>IF($V50="","",INDEX(Radar_Mosca!$AA$5:$AA$24,INDEX(Classifica!$U$5:$U$24,$V50))&amp;"")</f>
        <v>Attivazione</v>
      </c>
      <c r="E50" s="155" t="str">
        <f t="shared" ref="E50:E69" si="16">IF($W50="","",LEFT($W50,LEN($W50)-2)&amp;".")</f>
        <v>1° per score composito (4,40, +0,20 sul ciclo prima); AGIRE ORA: servono X + Y = 0,50 anni per decidere e mitigare; ne restano Z = 0,0 prima che possa manifestarsi; variato nel ciclo: peggiora; tema all'attenzione del supervisore; 1 KRI in rosso.</v>
      </c>
      <c r="F50" s="142"/>
      <c r="G50" s="142"/>
      <c r="H50" s="142"/>
      <c r="I50" s="155" t="str">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 Prossimita 4 → 5: L'incident report del 20 novembre 2026 documenta due frodi con voce sintetica su clienti corporate della Banca, per bonifici istantanei gia' eseguiti. (2026-11-20)</v>
      </c>
      <c r="J50" s="142"/>
      <c r="K50" s="142"/>
      <c r="L50" s="142"/>
      <c r="M50" s="142"/>
      <c r="N50" s="142"/>
      <c r="O50" s="142"/>
      <c r="U50">
        <f>IF(Classifica!$B$5="","",IF(OR(1&lt;=3,INDEX(Radar_Mosca!$AA$5:$AA$24,Classifica!$U$5)="Attivazione",INDEX(Radar_Mosca!$AA$5:$AA$24,Classifica!$U$5)="Attenzione",Classifica!$G$5="Variato",Classifica!$G$5="Nuovo"),1,""))</f>
        <v>1</v>
      </c>
      <c r="V50">
        <f>IFERROR(_xlfn.AGGREGATE(15,6,$U$50:$U$69,1),"")</f>
        <v>1</v>
      </c>
      <c r="W50" t="str">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xml:space="preserve">1° per score composito (4,40, +0,20 sul ciclo prima); AGIRE ORA: servono X + Y = 0,50 anni per decidere e mitigare; ne restano Z = 0,0 prima che possa manifestarsi; variato nel ciclo: peggiora; tema all'attenzione del supervisore; 1 KRI in rosso; </v>
      </c>
      <c r="BH50">
        <f>2*PI()*45/72</f>
        <v>3.9269908169872414</v>
      </c>
      <c r="BI50">
        <f t="shared" si="8"/>
        <v>-1.4142135623730949</v>
      </c>
      <c r="BJ50">
        <f t="shared" si="9"/>
        <v>-1.4142135623730954</v>
      </c>
      <c r="BK50">
        <f t="shared" si="10"/>
        <v>-2.1213203435596424</v>
      </c>
      <c r="BL50">
        <f t="shared" si="11"/>
        <v>-2.1213203435596428</v>
      </c>
      <c r="BM50">
        <f t="shared" si="12"/>
        <v>-2.8284271247461898</v>
      </c>
      <c r="BN50">
        <f t="shared" si="13"/>
        <v>-2.8284271247461907</v>
      </c>
      <c r="BO50">
        <f t="shared" si="14"/>
        <v>-3.5355339059327373</v>
      </c>
      <c r="BP50">
        <f t="shared" si="15"/>
        <v>-3.5355339059327386</v>
      </c>
    </row>
    <row r="51" spans="1:68" ht="53.6" customHeight="1" x14ac:dyDescent="0.4">
      <c r="A51" s="146" t="str">
        <f>IF($V51="","",INDEX(Classifica!$B$5:$B$24,$V51)&amp;CHAR(10)&amp;INDEX(Classifica!$C$5:$C$24,$V51)&amp;IF(INDEX(ANA_Attenzione_Supervisore,INDEX(Classifica!$U$5:$U$24,$V51))="Sì",CHAR(10)&amp;"◆ attenzione del supervisore",""))</f>
        <v>NFR-02
Concentrazione su un fornitore cloud critico
◆ attenzione del supervisore</v>
      </c>
      <c r="B51" s="142"/>
      <c r="C51" s="142"/>
      <c r="D51" s="27" t="str">
        <f>IF($V51="","",INDEX(Radar_Mosca!$AA$5:$AA$24,INDEX(Classifica!$U$5:$U$24,$V51))&amp;"")</f>
        <v>Attenzione</v>
      </c>
      <c r="E51" s="155" t="str">
        <f t="shared" si="16"/>
        <v>2° per score composito (3,80, +0,50 sul ciclo prima); variato nel ciclo: peggiora; tema all'attenzione del supervisore; 1 KRI in rosso.</v>
      </c>
      <c r="F51" s="142"/>
      <c r="G51" s="142"/>
      <c r="H51" s="142"/>
      <c r="I51" s="155" t="str">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 Probabilita 2 → 4: Rettifica del validatore: Secondo incidente del fornitore cloud in un mese, con ripristino oltre i tempi contrattuali. (2026-10-08)</v>
      </c>
      <c r="J51" s="142"/>
      <c r="K51" s="142"/>
      <c r="L51" s="142"/>
      <c r="M51" s="142"/>
      <c r="N51" s="142"/>
      <c r="O51" s="142"/>
      <c r="U51">
        <f>IF(Classifica!$B$6="","",IF(OR(2&lt;=3,INDEX(Radar_Mosca!$AA$5:$AA$24,Classifica!$U$6)="Attivazione",INDEX(Radar_Mosca!$AA$5:$AA$24,Classifica!$U$6)="Attenzione",Classifica!$G$6="Variato",Classifica!$G$6="Nuovo"),2,""))</f>
        <v>2</v>
      </c>
      <c r="V51">
        <f>IFERROR(_xlfn.AGGREGATE(15,6,$U$50:$U$69,2),"")</f>
        <v>2</v>
      </c>
      <c r="W51" t="str">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xml:space="preserve">2° per score composito (3,80, +0,50 sul ciclo prima); variato nel ciclo: peggiora; tema all'attenzione del supervisore; 1 KRI in rosso; </v>
      </c>
      <c r="BH51">
        <f>2*PI()*46/72</f>
        <v>4.0142572795869578</v>
      </c>
      <c r="BI51">
        <f t="shared" si="8"/>
        <v>-1.5320888862379558</v>
      </c>
      <c r="BJ51">
        <f t="shared" si="9"/>
        <v>-1.2855752193730789</v>
      </c>
      <c r="BK51">
        <f t="shared" si="10"/>
        <v>-2.2981333293569337</v>
      </c>
      <c r="BL51">
        <f t="shared" si="11"/>
        <v>-1.9283628290596184</v>
      </c>
      <c r="BM51">
        <f t="shared" si="12"/>
        <v>-3.0641777724759116</v>
      </c>
      <c r="BN51">
        <f t="shared" si="13"/>
        <v>-2.5711504387461579</v>
      </c>
      <c r="BO51">
        <f t="shared" si="14"/>
        <v>-3.8302222155948895</v>
      </c>
      <c r="BP51">
        <f t="shared" si="15"/>
        <v>-3.2139380484326976</v>
      </c>
    </row>
    <row r="52" spans="1:68" ht="53.6" customHeight="1" x14ac:dyDescent="0.4">
      <c r="A52" s="146" t="str">
        <f>IF($V52="","",INDEX(Classifica!$B$5:$B$24,$V52)&amp;CHAR(10)&amp;INDEX(Classifica!$C$5:$C$24,$V52)&amp;IF(INDEX(ANA_Attenzione_Supervisore,INDEX(Classifica!$U$5:$U$24,$V52))="Sì",CHAR(10)&amp;"◆ attenzione del supervisore",""))</f>
        <v>NFR-07
Ransomware presso un fornitore di servizi di pagamento
◆ attenzione del supervisore</v>
      </c>
      <c r="B52" s="142"/>
      <c r="C52" s="142"/>
      <c r="D52" s="27" t="str">
        <f>IF($V52="","",INDEX(Radar_Mosca!$AA$5:$AA$24,INDEX(Classifica!$U$5:$U$24,$V52))&amp;"")</f>
        <v>Attenzione</v>
      </c>
      <c r="E52" s="155" t="str">
        <f t="shared" si="16"/>
        <v>3° per score composito (3,75); margine di Mosca sotto l'anno (0,75); tema all'attenzione del supervisore.</v>
      </c>
      <c r="F52" s="142"/>
      <c r="G52" s="142"/>
      <c r="H52" s="142"/>
      <c r="I52" s="155" t="str">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2" s="142"/>
      <c r="K52" s="142"/>
      <c r="L52" s="142"/>
      <c r="M52" s="142"/>
      <c r="N52" s="142"/>
      <c r="O52" s="142"/>
      <c r="U52">
        <f>IF(Classifica!$B$7="","",IF(OR(3&lt;=3,INDEX(Radar_Mosca!$AA$5:$AA$24,Classifica!$U$7)="Attivazione",INDEX(Radar_Mosca!$AA$5:$AA$24,Classifica!$U$7)="Attenzione",Classifica!$G$7="Variato",Classifica!$G$7="Nuovo"),3,""))</f>
        <v>3</v>
      </c>
      <c r="V52">
        <f>IFERROR(_xlfn.AGGREGATE(15,6,$U$50:$U$69,3),"")</f>
        <v>3</v>
      </c>
      <c r="W52" t="str">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xml:space="preserve">3° per score composito (3,75); margine di Mosca sotto l'anno (0,75); tema all'attenzione del supervisore; </v>
      </c>
      <c r="BH52">
        <f>2*PI()*47/72</f>
        <v>4.101523742186675</v>
      </c>
      <c r="BI52">
        <f t="shared" si="8"/>
        <v>-1.6383040885779843</v>
      </c>
      <c r="BJ52">
        <f t="shared" si="9"/>
        <v>-1.1471528727020914</v>
      </c>
      <c r="BK52">
        <f t="shared" si="10"/>
        <v>-2.4574561328669766</v>
      </c>
      <c r="BL52">
        <f t="shared" si="11"/>
        <v>-1.7207293090531373</v>
      </c>
      <c r="BM52">
        <f t="shared" si="12"/>
        <v>-3.2766081771559685</v>
      </c>
      <c r="BN52">
        <f t="shared" si="13"/>
        <v>-2.2943057454041829</v>
      </c>
      <c r="BO52">
        <f t="shared" si="14"/>
        <v>-4.0957602214449604</v>
      </c>
      <c r="BP52">
        <f t="shared" si="15"/>
        <v>-2.8678821817552285</v>
      </c>
    </row>
    <row r="53" spans="1:68" ht="41.5" customHeight="1" x14ac:dyDescent="0.4">
      <c r="A53" s="146" t="str">
        <f>IF($V53="","",INDEX(Classifica!$B$5:$B$24,$V53)&amp;CHAR(10)&amp;INDEX(Classifica!$C$5:$C$24,$V53)&amp;IF(INDEX(ANA_Attenzione_Supervisore,INDEX(Classifica!$U$5:$U$24,$V53))="Sì",CHAR(10)&amp;"◆ attenzione del supervisore",""))</f>
        <v>NFR-12
Errori operativi nei pagamenti istantanei obbligatori</v>
      </c>
      <c r="B53" s="142"/>
      <c r="C53" s="142"/>
      <c r="D53" s="27" t="str">
        <f>IF($V53="","",INDEX(Radar_Mosca!$AA$5:$AA$24,INDEX(Classifica!$U$5:$U$24,$V53))&amp;"")</f>
        <v>Attenzione</v>
      </c>
      <c r="E53" s="155" t="str">
        <f t="shared" si="16"/>
        <v/>
      </c>
      <c r="F53" s="142"/>
      <c r="G53" s="142"/>
      <c r="H53" s="142"/>
      <c r="I53" s="155" t="str">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3" s="142"/>
      <c r="K53" s="142"/>
      <c r="L53" s="142"/>
      <c r="M53" s="142"/>
      <c r="N53" s="142"/>
      <c r="O53" s="142"/>
      <c r="U53">
        <f>IF(Classifica!$B$8="","",IF(OR(4&lt;=3,INDEX(Radar_Mosca!$AA$5:$AA$24,Classifica!$U$8)="Attivazione",INDEX(Radar_Mosca!$AA$5:$AA$24,Classifica!$U$8)="Attenzione",Classifica!$G$8="Variato",Classifica!$G$8="Nuovo"),4,""))</f>
        <v>4</v>
      </c>
      <c r="V53">
        <f>IFERROR(_xlfn.AGGREGATE(15,6,$U$50:$U$69,4),"")</f>
        <v>4</v>
      </c>
      <c r="W53" t="str">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c>
      <c r="BH53">
        <f>2*PI()*48/72</f>
        <v>4.1887902047863905</v>
      </c>
      <c r="BI53">
        <f t="shared" si="8"/>
        <v>-1.7320508075688767</v>
      </c>
      <c r="BJ53">
        <f t="shared" si="9"/>
        <v>-1.0000000000000009</v>
      </c>
      <c r="BK53">
        <f t="shared" si="10"/>
        <v>-2.5980762113533151</v>
      </c>
      <c r="BL53">
        <f t="shared" si="11"/>
        <v>-1.5000000000000013</v>
      </c>
      <c r="BM53">
        <f t="shared" si="12"/>
        <v>-3.4641016151377535</v>
      </c>
      <c r="BN53">
        <f t="shared" si="13"/>
        <v>-2.0000000000000018</v>
      </c>
      <c r="BO53">
        <f t="shared" si="14"/>
        <v>-4.3301270189221919</v>
      </c>
      <c r="BP53">
        <f t="shared" si="15"/>
        <v>-2.5000000000000022</v>
      </c>
    </row>
    <row r="54" spans="1:68" ht="41.5" customHeight="1" x14ac:dyDescent="0.4">
      <c r="A54" s="146" t="str">
        <f>IF($V54="","",INDEX(Classifica!$B$5:$B$24,$V54)&amp;CHAR(10)&amp;INDEX(Classifica!$C$5:$C$24,$V54)&amp;IF(INDEX(ANA_Attenzione_Supervisore,INDEX(Classifica!$U$5:$U$24,$V54))="Sì",CHAR(10)&amp;"◆ attenzione del supervisore",""))</f>
        <v>NFR-03
Greenwashing nella commercializzazione di prodotti ESG</v>
      </c>
      <c r="B54" s="142"/>
      <c r="C54" s="142"/>
      <c r="D54" s="27" t="str">
        <f>IF($V54="","",INDEX(Radar_Mosca!$AA$5:$AA$24,INDEX(Classifica!$U$5:$U$24,$V54))&amp;"")</f>
        <v>Attenzione</v>
      </c>
      <c r="E54" s="155" t="str">
        <f t="shared" si="16"/>
        <v/>
      </c>
      <c r="F54" s="142"/>
      <c r="G54" s="142"/>
      <c r="H54" s="142"/>
      <c r="I54" s="155" t="str">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4" s="142"/>
      <c r="K54" s="142"/>
      <c r="L54" s="142"/>
      <c r="M54" s="142"/>
      <c r="N54" s="142"/>
      <c r="O54" s="142"/>
      <c r="U54">
        <f>IF(Classifica!$B$9="","",IF(OR(5&lt;=3,INDEX(Radar_Mosca!$AA$5:$AA$24,Classifica!$U$9)="Attivazione",INDEX(Radar_Mosca!$AA$5:$AA$24,Classifica!$U$9)="Attenzione",Classifica!$G$9="Variato",Classifica!$G$9="Nuovo"),5,""))</f>
        <v>5</v>
      </c>
      <c r="V54">
        <f>IFERROR(_xlfn.AGGREGATE(15,6,$U$50:$U$69,5),"")</f>
        <v>5</v>
      </c>
      <c r="W54" t="str">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c>
      <c r="BH54">
        <f>2*PI()*49/72</f>
        <v>4.2760566673861069</v>
      </c>
      <c r="BI54">
        <f t="shared" si="8"/>
        <v>-1.8126155740732994</v>
      </c>
      <c r="BJ54">
        <f t="shared" si="9"/>
        <v>-0.84523652348139988</v>
      </c>
      <c r="BK54">
        <f t="shared" si="10"/>
        <v>-2.7189233611099493</v>
      </c>
      <c r="BL54">
        <f t="shared" si="11"/>
        <v>-1.2678547852220998</v>
      </c>
      <c r="BM54">
        <f t="shared" si="12"/>
        <v>-3.6252311481465989</v>
      </c>
      <c r="BN54">
        <f t="shared" si="13"/>
        <v>-1.6904730469627998</v>
      </c>
      <c r="BO54">
        <f t="shared" si="14"/>
        <v>-4.5315389351832485</v>
      </c>
      <c r="BP54">
        <f t="shared" si="15"/>
        <v>-2.1130913087034999</v>
      </c>
    </row>
    <row r="55" spans="1:68" ht="41.5" customHeight="1" x14ac:dyDescent="0.4">
      <c r="A55" s="146" t="str">
        <f>IF($V55="","",INDEX(Classifica!$B$5:$B$24,$V55)&amp;CHAR(10)&amp;INDEX(Classifica!$C$5:$C$24,$V55)&amp;IF(INDEX(ANA_Attenzione_Supervisore,INDEX(Classifica!$U$5:$U$24,$V55))="Sì",CHAR(10)&amp;"◆ attenzione del supervisore",""))</f>
        <v>NFR-06
Esfiltrazione di dati tramite strumenti di AI non autorizzati</v>
      </c>
      <c r="B55" s="142"/>
      <c r="C55" s="142"/>
      <c r="D55" s="27" t="str">
        <f>IF($V55="","",INDEX(Radar_Mosca!$AA$5:$AA$24,INDEX(Classifica!$U$5:$U$24,$V55))&amp;"")</f>
        <v>Attenzione</v>
      </c>
      <c r="E55" s="155" t="str">
        <f t="shared" si="16"/>
        <v>presidio dei controlli assente.</v>
      </c>
      <c r="F55" s="142"/>
      <c r="G55" s="142"/>
      <c r="H55" s="142"/>
      <c r="I55" s="155" t="str">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5" s="142"/>
      <c r="K55" s="142"/>
      <c r="L55" s="142"/>
      <c r="M55" s="142"/>
      <c r="N55" s="142"/>
      <c r="O55" s="142"/>
      <c r="U55" t="str">
        <f>IF(Classifica!$B$10="","",IF(OR(6&lt;=3,INDEX(Radar_Mosca!$AA$5:$AA$24,Classifica!$U$10)="Attivazione",INDEX(Radar_Mosca!$AA$5:$AA$24,Classifica!$U$10)="Attenzione",Classifica!$G$10="Variato",Classifica!$G$10="Nuovo"),6,""))</f>
        <v/>
      </c>
      <c r="V55">
        <f>IFERROR(_xlfn.AGGREGATE(15,6,$U$50:$U$69,6),"")</f>
        <v>7</v>
      </c>
      <c r="W55" t="str">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xml:space="preserve">presidio dei controlli assente; </v>
      </c>
      <c r="BH55">
        <f>2*PI()*50/72</f>
        <v>4.3633231299858242</v>
      </c>
      <c r="BI55">
        <f t="shared" si="8"/>
        <v>-1.8793852415718169</v>
      </c>
      <c r="BJ55">
        <f t="shared" si="9"/>
        <v>-0.68404028665133709</v>
      </c>
      <c r="BK55">
        <f t="shared" si="10"/>
        <v>-2.8190778623577253</v>
      </c>
      <c r="BL55">
        <f t="shared" si="11"/>
        <v>-1.0260604299770058</v>
      </c>
      <c r="BM55">
        <f t="shared" si="12"/>
        <v>-3.7587704831436337</v>
      </c>
      <c r="BN55">
        <f t="shared" si="13"/>
        <v>-1.3680805733026742</v>
      </c>
      <c r="BO55">
        <f t="shared" si="14"/>
        <v>-4.6984631039295426</v>
      </c>
      <c r="BP55">
        <f t="shared" si="15"/>
        <v>-1.7101007166283426</v>
      </c>
    </row>
    <row r="56" spans="1:68" ht="41.5" customHeight="1" x14ac:dyDescent="0.4">
      <c r="A56" s="146" t="str">
        <f>IF($V56="","",INDEX(Classifica!$B$5:$B$24,$V56)&amp;CHAR(10)&amp;INDEX(Classifica!$C$5:$C$24,$V56)&amp;IF(INDEX(ANA_Attenzione_Supervisore,INDEX(Classifica!$U$5:$U$24,$V56))="Sì",CHAR(10)&amp;"◆ attenzione del supervisore",""))</f>
        <v>NFR-04
Eventi climatici estremi su sedi e data center</v>
      </c>
      <c r="B56" s="142"/>
      <c r="C56" s="142"/>
      <c r="D56" s="27" t="str">
        <f>IF($V56="","",INDEX(Radar_Mosca!$AA$5:$AA$24,INDEX(Classifica!$U$5:$U$24,$V56))&amp;"")</f>
        <v>Attenzione</v>
      </c>
      <c r="E56" s="155" t="str">
        <f t="shared" si="16"/>
        <v/>
      </c>
      <c r="F56" s="142"/>
      <c r="G56" s="142"/>
      <c r="H56" s="142"/>
      <c r="I56" s="155" t="str">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6" s="142"/>
      <c r="K56" s="142"/>
      <c r="L56" s="142"/>
      <c r="M56" s="142"/>
      <c r="N56" s="142"/>
      <c r="O56" s="142"/>
      <c r="U56">
        <f>IF(Classifica!$B$11="","",IF(OR(7&lt;=3,INDEX(Radar_Mosca!$AA$5:$AA$24,Classifica!$U$11)="Attivazione",INDEX(Radar_Mosca!$AA$5:$AA$24,Classifica!$U$11)="Attenzione",Classifica!$G$11="Variato",Classifica!$G$11="Nuovo"),7,""))</f>
        <v>7</v>
      </c>
      <c r="V56">
        <f>IFERROR(_xlfn.AGGREGATE(15,6,$U$50:$U$69,7),"")</f>
        <v>10</v>
      </c>
      <c r="W56" t="str">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c>
      <c r="BH56">
        <f>2*PI()*51/72</f>
        <v>4.4505895925855405</v>
      </c>
      <c r="BI56">
        <f t="shared" si="8"/>
        <v>-1.9318516525781366</v>
      </c>
      <c r="BJ56">
        <f t="shared" si="9"/>
        <v>-0.51763809020504126</v>
      </c>
      <c r="BK56">
        <f t="shared" si="10"/>
        <v>-2.897777478867205</v>
      </c>
      <c r="BL56">
        <f t="shared" si="11"/>
        <v>-0.77645713530756189</v>
      </c>
      <c r="BM56">
        <f t="shared" si="12"/>
        <v>-3.8637033051562732</v>
      </c>
      <c r="BN56">
        <f t="shared" si="13"/>
        <v>-1.0352761804100825</v>
      </c>
      <c r="BO56">
        <f t="shared" si="14"/>
        <v>-4.8296291314453415</v>
      </c>
      <c r="BP56">
        <f t="shared" si="15"/>
        <v>-1.2940952255126033</v>
      </c>
    </row>
    <row r="57" spans="1:68" ht="53.6" customHeight="1" x14ac:dyDescent="0.4">
      <c r="A57" s="146" t="str">
        <f>IF($V57="","",INDEX(Classifica!$B$5:$B$24,$V57)&amp;CHAR(10)&amp;INDEX(Classifica!$C$5:$C$24,$V57)&amp;IF(INDEX(ANA_Attenzione_Supervisore,INDEX(Classifica!$U$5:$U$24,$V57))="Sì",CHAR(10)&amp;"◆ attenzione del supervisore",""))</f>
        <v>NFR-11
Fine del supporto dei sistemi di pagamento legacy</v>
      </c>
      <c r="B57" s="142"/>
      <c r="C57" s="142"/>
      <c r="D57" s="27" t="str">
        <f>IF($V57="","",INDEX(Radar_Mosca!$AA$5:$AA$24,INDEX(Classifica!$U$5:$U$24,$V57))&amp;"")</f>
        <v>Attivazione</v>
      </c>
      <c r="E57" s="155" t="str">
        <f t="shared" si="16"/>
        <v>AGIRE ORA: servono X + Y = 3,25 anni per decidere e mitigare, di cui 3 di adeguamento strutturale; ne restano Z = 1,5 prima che possa manifestarsi; presidio dei controlli assente; 1 KRI in rosso.</v>
      </c>
      <c r="F57" s="142"/>
      <c r="G57" s="142"/>
      <c r="H57" s="142"/>
      <c r="I57" s="155" t="str">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7" s="142"/>
      <c r="K57" s="142"/>
      <c r="L57" s="142"/>
      <c r="M57" s="142"/>
      <c r="N57" s="142"/>
      <c r="O57" s="142"/>
      <c r="U57" t="str">
        <f>IF(Classifica!$B$12="","",IF(OR(8&lt;=3,INDEX(Radar_Mosca!$AA$5:$AA$24,Classifica!$U$12)="Attivazione",INDEX(Radar_Mosca!$AA$5:$AA$24,Classifica!$U$12)="Attenzione",Classifica!$G$12="Variato",Classifica!$G$12="Nuovo"),8,""))</f>
        <v/>
      </c>
      <c r="V57">
        <f>IFERROR(_xlfn.AGGREGATE(15,6,$U$50:$U$69,8),"")</f>
        <v>11</v>
      </c>
      <c r="W57" t="str">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xml:space="preserve">AGIRE ORA: servono X + Y = 3,25 anni per decidere e mitigare, di cui 3 di adeguamento strutturale; ne restano Z = 1,5 prima che possa manifestarsi; presidio dei controlli assente; 1 KRI in rosso; </v>
      </c>
      <c r="BH57">
        <f>2*PI()*52/72</f>
        <v>4.5378560551852569</v>
      </c>
      <c r="BI57">
        <f t="shared" si="8"/>
        <v>-1.969615506024416</v>
      </c>
      <c r="BJ57">
        <f t="shared" si="9"/>
        <v>-0.34729635533386066</v>
      </c>
      <c r="BK57">
        <f t="shared" si="10"/>
        <v>-2.9544232590366239</v>
      </c>
      <c r="BL57">
        <f t="shared" si="11"/>
        <v>-0.52094453300079102</v>
      </c>
      <c r="BM57">
        <f t="shared" si="12"/>
        <v>-3.9392310120488321</v>
      </c>
      <c r="BN57">
        <f t="shared" si="13"/>
        <v>-0.69459271066772132</v>
      </c>
      <c r="BO57">
        <f t="shared" si="14"/>
        <v>-4.9240387650610398</v>
      </c>
      <c r="BP57">
        <f t="shared" si="15"/>
        <v>-0.86824088833465163</v>
      </c>
    </row>
    <row r="58" spans="1:68" ht="114.35" customHeight="1" x14ac:dyDescent="0.4">
      <c r="A58" s="146" t="str">
        <f>IF($V58="","",INDEX(Classifica!$B$5:$B$24,$V58)&amp;CHAR(10)&amp;INDEX(Classifica!$C$5:$C$24,$V58)&amp;IF(INDEX(ANA_Attenzione_Supervisore,INDEX(Classifica!$U$5:$U$24,$V58))="Sì",CHAR(10)&amp;"◆ attenzione del supervisore",""))</f>
        <v>NFR-16
Vertenze e carenza di tecnici nei ruoli IT critici</v>
      </c>
      <c r="B58" s="142"/>
      <c r="C58" s="142"/>
      <c r="D58" s="27" t="str">
        <f>IF($V58="","",INDEX(Radar_Mosca!$AA$5:$AA$24,INDEX(Classifica!$U$5:$U$24,$V58))&amp;"")</f>
        <v>Monitoraggio</v>
      </c>
      <c r="E58" s="155" t="str">
        <f t="shared" si="16"/>
        <v>variato nel ciclo: peggiora.</v>
      </c>
      <c r="F58" s="142"/>
      <c r="G58" s="142"/>
      <c r="H58" s="142"/>
      <c r="I58" s="155" t="str">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 Probabilita 2 → 3: Lo sciopero nazionale del personale bancario di ottobre ha coinvolto i tecnici IT e il piano di successione della Banca copre solo meta' dei ruoli critici: la Banca e' esposta. (2026-11-15)
• Prossimita 1 → 2: La vertenza nazionale e' in corso nel settore dal 6 ottobre 2026, con due giornate di sciopero proclamate: il fenomeno puo' toccare la Banca entro tre anni. (2026-10-06)
• Velocity n.v. → 3: Lo sciopero nazionale del personale bancario documenta che uscite di personale e periodi di vertenza si sviluppano in alcuni mesi: velocity valutata per la prima volta. (2026-10-06)</v>
      </c>
      <c r="J58" s="142"/>
      <c r="K58" s="142"/>
      <c r="L58" s="142"/>
      <c r="M58" s="142"/>
      <c r="N58" s="142"/>
      <c r="O58" s="142"/>
      <c r="U58" t="str">
        <f>IF(Classifica!$B$13="","",IF(OR(9&lt;=3,INDEX(Radar_Mosca!$AA$5:$AA$24,Classifica!$U$13)="Attivazione",INDEX(Radar_Mosca!$AA$5:$AA$24,Classifica!$U$13)="Attenzione",Classifica!$G$13="Variato",Classifica!$G$13="Nuovo"),9,""))</f>
        <v/>
      </c>
      <c r="V58">
        <f>IFERROR(_xlfn.AGGREGATE(15,6,$U$50:$U$69,9),"")</f>
        <v>12</v>
      </c>
      <c r="W58" t="str">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xml:space="preserve">variato nel ciclo: peggiora; </v>
      </c>
      <c r="BH58">
        <f>2*PI()*53/72</f>
        <v>4.6251225177849733</v>
      </c>
      <c r="BI58">
        <f t="shared" si="8"/>
        <v>-1.9923893961834911</v>
      </c>
      <c r="BJ58">
        <f t="shared" si="9"/>
        <v>-0.1743114854953165</v>
      </c>
      <c r="BK58">
        <f t="shared" si="10"/>
        <v>-2.9885840942752369</v>
      </c>
      <c r="BL58">
        <f t="shared" si="11"/>
        <v>-0.26146722824297475</v>
      </c>
      <c r="BM58">
        <f t="shared" si="12"/>
        <v>-3.9847787923669822</v>
      </c>
      <c r="BN58">
        <f t="shared" si="13"/>
        <v>-0.348622970990633</v>
      </c>
      <c r="BO58">
        <f t="shared" si="14"/>
        <v>-4.9809734904587275</v>
      </c>
      <c r="BP58">
        <f t="shared" si="15"/>
        <v>-0.43577871373829125</v>
      </c>
    </row>
    <row r="59" spans="1:68" ht="3" customHeight="1" x14ac:dyDescent="0.4">
      <c r="A59" s="146" t="str">
        <f>IF($V59="","",INDEX(Classifica!$B$5:$B$24,$V59)&amp;CHAR(10)&amp;INDEX(Classifica!$C$5:$C$24,$V59)&amp;IF(INDEX(ANA_Attenzione_Supervisore,INDEX(Classifica!$U$5:$U$24,$V59))="Sì",CHAR(10)&amp;"◆ attenzione del supervisore",""))</f>
        <v/>
      </c>
      <c r="B59" s="142"/>
      <c r="C59" s="142"/>
      <c r="D59" s="27" t="str">
        <f>IF($V59="","",INDEX(Radar_Mosca!$AA$5:$AA$24,INDEX(Classifica!$U$5:$U$24,$V59))&amp;"")</f>
        <v/>
      </c>
      <c r="E59" s="155" t="str">
        <f t="shared" si="16"/>
        <v/>
      </c>
      <c r="F59" s="142"/>
      <c r="G59" s="142"/>
      <c r="H59" s="142"/>
      <c r="I59" s="155" t="str">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
      </c>
      <c r="J59" s="142"/>
      <c r="K59" s="142"/>
      <c r="L59" s="142"/>
      <c r="M59" s="142"/>
      <c r="N59" s="142"/>
      <c r="O59" s="142"/>
      <c r="U59">
        <f>IF(Classifica!$B$14="","",IF(OR(10&lt;=3,INDEX(Radar_Mosca!$AA$5:$AA$24,Classifica!$U$14)="Attivazione",INDEX(Radar_Mosca!$AA$5:$AA$24,Classifica!$U$14)="Attenzione",Classifica!$G$14="Variato",Classifica!$G$14="Nuovo"),10,""))</f>
        <v>10</v>
      </c>
      <c r="V59" t="str">
        <f>IFERROR(_xlfn.AGGREGATE(15,6,$U$50:$U$69,10),"")</f>
        <v/>
      </c>
      <c r="W59" t="str">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4.7123889803846897</v>
      </c>
      <c r="BI59">
        <f t="shared" si="8"/>
        <v>-2</v>
      </c>
      <c r="BJ59">
        <f t="shared" si="9"/>
        <v>-3.67544536472586E-16</v>
      </c>
      <c r="BK59">
        <f t="shared" si="10"/>
        <v>-3</v>
      </c>
      <c r="BL59">
        <f t="shared" si="11"/>
        <v>-5.51316804708879E-16</v>
      </c>
      <c r="BM59">
        <f t="shared" si="12"/>
        <v>-4</v>
      </c>
      <c r="BN59">
        <f t="shared" si="13"/>
        <v>-7.3508907294517201E-16</v>
      </c>
      <c r="BO59">
        <f t="shared" si="14"/>
        <v>-5</v>
      </c>
      <c r="BP59">
        <f t="shared" si="15"/>
        <v>-9.1886134118146501E-16</v>
      </c>
    </row>
    <row r="60" spans="1:68" ht="3" customHeight="1" x14ac:dyDescent="0.4">
      <c r="A60" s="146" t="str">
        <f>IF($V60="","",INDEX(Classifica!$B$5:$B$24,$V60)&amp;CHAR(10)&amp;INDEX(Classifica!$C$5:$C$24,$V60)&amp;IF(INDEX(ANA_Attenzione_Supervisore,INDEX(Classifica!$U$5:$U$24,$V60))="Sì",CHAR(10)&amp;"◆ attenzione del supervisore",""))</f>
        <v/>
      </c>
      <c r="B60" s="142"/>
      <c r="C60" s="142"/>
      <c r="D60" s="27" t="str">
        <f>IF($V60="","",INDEX(Radar_Mosca!$AA$5:$AA$24,INDEX(Classifica!$U$5:$U$24,$V60))&amp;"")</f>
        <v/>
      </c>
      <c r="E60" s="155" t="str">
        <f t="shared" si="16"/>
        <v/>
      </c>
      <c r="F60" s="142"/>
      <c r="G60" s="142"/>
      <c r="H60" s="142"/>
      <c r="I60" s="155" t="str">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J60" s="142"/>
      <c r="K60" s="142"/>
      <c r="L60" s="142"/>
      <c r="M60" s="142"/>
      <c r="N60" s="142"/>
      <c r="O60" s="142"/>
      <c r="U60">
        <f>IF(Classifica!$B$15="","",IF(OR(11&lt;=3,INDEX(Radar_Mosca!$AA$5:$AA$24,Classifica!$U$15)="Attivazione",INDEX(Radar_Mosca!$AA$5:$AA$24,Classifica!$U$15)="Attenzione",Classifica!$G$15="Variato",Classifica!$G$15="Nuovo"),11,""))</f>
        <v>11</v>
      </c>
      <c r="V60" t="str">
        <f>IFERROR(_xlfn.AGGREGATE(15,6,$U$50:$U$69,11),"")</f>
        <v/>
      </c>
      <c r="W60" t="str">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4.7996554429844061</v>
      </c>
      <c r="BI60">
        <f t="shared" si="8"/>
        <v>-1.9923893961834911</v>
      </c>
      <c r="BJ60">
        <f t="shared" si="9"/>
        <v>0.17431148549531578</v>
      </c>
      <c r="BK60">
        <f t="shared" si="10"/>
        <v>-2.9885840942752369</v>
      </c>
      <c r="BL60">
        <f t="shared" si="11"/>
        <v>0.26146722824297364</v>
      </c>
      <c r="BM60">
        <f t="shared" si="12"/>
        <v>-3.9847787923669822</v>
      </c>
      <c r="BN60">
        <f t="shared" si="13"/>
        <v>0.34862297099063155</v>
      </c>
      <c r="BO60">
        <f t="shared" si="14"/>
        <v>-4.9809734904587275</v>
      </c>
      <c r="BP60">
        <f t="shared" si="15"/>
        <v>0.43577871373828947</v>
      </c>
    </row>
    <row r="61" spans="1:68" ht="3" customHeight="1" x14ac:dyDescent="0.4">
      <c r="A61" s="146" t="str">
        <f>IF($V61="","",INDEX(Classifica!$B$5:$B$24,$V61)&amp;CHAR(10)&amp;INDEX(Classifica!$C$5:$C$24,$V61)&amp;IF(INDEX(ANA_Attenzione_Supervisore,INDEX(Classifica!$U$5:$U$24,$V61))="Sì",CHAR(10)&amp;"◆ attenzione del supervisore",""))</f>
        <v/>
      </c>
      <c r="B61" s="142"/>
      <c r="C61" s="142"/>
      <c r="D61" s="27" t="str">
        <f>IF($V61="","",INDEX(Radar_Mosca!$AA$5:$AA$24,INDEX(Classifica!$U$5:$U$24,$V61))&amp;"")</f>
        <v/>
      </c>
      <c r="E61" s="155" t="str">
        <f t="shared" si="16"/>
        <v/>
      </c>
      <c r="F61" s="142"/>
      <c r="G61" s="142"/>
      <c r="H61" s="142"/>
      <c r="I61" s="155" t="str">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J61" s="142"/>
      <c r="K61" s="142"/>
      <c r="L61" s="142"/>
      <c r="M61" s="142"/>
      <c r="N61" s="142"/>
      <c r="O61" s="142"/>
      <c r="U61">
        <f>IF(Classifica!$B$16="","",IF(OR(12&lt;=3,INDEX(Radar_Mosca!$AA$5:$AA$24,Classifica!$U$16)="Attivazione",INDEX(Radar_Mosca!$AA$5:$AA$24,Classifica!$U$16)="Attenzione",Classifica!$G$16="Variato",Classifica!$G$16="Nuovo"),12,""))</f>
        <v>12</v>
      </c>
      <c r="V61" t="str">
        <f>IFERROR(_xlfn.AGGREGATE(15,6,$U$50:$U$69,12),"")</f>
        <v/>
      </c>
      <c r="W61" t="str">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4.8869219055841224</v>
      </c>
      <c r="BI61">
        <f t="shared" si="8"/>
        <v>-1.9696155060244163</v>
      </c>
      <c r="BJ61">
        <f t="shared" si="9"/>
        <v>0.34729635533385994</v>
      </c>
      <c r="BK61">
        <f t="shared" si="10"/>
        <v>-2.9544232590366244</v>
      </c>
      <c r="BL61">
        <f t="shared" si="11"/>
        <v>0.52094453300078991</v>
      </c>
      <c r="BM61">
        <f t="shared" si="12"/>
        <v>-3.9392310120488325</v>
      </c>
      <c r="BN61">
        <f t="shared" si="13"/>
        <v>0.69459271066771988</v>
      </c>
      <c r="BO61">
        <f t="shared" si="14"/>
        <v>-4.9240387650610407</v>
      </c>
      <c r="BP61">
        <f t="shared" si="15"/>
        <v>0.86824088833464985</v>
      </c>
    </row>
    <row r="62" spans="1:68" ht="3" customHeight="1" x14ac:dyDescent="0.4">
      <c r="A62" s="146" t="str">
        <f>IF($V62="","",INDEX(Classifica!$B$5:$B$24,$V62)&amp;CHAR(10)&amp;INDEX(Classifica!$C$5:$C$24,$V62)&amp;IF(INDEX(ANA_Attenzione_Supervisore,INDEX(Classifica!$U$5:$U$24,$V62))="Sì",CHAR(10)&amp;"◆ attenzione del supervisore",""))</f>
        <v/>
      </c>
      <c r="B62" s="142"/>
      <c r="C62" s="142"/>
      <c r="D62" s="27" t="str">
        <f>IF($V62="","",INDEX(Radar_Mosca!$AA$5:$AA$24,INDEX(Classifica!$U$5:$U$24,$V62))&amp;"")</f>
        <v/>
      </c>
      <c r="E62" s="155" t="str">
        <f t="shared" si="16"/>
        <v/>
      </c>
      <c r="F62" s="142"/>
      <c r="G62" s="142"/>
      <c r="H62" s="142"/>
      <c r="I62" s="155" t="str">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J62" s="142"/>
      <c r="K62" s="142"/>
      <c r="L62" s="142"/>
      <c r="M62" s="142"/>
      <c r="N62" s="142"/>
      <c r="O62" s="142"/>
      <c r="U62" t="str">
        <f>IF(Classifica!$B$17="","",IF(OR(13&lt;=3,INDEX(Radar_Mosca!$AA$5:$AA$24,Classifica!$U$17)="Attivazione",INDEX(Radar_Mosca!$AA$5:$AA$24,Classifica!$U$17)="Attenzione",Classifica!$G$17="Variato",Classifica!$G$17="Nuovo"),13,""))</f>
        <v/>
      </c>
      <c r="V62" t="str">
        <f>IFERROR(_xlfn.AGGREGATE(15,6,$U$50:$U$69,13),"")</f>
        <v/>
      </c>
      <c r="W62" t="str">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4.9741883681838388</v>
      </c>
      <c r="BI62">
        <f t="shared" si="8"/>
        <v>-1.9318516525781368</v>
      </c>
      <c r="BJ62">
        <f t="shared" si="9"/>
        <v>0.51763809020504059</v>
      </c>
      <c r="BK62">
        <f t="shared" si="10"/>
        <v>-2.897777478867205</v>
      </c>
      <c r="BL62">
        <f t="shared" si="11"/>
        <v>0.77645713530756089</v>
      </c>
      <c r="BM62">
        <f t="shared" si="12"/>
        <v>-3.8637033051562737</v>
      </c>
      <c r="BN62">
        <f t="shared" si="13"/>
        <v>1.0352761804100812</v>
      </c>
      <c r="BO62">
        <f t="shared" si="14"/>
        <v>-4.8296291314453423</v>
      </c>
      <c r="BP62">
        <f t="shared" si="15"/>
        <v>1.2940952255126015</v>
      </c>
    </row>
    <row r="63" spans="1:68" ht="3" customHeight="1" x14ac:dyDescent="0.4">
      <c r="A63" s="146" t="str">
        <f>IF($V63="","",INDEX(Classifica!$B$5:$B$24,$V63)&amp;CHAR(10)&amp;INDEX(Classifica!$C$5:$C$24,$V63)&amp;IF(INDEX(ANA_Attenzione_Supervisore,INDEX(Classifica!$U$5:$U$24,$V63))="Sì",CHAR(10)&amp;"◆ attenzione del supervisore",""))</f>
        <v/>
      </c>
      <c r="B63" s="142"/>
      <c r="C63" s="142"/>
      <c r="D63" s="27" t="str">
        <f>IF($V63="","",INDEX(Radar_Mosca!$AA$5:$AA$24,INDEX(Classifica!$U$5:$U$24,$V63))&amp;"")</f>
        <v/>
      </c>
      <c r="E63" s="155" t="str">
        <f t="shared" si="16"/>
        <v/>
      </c>
      <c r="F63" s="142"/>
      <c r="G63" s="142"/>
      <c r="H63" s="142"/>
      <c r="I63" s="155" t="str">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J63" s="142"/>
      <c r="K63" s="142"/>
      <c r="L63" s="142"/>
      <c r="M63" s="142"/>
      <c r="N63" s="142"/>
      <c r="O63" s="142"/>
      <c r="U63" t="str">
        <f>IF(Classifica!$B$18="","",IF(OR(14&lt;=3,INDEX(Radar_Mosca!$AA$5:$AA$24,Classifica!$U$18)="Attivazione",INDEX(Radar_Mosca!$AA$5:$AA$24,Classifica!$U$18)="Attenzione",Classifica!$G$18="Variato",Classifica!$G$18="Nuovo"),14,""))</f>
        <v/>
      </c>
      <c r="V63" t="str">
        <f>IFERROR(_xlfn.AGGREGATE(15,6,$U$50:$U$69,14),"")</f>
        <v/>
      </c>
      <c r="W63" t="str">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5.0614548307835561</v>
      </c>
      <c r="BI63">
        <f t="shared" si="8"/>
        <v>-1.8793852415718166</v>
      </c>
      <c r="BJ63">
        <f t="shared" si="9"/>
        <v>0.68404028665133798</v>
      </c>
      <c r="BK63">
        <f t="shared" si="10"/>
        <v>-2.8190778623577248</v>
      </c>
      <c r="BL63">
        <f t="shared" si="11"/>
        <v>1.0260604299770071</v>
      </c>
      <c r="BM63">
        <f t="shared" si="12"/>
        <v>-3.7587704831436333</v>
      </c>
      <c r="BN63">
        <f t="shared" si="13"/>
        <v>1.368080573302676</v>
      </c>
      <c r="BO63">
        <f t="shared" si="14"/>
        <v>-4.6984631039295417</v>
      </c>
      <c r="BP63">
        <f t="shared" si="15"/>
        <v>1.7101007166283448</v>
      </c>
    </row>
    <row r="64" spans="1:68" ht="3" customHeight="1" x14ac:dyDescent="0.4">
      <c r="A64" s="146" t="str">
        <f>IF($V64="","",INDEX(Classifica!$B$5:$B$24,$V64)&amp;CHAR(10)&amp;INDEX(Classifica!$C$5:$C$24,$V64)&amp;IF(INDEX(ANA_Attenzione_Supervisore,INDEX(Classifica!$U$5:$U$24,$V64))="Sì",CHAR(10)&amp;"◆ attenzione del supervisore",""))</f>
        <v/>
      </c>
      <c r="B64" s="142"/>
      <c r="C64" s="142"/>
      <c r="D64" s="27" t="str">
        <f>IF($V64="","",INDEX(Radar_Mosca!$AA$5:$AA$24,INDEX(Classifica!$U$5:$U$24,$V64))&amp;"")</f>
        <v/>
      </c>
      <c r="E64" s="155" t="str">
        <f t="shared" si="16"/>
        <v/>
      </c>
      <c r="F64" s="142"/>
      <c r="G64" s="142"/>
      <c r="H64" s="142"/>
      <c r="I64" s="155" t="str">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J64" s="142"/>
      <c r="K64" s="142"/>
      <c r="L64" s="142"/>
      <c r="M64" s="142"/>
      <c r="N64" s="142"/>
      <c r="O64" s="142"/>
      <c r="U64" t="str">
        <f>IF(Classifica!$B$19="","",IF(OR(15&lt;=3,INDEX(Radar_Mosca!$AA$5:$AA$24,Classifica!$U$19)="Attivazione",INDEX(Radar_Mosca!$AA$5:$AA$24,Classifica!$U$19)="Attenzione",Classifica!$G$19="Variato",Classifica!$G$19="Nuovo"),15,""))</f>
        <v/>
      </c>
      <c r="V64" t="str">
        <f>IFERROR(_xlfn.AGGREGATE(15,6,$U$50:$U$69,15),"")</f>
        <v/>
      </c>
      <c r="W64" t="str">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5.1487212933832716</v>
      </c>
      <c r="BI64">
        <f t="shared" si="8"/>
        <v>-1.8126155740733005</v>
      </c>
      <c r="BJ64">
        <f t="shared" si="9"/>
        <v>0.84523652348139766</v>
      </c>
      <c r="BK64">
        <f t="shared" si="10"/>
        <v>-2.718923361109951</v>
      </c>
      <c r="BL64">
        <f t="shared" si="11"/>
        <v>1.2678547852220965</v>
      </c>
      <c r="BM64">
        <f t="shared" si="12"/>
        <v>-3.6252311481466011</v>
      </c>
      <c r="BN64">
        <f t="shared" si="13"/>
        <v>1.6904730469627953</v>
      </c>
      <c r="BO64">
        <f t="shared" si="14"/>
        <v>-4.5315389351832511</v>
      </c>
      <c r="BP64">
        <f t="shared" si="15"/>
        <v>2.1130913087034942</v>
      </c>
    </row>
    <row r="65" spans="1:68" ht="3" customHeight="1" x14ac:dyDescent="0.4">
      <c r="A65" s="146" t="str">
        <f>IF($V65="","",INDEX(Classifica!$B$5:$B$24,$V65)&amp;CHAR(10)&amp;INDEX(Classifica!$C$5:$C$24,$V65)&amp;IF(INDEX(ANA_Attenzione_Supervisore,INDEX(Classifica!$U$5:$U$24,$V65))="Sì",CHAR(10)&amp;"◆ attenzione del supervisore",""))</f>
        <v/>
      </c>
      <c r="B65" s="142"/>
      <c r="C65" s="142"/>
      <c r="D65" s="27" t="str">
        <f>IF($V65="","",INDEX(Radar_Mosca!$AA$5:$AA$24,INDEX(Classifica!$U$5:$U$24,$V65))&amp;"")</f>
        <v/>
      </c>
      <c r="E65" s="155" t="str">
        <f t="shared" si="16"/>
        <v/>
      </c>
      <c r="F65" s="142"/>
      <c r="G65" s="142"/>
      <c r="H65" s="142"/>
      <c r="I65" s="155" t="str">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J65" s="142"/>
      <c r="K65" s="142"/>
      <c r="L65" s="142"/>
      <c r="M65" s="142"/>
      <c r="N65" s="142"/>
      <c r="O65" s="142"/>
      <c r="U65" t="str">
        <f>IF(Classifica!$B$20="","",IF(OR(16&lt;=3,INDEX(Radar_Mosca!$AA$5:$AA$24,Classifica!$U$20)="Attivazione",INDEX(Radar_Mosca!$AA$5:$AA$24,Classifica!$U$20)="Attenzione",Classifica!$G$20="Variato",Classifica!$G$20="Nuovo"),16,""))</f>
        <v/>
      </c>
      <c r="V65" t="str">
        <f>IFERROR(_xlfn.AGGREGATE(15,6,$U$50:$U$69,16),"")</f>
        <v/>
      </c>
      <c r="W65" t="str">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5.2359877559829879</v>
      </c>
      <c r="BI65">
        <f t="shared" si="8"/>
        <v>-1.7320508075688781</v>
      </c>
      <c r="BJ65">
        <f t="shared" si="9"/>
        <v>0.99999999999999867</v>
      </c>
      <c r="BK65">
        <f t="shared" si="10"/>
        <v>-2.5980762113533169</v>
      </c>
      <c r="BL65">
        <f t="shared" si="11"/>
        <v>1.499999999999998</v>
      </c>
      <c r="BM65">
        <f t="shared" si="12"/>
        <v>-3.4641016151377562</v>
      </c>
      <c r="BN65">
        <f t="shared" si="13"/>
        <v>1.9999999999999973</v>
      </c>
      <c r="BO65">
        <f t="shared" si="14"/>
        <v>-4.3301270189221954</v>
      </c>
      <c r="BP65">
        <f t="shared" si="15"/>
        <v>2.4999999999999964</v>
      </c>
    </row>
    <row r="66" spans="1:68" ht="3" customHeight="1" x14ac:dyDescent="0.4">
      <c r="A66" s="146" t="str">
        <f>IF($V66="","",INDEX(Classifica!$B$5:$B$24,$V66)&amp;CHAR(10)&amp;INDEX(Classifica!$C$5:$C$24,$V66)&amp;IF(INDEX(ANA_Attenzione_Supervisore,INDEX(Classifica!$U$5:$U$24,$V66))="Sì",CHAR(10)&amp;"◆ attenzione del supervisore",""))</f>
        <v/>
      </c>
      <c r="B66" s="142"/>
      <c r="C66" s="142"/>
      <c r="D66" s="27" t="str">
        <f>IF($V66="","",INDEX(Radar_Mosca!$AA$5:$AA$24,INDEX(Classifica!$U$5:$U$24,$V66))&amp;"")</f>
        <v/>
      </c>
      <c r="E66" s="155" t="str">
        <f t="shared" si="16"/>
        <v/>
      </c>
      <c r="F66" s="142"/>
      <c r="G66" s="142"/>
      <c r="H66" s="142"/>
      <c r="I66" s="155" t="str">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J66" s="142"/>
      <c r="K66" s="142"/>
      <c r="L66" s="142"/>
      <c r="M66" s="142"/>
      <c r="N66" s="142"/>
      <c r="O66" s="142"/>
      <c r="U66" t="str">
        <f>IF(Classifica!$B$21="","",IF(OR(17&lt;=3,INDEX(Radar_Mosca!$AA$5:$AA$24,Classifica!$U$21)="Attivazione",INDEX(Radar_Mosca!$AA$5:$AA$24,Classifica!$U$21)="Attenzione",Classifica!$G$21="Variato",Classifica!$G$21="Nuovo"),17,""))</f>
        <v/>
      </c>
      <c r="V66" t="str">
        <f>IFERROR(_xlfn.AGGREGATE(15,6,$U$50:$U$69,17),"")</f>
        <v/>
      </c>
      <c r="W66" t="str">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5.3232542185827052</v>
      </c>
      <c r="BI66">
        <f t="shared" si="8"/>
        <v>-1.6383040885779836</v>
      </c>
      <c r="BJ66">
        <f t="shared" si="9"/>
        <v>1.1471528727020921</v>
      </c>
      <c r="BK66">
        <f t="shared" si="10"/>
        <v>-2.4574561328669753</v>
      </c>
      <c r="BL66">
        <f t="shared" si="11"/>
        <v>1.7207293090531381</v>
      </c>
      <c r="BM66">
        <f t="shared" si="12"/>
        <v>-3.2766081771559672</v>
      </c>
      <c r="BN66">
        <f t="shared" si="13"/>
        <v>2.2943057454041842</v>
      </c>
      <c r="BO66">
        <f t="shared" si="14"/>
        <v>-4.0957602214449587</v>
      </c>
      <c r="BP66">
        <f t="shared" si="15"/>
        <v>2.8678821817552302</v>
      </c>
    </row>
    <row r="67" spans="1:68" ht="3" customHeight="1" x14ac:dyDescent="0.4">
      <c r="A67" s="146" t="str">
        <f>IF($V67="","",INDEX(Classifica!$B$5:$B$24,$V67)&amp;CHAR(10)&amp;INDEX(Classifica!$C$5:$C$24,$V67)&amp;IF(INDEX(ANA_Attenzione_Supervisore,INDEX(Classifica!$U$5:$U$24,$V67))="Sì",CHAR(10)&amp;"◆ attenzione del supervisore",""))</f>
        <v/>
      </c>
      <c r="B67" s="142"/>
      <c r="C67" s="142"/>
      <c r="D67" s="27" t="str">
        <f>IF($V67="","",INDEX(Radar_Mosca!$AA$5:$AA$24,INDEX(Classifica!$U$5:$U$24,$V67))&amp;"")</f>
        <v/>
      </c>
      <c r="E67" s="155" t="str">
        <f t="shared" si="16"/>
        <v/>
      </c>
      <c r="F67" s="142"/>
      <c r="G67" s="142"/>
      <c r="H67" s="142"/>
      <c r="I67" s="155" t="str">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J67" s="142"/>
      <c r="K67" s="142"/>
      <c r="L67" s="142"/>
      <c r="M67" s="142"/>
      <c r="N67" s="142"/>
      <c r="O67" s="142"/>
      <c r="U67" t="str">
        <f>IF(Classifica!$B$22="","",IF(OR(18&lt;=3,INDEX(Radar_Mosca!$AA$5:$AA$24,Classifica!$U$22)="Attivazione",INDEX(Radar_Mosca!$AA$5:$AA$24,Classifica!$U$22)="Attenzione",Classifica!$G$22="Variato",Classifica!$G$22="Nuovo"),18,""))</f>
        <v/>
      </c>
      <c r="V67" t="str">
        <f>IFERROR(_xlfn.AGGREGATE(15,6,$U$50:$U$69,18),"")</f>
        <v/>
      </c>
      <c r="W67" t="str">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5.4105206811824216</v>
      </c>
      <c r="BI67">
        <f t="shared" si="8"/>
        <v>-1.5320888862379562</v>
      </c>
      <c r="BJ67">
        <f t="shared" si="9"/>
        <v>1.2855752193730785</v>
      </c>
      <c r="BK67">
        <f t="shared" si="10"/>
        <v>-2.2981333293569346</v>
      </c>
      <c r="BL67">
        <f t="shared" si="11"/>
        <v>1.9283628290596178</v>
      </c>
      <c r="BM67">
        <f t="shared" si="12"/>
        <v>-3.0641777724759125</v>
      </c>
      <c r="BN67">
        <f t="shared" si="13"/>
        <v>2.571150438746157</v>
      </c>
      <c r="BO67">
        <f t="shared" si="14"/>
        <v>-3.8302222155948904</v>
      </c>
      <c r="BP67">
        <f t="shared" si="15"/>
        <v>3.2139380484326963</v>
      </c>
    </row>
    <row r="68" spans="1:68" ht="3" customHeight="1" x14ac:dyDescent="0.4">
      <c r="A68" s="146" t="str">
        <f>IF($V68="","",INDEX(Classifica!$B$5:$B$24,$V68)&amp;CHAR(10)&amp;INDEX(Classifica!$C$5:$C$24,$V68)&amp;IF(INDEX(ANA_Attenzione_Supervisore,INDEX(Classifica!$U$5:$U$24,$V68))="Sì",CHAR(10)&amp;"◆ attenzione del supervisore",""))</f>
        <v/>
      </c>
      <c r="B68" s="142"/>
      <c r="C68" s="142"/>
      <c r="D68" s="27" t="str">
        <f>IF($V68="","",INDEX(Radar_Mosca!$AA$5:$AA$24,INDEX(Classifica!$U$5:$U$24,$V68))&amp;"")</f>
        <v/>
      </c>
      <c r="E68" s="155" t="str">
        <f t="shared" si="16"/>
        <v/>
      </c>
      <c r="F68" s="142"/>
      <c r="G68" s="142"/>
      <c r="H68" s="142"/>
      <c r="I68" s="155" t="str">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J68" s="142"/>
      <c r="K68" s="142"/>
      <c r="L68" s="142"/>
      <c r="M68" s="142"/>
      <c r="N68" s="142"/>
      <c r="O68" s="142"/>
      <c r="U68" t="str">
        <f>IF(Classifica!$B$23="","",IF(OR(19&lt;=3,INDEX(Radar_Mosca!$AA$5:$AA$24,Classifica!$U$23)="Attivazione",INDEX(Radar_Mosca!$AA$5:$AA$24,Classifica!$U$23)="Attenzione",Classifica!$G$23="Variato",Classifica!$G$23="Nuovo"),19,""))</f>
        <v/>
      </c>
      <c r="V68" t="str">
        <f>IFERROR(_xlfn.AGGREGATE(15,6,$U$50:$U$69,19),"")</f>
        <v/>
      </c>
      <c r="W68" t="str">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5.497787143782138</v>
      </c>
      <c r="BI68">
        <f t="shared" si="8"/>
        <v>-1.4142135623730954</v>
      </c>
      <c r="BJ68">
        <f t="shared" si="9"/>
        <v>1.4142135623730947</v>
      </c>
      <c r="BK68">
        <f t="shared" si="10"/>
        <v>-2.1213203435596428</v>
      </c>
      <c r="BL68">
        <f t="shared" si="11"/>
        <v>2.1213203435596419</v>
      </c>
      <c r="BM68">
        <f t="shared" si="12"/>
        <v>-2.8284271247461907</v>
      </c>
      <c r="BN68">
        <f t="shared" si="13"/>
        <v>2.8284271247461894</v>
      </c>
      <c r="BO68">
        <f t="shared" si="14"/>
        <v>-3.5355339059327386</v>
      </c>
      <c r="BP68">
        <f t="shared" si="15"/>
        <v>3.5355339059327369</v>
      </c>
    </row>
    <row r="69" spans="1:68" ht="3" customHeight="1" x14ac:dyDescent="0.4">
      <c r="A69" s="146" t="str">
        <f>IF($V69="","",INDEX(Classifica!$B$5:$B$24,$V69)&amp;CHAR(10)&amp;INDEX(Classifica!$C$5:$C$24,$V69)&amp;IF(INDEX(ANA_Attenzione_Supervisore,INDEX(Classifica!$U$5:$U$24,$V69))="Sì",CHAR(10)&amp;"◆ attenzione del supervisore",""))</f>
        <v/>
      </c>
      <c r="B69" s="142"/>
      <c r="C69" s="142"/>
      <c r="D69" s="27" t="str">
        <f>IF($V69="","",INDEX(Radar_Mosca!$AA$5:$AA$24,INDEX(Classifica!$U$5:$U$24,$V69))&amp;"")</f>
        <v/>
      </c>
      <c r="E69" s="155" t="str">
        <f t="shared" si="16"/>
        <v/>
      </c>
      <c r="F69" s="142"/>
      <c r="G69" s="142"/>
      <c r="H69" s="142"/>
      <c r="I69" s="155" t="str">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J69" s="142"/>
      <c r="K69" s="142"/>
      <c r="L69" s="142"/>
      <c r="M69" s="142"/>
      <c r="N69" s="142"/>
      <c r="O69" s="142"/>
      <c r="U69" t="str">
        <f>IF(Classifica!$B$24="","",IF(OR(20&lt;=3,INDEX(Radar_Mosca!$AA$5:$AA$24,Classifica!$U$24)="Attivazione",INDEX(Radar_Mosca!$AA$5:$AA$24,Classifica!$U$24)="Attenzione",Classifica!$G$24="Variato",Classifica!$G$24="Nuovo"),20,""))</f>
        <v/>
      </c>
      <c r="V69" t="str">
        <f>IFERROR(_xlfn.AGGREGATE(15,6,$U$50:$U$69,20),"")</f>
        <v/>
      </c>
      <c r="W69" t="str">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5.5850536063818543</v>
      </c>
      <c r="BI69">
        <f t="shared" ref="BI69:BI77" si="17">2*SIN($BH69)</f>
        <v>-1.2855752193730792</v>
      </c>
      <c r="BJ69">
        <f t="shared" ref="BJ69:BJ77" si="18">2*COS($BH69)</f>
        <v>1.5320888862379556</v>
      </c>
      <c r="BK69">
        <f t="shared" ref="BK69:BK77" si="19">3*SIN($BH69)</f>
        <v>-1.9283628290596186</v>
      </c>
      <c r="BL69">
        <f t="shared" ref="BL69:BL77" si="20">3*COS($BH69)</f>
        <v>2.2981333293569333</v>
      </c>
      <c r="BM69">
        <f t="shared" ref="BM69:BM77" si="21">4*SIN($BH69)</f>
        <v>-2.5711504387461583</v>
      </c>
      <c r="BN69">
        <f t="shared" ref="BN69:BN77" si="22">4*COS($BH69)</f>
        <v>3.0641777724759112</v>
      </c>
      <c r="BO69">
        <f t="shared" ref="BO69:BO77" si="23">5*SIN($BH69)</f>
        <v>-3.213938048432698</v>
      </c>
      <c r="BP69">
        <f t="shared" ref="BP69:BP77" si="24">5*COS($BH69)</f>
        <v>3.8302222155948891</v>
      </c>
    </row>
    <row r="70" spans="1:68" x14ac:dyDescent="0.4">
      <c r="BH70">
        <f>2*PI()*65/72</f>
        <v>5.6723200689815707</v>
      </c>
      <c r="BI70">
        <f t="shared" si="17"/>
        <v>-1.147152872702093</v>
      </c>
      <c r="BJ70">
        <f t="shared" si="18"/>
        <v>1.6383040885779832</v>
      </c>
      <c r="BK70">
        <f t="shared" si="19"/>
        <v>-1.7207293090531395</v>
      </c>
      <c r="BL70">
        <f t="shared" si="20"/>
        <v>2.4574561328669748</v>
      </c>
      <c r="BM70">
        <f t="shared" si="21"/>
        <v>-2.294305745404186</v>
      </c>
      <c r="BN70">
        <f t="shared" si="22"/>
        <v>3.2766081771559663</v>
      </c>
      <c r="BO70">
        <f t="shared" si="23"/>
        <v>-2.8678821817552325</v>
      </c>
      <c r="BP70">
        <f t="shared" si="24"/>
        <v>4.0957602214449578</v>
      </c>
    </row>
    <row r="71" spans="1:68" ht="34" customHeight="1" x14ac:dyDescent="0.4">
      <c r="A71" s="141" t="s">
        <v>49</v>
      </c>
      <c r="B71" s="142"/>
      <c r="C71" s="142"/>
      <c r="D71" s="142"/>
      <c r="E71" s="142"/>
      <c r="F71" s="142"/>
      <c r="G71" s="142"/>
      <c r="H71" s="142"/>
      <c r="I71" s="142"/>
      <c r="J71" s="142"/>
      <c r="K71" s="142"/>
      <c r="L71" s="142"/>
      <c r="M71" s="142"/>
      <c r="N71" s="142"/>
      <c r="O71" s="142"/>
      <c r="BH71">
        <f>2*PI()*66/72</f>
        <v>5.759586531581288</v>
      </c>
      <c r="BI71">
        <f t="shared" si="17"/>
        <v>-0.99999999999999933</v>
      </c>
      <c r="BJ71">
        <f t="shared" si="18"/>
        <v>1.7320508075688776</v>
      </c>
      <c r="BK71">
        <f t="shared" si="19"/>
        <v>-1.4999999999999991</v>
      </c>
      <c r="BL71">
        <f t="shared" si="20"/>
        <v>2.5980762113533165</v>
      </c>
      <c r="BM71">
        <f t="shared" si="21"/>
        <v>-1.9999999999999987</v>
      </c>
      <c r="BN71">
        <f t="shared" si="22"/>
        <v>3.4641016151377553</v>
      </c>
      <c r="BO71">
        <f t="shared" si="23"/>
        <v>-2.4999999999999982</v>
      </c>
      <c r="BP71">
        <f t="shared" si="24"/>
        <v>4.3301270189221945</v>
      </c>
    </row>
    <row r="72" spans="1:68" ht="48" customHeight="1" x14ac:dyDescent="0.4">
      <c r="A72" s="141" t="s">
        <v>50</v>
      </c>
      <c r="B72" s="142"/>
      <c r="C72" s="142"/>
      <c r="D72" s="142"/>
      <c r="E72" s="142"/>
      <c r="F72" s="142"/>
      <c r="G72" s="142"/>
      <c r="H72" s="142"/>
      <c r="I72" s="142"/>
      <c r="J72" s="142"/>
      <c r="K72" s="142"/>
      <c r="L72" s="142"/>
      <c r="M72" s="142"/>
      <c r="N72" s="142"/>
      <c r="O72" s="142"/>
      <c r="BH72">
        <f>2*PI()*67/72</f>
        <v>5.8468529941810035</v>
      </c>
      <c r="BI72">
        <f t="shared" si="17"/>
        <v>-0.84523652348139999</v>
      </c>
      <c r="BJ72">
        <f t="shared" si="18"/>
        <v>1.8126155740732994</v>
      </c>
      <c r="BK72">
        <f t="shared" si="19"/>
        <v>-1.2678547852221</v>
      </c>
      <c r="BL72">
        <f t="shared" si="20"/>
        <v>2.7189233611099493</v>
      </c>
      <c r="BM72">
        <f t="shared" si="21"/>
        <v>-1.6904730469628</v>
      </c>
      <c r="BN72">
        <f t="shared" si="22"/>
        <v>3.6252311481465989</v>
      </c>
      <c r="BO72">
        <f t="shared" si="23"/>
        <v>-2.1130913087034999</v>
      </c>
      <c r="BP72">
        <f t="shared" si="24"/>
        <v>4.5315389351832485</v>
      </c>
    </row>
    <row r="73" spans="1:68" x14ac:dyDescent="0.4">
      <c r="BH73">
        <f>2*PI()*68/72</f>
        <v>5.9341194567807207</v>
      </c>
      <c r="BI73">
        <f t="shared" si="17"/>
        <v>-0.6840402866513372</v>
      </c>
      <c r="BJ73">
        <f t="shared" si="18"/>
        <v>1.8793852415718169</v>
      </c>
      <c r="BK73">
        <f t="shared" si="19"/>
        <v>-1.0260604299770058</v>
      </c>
      <c r="BL73">
        <f t="shared" si="20"/>
        <v>2.8190778623577253</v>
      </c>
      <c r="BM73">
        <f t="shared" si="21"/>
        <v>-1.3680805733026744</v>
      </c>
      <c r="BN73">
        <f t="shared" si="22"/>
        <v>3.7587704831436337</v>
      </c>
      <c r="BO73">
        <f t="shared" si="23"/>
        <v>-1.7101007166283431</v>
      </c>
      <c r="BP73">
        <f t="shared" si="24"/>
        <v>4.6984631039295426</v>
      </c>
    </row>
    <row r="74" spans="1:68" x14ac:dyDescent="0.4">
      <c r="BH74">
        <f>2*PI()*69/72</f>
        <v>6.0213859193804371</v>
      </c>
      <c r="BI74">
        <f t="shared" si="17"/>
        <v>-0.51763809020504137</v>
      </c>
      <c r="BJ74">
        <f t="shared" si="18"/>
        <v>1.9318516525781366</v>
      </c>
      <c r="BK74">
        <f t="shared" si="19"/>
        <v>-0.776457135307562</v>
      </c>
      <c r="BL74">
        <f t="shared" si="20"/>
        <v>2.897777478867205</v>
      </c>
      <c r="BM74">
        <f t="shared" si="21"/>
        <v>-1.0352761804100827</v>
      </c>
      <c r="BN74">
        <f t="shared" si="22"/>
        <v>3.8637033051562732</v>
      </c>
      <c r="BO74">
        <f t="shared" si="23"/>
        <v>-1.2940952255126035</v>
      </c>
      <c r="BP74">
        <f t="shared" si="24"/>
        <v>4.8296291314453415</v>
      </c>
    </row>
    <row r="75" spans="1:68" x14ac:dyDescent="0.4">
      <c r="BH75">
        <f>2*PI()*70/72</f>
        <v>6.1086523819801535</v>
      </c>
      <c r="BI75">
        <f t="shared" si="17"/>
        <v>-0.34729635533386077</v>
      </c>
      <c r="BJ75">
        <f t="shared" si="18"/>
        <v>1.969615506024416</v>
      </c>
      <c r="BK75">
        <f t="shared" si="19"/>
        <v>-0.52094453300079113</v>
      </c>
      <c r="BL75">
        <f t="shared" si="20"/>
        <v>2.9544232590366239</v>
      </c>
      <c r="BM75">
        <f t="shared" si="21"/>
        <v>-0.69459271066772155</v>
      </c>
      <c r="BN75">
        <f t="shared" si="22"/>
        <v>3.9392310120488321</v>
      </c>
      <c r="BO75">
        <f t="shared" si="23"/>
        <v>-0.86824088833465196</v>
      </c>
      <c r="BP75">
        <f t="shared" si="24"/>
        <v>4.9240387650610398</v>
      </c>
    </row>
    <row r="76" spans="1:68" x14ac:dyDescent="0.4">
      <c r="BH76">
        <f>2*PI()*71/72</f>
        <v>6.1959188445798699</v>
      </c>
      <c r="BI76">
        <f t="shared" si="17"/>
        <v>-0.17431148549531664</v>
      </c>
      <c r="BJ76">
        <f t="shared" si="18"/>
        <v>1.9923893961834911</v>
      </c>
      <c r="BK76">
        <f t="shared" si="19"/>
        <v>-0.26146722824297497</v>
      </c>
      <c r="BL76">
        <f t="shared" si="20"/>
        <v>2.9885840942752369</v>
      </c>
      <c r="BM76">
        <f t="shared" si="21"/>
        <v>-0.34862297099063327</v>
      </c>
      <c r="BN76">
        <f t="shared" si="22"/>
        <v>3.9847787923669822</v>
      </c>
      <c r="BO76">
        <f t="shared" si="23"/>
        <v>-0.43577871373829158</v>
      </c>
      <c r="BP76">
        <f t="shared" si="24"/>
        <v>4.9809734904587275</v>
      </c>
    </row>
    <row r="77" spans="1:68" x14ac:dyDescent="0.4">
      <c r="BH77">
        <f>2*PI()*72/72</f>
        <v>6.2831853071795862</v>
      </c>
      <c r="BI77">
        <f t="shared" si="17"/>
        <v>-4.90059381963448E-16</v>
      </c>
      <c r="BJ77">
        <f t="shared" si="18"/>
        <v>2</v>
      </c>
      <c r="BK77">
        <f t="shared" si="19"/>
        <v>-7.3508907294517201E-16</v>
      </c>
      <c r="BL77">
        <f t="shared" si="20"/>
        <v>3</v>
      </c>
      <c r="BM77">
        <f t="shared" si="21"/>
        <v>-9.8011876392689601E-16</v>
      </c>
      <c r="BN77">
        <f t="shared" si="22"/>
        <v>4</v>
      </c>
      <c r="BO77">
        <f t="shared" si="23"/>
        <v>-1.22514845490862E-15</v>
      </c>
      <c r="BP77">
        <f t="shared" si="24"/>
        <v>5</v>
      </c>
    </row>
  </sheetData>
  <mergeCells count="126">
    <mergeCell ref="I61:O61"/>
    <mergeCell ref="E67:H67"/>
    <mergeCell ref="A44:C44"/>
    <mergeCell ref="D5:F5"/>
    <mergeCell ref="E50:H50"/>
    <mergeCell ref="I65:O65"/>
    <mergeCell ref="A62:C62"/>
    <mergeCell ref="E55:H55"/>
    <mergeCell ref="I49:O49"/>
    <mergeCell ref="E52:H52"/>
    <mergeCell ref="D42:O42"/>
    <mergeCell ref="A64:C64"/>
    <mergeCell ref="I66:O66"/>
    <mergeCell ref="E64:H64"/>
    <mergeCell ref="E65:H65"/>
    <mergeCell ref="K35:O35"/>
    <mergeCell ref="I63:O63"/>
    <mergeCell ref="A42:C42"/>
    <mergeCell ref="E66:H66"/>
    <mergeCell ref="K31:O31"/>
    <mergeCell ref="A43:C43"/>
    <mergeCell ref="B12:E12"/>
    <mergeCell ref="J17:O17"/>
    <mergeCell ref="K27:O27"/>
    <mergeCell ref="B14:E14"/>
    <mergeCell ref="A2:O2"/>
    <mergeCell ref="A5:C5"/>
    <mergeCell ref="I60:O60"/>
    <mergeCell ref="A47:O47"/>
    <mergeCell ref="G5:I5"/>
    <mergeCell ref="E62:H62"/>
    <mergeCell ref="A50:C50"/>
    <mergeCell ref="A59:C59"/>
    <mergeCell ref="I53:O53"/>
    <mergeCell ref="E51:H51"/>
    <mergeCell ref="I54:O54"/>
    <mergeCell ref="D4:F4"/>
    <mergeCell ref="B10:E10"/>
    <mergeCell ref="M5:O5"/>
    <mergeCell ref="K19:O19"/>
    <mergeCell ref="E49:H49"/>
    <mergeCell ref="C16:O16"/>
    <mergeCell ref="A49:C49"/>
    <mergeCell ref="B13:E13"/>
    <mergeCell ref="K22:O22"/>
    <mergeCell ref="A4:C4"/>
    <mergeCell ref="A6:C6"/>
    <mergeCell ref="D44:O44"/>
    <mergeCell ref="A8:H8"/>
    <mergeCell ref="A17:H17"/>
    <mergeCell ref="G6:I6"/>
    <mergeCell ref="K25:O25"/>
    <mergeCell ref="D41:O41"/>
    <mergeCell ref="K36:O36"/>
    <mergeCell ref="I58:O58"/>
    <mergeCell ref="K28:O28"/>
    <mergeCell ref="E59:H59"/>
    <mergeCell ref="K37:O37"/>
    <mergeCell ref="A65:C65"/>
    <mergeCell ref="A69:C69"/>
    <mergeCell ref="K34:O34"/>
    <mergeCell ref="A66:C66"/>
    <mergeCell ref="I59:O59"/>
    <mergeCell ref="E68:H68"/>
    <mergeCell ref="A61:C61"/>
    <mergeCell ref="I57:O57"/>
    <mergeCell ref="E63:H63"/>
    <mergeCell ref="I56:O56"/>
    <mergeCell ref="E61:H61"/>
    <mergeCell ref="A57:C57"/>
    <mergeCell ref="A40:O40"/>
    <mergeCell ref="A52:C52"/>
    <mergeCell ref="A63:C63"/>
    <mergeCell ref="K30:O30"/>
    <mergeCell ref="K32:O32"/>
    <mergeCell ref="E53:H53"/>
    <mergeCell ref="I52:O52"/>
    <mergeCell ref="I69:O69"/>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A55:C55"/>
    <mergeCell ref="M6:O6"/>
    <mergeCell ref="I50:O50"/>
    <mergeCell ref="K20:O20"/>
    <mergeCell ref="D43:O43"/>
    <mergeCell ref="K29:O29"/>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G4:I4"/>
    <mergeCell ref="A71:O71"/>
    <mergeCell ref="A53:C53"/>
    <mergeCell ref="A68:C68"/>
    <mergeCell ref="E60:H60"/>
    <mergeCell ref="E69:H69"/>
    <mergeCell ref="A45:C45"/>
  </mergeCells>
  <conditionalFormatting sqref="A50:O69">
    <cfRule type="expression" dxfId="150" priority="15">
      <formula>$V50&lt;&gt;""</formula>
    </cfRule>
  </conditionalFormatting>
  <conditionalFormatting sqref="D50:D69">
    <cfRule type="expression" dxfId="149" priority="12">
      <formula>D50="Attivazione"</formula>
    </cfRule>
    <cfRule type="expression" dxfId="148" priority="13">
      <formula>D50="Attenzione"</formula>
    </cfRule>
    <cfRule type="expression" dxfId="147" priority="14">
      <formula>D50="Monitoraggio"</formula>
    </cfRule>
  </conditionalFormatting>
  <conditionalFormatting sqref="D4:F6">
    <cfRule type="expression" dxfId="146" priority="1">
      <formula>$T$4=0</formula>
    </cfRule>
  </conditionalFormatting>
  <conditionalFormatting sqref="D44:O44">
    <cfRule type="expression" dxfId="145" priority="10">
      <formula>$D$44&lt;&gt;""</formula>
    </cfRule>
  </conditionalFormatting>
  <conditionalFormatting sqref="D45:O45">
    <cfRule type="expression" dxfId="144" priority="11">
      <formula>$D$45&lt;&gt;""</formula>
    </cfRule>
  </conditionalFormatting>
  <conditionalFormatting sqref="F10:F14">
    <cfRule type="dataBar" priority="4">
      <dataBar>
        <cfvo type="num" val="0"/>
        <cfvo type="num" val="5"/>
        <color rgb="FF8EA9DB"/>
      </dataBar>
    </cfRule>
  </conditionalFormatting>
  <conditionalFormatting sqref="G10:G14">
    <cfRule type="expression" dxfId="143" priority="5">
      <formula>AND(ISNUMBER(G10),G10&gt;0)</formula>
    </cfRule>
    <cfRule type="expression" dxfId="142" priority="6">
      <formula>AND(ISNUMBER(G10),G10&lt;0)</formula>
    </cfRule>
  </conditionalFormatting>
  <conditionalFormatting sqref="H10:H14">
    <cfRule type="expression" dxfId="141" priority="7">
      <formula>LEFT(H10,9)="AGIRE ORA"</formula>
    </cfRule>
    <cfRule type="expression" dxfId="140" priority="8">
      <formula>OR(LEFT(H10,11)="Agire entro",LEFT(H10,12)="Entro l'anno")</formula>
    </cfRule>
    <cfRule type="expression" dxfId="139" priority="9">
      <formula>LEFT(H10,7)="Margine"</formula>
    </cfRule>
  </conditionalFormatting>
  <conditionalFormatting sqref="J4:L6">
    <cfRule type="expression" dxfId="138" priority="2">
      <formula>$J$5=0</formula>
    </cfRule>
  </conditionalFormatting>
  <conditionalFormatting sqref="M4:O6">
    <cfRule type="expression" dxfId="137" priority="3">
      <formula>decisioniDaPrendere&gt;0</formula>
    </cfRule>
  </conditionalFormatting>
  <pageMargins left="0.4" right="0.4" top="0.5" bottom="0.5" header="0.2" footer="0.2"/>
  <pageSetup paperSize="9" scale="60" fitToHeight="0" orientation="landscape" r:id="rId1"/>
  <headerFooter>
    <oddHeader>&amp;L&amp;A&amp;CUso interno&amp;RHorizon Scan NFR</oddHeader>
    <oddFooter>&amp;L&amp;F&amp;RPagina &amp;P di &amp;N</oddFooter>
  </headerFooter>
  <rowBreaks count="1" manualBreakCount="1">
    <brk id="3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AL54"/>
  <sheetViews>
    <sheetView showGridLines="0" workbookViewId="0"/>
  </sheetViews>
  <sheetFormatPr defaultRowHeight="14.6" x14ac:dyDescent="0.4"/>
  <cols>
    <col min="1" max="1" width="6" customWidth="1"/>
    <col min="2" max="2" width="9" customWidth="1"/>
    <col min="3" max="3" width="46" customWidth="1"/>
    <col min="4" max="5" width="11" customWidth="1"/>
    <col min="6" max="6" width="9" customWidth="1"/>
    <col min="7" max="7" width="12" customWidth="1"/>
    <col min="8" max="8" width="20" customWidth="1"/>
    <col min="9" max="9" width="12" customWidth="1"/>
    <col min="10" max="10" width="28" customWidth="1"/>
    <col min="11" max="11" width="36" customWidth="1"/>
    <col min="20" max="36" width="13" hidden="1" customWidth="1"/>
    <col min="38" max="38" width="13" hidden="1" customWidth="1"/>
  </cols>
  <sheetData>
    <row r="1" spans="1:38" ht="28" customHeight="1" x14ac:dyDescent="0.4">
      <c r="A1" s="161" t="str">
        <f>"Horizon Scan NFR — Classifica e lente di Mosca   ·   "&amp;etichettaCiclo</f>
        <v>Horizon Scan NFR — Classifica e lente di Mosca   ·   Ciclo 2026Q4 · dati al 31/12/2026 · validato · Uso interno</v>
      </c>
      <c r="B1" s="162"/>
      <c r="C1" s="162"/>
      <c r="D1" s="162"/>
      <c r="E1" s="162"/>
      <c r="F1" s="162"/>
      <c r="G1" s="162"/>
      <c r="H1" s="162"/>
      <c r="I1" s="162"/>
      <c r="J1" s="162"/>
      <c r="K1" s="162"/>
    </row>
    <row r="2" spans="1:38" ht="45.55" customHeight="1" x14ac:dyDescent="0.4">
      <c r="A2" s="173" t="s">
        <v>170</v>
      </c>
      <c r="B2" s="142"/>
      <c r="C2" s="142"/>
      <c r="D2" s="142"/>
      <c r="E2" s="142"/>
      <c r="F2" s="142"/>
      <c r="G2" s="142"/>
      <c r="H2" s="142"/>
      <c r="I2" s="142"/>
      <c r="J2" s="142"/>
      <c r="K2" s="142"/>
      <c r="AL2" t="str">
        <f>IF(COUNTIF(H5:H24,"AGIRE ORA*")=0,"Nessun rischio da affrontare subito",COUNTIF(H5:H24,"AGIRE ORA*")&amp;" da affrontare subito: "&amp;_xlfn.TEXTJOIN(", ",TRUE,AB5:AB24))</f>
        <v>2 da affrontare subito: NFR-01, NFR-11</v>
      </c>
    </row>
    <row r="3" spans="1:38" x14ac:dyDescent="0.4">
      <c r="AL3" t="s">
        <v>171</v>
      </c>
    </row>
    <row r="4" spans="1:38" ht="30" customHeight="1" x14ac:dyDescent="0.4">
      <c r="A4" s="28" t="s">
        <v>172</v>
      </c>
      <c r="B4" s="28" t="s">
        <v>173</v>
      </c>
      <c r="C4" s="28" t="s">
        <v>174</v>
      </c>
      <c r="D4" s="28" t="s">
        <v>175</v>
      </c>
      <c r="E4" s="28" t="s">
        <v>176</v>
      </c>
      <c r="F4" s="28" t="s">
        <v>177</v>
      </c>
      <c r="G4" s="28" t="s">
        <v>178</v>
      </c>
      <c r="H4" s="28" t="s">
        <v>179</v>
      </c>
      <c r="I4" s="28" t="s">
        <v>180</v>
      </c>
      <c r="J4" s="28" t="s">
        <v>181</v>
      </c>
      <c r="K4" s="28" t="s">
        <v>182</v>
      </c>
      <c r="T4" t="s">
        <v>183</v>
      </c>
      <c r="U4" t="s">
        <v>184</v>
      </c>
      <c r="V4" t="s">
        <v>185</v>
      </c>
      <c r="W4" t="s">
        <v>186</v>
      </c>
      <c r="X4" t="s">
        <v>187</v>
      </c>
      <c r="Y4" t="s">
        <v>188</v>
      </c>
      <c r="Z4" t="s">
        <v>189</v>
      </c>
      <c r="AA4" t="s">
        <v>190</v>
      </c>
      <c r="AB4" t="s">
        <v>191</v>
      </c>
      <c r="AD4" t="s">
        <v>192</v>
      </c>
      <c r="AE4" t="s">
        <v>193</v>
      </c>
      <c r="AF4" t="s">
        <v>194</v>
      </c>
      <c r="AG4" t="s">
        <v>195</v>
      </c>
      <c r="AH4" t="s">
        <v>196</v>
      </c>
      <c r="AI4" t="s">
        <v>197</v>
      </c>
      <c r="AJ4" t="s">
        <v>198</v>
      </c>
    </row>
    <row r="5" spans="1:38" x14ac:dyDescent="0.4">
      <c r="A5">
        <f>IF($U5="","",1)</f>
        <v>1</v>
      </c>
      <c r="B5" t="str">
        <f t="shared" ref="B5:B24" si="0">IF($U5="","",INDEX(posID,$U5))</f>
        <v>NFR-01</v>
      </c>
      <c r="C5" t="str">
        <f t="shared" ref="C5:C24" si="1">IF($U5="","",INDEX(posNome,$U5))</f>
        <v>Frodi su pagamenti istantanei abilitate da AI generativa</v>
      </c>
      <c r="D5" s="29">
        <f t="shared" ref="D5:D24" si="2">IF($U5="","",INDEX(posScore,$U5))</f>
        <v>4.4000000000000004</v>
      </c>
      <c r="E5" s="29">
        <f t="shared" ref="E5:E24" si="3">IF($U5="","",IFERROR(INDEX(posScorePrec,$U5),"—"))</f>
        <v>4.2</v>
      </c>
      <c r="F5" s="30">
        <f t="shared" ref="F5:F24" si="4">IF(AND(ISNUMBER(D5),ISNUMBER(E5)),D5-E5,"")</f>
        <v>0.20000000000000018</v>
      </c>
      <c r="G5" t="str">
        <f t="shared" ref="G5:G24" si="5">IF($U5="","",IFERROR(INDEX(RR_Esito,MATCH(cicloCorrente&amp;"|"&amp;B5,RR_Chiave,0))&amp;"",""))</f>
        <v>Variato</v>
      </c>
      <c r="H5" t="str">
        <f>IF($U5="","",INDEX(Radar_Mosca!$L$5:$L$24,$U5))</f>
        <v>AGIRE ORA: X+Y &gt; Z</v>
      </c>
      <c r="I5" s="29">
        <f>IF($U5="","",IFERROR(INDEX(Radar_Mosca!$K$5:$K$24,$U5),""))</f>
        <v>-0.5</v>
      </c>
      <c r="J5" t="str">
        <f t="shared" ref="J5:J24" si="6">IF($U5="","",INDEX(ANA_Owner,$U5)&amp;"")</f>
        <v>Funzione Antifrode</v>
      </c>
      <c r="K5" t="str">
        <f t="shared" ref="K5:K24" si="7">IF($U5="","",B5&amp;" "&amp;IF(ISNUMBER(F5),IF(F5&gt;0,"▲",IF(F5&lt;0,"▼","●")),"○")&amp;"  "&amp;LEFT(C5,34)&amp;IF(LEN(C5)&gt;34,"…",""))</f>
        <v>NFR-01 ▲  Frodi su pagamenti istantanei abil…</v>
      </c>
      <c r="T5">
        <f>IF(ISNUMBER(INDEX(posScore,1)),INDEX(posScore,1)-1/100000,"")</f>
        <v>4.3999900000000007</v>
      </c>
      <c r="U5">
        <f>IFERROR(MATCH(_xlfn.AGGREGATE(14,6,$T$5:$T$24,1),$T$5:$T$24,0),"")</f>
        <v>1</v>
      </c>
      <c r="V5" s="31">
        <f t="shared" ref="V5:V24" si="8">IF($U5="",NA(),IF(LEFT(H5,9)="AGIRE ORA",D5,0))</f>
        <v>4.4000000000000004</v>
      </c>
      <c r="W5" s="31">
        <f t="shared" ref="W5:W24" si="9">IF($U5="",NA(),IF(LEFT(H5,11)="Agire entro",D5,0))</f>
        <v>0</v>
      </c>
      <c r="X5" s="31">
        <f t="shared" ref="X5:X24" si="10">IF($U5="",NA(),IF(OR(LEFT(H5,9)="AGIRE ORA",LEFT(H5,11)="Agire entro"),0,D5))</f>
        <v>0</v>
      </c>
      <c r="Y5">
        <f>IF($U5="",NA(),INDEX(Radar_Mosca!$I$5:$I$24,$U5))</f>
        <v>0.25</v>
      </c>
      <c r="Z5">
        <f>IF($U5="",NA(),INDEX(Radar_Mosca!$J$5:$J$24,$U5))</f>
        <v>0.25</v>
      </c>
      <c r="AA5">
        <f>IF($U5="",NA(),INDEX(Radar_Mosca!$H$5:$H$24,$U5))</f>
        <v>0</v>
      </c>
      <c r="AB5" t="str">
        <f t="shared" ref="AB5:AB24" si="11">IF(LEFT(H5,9)="AGIRE ORA",B5,"")</f>
        <v>NFR-01</v>
      </c>
      <c r="AD5">
        <f>IF(ISNUMBER(I5),I5+1/100000,"")</f>
        <v>-0.49998999999999999</v>
      </c>
      <c r="AE5">
        <f>IFERROR(MATCH(_xlfn.AGGREGATE(15,6,$AD$5:$AD$24,1),$AD$5:$AD$24,0),"")</f>
        <v>11</v>
      </c>
      <c r="AF5" t="str">
        <f t="shared" ref="AF5:AF24" si="12">IF($AE5="","",INDEX($B$5:$B$24,$AE5)&amp;" ("&amp;IF(INDEX($I$5:$I$24,$AE5)&lt;0,"−","+")&amp;FIXED(ABS(INDEX($I$5:$I$24,$AE5)),2)&amp;")")</f>
        <v>NFR-11 (−1,75)</v>
      </c>
      <c r="AG5">
        <f t="shared" ref="AG5:AG24" si="13">IF($AE5="",NA(),INDEX($Y$5:$Y$24,$AE5))</f>
        <v>0.25</v>
      </c>
      <c r="AH5" t="e">
        <f t="shared" ref="AH5:AH24" si="14">IF($AE5="",NA(),IF(INDEX($Y$5:$Y$24,$AE5)+INDEX($Z$5:$Z$24,$AE5)&gt;INDEX($AA$5:$AA$24,$AE5),NA(),INDEX($Z$5:$Z$24,$AE5)))</f>
        <v>#N/A</v>
      </c>
      <c r="AI5">
        <f t="shared" ref="AI5:AI24" si="15">IF($AE5="",NA(),IF(INDEX($Y$5:$Y$24,$AE5)+INDEX($Z$5:$Z$24,$AE5)&gt;INDEX($AA$5:$AA$24,$AE5),INDEX($Z$5:$Z$24,$AE5),NA()))</f>
        <v>3</v>
      </c>
      <c r="AJ5">
        <f t="shared" ref="AJ5:AJ24" si="16">IF($AE5="",NA(),INDEX($AA$5:$AA$24,$AE5))</f>
        <v>1.5</v>
      </c>
    </row>
    <row r="6" spans="1:38" x14ac:dyDescent="0.4">
      <c r="A6">
        <f>IF($U6="","",2)</f>
        <v>2</v>
      </c>
      <c r="B6" t="str">
        <f t="shared" si="0"/>
        <v>NFR-02</v>
      </c>
      <c r="C6" t="str">
        <f t="shared" si="1"/>
        <v>Concentrazione su un fornitore cloud critico</v>
      </c>
      <c r="D6" s="29">
        <f t="shared" si="2"/>
        <v>3.8</v>
      </c>
      <c r="E6" s="29">
        <f t="shared" si="3"/>
        <v>3.3</v>
      </c>
      <c r="F6" s="30">
        <f t="shared" si="4"/>
        <v>0.5</v>
      </c>
      <c r="G6" t="str">
        <f t="shared" si="5"/>
        <v>Variato</v>
      </c>
      <c r="H6" t="str">
        <f>IF($U6="","",INDEX(Radar_Mosca!$L$5:$L$24,$U6))</f>
        <v>Margine 1 anno</v>
      </c>
      <c r="I6" s="29">
        <f>IF($U6="","",IFERROR(INDEX(Radar_Mosca!$K$5:$K$24,$U6),""))</f>
        <v>1</v>
      </c>
      <c r="J6" t="str">
        <f t="shared" si="6"/>
        <v>Funzione ICT &amp; Security Risk</v>
      </c>
      <c r="K6" t="str">
        <f t="shared" si="7"/>
        <v>NFR-02 ▲  Concentrazione su un fornitore clo…</v>
      </c>
      <c r="T6">
        <f>IF(ISNUMBER(INDEX(posScore,2)),INDEX(posScore,2)-2/100000,"")</f>
        <v>3.7999799999999997</v>
      </c>
      <c r="U6">
        <f>IFERROR(MATCH(_xlfn.AGGREGATE(14,6,$T$5:$T$24,2),$T$5:$T$24,0),"")</f>
        <v>2</v>
      </c>
      <c r="V6" s="31">
        <f t="shared" si="8"/>
        <v>0</v>
      </c>
      <c r="W6" s="31">
        <f t="shared" si="9"/>
        <v>0</v>
      </c>
      <c r="X6" s="31">
        <f t="shared" si="10"/>
        <v>3.8</v>
      </c>
      <c r="Y6">
        <f>IF($U6="",NA(),INDEX(Radar_Mosca!$I$5:$I$24,$U6))</f>
        <v>0.25</v>
      </c>
      <c r="Z6">
        <f>IF($U6="",NA(),INDEX(Radar_Mosca!$J$5:$J$24,$U6))</f>
        <v>0.25</v>
      </c>
      <c r="AA6">
        <f>IF($U6="",NA(),INDEX(Radar_Mosca!$H$5:$H$24,$U6))</f>
        <v>1.5</v>
      </c>
      <c r="AB6" t="str">
        <f t="shared" si="11"/>
        <v/>
      </c>
      <c r="AD6">
        <f>IF(ISNUMBER(I6),I6+2/100000,"")</f>
        <v>1.0000199999999999</v>
      </c>
      <c r="AE6">
        <f>IFERROR(MATCH(_xlfn.AGGREGATE(15,6,$AD$5:$AD$24,2),$AD$5:$AD$24,0),"")</f>
        <v>1</v>
      </c>
      <c r="AF6" t="str">
        <f t="shared" si="12"/>
        <v>NFR-01 (−0,50)</v>
      </c>
      <c r="AG6">
        <f t="shared" si="13"/>
        <v>0.25</v>
      </c>
      <c r="AH6" t="e">
        <f t="shared" si="14"/>
        <v>#N/A</v>
      </c>
      <c r="AI6">
        <f t="shared" si="15"/>
        <v>0.25</v>
      </c>
      <c r="AJ6">
        <f t="shared" si="16"/>
        <v>0</v>
      </c>
    </row>
    <row r="7" spans="1:38" x14ac:dyDescent="0.4">
      <c r="A7">
        <f>IF($U7="","",3)</f>
        <v>3</v>
      </c>
      <c r="B7" t="str">
        <f t="shared" si="0"/>
        <v>NFR-07</v>
      </c>
      <c r="C7" t="str">
        <f t="shared" si="1"/>
        <v>Ransomware presso un fornitore di servizi di pagamento</v>
      </c>
      <c r="D7" s="29">
        <f t="shared" si="2"/>
        <v>3.75</v>
      </c>
      <c r="E7" s="29">
        <f t="shared" si="3"/>
        <v>3.75</v>
      </c>
      <c r="F7" s="30">
        <f t="shared" si="4"/>
        <v>0</v>
      </c>
      <c r="G7" t="str">
        <f t="shared" si="5"/>
        <v>Confermato</v>
      </c>
      <c r="H7" t="str">
        <f>IF($U7="","",INDEX(Radar_Mosca!$L$5:$L$24,$U7))</f>
        <v>Agire entro l'anno</v>
      </c>
      <c r="I7" s="29">
        <f>IF($U7="","",IFERROR(INDEX(Radar_Mosca!$K$5:$K$24,$U7),""))</f>
        <v>0.75</v>
      </c>
      <c r="J7" t="str">
        <f t="shared" si="6"/>
        <v>Funzione ICT &amp; Security Risk</v>
      </c>
      <c r="K7" t="str">
        <f t="shared" si="7"/>
        <v>NFR-07 ●  Ransomware presso un fornitore di …</v>
      </c>
      <c r="T7">
        <f>IF(ISNUMBER(INDEX(posScore,3)),INDEX(posScore,3)-3/100000,"")</f>
        <v>2.9999699999999998</v>
      </c>
      <c r="U7">
        <f>IFERROR(MATCH(_xlfn.AGGREGATE(14,6,$T$5:$T$24,3),$T$5:$T$24,0),"")</f>
        <v>7</v>
      </c>
      <c r="V7" s="31">
        <f t="shared" si="8"/>
        <v>0</v>
      </c>
      <c r="W7" s="31">
        <f t="shared" si="9"/>
        <v>3.75</v>
      </c>
      <c r="X7" s="31">
        <f t="shared" si="10"/>
        <v>0</v>
      </c>
      <c r="Y7">
        <f>IF($U7="",NA(),INDEX(Radar_Mosca!$I$5:$I$24,$U7))</f>
        <v>0.25</v>
      </c>
      <c r="Z7">
        <f>IF($U7="",NA(),INDEX(Radar_Mosca!$J$5:$J$24,$U7))</f>
        <v>0.5</v>
      </c>
      <c r="AA7">
        <f>IF($U7="",NA(),INDEX(Radar_Mosca!$H$5:$H$24,$U7))</f>
        <v>1.5</v>
      </c>
      <c r="AB7" t="str">
        <f t="shared" si="11"/>
        <v/>
      </c>
      <c r="AD7">
        <f>IF(ISNUMBER(I7),I7+3/100000,"")</f>
        <v>0.75002999999999997</v>
      </c>
      <c r="AE7">
        <f>IFERROR(MATCH(_xlfn.AGGREGATE(15,6,$AD$5:$AD$24,3),$AD$5:$AD$24,0),"")</f>
        <v>4</v>
      </c>
      <c r="AF7" t="str">
        <f t="shared" si="12"/>
        <v>NFR-12 (+0,00)</v>
      </c>
      <c r="AG7">
        <f t="shared" si="13"/>
        <v>0.25</v>
      </c>
      <c r="AH7">
        <f t="shared" si="14"/>
        <v>0.25</v>
      </c>
      <c r="AI7" t="e">
        <f t="shared" si="15"/>
        <v>#N/A</v>
      </c>
      <c r="AJ7">
        <f t="shared" si="16"/>
        <v>0.5</v>
      </c>
    </row>
    <row r="8" spans="1:38" x14ac:dyDescent="0.4">
      <c r="A8">
        <f>IF($U8="","",4)</f>
        <v>4</v>
      </c>
      <c r="B8" t="str">
        <f t="shared" si="0"/>
        <v>NFR-12</v>
      </c>
      <c r="C8" t="str">
        <f t="shared" si="1"/>
        <v>Errori operativi nei pagamenti istantanei obbligatori</v>
      </c>
      <c r="D8" s="29">
        <f t="shared" si="2"/>
        <v>3.65</v>
      </c>
      <c r="E8" s="29">
        <f t="shared" si="3"/>
        <v>3.65</v>
      </c>
      <c r="F8" s="30">
        <f t="shared" si="4"/>
        <v>0</v>
      </c>
      <c r="G8" t="str">
        <f t="shared" si="5"/>
        <v>Confermato</v>
      </c>
      <c r="H8" t="str">
        <f>IF($U8="","",INDEX(Radar_Mosca!$L$5:$L$24,$U8))</f>
        <v>Agire entro l'anno</v>
      </c>
      <c r="I8" s="29">
        <f>IF($U8="","",IFERROR(INDEX(Radar_Mosca!$K$5:$K$24,$U8),""))</f>
        <v>0</v>
      </c>
      <c r="J8" t="str">
        <f t="shared" si="6"/>
        <v>Funzione Operations</v>
      </c>
      <c r="K8" t="str">
        <f t="shared" si="7"/>
        <v>NFR-12 ●  Errori operativi nei pagamenti ist…</v>
      </c>
      <c r="T8">
        <f>IF(ISNUMBER(INDEX(posScore,4)),INDEX(posScore,4)-4/100000,"")</f>
        <v>2.79996</v>
      </c>
      <c r="U8">
        <f>IFERROR(MATCH(_xlfn.AGGREGATE(14,6,$T$5:$T$24,4),$T$5:$T$24,0),"")</f>
        <v>12</v>
      </c>
      <c r="V8" s="31">
        <f t="shared" si="8"/>
        <v>0</v>
      </c>
      <c r="W8" s="31">
        <f t="shared" si="9"/>
        <v>3.65</v>
      </c>
      <c r="X8" s="31">
        <f t="shared" si="10"/>
        <v>0</v>
      </c>
      <c r="Y8">
        <f>IF($U8="",NA(),INDEX(Radar_Mosca!$I$5:$I$24,$U8))</f>
        <v>0.25</v>
      </c>
      <c r="Z8">
        <f>IF($U8="",NA(),INDEX(Radar_Mosca!$J$5:$J$24,$U8))</f>
        <v>0.25</v>
      </c>
      <c r="AA8">
        <f>IF($U8="",NA(),INDEX(Radar_Mosca!$H$5:$H$24,$U8))</f>
        <v>0.5</v>
      </c>
      <c r="AB8" t="str">
        <f t="shared" si="11"/>
        <v/>
      </c>
      <c r="AD8">
        <f>IF(ISNUMBER(I8),I8+4/100000,"")</f>
        <v>4.0000000000000003E-5</v>
      </c>
      <c r="AE8">
        <f>IFERROR(MATCH(_xlfn.AGGREGATE(15,6,$AD$5:$AD$24,4),$AD$5:$AD$24,0),"")</f>
        <v>5</v>
      </c>
      <c r="AF8" t="str">
        <f t="shared" si="12"/>
        <v>NFR-03 (+0,00)</v>
      </c>
      <c r="AG8">
        <f t="shared" si="13"/>
        <v>0.25</v>
      </c>
      <c r="AH8">
        <f t="shared" si="14"/>
        <v>0.25</v>
      </c>
      <c r="AI8" t="e">
        <f t="shared" si="15"/>
        <v>#N/A</v>
      </c>
      <c r="AJ8">
        <f t="shared" si="16"/>
        <v>0.5</v>
      </c>
    </row>
    <row r="9" spans="1:38" x14ac:dyDescent="0.4">
      <c r="A9">
        <f>IF($U9="","",5)</f>
        <v>5</v>
      </c>
      <c r="B9" t="str">
        <f t="shared" si="0"/>
        <v>NFR-03</v>
      </c>
      <c r="C9" t="str">
        <f t="shared" si="1"/>
        <v>Greenwashing nella commercializzazione di prodotti ESG</v>
      </c>
      <c r="D9" s="29">
        <f t="shared" si="2"/>
        <v>3</v>
      </c>
      <c r="E9" s="29">
        <f t="shared" si="3"/>
        <v>3</v>
      </c>
      <c r="F9" s="30">
        <f t="shared" si="4"/>
        <v>0</v>
      </c>
      <c r="G9" t="str">
        <f t="shared" si="5"/>
        <v>Confermato</v>
      </c>
      <c r="H9" t="str">
        <f>IF($U9="","",INDEX(Radar_Mosca!$L$5:$L$24,$U9))</f>
        <v>Agire entro l'anno</v>
      </c>
      <c r="I9" s="29">
        <f>IF($U9="","",IFERROR(INDEX(Radar_Mosca!$K$5:$K$24,$U9),""))</f>
        <v>0</v>
      </c>
      <c r="J9" t="str">
        <f t="shared" si="6"/>
        <v>Funzione Compliance</v>
      </c>
      <c r="K9" t="str">
        <f t="shared" si="7"/>
        <v>NFR-03 ●  Greenwashing nella commercializzaz…</v>
      </c>
      <c r="T9">
        <f>IF(ISNUMBER(INDEX(posScore,5)),INDEX(posScore,5)-5/100000,"")</f>
        <v>2.9999500000000001</v>
      </c>
      <c r="U9">
        <f>IFERROR(MATCH(_xlfn.AGGREGATE(14,6,$T$5:$T$24,5),$T$5:$T$24,0),"")</f>
        <v>3</v>
      </c>
      <c r="V9" s="31">
        <f t="shared" si="8"/>
        <v>0</v>
      </c>
      <c r="W9" s="31">
        <f t="shared" si="9"/>
        <v>3</v>
      </c>
      <c r="X9" s="31">
        <f t="shared" si="10"/>
        <v>0</v>
      </c>
      <c r="Y9">
        <f>IF($U9="",NA(),INDEX(Radar_Mosca!$I$5:$I$24,$U9))</f>
        <v>0.25</v>
      </c>
      <c r="Z9">
        <f>IF($U9="",NA(),INDEX(Radar_Mosca!$J$5:$J$24,$U9))</f>
        <v>0.25</v>
      </c>
      <c r="AA9">
        <f>IF($U9="",NA(),INDEX(Radar_Mosca!$H$5:$H$24,$U9))</f>
        <v>0.5</v>
      </c>
      <c r="AB9" t="str">
        <f t="shared" si="11"/>
        <v/>
      </c>
      <c r="AD9">
        <f>IF(ISNUMBER(I9),I9+5/100000,"")</f>
        <v>5.0000000000000002E-5</v>
      </c>
      <c r="AE9">
        <f>IFERROR(MATCH(_xlfn.AGGREGATE(15,6,$AD$5:$AD$24,5),$AD$5:$AD$24,0),"")</f>
        <v>7</v>
      </c>
      <c r="AF9" t="str">
        <f t="shared" si="12"/>
        <v>NFR-06 (+0,25)</v>
      </c>
      <c r="AG9">
        <f t="shared" si="13"/>
        <v>0.25</v>
      </c>
      <c r="AH9">
        <f t="shared" si="14"/>
        <v>1</v>
      </c>
      <c r="AI9" t="e">
        <f t="shared" si="15"/>
        <v>#N/A</v>
      </c>
      <c r="AJ9">
        <f t="shared" si="16"/>
        <v>1.5</v>
      </c>
    </row>
    <row r="10" spans="1:38" x14ac:dyDescent="0.4">
      <c r="A10">
        <f>IF($U10="","",6)</f>
        <v>6</v>
      </c>
      <c r="B10" t="str">
        <f t="shared" si="0"/>
        <v>NFR-05</v>
      </c>
      <c r="C10" t="str">
        <f t="shared" si="1"/>
        <v>Errori di processo nella migrazione del core banking</v>
      </c>
      <c r="D10" s="29">
        <f t="shared" si="2"/>
        <v>3</v>
      </c>
      <c r="E10" s="29">
        <f t="shared" si="3"/>
        <v>3</v>
      </c>
      <c r="F10" s="30">
        <f t="shared" si="4"/>
        <v>0</v>
      </c>
      <c r="G10" t="str">
        <f t="shared" si="5"/>
        <v>Confermato</v>
      </c>
      <c r="H10" t="str">
        <f>IF($U10="","",INDEX(Radar_Mosca!$L$5:$L$24,$U10))</f>
        <v>Margine 1 anno</v>
      </c>
      <c r="I10" s="29">
        <f>IF($U10="","",IFERROR(INDEX(Radar_Mosca!$K$5:$K$24,$U10),""))</f>
        <v>1</v>
      </c>
      <c r="J10" t="str">
        <f t="shared" si="6"/>
        <v>Funzione Operations</v>
      </c>
      <c r="K10" t="str">
        <f t="shared" si="7"/>
        <v>NFR-05 ●  Errori di processo nella migrazion…</v>
      </c>
      <c r="T10">
        <f>IF(ISNUMBER(INDEX(posScore,6)),INDEX(posScore,6)-6/100000,"")</f>
        <v>2.9999400000000001</v>
      </c>
      <c r="U10">
        <f>IFERROR(MATCH(_xlfn.AGGREGATE(14,6,$T$5:$T$24,6),$T$5:$T$24,0),"")</f>
        <v>5</v>
      </c>
      <c r="V10" s="31">
        <f t="shared" si="8"/>
        <v>0</v>
      </c>
      <c r="W10" s="31">
        <f t="shared" si="9"/>
        <v>0</v>
      </c>
      <c r="X10" s="31">
        <f t="shared" si="10"/>
        <v>3</v>
      </c>
      <c r="Y10">
        <f>IF($U10="",NA(),INDEX(Radar_Mosca!$I$5:$I$24,$U10))</f>
        <v>0.25</v>
      </c>
      <c r="Z10">
        <f>IF($U10="",NA(),INDEX(Radar_Mosca!$J$5:$J$24,$U10))</f>
        <v>0.25</v>
      </c>
      <c r="AA10">
        <f>IF($U10="",NA(),INDEX(Radar_Mosca!$H$5:$H$24,$U10))</f>
        <v>1.5</v>
      </c>
      <c r="AB10" t="str">
        <f t="shared" si="11"/>
        <v/>
      </c>
      <c r="AD10">
        <f>IF(ISNUMBER(I10),I10+6/100000,"")</f>
        <v>1.0000599999999999</v>
      </c>
      <c r="AE10">
        <f>IFERROR(MATCH(_xlfn.AGGREGATE(15,6,$AD$5:$AD$24,6),$AD$5:$AD$24,0),"")</f>
        <v>3</v>
      </c>
      <c r="AF10" t="str">
        <f t="shared" si="12"/>
        <v>NFR-07 (+0,75)</v>
      </c>
      <c r="AG10">
        <f t="shared" si="13"/>
        <v>0.25</v>
      </c>
      <c r="AH10">
        <f t="shared" si="14"/>
        <v>0.5</v>
      </c>
      <c r="AI10" t="e">
        <f t="shared" si="15"/>
        <v>#N/A</v>
      </c>
      <c r="AJ10">
        <f t="shared" si="16"/>
        <v>1.5</v>
      </c>
    </row>
    <row r="11" spans="1:38" x14ac:dyDescent="0.4">
      <c r="A11">
        <f>IF($U11="","",7)</f>
        <v>7</v>
      </c>
      <c r="B11" t="str">
        <f t="shared" si="0"/>
        <v>NFR-06</v>
      </c>
      <c r="C11" t="str">
        <f t="shared" si="1"/>
        <v>Esfiltrazione di dati tramite strumenti di AI non autorizzati</v>
      </c>
      <c r="D11" s="29">
        <f t="shared" si="2"/>
        <v>3</v>
      </c>
      <c r="E11" s="29">
        <f t="shared" si="3"/>
        <v>3</v>
      </c>
      <c r="F11" s="30">
        <f t="shared" si="4"/>
        <v>0</v>
      </c>
      <c r="G11" t="str">
        <f t="shared" si="5"/>
        <v>Confermato</v>
      </c>
      <c r="H11" t="str">
        <f>IF($U11="","",INDEX(Radar_Mosca!$L$5:$L$24,$U11))</f>
        <v>Agire entro l'anno</v>
      </c>
      <c r="I11" s="29">
        <f>IF($U11="","",IFERROR(INDEX(Radar_Mosca!$K$5:$K$24,$U11),""))</f>
        <v>0.25</v>
      </c>
      <c r="J11" t="str">
        <f t="shared" si="6"/>
        <v>Funzione Sicurezza delle Informazioni</v>
      </c>
      <c r="K11" t="str">
        <f t="shared" si="7"/>
        <v>NFR-06 ●  Esfiltrazione di dati tramite stru…</v>
      </c>
      <c r="T11">
        <f>IF(ISNUMBER(INDEX(posScore,7)),INDEX(posScore,7)-7/100000,"")</f>
        <v>3.74993</v>
      </c>
      <c r="U11">
        <f>IFERROR(MATCH(_xlfn.AGGREGATE(14,6,$T$5:$T$24,7),$T$5:$T$24,0),"")</f>
        <v>6</v>
      </c>
      <c r="V11" s="31">
        <f t="shared" si="8"/>
        <v>0</v>
      </c>
      <c r="W11" s="31">
        <f t="shared" si="9"/>
        <v>3</v>
      </c>
      <c r="X11" s="31">
        <f t="shared" si="10"/>
        <v>0</v>
      </c>
      <c r="Y11">
        <f>IF($U11="",NA(),INDEX(Radar_Mosca!$I$5:$I$24,$U11))</f>
        <v>0.25</v>
      </c>
      <c r="Z11">
        <f>IF($U11="",NA(),INDEX(Radar_Mosca!$J$5:$J$24,$U11))</f>
        <v>1</v>
      </c>
      <c r="AA11">
        <f>IF($U11="",NA(),INDEX(Radar_Mosca!$H$5:$H$24,$U11))</f>
        <v>1.5</v>
      </c>
      <c r="AB11" t="str">
        <f t="shared" si="11"/>
        <v/>
      </c>
      <c r="AD11">
        <f>IF(ISNUMBER(I11),I11+7/100000,"")</f>
        <v>0.25007000000000001</v>
      </c>
      <c r="AE11">
        <f>IFERROR(MATCH(_xlfn.AGGREGATE(15,6,$AD$5:$AD$24,7),$AD$5:$AD$24,0),"")</f>
        <v>10</v>
      </c>
      <c r="AF11" t="str">
        <f t="shared" si="12"/>
        <v>NFR-04 (+0,75)</v>
      </c>
      <c r="AG11">
        <f t="shared" si="13"/>
        <v>0.25</v>
      </c>
      <c r="AH11">
        <f t="shared" si="14"/>
        <v>0.5</v>
      </c>
      <c r="AI11" t="e">
        <f t="shared" si="15"/>
        <v>#N/A</v>
      </c>
      <c r="AJ11">
        <f t="shared" si="16"/>
        <v>1.5</v>
      </c>
    </row>
    <row r="12" spans="1:38" x14ac:dyDescent="0.4">
      <c r="A12">
        <f>IF($U12="","",8)</f>
        <v>8</v>
      </c>
      <c r="B12" t="str">
        <f t="shared" si="0"/>
        <v>NFR-10</v>
      </c>
      <c r="C12" t="str">
        <f t="shared" si="1"/>
        <v>Informazioni errate ai clienti da assistenti di AI generativa</v>
      </c>
      <c r="D12" s="29">
        <f t="shared" si="2"/>
        <v>3</v>
      </c>
      <c r="E12" s="29">
        <f t="shared" si="3"/>
        <v>3</v>
      </c>
      <c r="F12" s="30">
        <f t="shared" si="4"/>
        <v>0</v>
      </c>
      <c r="G12" t="str">
        <f t="shared" si="5"/>
        <v>Confermato</v>
      </c>
      <c r="H12" t="str">
        <f>IF($U12="","",INDEX(Radar_Mosca!$L$5:$L$24,$U12))</f>
        <v>Margine 1 anno</v>
      </c>
      <c r="I12" s="29">
        <f>IF($U12="","",IFERROR(INDEX(Radar_Mosca!$K$5:$K$24,$U12),""))</f>
        <v>1</v>
      </c>
      <c r="J12" t="str">
        <f t="shared" si="6"/>
        <v>Funzione Customer Experience</v>
      </c>
      <c r="K12" t="str">
        <f t="shared" si="7"/>
        <v>NFR-10 ●  Informazioni errate ai clienti da …</v>
      </c>
      <c r="T12">
        <f>IF(ISNUMBER(INDEX(posScore,8)),INDEX(posScore,8)-8/100000,"")</f>
        <v>2.7499199999999999</v>
      </c>
      <c r="U12">
        <f>IFERROR(MATCH(_xlfn.AGGREGATE(14,6,$T$5:$T$24,8),$T$5:$T$24,0),"")</f>
        <v>10</v>
      </c>
      <c r="V12" s="31">
        <f t="shared" si="8"/>
        <v>0</v>
      </c>
      <c r="W12" s="31">
        <f t="shared" si="9"/>
        <v>0</v>
      </c>
      <c r="X12" s="31">
        <f t="shared" si="10"/>
        <v>3</v>
      </c>
      <c r="Y12">
        <f>IF($U12="",NA(),INDEX(Radar_Mosca!$I$5:$I$24,$U12))</f>
        <v>0.25</v>
      </c>
      <c r="Z12">
        <f>IF($U12="",NA(),INDEX(Radar_Mosca!$J$5:$J$24,$U12))</f>
        <v>0.25</v>
      </c>
      <c r="AA12">
        <f>IF($U12="",NA(),INDEX(Radar_Mosca!$H$5:$H$24,$U12))</f>
        <v>1.5</v>
      </c>
      <c r="AB12" t="str">
        <f t="shared" si="11"/>
        <v/>
      </c>
      <c r="AD12">
        <f>IF(ISNUMBER(I12),I12+8/100000,"")</f>
        <v>1.0000800000000001</v>
      </c>
      <c r="AE12">
        <f>IFERROR(MATCH(_xlfn.AGGREGATE(15,6,$AD$5:$AD$24,8),$AD$5:$AD$24,0),"")</f>
        <v>2</v>
      </c>
      <c r="AF12" t="str">
        <f t="shared" si="12"/>
        <v>NFR-02 (+1,00)</v>
      </c>
      <c r="AG12">
        <f t="shared" si="13"/>
        <v>0.25</v>
      </c>
      <c r="AH12">
        <f t="shared" si="14"/>
        <v>0.25</v>
      </c>
      <c r="AI12" t="e">
        <f t="shared" si="15"/>
        <v>#N/A</v>
      </c>
      <c r="AJ12">
        <f t="shared" si="16"/>
        <v>1.5</v>
      </c>
    </row>
    <row r="13" spans="1:38" x14ac:dyDescent="0.4">
      <c r="A13">
        <f>IF($U13="","",9)</f>
        <v>9</v>
      </c>
      <c r="B13" t="str">
        <f t="shared" si="0"/>
        <v>NFR-09</v>
      </c>
      <c r="C13" t="str">
        <f t="shared" si="1"/>
        <v>Violazione di sanzioni internazionali tramite triangolazioni</v>
      </c>
      <c r="D13" s="29">
        <f t="shared" si="2"/>
        <v>2.9</v>
      </c>
      <c r="E13" s="29">
        <f t="shared" si="3"/>
        <v>2.9</v>
      </c>
      <c r="F13" s="30">
        <f t="shared" si="4"/>
        <v>0</v>
      </c>
      <c r="G13" t="str">
        <f t="shared" si="5"/>
        <v>Confermato</v>
      </c>
      <c r="H13" t="str">
        <f>IF($U13="","",INDEX(Radar_Mosca!$L$5:$L$24,$U13))</f>
        <v>Margine 1,3 anni</v>
      </c>
      <c r="I13" s="29">
        <f>IF($U13="","",IFERROR(INDEX(Radar_Mosca!$K$5:$K$24,$U13),""))</f>
        <v>1.25</v>
      </c>
      <c r="J13" t="str">
        <f t="shared" si="6"/>
        <v>Funzione Compliance</v>
      </c>
      <c r="K13" t="str">
        <f t="shared" si="7"/>
        <v>NFR-09 ●  Violazione di sanzioni internazion…</v>
      </c>
      <c r="T13">
        <f>IF(ISNUMBER(INDEX(posScore,9)),INDEX(posScore,9)-9/100000,"")</f>
        <v>2.8999099999999998</v>
      </c>
      <c r="U13">
        <f>IFERROR(MATCH(_xlfn.AGGREGATE(14,6,$T$5:$T$24,9),$T$5:$T$24,0),"")</f>
        <v>9</v>
      </c>
      <c r="V13" s="31">
        <f t="shared" si="8"/>
        <v>0</v>
      </c>
      <c r="W13" s="31">
        <f t="shared" si="9"/>
        <v>0</v>
      </c>
      <c r="X13" s="31">
        <f t="shared" si="10"/>
        <v>2.9</v>
      </c>
      <c r="Y13">
        <f>IF($U13="",NA(),INDEX(Radar_Mosca!$I$5:$I$24,$U13))</f>
        <v>0.25</v>
      </c>
      <c r="Z13">
        <f>IF($U13="",NA(),INDEX(Radar_Mosca!$J$5:$J$24,$U13))</f>
        <v>1</v>
      </c>
      <c r="AA13">
        <f>IF($U13="",NA(),INDEX(Radar_Mosca!$H$5:$H$24,$U13))</f>
        <v>2.5</v>
      </c>
      <c r="AB13" t="str">
        <f t="shared" si="11"/>
        <v/>
      </c>
      <c r="AD13">
        <f>IF(ISNUMBER(I13),I13+9/100000,"")</f>
        <v>1.2500899999999999</v>
      </c>
      <c r="AE13">
        <f>IFERROR(MATCH(_xlfn.AGGREGATE(15,6,$AD$5:$AD$24,9),$AD$5:$AD$24,0),"")</f>
        <v>6</v>
      </c>
      <c r="AF13" t="str">
        <f t="shared" si="12"/>
        <v>NFR-05 (+1,00)</v>
      </c>
      <c r="AG13">
        <f t="shared" si="13"/>
        <v>0.25</v>
      </c>
      <c r="AH13">
        <f t="shared" si="14"/>
        <v>0.25</v>
      </c>
      <c r="AI13" t="e">
        <f t="shared" si="15"/>
        <v>#N/A</v>
      </c>
      <c r="AJ13">
        <f t="shared" si="16"/>
        <v>1.5</v>
      </c>
    </row>
    <row r="14" spans="1:38" x14ac:dyDescent="0.4">
      <c r="A14">
        <f>IF($U14="","",10)</f>
        <v>10</v>
      </c>
      <c r="B14" t="str">
        <f t="shared" si="0"/>
        <v>NFR-04</v>
      </c>
      <c r="C14" t="str">
        <f t="shared" si="1"/>
        <v>Eventi climatici estremi su sedi e data center</v>
      </c>
      <c r="D14" s="29">
        <f t="shared" si="2"/>
        <v>2.8</v>
      </c>
      <c r="E14" s="29">
        <f t="shared" si="3"/>
        <v>2.8</v>
      </c>
      <c r="F14" s="30">
        <f t="shared" si="4"/>
        <v>0</v>
      </c>
      <c r="G14" t="str">
        <f t="shared" si="5"/>
        <v>Confermato</v>
      </c>
      <c r="H14" t="str">
        <f>IF($U14="","",INDEX(Radar_Mosca!$L$5:$L$24,$U14))</f>
        <v>Agire entro l'anno</v>
      </c>
      <c r="I14" s="29">
        <f>IF($U14="","",IFERROR(INDEX(Radar_Mosca!$K$5:$K$24,$U14),""))</f>
        <v>0.75</v>
      </c>
      <c r="J14" t="str">
        <f t="shared" si="6"/>
        <v>Funzione Business Continuity</v>
      </c>
      <c r="K14" t="str">
        <f t="shared" si="7"/>
        <v>NFR-04 ●  Eventi climatici estremi su sedi e…</v>
      </c>
      <c r="T14">
        <f>IF(ISNUMBER(INDEX(posScore,10)),INDEX(posScore,10)-10/100000,"")</f>
        <v>2.9998999999999998</v>
      </c>
      <c r="U14">
        <f>IFERROR(MATCH(_xlfn.AGGREGATE(14,6,$T$5:$T$24,10),$T$5:$T$24,0),"")</f>
        <v>4</v>
      </c>
      <c r="V14" s="31">
        <f t="shared" si="8"/>
        <v>0</v>
      </c>
      <c r="W14" s="31">
        <f t="shared" si="9"/>
        <v>2.8</v>
      </c>
      <c r="X14" s="31">
        <f t="shared" si="10"/>
        <v>0</v>
      </c>
      <c r="Y14">
        <f>IF($U14="",NA(),INDEX(Radar_Mosca!$I$5:$I$24,$U14))</f>
        <v>0.25</v>
      </c>
      <c r="Z14">
        <f>IF($U14="",NA(),INDEX(Radar_Mosca!$J$5:$J$24,$U14))</f>
        <v>0.5</v>
      </c>
      <c r="AA14">
        <f>IF($U14="",NA(),INDEX(Radar_Mosca!$H$5:$H$24,$U14))</f>
        <v>1.5</v>
      </c>
      <c r="AB14" t="str">
        <f t="shared" si="11"/>
        <v/>
      </c>
      <c r="AD14">
        <f>IF(ISNUMBER(I14),I14+10/100000,"")</f>
        <v>0.75009999999999999</v>
      </c>
      <c r="AE14">
        <f>IFERROR(MATCH(_xlfn.AGGREGATE(15,6,$AD$5:$AD$24,10),$AD$5:$AD$24,0),"")</f>
        <v>8</v>
      </c>
      <c r="AF14" t="str">
        <f t="shared" si="12"/>
        <v>NFR-10 (+1,00)</v>
      </c>
      <c r="AG14">
        <f t="shared" si="13"/>
        <v>0.25</v>
      </c>
      <c r="AH14">
        <f t="shared" si="14"/>
        <v>0.25</v>
      </c>
      <c r="AI14" t="e">
        <f t="shared" si="15"/>
        <v>#N/A</v>
      </c>
      <c r="AJ14">
        <f t="shared" si="16"/>
        <v>1.5</v>
      </c>
    </row>
    <row r="15" spans="1:38" x14ac:dyDescent="0.4">
      <c r="A15">
        <f>IF($U15="","",11)</f>
        <v>11</v>
      </c>
      <c r="B15" t="str">
        <f t="shared" si="0"/>
        <v>NFR-11</v>
      </c>
      <c r="C15" t="str">
        <f t="shared" si="1"/>
        <v>Fine del supporto dei sistemi di pagamento legacy</v>
      </c>
      <c r="D15" s="29">
        <f t="shared" si="2"/>
        <v>2.8</v>
      </c>
      <c r="E15" s="29">
        <f t="shared" si="3"/>
        <v>2.8</v>
      </c>
      <c r="F15" s="30">
        <f t="shared" si="4"/>
        <v>0</v>
      </c>
      <c r="G15" t="str">
        <f t="shared" si="5"/>
        <v>Confermato</v>
      </c>
      <c r="H15" t="str">
        <f>IF($U15="","",INDEX(Radar_Mosca!$L$5:$L$24,$U15))</f>
        <v>AGIRE ORA: X+Y &gt; Z</v>
      </c>
      <c r="I15" s="29">
        <f>IF($U15="","",IFERROR(INDEX(Radar_Mosca!$K$5:$K$24,$U15),""))</f>
        <v>-1.75</v>
      </c>
      <c r="J15" t="str">
        <f t="shared" si="6"/>
        <v>Funzione IT Operations</v>
      </c>
      <c r="K15" t="str">
        <f t="shared" si="7"/>
        <v>NFR-11 ●  Fine del supporto dei sistemi di p…</v>
      </c>
      <c r="T15">
        <f>IF(ISNUMBER(INDEX(posScore,11)),INDEX(posScore,11)-11/100000,"")</f>
        <v>2.79989</v>
      </c>
      <c r="U15">
        <f>IFERROR(MATCH(_xlfn.AGGREGATE(14,6,$T$5:$T$24,11),$T$5:$T$24,0),"")</f>
        <v>11</v>
      </c>
      <c r="V15" s="31">
        <f t="shared" si="8"/>
        <v>2.8</v>
      </c>
      <c r="W15" s="31">
        <f t="shared" si="9"/>
        <v>0</v>
      </c>
      <c r="X15" s="31">
        <f t="shared" si="10"/>
        <v>0</v>
      </c>
      <c r="Y15">
        <f>IF($U15="",NA(),INDEX(Radar_Mosca!$I$5:$I$24,$U15))</f>
        <v>0.25</v>
      </c>
      <c r="Z15">
        <f>IF($U15="",NA(),INDEX(Radar_Mosca!$J$5:$J$24,$U15))</f>
        <v>3</v>
      </c>
      <c r="AA15">
        <f>IF($U15="",NA(),INDEX(Radar_Mosca!$H$5:$H$24,$U15))</f>
        <v>1.5</v>
      </c>
      <c r="AB15" t="str">
        <f t="shared" si="11"/>
        <v>NFR-11</v>
      </c>
      <c r="AD15">
        <f>IF(ISNUMBER(I15),I15+11/100000,"")</f>
        <v>-1.7498899999999999</v>
      </c>
      <c r="AE15">
        <f>IFERROR(MATCH(_xlfn.AGGREGATE(15,6,$AD$5:$AD$24,11),$AD$5:$AD$24,0),"")</f>
        <v>13</v>
      </c>
      <c r="AF15" t="str">
        <f t="shared" si="12"/>
        <v>NFR-08 (+1,00)</v>
      </c>
      <c r="AG15">
        <f t="shared" si="13"/>
        <v>0.25</v>
      </c>
      <c r="AH15">
        <f t="shared" si="14"/>
        <v>0.25</v>
      </c>
      <c r="AI15" t="e">
        <f t="shared" si="15"/>
        <v>#N/A</v>
      </c>
      <c r="AJ15">
        <f t="shared" si="16"/>
        <v>1.5</v>
      </c>
    </row>
    <row r="16" spans="1:38" x14ac:dyDescent="0.4">
      <c r="A16">
        <f>IF($U16="","",12)</f>
        <v>12</v>
      </c>
      <c r="B16" t="str">
        <f t="shared" si="0"/>
        <v>NFR-16</v>
      </c>
      <c r="C16" t="str">
        <f t="shared" si="1"/>
        <v>Vertenze e carenza di tecnici nei ruoli IT critici</v>
      </c>
      <c r="D16" s="29">
        <f t="shared" si="2"/>
        <v>2.8</v>
      </c>
      <c r="E16" s="29">
        <f t="shared" si="3"/>
        <v>2.19</v>
      </c>
      <c r="F16" s="30">
        <f t="shared" si="4"/>
        <v>0.60999999999999988</v>
      </c>
      <c r="G16" t="str">
        <f t="shared" si="5"/>
        <v>Variato</v>
      </c>
      <c r="H16" t="str">
        <f>IF($U16="","",INDEX(Radar_Mosca!$L$5:$L$24,$U16))</f>
        <v>Margine 1,8 anni</v>
      </c>
      <c r="I16" s="29">
        <f>IF($U16="","",IFERROR(INDEX(Radar_Mosca!$K$5:$K$24,$U16),""))</f>
        <v>1.75</v>
      </c>
      <c r="J16" t="str">
        <f t="shared" si="6"/>
        <v>Da assegnare</v>
      </c>
      <c r="K16" t="str">
        <f t="shared" si="7"/>
        <v>NFR-16 ▲  Vertenze e carenza di tecnici nei …</v>
      </c>
      <c r="T16">
        <f>IF(ISNUMBER(INDEX(posScore,12)),INDEX(posScore,12)-12/100000,"")</f>
        <v>3.64988</v>
      </c>
      <c r="U16">
        <f>IFERROR(MATCH(_xlfn.AGGREGATE(14,6,$T$5:$T$24,12),$T$5:$T$24,0),"")</f>
        <v>13</v>
      </c>
      <c r="V16" s="31">
        <f t="shared" si="8"/>
        <v>0</v>
      </c>
      <c r="W16" s="31">
        <f t="shared" si="9"/>
        <v>0</v>
      </c>
      <c r="X16" s="31">
        <f t="shared" si="10"/>
        <v>2.8</v>
      </c>
      <c r="Y16">
        <f>IF($U16="",NA(),INDEX(Radar_Mosca!$I$5:$I$24,$U16))</f>
        <v>0.25</v>
      </c>
      <c r="Z16">
        <f>IF($U16="",NA(),INDEX(Radar_Mosca!$J$5:$J$24,$U16))</f>
        <v>0.5</v>
      </c>
      <c r="AA16">
        <f>IF($U16="",NA(),INDEX(Radar_Mosca!$H$5:$H$24,$U16))</f>
        <v>2.5</v>
      </c>
      <c r="AB16" t="str">
        <f t="shared" si="11"/>
        <v/>
      </c>
      <c r="AD16">
        <f>IF(ISNUMBER(I16),I16+12/100000,"")</f>
        <v>1.7501199999999999</v>
      </c>
      <c r="AE16">
        <f>IFERROR(MATCH(_xlfn.AGGREGATE(15,6,$AD$5:$AD$24,12),$AD$5:$AD$24,0),"")</f>
        <v>9</v>
      </c>
      <c r="AF16" t="str">
        <f t="shared" si="12"/>
        <v>NFR-09 (+1,25)</v>
      </c>
      <c r="AG16">
        <f t="shared" si="13"/>
        <v>0.25</v>
      </c>
      <c r="AH16">
        <f t="shared" si="14"/>
        <v>1</v>
      </c>
      <c r="AI16" t="e">
        <f t="shared" si="15"/>
        <v>#N/A</v>
      </c>
      <c r="AJ16">
        <f t="shared" si="16"/>
        <v>2.5</v>
      </c>
    </row>
    <row r="17" spans="1:36" x14ac:dyDescent="0.4">
      <c r="A17">
        <f>IF($U17="","",13)</f>
        <v>13</v>
      </c>
      <c r="B17" t="str">
        <f t="shared" si="0"/>
        <v>NFR-08</v>
      </c>
      <c r="C17" t="str">
        <f t="shared" si="1"/>
        <v>Accessi impropri di dipendenti ai dati dei clienti</v>
      </c>
      <c r="D17" s="29">
        <f t="shared" si="2"/>
        <v>2.75</v>
      </c>
      <c r="E17" s="29">
        <f t="shared" si="3"/>
        <v>2.75</v>
      </c>
      <c r="F17" s="30">
        <f t="shared" si="4"/>
        <v>0</v>
      </c>
      <c r="G17" t="str">
        <f t="shared" si="5"/>
        <v>Confermato</v>
      </c>
      <c r="H17" t="str">
        <f>IF($U17="","",INDEX(Radar_Mosca!$L$5:$L$24,$U17))</f>
        <v>Margine 1 anno</v>
      </c>
      <c r="I17" s="29">
        <f>IF($U17="","",IFERROR(INDEX(Radar_Mosca!$K$5:$K$24,$U17),""))</f>
        <v>1</v>
      </c>
      <c r="J17" t="str">
        <f t="shared" si="6"/>
        <v>Funzione Sicurezza delle Informazioni</v>
      </c>
      <c r="K17" t="str">
        <f t="shared" si="7"/>
        <v>NFR-08 ●  Accessi impropri di dipendenti ai …</v>
      </c>
      <c r="T17">
        <f>IF(ISNUMBER(INDEX(posScore,13)),INDEX(posScore,13)-13/100000,"")</f>
        <v>2.7998699999999999</v>
      </c>
      <c r="U17">
        <f>IFERROR(MATCH(_xlfn.AGGREGATE(14,6,$T$5:$T$24,13),$T$5:$T$24,0),"")</f>
        <v>8</v>
      </c>
      <c r="V17" s="31">
        <f t="shared" si="8"/>
        <v>0</v>
      </c>
      <c r="W17" s="31">
        <f t="shared" si="9"/>
        <v>0</v>
      </c>
      <c r="X17" s="31">
        <f t="shared" si="10"/>
        <v>2.75</v>
      </c>
      <c r="Y17">
        <f>IF($U17="",NA(),INDEX(Radar_Mosca!$I$5:$I$24,$U17))</f>
        <v>0.25</v>
      </c>
      <c r="Z17">
        <f>IF($U17="",NA(),INDEX(Radar_Mosca!$J$5:$J$24,$U17))</f>
        <v>0.25</v>
      </c>
      <c r="AA17">
        <f>IF($U17="",NA(),INDEX(Radar_Mosca!$H$5:$H$24,$U17))</f>
        <v>1.5</v>
      </c>
      <c r="AB17" t="str">
        <f t="shared" si="11"/>
        <v/>
      </c>
      <c r="AD17">
        <f>IF(ISNUMBER(I17),I17+13/100000,"")</f>
        <v>1.00013</v>
      </c>
      <c r="AE17">
        <f>IFERROR(MATCH(_xlfn.AGGREGATE(15,6,$AD$5:$AD$24,13),$AD$5:$AD$24,0),"")</f>
        <v>12</v>
      </c>
      <c r="AF17" t="str">
        <f t="shared" si="12"/>
        <v>NFR-16 (+1,75)</v>
      </c>
      <c r="AG17">
        <f t="shared" si="13"/>
        <v>0.25</v>
      </c>
      <c r="AH17">
        <f t="shared" si="14"/>
        <v>0.5</v>
      </c>
      <c r="AI17" t="e">
        <f t="shared" si="15"/>
        <v>#N/A</v>
      </c>
      <c r="AJ17">
        <f t="shared" si="16"/>
        <v>2.5</v>
      </c>
    </row>
    <row r="18" spans="1:36" x14ac:dyDescent="0.4">
      <c r="A18" t="str">
        <f>IF($U18="","",14)</f>
        <v/>
      </c>
      <c r="B18" t="str">
        <f t="shared" si="0"/>
        <v/>
      </c>
      <c r="C18" t="str">
        <f t="shared" si="1"/>
        <v/>
      </c>
      <c r="D18" s="29" t="str">
        <f t="shared" si="2"/>
        <v/>
      </c>
      <c r="E18" s="29" t="str">
        <f t="shared" si="3"/>
        <v/>
      </c>
      <c r="F18" s="30" t="str">
        <f t="shared" si="4"/>
        <v/>
      </c>
      <c r="G18" t="str">
        <f t="shared" si="5"/>
        <v/>
      </c>
      <c r="H18" t="str">
        <f>IF($U18="","",INDEX(Radar_Mosca!$L$5:$L$24,$U18))</f>
        <v/>
      </c>
      <c r="I18" s="29" t="str">
        <f>IF($U18="","",IFERROR(INDEX(Radar_Mosca!$K$5:$K$24,$U18),""))</f>
        <v/>
      </c>
      <c r="J18" t="str">
        <f t="shared" si="6"/>
        <v/>
      </c>
      <c r="K18" t="str">
        <f t="shared" si="7"/>
        <v/>
      </c>
      <c r="T18" t="str">
        <f>IF(ISNUMBER(INDEX(posScore,14)),INDEX(posScore,14)-14/100000,"")</f>
        <v/>
      </c>
      <c r="U18" t="str">
        <f>IFERROR(MATCH(_xlfn.AGGREGATE(14,6,$T$5:$T$24,14),$T$5:$T$24,0),"")</f>
        <v/>
      </c>
      <c r="V18" s="31" t="e">
        <f t="shared" si="8"/>
        <v>#N/A</v>
      </c>
      <c r="W18" s="31" t="e">
        <f t="shared" si="9"/>
        <v>#N/A</v>
      </c>
      <c r="X18" s="31" t="e">
        <f t="shared" si="10"/>
        <v>#N/A</v>
      </c>
      <c r="Y18" t="e">
        <f>IF($U18="",NA(),INDEX(Radar_Mosca!$I$5:$I$24,$U18))</f>
        <v>#N/A</v>
      </c>
      <c r="Z18" t="e">
        <f>IF($U18="",NA(),INDEX(Radar_Mosca!$J$5:$J$24,$U18))</f>
        <v>#N/A</v>
      </c>
      <c r="AA18" t="e">
        <f>IF($U18="",NA(),INDEX(Radar_Mosca!$H$5:$H$24,$U18))</f>
        <v>#N/A</v>
      </c>
      <c r="AB18" t="str">
        <f t="shared" si="11"/>
        <v/>
      </c>
      <c r="AD18" t="str">
        <f>IF(ISNUMBER(I18),I18+14/100000,"")</f>
        <v/>
      </c>
      <c r="AE18" t="str">
        <f>IFERROR(MATCH(_xlfn.AGGREGATE(15,6,$AD$5:$AD$24,14),$AD$5:$AD$24,0),"")</f>
        <v/>
      </c>
      <c r="AF18" t="str">
        <f t="shared" si="12"/>
        <v/>
      </c>
      <c r="AG18" t="e">
        <f t="shared" si="13"/>
        <v>#N/A</v>
      </c>
      <c r="AH18" t="e">
        <f t="shared" si="14"/>
        <v>#N/A</v>
      </c>
      <c r="AI18" t="e">
        <f t="shared" si="15"/>
        <v>#N/A</v>
      </c>
      <c r="AJ18" t="e">
        <f t="shared" si="16"/>
        <v>#N/A</v>
      </c>
    </row>
    <row r="19" spans="1:36" x14ac:dyDescent="0.4">
      <c r="A19" t="str">
        <f>IF($U19="","",15)</f>
        <v/>
      </c>
      <c r="B19" t="str">
        <f t="shared" si="0"/>
        <v/>
      </c>
      <c r="C19" t="str">
        <f t="shared" si="1"/>
        <v/>
      </c>
      <c r="D19" s="29" t="str">
        <f t="shared" si="2"/>
        <v/>
      </c>
      <c r="E19" s="29" t="str">
        <f t="shared" si="3"/>
        <v/>
      </c>
      <c r="F19" s="30" t="str">
        <f t="shared" si="4"/>
        <v/>
      </c>
      <c r="G19" t="str">
        <f t="shared" si="5"/>
        <v/>
      </c>
      <c r="H19" t="str">
        <f>IF($U19="","",INDEX(Radar_Mosca!$L$5:$L$24,$U19))</f>
        <v/>
      </c>
      <c r="I19" s="29" t="str">
        <f>IF($U19="","",IFERROR(INDEX(Radar_Mosca!$K$5:$K$24,$U19),""))</f>
        <v/>
      </c>
      <c r="J19" t="str">
        <f t="shared" si="6"/>
        <v/>
      </c>
      <c r="K19" t="str">
        <f t="shared" si="7"/>
        <v/>
      </c>
      <c r="T19" t="str">
        <f>IF(ISNUMBER(INDEX(posScore,15)),INDEX(posScore,15)-15/100000,"")</f>
        <v/>
      </c>
      <c r="U19" t="str">
        <f>IFERROR(MATCH(_xlfn.AGGREGATE(14,6,$T$5:$T$24,15),$T$5:$T$24,0),"")</f>
        <v/>
      </c>
      <c r="V19" s="31" t="e">
        <f t="shared" si="8"/>
        <v>#N/A</v>
      </c>
      <c r="W19" s="31" t="e">
        <f t="shared" si="9"/>
        <v>#N/A</v>
      </c>
      <c r="X19" s="31" t="e">
        <f t="shared" si="10"/>
        <v>#N/A</v>
      </c>
      <c r="Y19" t="e">
        <f>IF($U19="",NA(),INDEX(Radar_Mosca!$I$5:$I$24,$U19))</f>
        <v>#N/A</v>
      </c>
      <c r="Z19" t="e">
        <f>IF($U19="",NA(),INDEX(Radar_Mosca!$J$5:$J$24,$U19))</f>
        <v>#N/A</v>
      </c>
      <c r="AA19" t="e">
        <f>IF($U19="",NA(),INDEX(Radar_Mosca!$H$5:$H$24,$U19))</f>
        <v>#N/A</v>
      </c>
      <c r="AB19" t="str">
        <f t="shared" si="11"/>
        <v/>
      </c>
      <c r="AD19" t="str">
        <f>IF(ISNUMBER(I19),I19+15/100000,"")</f>
        <v/>
      </c>
      <c r="AE19" t="str">
        <f>IFERROR(MATCH(_xlfn.AGGREGATE(15,6,$AD$5:$AD$24,15),$AD$5:$AD$24,0),"")</f>
        <v/>
      </c>
      <c r="AF19" t="str">
        <f t="shared" si="12"/>
        <v/>
      </c>
      <c r="AG19" t="e">
        <f t="shared" si="13"/>
        <v>#N/A</v>
      </c>
      <c r="AH19" t="e">
        <f t="shared" si="14"/>
        <v>#N/A</v>
      </c>
      <c r="AI19" t="e">
        <f t="shared" si="15"/>
        <v>#N/A</v>
      </c>
      <c r="AJ19" t="e">
        <f t="shared" si="16"/>
        <v>#N/A</v>
      </c>
    </row>
    <row r="20" spans="1:36" x14ac:dyDescent="0.4">
      <c r="A20" t="str">
        <f>IF($U20="","",16)</f>
        <v/>
      </c>
      <c r="B20" t="str">
        <f t="shared" si="0"/>
        <v/>
      </c>
      <c r="C20" t="str">
        <f t="shared" si="1"/>
        <v/>
      </c>
      <c r="D20" s="29" t="str">
        <f t="shared" si="2"/>
        <v/>
      </c>
      <c r="E20" s="29" t="str">
        <f t="shared" si="3"/>
        <v/>
      </c>
      <c r="F20" s="30" t="str">
        <f t="shared" si="4"/>
        <v/>
      </c>
      <c r="G20" t="str">
        <f t="shared" si="5"/>
        <v/>
      </c>
      <c r="H20" t="str">
        <f>IF($U20="","",INDEX(Radar_Mosca!$L$5:$L$24,$U20))</f>
        <v/>
      </c>
      <c r="I20" s="29" t="str">
        <f>IF($U20="","",IFERROR(INDEX(Radar_Mosca!$K$5:$K$24,$U20),""))</f>
        <v/>
      </c>
      <c r="J20" t="str">
        <f t="shared" si="6"/>
        <v/>
      </c>
      <c r="K20" t="str">
        <f t="shared" si="7"/>
        <v/>
      </c>
      <c r="T20" t="str">
        <f>IF(ISNUMBER(INDEX(posScore,16)),INDEX(posScore,16)-16/100000,"")</f>
        <v/>
      </c>
      <c r="U20" t="str">
        <f>IFERROR(MATCH(_xlfn.AGGREGATE(14,6,$T$5:$T$24,16),$T$5:$T$24,0),"")</f>
        <v/>
      </c>
      <c r="V20" s="31" t="e">
        <f t="shared" si="8"/>
        <v>#N/A</v>
      </c>
      <c r="W20" s="31" t="e">
        <f t="shared" si="9"/>
        <v>#N/A</v>
      </c>
      <c r="X20" s="31" t="e">
        <f t="shared" si="10"/>
        <v>#N/A</v>
      </c>
      <c r="Y20" t="e">
        <f>IF($U20="",NA(),INDEX(Radar_Mosca!$I$5:$I$24,$U20))</f>
        <v>#N/A</v>
      </c>
      <c r="Z20" t="e">
        <f>IF($U20="",NA(),INDEX(Radar_Mosca!$J$5:$J$24,$U20))</f>
        <v>#N/A</v>
      </c>
      <c r="AA20" t="e">
        <f>IF($U20="",NA(),INDEX(Radar_Mosca!$H$5:$H$24,$U20))</f>
        <v>#N/A</v>
      </c>
      <c r="AB20" t="str">
        <f t="shared" si="11"/>
        <v/>
      </c>
      <c r="AD20" t="str">
        <f>IF(ISNUMBER(I20),I20+16/100000,"")</f>
        <v/>
      </c>
      <c r="AE20" t="str">
        <f>IFERROR(MATCH(_xlfn.AGGREGATE(15,6,$AD$5:$AD$24,16),$AD$5:$AD$24,0),"")</f>
        <v/>
      </c>
      <c r="AF20" t="str">
        <f t="shared" si="12"/>
        <v/>
      </c>
      <c r="AG20" t="e">
        <f t="shared" si="13"/>
        <v>#N/A</v>
      </c>
      <c r="AH20" t="e">
        <f t="shared" si="14"/>
        <v>#N/A</v>
      </c>
      <c r="AI20" t="e">
        <f t="shared" si="15"/>
        <v>#N/A</v>
      </c>
      <c r="AJ20" t="e">
        <f t="shared" si="16"/>
        <v>#N/A</v>
      </c>
    </row>
    <row r="21" spans="1:36" x14ac:dyDescent="0.4">
      <c r="A21" t="str">
        <f>IF($U21="","",17)</f>
        <v/>
      </c>
      <c r="B21" t="str">
        <f t="shared" si="0"/>
        <v/>
      </c>
      <c r="C21" t="str">
        <f t="shared" si="1"/>
        <v/>
      </c>
      <c r="D21" s="29" t="str">
        <f t="shared" si="2"/>
        <v/>
      </c>
      <c r="E21" s="29" t="str">
        <f t="shared" si="3"/>
        <v/>
      </c>
      <c r="F21" s="30" t="str">
        <f t="shared" si="4"/>
        <v/>
      </c>
      <c r="G21" t="str">
        <f t="shared" si="5"/>
        <v/>
      </c>
      <c r="H21" t="str">
        <f>IF($U21="","",INDEX(Radar_Mosca!$L$5:$L$24,$U21))</f>
        <v/>
      </c>
      <c r="I21" s="29" t="str">
        <f>IF($U21="","",IFERROR(INDEX(Radar_Mosca!$K$5:$K$24,$U21),""))</f>
        <v/>
      </c>
      <c r="J21" t="str">
        <f t="shared" si="6"/>
        <v/>
      </c>
      <c r="K21" t="str">
        <f t="shared" si="7"/>
        <v/>
      </c>
      <c r="T21" t="str">
        <f>IF(ISNUMBER(INDEX(posScore,17)),INDEX(posScore,17)-17/100000,"")</f>
        <v/>
      </c>
      <c r="U21" t="str">
        <f>IFERROR(MATCH(_xlfn.AGGREGATE(14,6,$T$5:$T$24,17),$T$5:$T$24,0),"")</f>
        <v/>
      </c>
      <c r="V21" s="31" t="e">
        <f t="shared" si="8"/>
        <v>#N/A</v>
      </c>
      <c r="W21" s="31" t="e">
        <f t="shared" si="9"/>
        <v>#N/A</v>
      </c>
      <c r="X21" s="31" t="e">
        <f t="shared" si="10"/>
        <v>#N/A</v>
      </c>
      <c r="Y21" t="e">
        <f>IF($U21="",NA(),INDEX(Radar_Mosca!$I$5:$I$24,$U21))</f>
        <v>#N/A</v>
      </c>
      <c r="Z21" t="e">
        <f>IF($U21="",NA(),INDEX(Radar_Mosca!$J$5:$J$24,$U21))</f>
        <v>#N/A</v>
      </c>
      <c r="AA21" t="e">
        <f>IF($U21="",NA(),INDEX(Radar_Mosca!$H$5:$H$24,$U21))</f>
        <v>#N/A</v>
      </c>
      <c r="AB21" t="str">
        <f t="shared" si="11"/>
        <v/>
      </c>
      <c r="AD21" t="str">
        <f>IF(ISNUMBER(I21),I21+17/100000,"")</f>
        <v/>
      </c>
      <c r="AE21" t="str">
        <f>IFERROR(MATCH(_xlfn.AGGREGATE(15,6,$AD$5:$AD$24,17),$AD$5:$AD$24,0),"")</f>
        <v/>
      </c>
      <c r="AF21" t="str">
        <f t="shared" si="12"/>
        <v/>
      </c>
      <c r="AG21" t="e">
        <f t="shared" si="13"/>
        <v>#N/A</v>
      </c>
      <c r="AH21" t="e">
        <f t="shared" si="14"/>
        <v>#N/A</v>
      </c>
      <c r="AI21" t="e">
        <f t="shared" si="15"/>
        <v>#N/A</v>
      </c>
      <c r="AJ21" t="e">
        <f t="shared" si="16"/>
        <v>#N/A</v>
      </c>
    </row>
    <row r="22" spans="1:36" x14ac:dyDescent="0.4">
      <c r="A22" t="str">
        <f>IF($U22="","",18)</f>
        <v/>
      </c>
      <c r="B22" t="str">
        <f t="shared" si="0"/>
        <v/>
      </c>
      <c r="C22" t="str">
        <f t="shared" si="1"/>
        <v/>
      </c>
      <c r="D22" s="29" t="str">
        <f t="shared" si="2"/>
        <v/>
      </c>
      <c r="E22" s="29" t="str">
        <f t="shared" si="3"/>
        <v/>
      </c>
      <c r="F22" s="30" t="str">
        <f t="shared" si="4"/>
        <v/>
      </c>
      <c r="G22" t="str">
        <f t="shared" si="5"/>
        <v/>
      </c>
      <c r="H22" t="str">
        <f>IF($U22="","",INDEX(Radar_Mosca!$L$5:$L$24,$U22))</f>
        <v/>
      </c>
      <c r="I22" s="29" t="str">
        <f>IF($U22="","",IFERROR(INDEX(Radar_Mosca!$K$5:$K$24,$U22),""))</f>
        <v/>
      </c>
      <c r="J22" t="str">
        <f t="shared" si="6"/>
        <v/>
      </c>
      <c r="K22" t="str">
        <f t="shared" si="7"/>
        <v/>
      </c>
      <c r="T22" t="str">
        <f>IF(ISNUMBER(INDEX(posScore,18)),INDEX(posScore,18)-18/100000,"")</f>
        <v/>
      </c>
      <c r="U22" t="str">
        <f>IFERROR(MATCH(_xlfn.AGGREGATE(14,6,$T$5:$T$24,18),$T$5:$T$24,0),"")</f>
        <v/>
      </c>
      <c r="V22" s="31" t="e">
        <f t="shared" si="8"/>
        <v>#N/A</v>
      </c>
      <c r="W22" s="31" t="e">
        <f t="shared" si="9"/>
        <v>#N/A</v>
      </c>
      <c r="X22" s="31" t="e">
        <f t="shared" si="10"/>
        <v>#N/A</v>
      </c>
      <c r="Y22" t="e">
        <f>IF($U22="",NA(),INDEX(Radar_Mosca!$I$5:$I$24,$U22))</f>
        <v>#N/A</v>
      </c>
      <c r="Z22" t="e">
        <f>IF($U22="",NA(),INDEX(Radar_Mosca!$J$5:$J$24,$U22))</f>
        <v>#N/A</v>
      </c>
      <c r="AA22" t="e">
        <f>IF($U22="",NA(),INDEX(Radar_Mosca!$H$5:$H$24,$U22))</f>
        <v>#N/A</v>
      </c>
      <c r="AB22" t="str">
        <f t="shared" si="11"/>
        <v/>
      </c>
      <c r="AD22" t="str">
        <f>IF(ISNUMBER(I22),I22+18/100000,"")</f>
        <v/>
      </c>
      <c r="AE22" t="str">
        <f>IFERROR(MATCH(_xlfn.AGGREGATE(15,6,$AD$5:$AD$24,18),$AD$5:$AD$24,0),"")</f>
        <v/>
      </c>
      <c r="AF22" t="str">
        <f t="shared" si="12"/>
        <v/>
      </c>
      <c r="AG22" t="e">
        <f t="shared" si="13"/>
        <v>#N/A</v>
      </c>
      <c r="AH22" t="e">
        <f t="shared" si="14"/>
        <v>#N/A</v>
      </c>
      <c r="AI22" t="e">
        <f t="shared" si="15"/>
        <v>#N/A</v>
      </c>
      <c r="AJ22" t="e">
        <f t="shared" si="16"/>
        <v>#N/A</v>
      </c>
    </row>
    <row r="23" spans="1:36" x14ac:dyDescent="0.4">
      <c r="A23" t="str">
        <f>IF($U23="","",19)</f>
        <v/>
      </c>
      <c r="B23" t="str">
        <f t="shared" si="0"/>
        <v/>
      </c>
      <c r="C23" t="str">
        <f t="shared" si="1"/>
        <v/>
      </c>
      <c r="D23" s="29" t="str">
        <f t="shared" si="2"/>
        <v/>
      </c>
      <c r="E23" s="29" t="str">
        <f t="shared" si="3"/>
        <v/>
      </c>
      <c r="F23" s="30" t="str">
        <f t="shared" si="4"/>
        <v/>
      </c>
      <c r="G23" t="str">
        <f t="shared" si="5"/>
        <v/>
      </c>
      <c r="H23" t="str">
        <f>IF($U23="","",INDEX(Radar_Mosca!$L$5:$L$24,$U23))</f>
        <v/>
      </c>
      <c r="I23" s="29" t="str">
        <f>IF($U23="","",IFERROR(INDEX(Radar_Mosca!$K$5:$K$24,$U23),""))</f>
        <v/>
      </c>
      <c r="J23" t="str">
        <f t="shared" si="6"/>
        <v/>
      </c>
      <c r="K23" t="str">
        <f t="shared" si="7"/>
        <v/>
      </c>
      <c r="T23" t="str">
        <f>IF(ISNUMBER(INDEX(posScore,19)),INDEX(posScore,19)-19/100000,"")</f>
        <v/>
      </c>
      <c r="U23" t="str">
        <f>IFERROR(MATCH(_xlfn.AGGREGATE(14,6,$T$5:$T$24,19),$T$5:$T$24,0),"")</f>
        <v/>
      </c>
      <c r="V23" s="31" t="e">
        <f t="shared" si="8"/>
        <v>#N/A</v>
      </c>
      <c r="W23" s="31" t="e">
        <f t="shared" si="9"/>
        <v>#N/A</v>
      </c>
      <c r="X23" s="31" t="e">
        <f t="shared" si="10"/>
        <v>#N/A</v>
      </c>
      <c r="Y23" t="e">
        <f>IF($U23="",NA(),INDEX(Radar_Mosca!$I$5:$I$24,$U23))</f>
        <v>#N/A</v>
      </c>
      <c r="Z23" t="e">
        <f>IF($U23="",NA(),INDEX(Radar_Mosca!$J$5:$J$24,$U23))</f>
        <v>#N/A</v>
      </c>
      <c r="AA23" t="e">
        <f>IF($U23="",NA(),INDEX(Radar_Mosca!$H$5:$H$24,$U23))</f>
        <v>#N/A</v>
      </c>
      <c r="AB23" t="str">
        <f t="shared" si="11"/>
        <v/>
      </c>
      <c r="AD23" t="str">
        <f>IF(ISNUMBER(I23),I23+19/100000,"")</f>
        <v/>
      </c>
      <c r="AE23" t="str">
        <f>IFERROR(MATCH(_xlfn.AGGREGATE(15,6,$AD$5:$AD$24,19),$AD$5:$AD$24,0),"")</f>
        <v/>
      </c>
      <c r="AF23" t="str">
        <f t="shared" si="12"/>
        <v/>
      </c>
      <c r="AG23" t="e">
        <f t="shared" si="13"/>
        <v>#N/A</v>
      </c>
      <c r="AH23" t="e">
        <f t="shared" si="14"/>
        <v>#N/A</v>
      </c>
      <c r="AI23" t="e">
        <f t="shared" si="15"/>
        <v>#N/A</v>
      </c>
      <c r="AJ23" t="e">
        <f t="shared" si="16"/>
        <v>#N/A</v>
      </c>
    </row>
    <row r="24" spans="1:36" x14ac:dyDescent="0.4">
      <c r="A24" t="str">
        <f>IF($U24="","",20)</f>
        <v/>
      </c>
      <c r="B24" t="str">
        <f t="shared" si="0"/>
        <v/>
      </c>
      <c r="C24" t="str">
        <f t="shared" si="1"/>
        <v/>
      </c>
      <c r="D24" s="29" t="str">
        <f t="shared" si="2"/>
        <v/>
      </c>
      <c r="E24" s="29" t="str">
        <f t="shared" si="3"/>
        <v/>
      </c>
      <c r="F24" s="30" t="str">
        <f t="shared" si="4"/>
        <v/>
      </c>
      <c r="G24" t="str">
        <f t="shared" si="5"/>
        <v/>
      </c>
      <c r="H24" t="str">
        <f>IF($U24="","",INDEX(Radar_Mosca!$L$5:$L$24,$U24))</f>
        <v/>
      </c>
      <c r="I24" s="29" t="str">
        <f>IF($U24="","",IFERROR(INDEX(Radar_Mosca!$K$5:$K$24,$U24),""))</f>
        <v/>
      </c>
      <c r="J24" t="str">
        <f t="shared" si="6"/>
        <v/>
      </c>
      <c r="K24" t="str">
        <f t="shared" si="7"/>
        <v/>
      </c>
      <c r="T24" t="str">
        <f>IF(ISNUMBER(INDEX(posScore,20)),INDEX(posScore,20)-20/100000,"")</f>
        <v/>
      </c>
      <c r="U24" t="str">
        <f>IFERROR(MATCH(_xlfn.AGGREGATE(14,6,$T$5:$T$24,20),$T$5:$T$24,0),"")</f>
        <v/>
      </c>
      <c r="V24" s="31" t="e">
        <f t="shared" si="8"/>
        <v>#N/A</v>
      </c>
      <c r="W24" s="31" t="e">
        <f t="shared" si="9"/>
        <v>#N/A</v>
      </c>
      <c r="X24" s="31" t="e">
        <f t="shared" si="10"/>
        <v>#N/A</v>
      </c>
      <c r="Y24" t="e">
        <f>IF($U24="",NA(),INDEX(Radar_Mosca!$I$5:$I$24,$U24))</f>
        <v>#N/A</v>
      </c>
      <c r="Z24" t="e">
        <f>IF($U24="",NA(),INDEX(Radar_Mosca!$J$5:$J$24,$U24))</f>
        <v>#N/A</v>
      </c>
      <c r="AA24" t="e">
        <f>IF($U24="",NA(),INDEX(Radar_Mosca!$H$5:$H$24,$U24))</f>
        <v>#N/A</v>
      </c>
      <c r="AB24" t="str">
        <f t="shared" si="11"/>
        <v/>
      </c>
      <c r="AD24" t="str">
        <f>IF(ISNUMBER(I24),I24+20/100000,"")</f>
        <v/>
      </c>
      <c r="AE24" t="str">
        <f>IFERROR(MATCH(_xlfn.AGGREGATE(15,6,$AD$5:$AD$24,20),$AD$5:$AD$24,0),"")</f>
        <v/>
      </c>
      <c r="AF24" t="str">
        <f t="shared" si="12"/>
        <v/>
      </c>
      <c r="AG24" t="e">
        <f t="shared" si="13"/>
        <v>#N/A</v>
      </c>
      <c r="AH24" t="e">
        <f t="shared" si="14"/>
        <v>#N/A</v>
      </c>
      <c r="AI24" t="e">
        <f t="shared" si="15"/>
        <v>#N/A</v>
      </c>
      <c r="AJ24" t="e">
        <f t="shared" si="16"/>
        <v>#N/A</v>
      </c>
    </row>
    <row r="53" spans="1:11" ht="30" customHeight="1" x14ac:dyDescent="0.4">
      <c r="A53" s="179" t="s">
        <v>199</v>
      </c>
      <c r="B53" s="142"/>
      <c r="C53" s="142"/>
      <c r="D53" s="142"/>
      <c r="E53" s="142"/>
      <c r="F53" s="142"/>
      <c r="G53" s="142"/>
      <c r="H53" s="142"/>
      <c r="I53" s="142"/>
      <c r="J53" s="142"/>
      <c r="K53" s="142"/>
    </row>
    <row r="54" spans="1:11" ht="26.05" customHeight="1" x14ac:dyDescent="0.4">
      <c r="A54" s="141" t="s">
        <v>200</v>
      </c>
      <c r="B54" s="142"/>
      <c r="C54" s="142"/>
      <c r="D54" s="142"/>
      <c r="E54" s="142"/>
      <c r="F54" s="142"/>
      <c r="G54" s="142"/>
      <c r="H54" s="142"/>
      <c r="I54" s="142"/>
      <c r="J54" s="142"/>
      <c r="K54" s="142"/>
    </row>
  </sheetData>
  <mergeCells count="4">
    <mergeCell ref="A2:K2"/>
    <mergeCell ref="A54:K54"/>
    <mergeCell ref="A53:K53"/>
    <mergeCell ref="A1:K1"/>
  </mergeCells>
  <conditionalFormatting sqref="F5:F24">
    <cfRule type="expression" dxfId="136" priority="4">
      <formula>AND(ISNUMBER(F5),F5&gt;0)</formula>
    </cfRule>
    <cfRule type="expression" dxfId="135" priority="5">
      <formula>AND(ISNUMBER(F5),F5&lt;0)</formula>
    </cfRule>
  </conditionalFormatting>
  <conditionalFormatting sqref="H5:H24">
    <cfRule type="expression" dxfId="134" priority="1">
      <formula>LEFT(H5,9)="AGIRE ORA"</formula>
    </cfRule>
    <cfRule type="expression" dxfId="133" priority="2">
      <formula>OR(LEFT(H5,11)="Agire entro",LEFT(H5,12)="Entro l'anno")</formula>
    </cfRule>
    <cfRule type="expression" dxfId="132" priority="3">
      <formula>LEFT(H5,7)="Margine"</formula>
    </cfRule>
  </conditionalFormatting>
  <pageMargins left="0.4" right="0.4" top="1" bottom="1" header="0.5" footer="0.5"/>
  <pageSetup paperSize="9" orientation="landscape"/>
  <headerFooter>
    <oddHeader>&amp;L&amp;A&amp;CUso interno&amp;RHorizon Scan NFR</oddHeader>
    <oddFooter>&amp;L&amp;F&amp;RPagina &amp;P di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CP77"/>
  <sheetViews>
    <sheetView showGridLines="0" workbookViewId="0"/>
  </sheetViews>
  <sheetFormatPr defaultRowHeight="14.6" x14ac:dyDescent="0.4"/>
  <cols>
    <col min="1" max="1" width="9" customWidth="1"/>
    <col min="2" max="2" width="40" customWidth="1"/>
    <col min="3" max="3" width="9" customWidth="1"/>
    <col min="4" max="4" width="10" customWidth="1"/>
    <col min="5" max="5" width="11" customWidth="1"/>
    <col min="6" max="6" width="7" customWidth="1"/>
    <col min="7" max="7" width="11" customWidth="1"/>
    <col min="8" max="8" width="13" customWidth="1"/>
    <col min="9" max="11" width="11" customWidth="1"/>
    <col min="12" max="12" width="20" customWidth="1"/>
    <col min="21" max="26" width="9" customWidth="1"/>
    <col min="27" max="27" width="16" customWidth="1"/>
    <col min="28" max="28" width="44" customWidth="1"/>
    <col min="29" max="94" width="13" hidden="1" customWidth="1"/>
  </cols>
  <sheetData>
    <row r="1" spans="1:94" ht="28" customHeight="1" x14ac:dyDescent="0.4">
      <c r="A1" s="161" t="str">
        <f>"Horizon Scan NFR — Radar di Mosca: quanto presto agire, e quanto e' grande ogni rischio   ·   "&amp;etichettaCiclo</f>
        <v>Horizon Scan NFR — Radar di Mosca: quanto presto agire, e quanto e' grande ogni rischio   ·   Ciclo 2026Q4 · dati al 31/12/2026 · validato · Uso interno</v>
      </c>
      <c r="B1" s="162"/>
      <c r="C1" s="162"/>
      <c r="D1" s="162"/>
      <c r="E1" s="162"/>
      <c r="F1" s="162"/>
      <c r="G1" s="162"/>
      <c r="H1" s="162"/>
      <c r="I1" s="162"/>
      <c r="J1" s="162"/>
      <c r="K1" s="162"/>
      <c r="L1" s="162"/>
    </row>
    <row r="2" spans="1:94" ht="45.55" customHeight="1" x14ac:dyDescent="0.4">
      <c r="A2" s="173" t="s">
        <v>201</v>
      </c>
      <c r="B2" s="142"/>
      <c r="C2" s="142"/>
      <c r="D2" s="142"/>
      <c r="E2" s="142"/>
      <c r="F2" s="142"/>
      <c r="G2" s="142"/>
      <c r="H2" s="142"/>
      <c r="I2" s="142"/>
      <c r="J2" s="142"/>
      <c r="K2" s="142"/>
      <c r="L2" s="142"/>
    </row>
    <row r="3" spans="1:94" x14ac:dyDescent="0.4">
      <c r="AD3" t="s">
        <v>1</v>
      </c>
      <c r="AU3" t="s">
        <v>2</v>
      </c>
      <c r="AV3" t="s">
        <v>2</v>
      </c>
      <c r="AW3" t="s">
        <v>2</v>
      </c>
      <c r="AX3" t="s">
        <v>2</v>
      </c>
      <c r="AY3" t="s">
        <v>2</v>
      </c>
      <c r="AZ3" t="s">
        <v>2</v>
      </c>
      <c r="BA3" t="s">
        <v>2</v>
      </c>
      <c r="BB3" t="s">
        <v>2</v>
      </c>
      <c r="BC3" t="s">
        <v>2</v>
      </c>
      <c r="BD3" t="s">
        <v>2</v>
      </c>
      <c r="BE3" t="s">
        <v>2</v>
      </c>
      <c r="BF3" t="s">
        <v>2</v>
      </c>
      <c r="BG3" t="s">
        <v>2</v>
      </c>
      <c r="BH3" t="s">
        <v>2</v>
      </c>
      <c r="BI3" t="s">
        <v>3</v>
      </c>
      <c r="BJ3" t="s">
        <v>3</v>
      </c>
      <c r="BK3" t="s">
        <v>3</v>
      </c>
      <c r="BL3" t="s">
        <v>3</v>
      </c>
      <c r="BM3" t="s">
        <v>3</v>
      </c>
      <c r="BN3" t="s">
        <v>3</v>
      </c>
      <c r="BO3" t="s">
        <v>3</v>
      </c>
      <c r="BP3" t="s">
        <v>3</v>
      </c>
      <c r="BQ3" t="s">
        <v>3</v>
      </c>
      <c r="BR3" t="s">
        <v>3</v>
      </c>
      <c r="BS3" t="s">
        <v>3</v>
      </c>
      <c r="BT3" t="s">
        <v>3</v>
      </c>
      <c r="BU3" t="s">
        <v>3</v>
      </c>
      <c r="BV3" t="s">
        <v>3</v>
      </c>
      <c r="BW3" t="s">
        <v>4</v>
      </c>
      <c r="BX3" t="s">
        <v>4</v>
      </c>
      <c r="BY3" t="s">
        <v>4</v>
      </c>
      <c r="BZ3" t="s">
        <v>4</v>
      </c>
      <c r="CA3" t="s">
        <v>4</v>
      </c>
      <c r="CB3" t="s">
        <v>4</v>
      </c>
      <c r="CC3" t="s">
        <v>4</v>
      </c>
      <c r="CD3" t="s">
        <v>4</v>
      </c>
      <c r="CE3" t="s">
        <v>4</v>
      </c>
      <c r="CF3" t="s">
        <v>4</v>
      </c>
      <c r="CG3" t="s">
        <v>4</v>
      </c>
      <c r="CH3" t="s">
        <v>4</v>
      </c>
      <c r="CI3" t="s">
        <v>4</v>
      </c>
      <c r="CJ3" t="s">
        <v>4</v>
      </c>
    </row>
    <row r="4" spans="1:94" ht="45" customHeight="1" x14ac:dyDescent="0.4">
      <c r="A4" s="28" t="s">
        <v>173</v>
      </c>
      <c r="B4" s="28" t="s">
        <v>174</v>
      </c>
      <c r="C4" s="28" t="s">
        <v>202</v>
      </c>
      <c r="D4" s="28" t="s">
        <v>203</v>
      </c>
      <c r="E4" s="28" t="s">
        <v>204</v>
      </c>
      <c r="F4" s="28" t="s">
        <v>205</v>
      </c>
      <c r="G4" s="28" t="s">
        <v>206</v>
      </c>
      <c r="H4" s="28" t="s">
        <v>207</v>
      </c>
      <c r="I4" s="28" t="s">
        <v>208</v>
      </c>
      <c r="J4" s="28" t="s">
        <v>209</v>
      </c>
      <c r="K4" s="28" t="s">
        <v>210</v>
      </c>
      <c r="L4" s="28" t="s">
        <v>21</v>
      </c>
      <c r="M4" s="28" t="s">
        <v>211</v>
      </c>
      <c r="N4" s="28" t="s">
        <v>212</v>
      </c>
      <c r="O4" s="28" t="s">
        <v>213</v>
      </c>
      <c r="P4" s="28" t="s">
        <v>214</v>
      </c>
      <c r="Q4" s="28" t="s">
        <v>215</v>
      </c>
      <c r="R4" s="28" t="s">
        <v>216</v>
      </c>
      <c r="S4" s="28" t="s">
        <v>217</v>
      </c>
      <c r="T4" s="28" t="s">
        <v>218</v>
      </c>
      <c r="U4" s="28" t="s">
        <v>219</v>
      </c>
      <c r="V4" s="28" t="s">
        <v>220</v>
      </c>
      <c r="W4" s="28" t="s">
        <v>221</v>
      </c>
      <c r="X4" s="28" t="s">
        <v>222</v>
      </c>
      <c r="Y4" s="28" t="s">
        <v>223</v>
      </c>
      <c r="Z4" s="28" t="s">
        <v>224</v>
      </c>
      <c r="AA4" s="28" t="s">
        <v>225</v>
      </c>
      <c r="AB4" s="28" t="s">
        <v>226</v>
      </c>
      <c r="AU4">
        <v>1</v>
      </c>
      <c r="AV4">
        <v>2</v>
      </c>
      <c r="AW4">
        <v>3</v>
      </c>
      <c r="AX4">
        <v>4</v>
      </c>
      <c r="AY4">
        <v>5</v>
      </c>
      <c r="AZ4">
        <v>6</v>
      </c>
      <c r="BA4">
        <v>8</v>
      </c>
      <c r="BB4">
        <v>9</v>
      </c>
      <c r="BC4">
        <v>10</v>
      </c>
      <c r="BD4">
        <v>12</v>
      </c>
      <c r="BE4">
        <v>15</v>
      </c>
      <c r="BF4">
        <v>16</v>
      </c>
      <c r="BG4">
        <v>20</v>
      </c>
      <c r="BH4">
        <v>25</v>
      </c>
      <c r="BI4">
        <v>1</v>
      </c>
      <c r="BJ4">
        <v>2</v>
      </c>
      <c r="BK4">
        <v>3</v>
      </c>
      <c r="BL4">
        <v>4</v>
      </c>
      <c r="BM4">
        <v>5</v>
      </c>
      <c r="BN4">
        <v>6</v>
      </c>
      <c r="BO4">
        <v>8</v>
      </c>
      <c r="BP4">
        <v>9</v>
      </c>
      <c r="BQ4">
        <v>10</v>
      </c>
      <c r="BR4">
        <v>12</v>
      </c>
      <c r="BS4">
        <v>15</v>
      </c>
      <c r="BT4">
        <v>16</v>
      </c>
      <c r="BU4">
        <v>20</v>
      </c>
      <c r="BV4">
        <v>25</v>
      </c>
      <c r="BW4">
        <v>1</v>
      </c>
      <c r="BX4">
        <v>2</v>
      </c>
      <c r="BY4">
        <v>3</v>
      </c>
      <c r="BZ4">
        <v>4</v>
      </c>
      <c r="CA4">
        <v>5</v>
      </c>
      <c r="CB4">
        <v>6</v>
      </c>
      <c r="CC4">
        <v>8</v>
      </c>
      <c r="CD4">
        <v>9</v>
      </c>
      <c r="CE4">
        <v>10</v>
      </c>
      <c r="CF4">
        <v>12</v>
      </c>
      <c r="CG4">
        <v>15</v>
      </c>
      <c r="CH4">
        <v>16</v>
      </c>
      <c r="CI4">
        <v>20</v>
      </c>
      <c r="CJ4">
        <v>25</v>
      </c>
    </row>
    <row r="5" spans="1:94" x14ac:dyDescent="0.4">
      <c r="A5" t="str">
        <f>IF(Parametri!$H4="","",Parametri!$H4)</f>
        <v>NFR-01</v>
      </c>
      <c r="B5" t="str">
        <f>IF($A5="","",Parametri!$I4)</f>
        <v>Frodi su pagamenti istantanei abilitate da AI generativa</v>
      </c>
      <c r="C5" t="str">
        <f>IF($A5="","",Parametri!$J4)</f>
        <v>9.7</v>
      </c>
      <c r="D5">
        <f t="shared" ref="D5:D24" si="0">IF($A5="",NA(),IF(COUNTIFS(RR_ID_Rischio,$A5,RR_Ciclo,cicloCorrente)=0,NA(),SUMIFS(RR_Impatto,RR_ID_Rischio,$A5,RR_Ciclo,cicloCorrente)))</f>
        <v>4</v>
      </c>
      <c r="E5">
        <f t="shared" ref="E5:E24" si="1">IF($A5="",NA(),IF(COUNTIFS(RR_ID_Rischio,$A5,RR_Ciclo,cicloCorrente)=0,NA(),SUMIFS(RR_Probabilita,RR_ID_Rischio,$A5,RR_Ciclo,cicloCorrente)))</f>
        <v>4</v>
      </c>
      <c r="F5">
        <f t="shared" ref="F5:F24" si="2">IF(AND(ISNUMBER(D5),ISNUMBER(E5)),D5*E5,NA())</f>
        <v>16</v>
      </c>
      <c r="G5">
        <f t="shared" ref="G5:G24" si="3">IF($A5="",NA(),IF(COUNTIFS(RR_ID_Rischio,$A5,RR_Ciclo,cicloCorrente)=0,NA(),SUMIFS(RR_Prossimita,RR_ID_Rischio,$A5,RR_Ciclo,cicloCorrente)))</f>
        <v>5</v>
      </c>
      <c r="H5" s="29">
        <f t="shared" ref="H5:H24" si="4">IF(ISNUMBER(G5),INDEX(anniProssimita,G5),NA())</f>
        <v>0</v>
      </c>
      <c r="I5" s="29">
        <f t="shared" ref="I5:I24" si="5">IF($A5="",NA(),moscaX)</f>
        <v>0.25</v>
      </c>
      <c r="J5" s="29">
        <f>IF($A5="",NA(),MAX(IF(COUNTIFS(AZ_ID_Rischio,$A5,AZ_Ciclo,$AC5,AZ_Stato,"&lt;&gt;Respinta",AZ_Mesi_Orizzonte,"&gt;0")=0,moscaYDefault,_xlfn.MAXIFS(AZ_Mesi_Orizzonte,AZ_ID_Rischio,$A5,AZ_Ciclo,$AC5,AZ_Stato,"&lt;&gt;Respinta")/12),N(Parametri!$M4)))</f>
        <v>0.25</v>
      </c>
      <c r="K5" s="29">
        <f t="shared" ref="K5:K24" si="6">IF(AND(ISNUMBER(H5),ISNUMBER(J5)),H5-(I5+J5),NA())</f>
        <v>-0.5</v>
      </c>
      <c r="L5" t="str">
        <f t="shared" ref="L5:L24" si="7">IF(NOT(ISNUMBER(K5)),"",IF(K5&lt;0,"AGIRE ORA: X+Y &gt; Z",IF(K5&lt;1,"Agire entro l'anno","Margine "&amp;ROUND(K5,1)&amp;IF(ROUND(K5,1)=1," anno"," anni"))))</f>
        <v>AGIRE ORA: X+Y &gt; Z</v>
      </c>
      <c r="M5">
        <f t="shared" ref="M5:M24" si="8">IF($A5="",NA(),MATCH(C5,codiciL1,0)-1)</f>
        <v>4</v>
      </c>
      <c r="N5">
        <f>IF($A5="",NA(),COUNTIF($C$4:C4,C5))</f>
        <v>0</v>
      </c>
      <c r="O5">
        <f t="shared" ref="O5:O24" si="9">IF($A5="",NA(),COUNTIF(ANA_Event_Type,C5))</f>
        <v>3</v>
      </c>
      <c r="P5" s="29">
        <f t="shared" ref="P5:P24" si="10">IF($A5="",NA(),2*PI()*(M5+(N5+0.5)/O5)/ROWS(codiciL1))</f>
        <v>2.9088820866572163</v>
      </c>
      <c r="Q5" s="29">
        <f t="shared" ref="Q5:Q24" si="11">IF(ISNUMBER(K5),MAX(0.6,MIN(6,K5+2)),NA())</f>
        <v>1.5</v>
      </c>
      <c r="R5" s="29">
        <f t="shared" ref="R5:R24" si="12">IF(AND(ISNUMBER(Q5),ISNUMBER(P5)),Q5*SIN(P5),NA())</f>
        <v>0.3459238061136598</v>
      </c>
      <c r="S5" s="29">
        <f t="shared" ref="S5:S24" si="13">IF(AND(ISNUMBER(Q5),ISNUMBER(P5)),Q5*COS(P5),NA())</f>
        <v>-1.4595673058697358</v>
      </c>
      <c r="T5" t="str">
        <f>IF($A5="","",IF(Parametri!$N4="Sì","Sì",""))</f>
        <v>Sì</v>
      </c>
      <c r="U5">
        <f t="shared" ref="U5:U24" si="14">IF(OR($A5="",NOT(ISNUMBER(K5))),"",IF(K5&lt;0,1,0))</f>
        <v>1</v>
      </c>
      <c r="V5">
        <f t="shared" ref="V5:V24" si="15">IF(OR($A5="",NOT(ISNUMBER(K5))),"",IF(COUNTIFS(KRI_ID_Rischio,$A5,KRI_Ciclo,cicloCorrente,KRI_In_Vigore,"Sì",KRI_Stato,"Rosso")&gt;0,1,0))</f>
        <v>1</v>
      </c>
      <c r="W5">
        <f>IF(OR($A5="",NOT(ISNUMBER(K5))),"",IF(N(INDEX(posNetti,1))&gt;=sogliaDirezione,1,0))</f>
        <v>0</v>
      </c>
      <c r="X5">
        <f t="shared" ref="X5:X24" si="16">IF(OR($A5="",NOT(ISNUMBER(K5))),"",IF(AND(ISNUMBER(F5),F5&gt;=livelloPxI),1,0))</f>
        <v>1</v>
      </c>
      <c r="Y5">
        <f>IF(OR($A5="",NOT(ISNUMBER(K5))),"",IF(Parametri!$O4="Assente",1,0))</f>
        <v>0</v>
      </c>
      <c r="Z5">
        <f t="shared" ref="Z5:Z24" si="17">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1</v>
      </c>
      <c r="AA5" t="str">
        <f t="shared" ref="AA5:AA24" si="18">IF(OR($A5="",NOT(ISNUMBER(K5))),"",IF((U5+V5+W5)&gt;=livelloForti,"Attivazione",IF(OR((U5+V5+W5)&gt;=1,AND(K5&lt;livelloMargine,(X5+Y5+Z5)&gt;=1)),"Attenzione","Monitoraggio")))</f>
        <v>Attivazione</v>
      </c>
      <c r="AB5" t="str">
        <f t="shared" ref="AB5:AB24" si="19">IF(AA5="","",IF(AA5="Monitoraggio","nessun segnale forte",_xlfn.TEXTJOIN("; ",TRUE,IF(U5=1,"AGIRE ORA",""),IF(V5=1,"KRI in rosso",""),IF(W5=1,"notizie in peggioramento",""),IF((U5+V5+W5)=0,"margine sotto l'anno con "&amp;_xlfn.TEXTJOIN(", ",TRUE,IF(X5=1,"P x I alta",""),IF(Y5=1,"presidio dei controlli assente",""),IF(Z5=1,"KRI in ambra o rosso","")),""))))</f>
        <v>AGIRE ORA; KRI in rosso</v>
      </c>
      <c r="AC5" t="str">
        <f t="shared" ref="AC5:AC24" si="20">IF($A5="","",IFERROR(IF(INDEX(RR_Periodo_Valutazione,MATCH(cicloCorrente&amp;"|"&amp;$A5,RR_Chiave,0))="",cicloCorrente,INDEX(RR_Periodo_Valutazione,MATCH(cicloCorrente&amp;"|"&amp;$A5,RR_Chiave,0))&amp;""),cicloCorrente))</f>
        <v>2026Q4</v>
      </c>
      <c r="AD5">
        <f>2*PI()*0/72</f>
        <v>0</v>
      </c>
      <c r="AE5">
        <f t="shared" ref="AE5:AE36" si="21">2*SIN($AD5)</f>
        <v>0</v>
      </c>
      <c r="AF5">
        <f t="shared" ref="AF5:AF36" si="22">2*COS($AD5)</f>
        <v>2</v>
      </c>
      <c r="AG5">
        <f t="shared" ref="AG5:AG36" si="23">3*SIN($AD5)</f>
        <v>0</v>
      </c>
      <c r="AH5">
        <f t="shared" ref="AH5:AH36" si="24">3*COS($AD5)</f>
        <v>3</v>
      </c>
      <c r="AI5">
        <f t="shared" ref="AI5:AI36" si="25">4*SIN($AD5)</f>
        <v>0</v>
      </c>
      <c r="AJ5">
        <f t="shared" ref="AJ5:AJ36" si="26">4*COS($AD5)</f>
        <v>4</v>
      </c>
      <c r="AK5">
        <f t="shared" ref="AK5:AK36" si="27">5*SIN($AD5)</f>
        <v>0</v>
      </c>
      <c r="AL5">
        <f t="shared" ref="AL5:AL36" si="28">5*COS($AD5)</f>
        <v>5</v>
      </c>
      <c r="AN5">
        <v>0</v>
      </c>
      <c r="AO5">
        <v>0</v>
      </c>
      <c r="AQ5" t="s">
        <v>10</v>
      </c>
      <c r="AR5">
        <f>6.95*SIN(2*PI()*(0+0.5)/ROWS(codiciL1))</f>
        <v>2.3770399961133974</v>
      </c>
      <c r="AS5">
        <f>6.95*COS(2*PI()*(0+0.5)/ROWS(codiciL1))</f>
        <v>6.5308637144620638</v>
      </c>
      <c r="AU5" t="e">
        <f t="shared" ref="AU5:BD14" si="29">IF(AND(ISNUMBER($F5),ISNUMBER($S5)),IF(AND($F5=AU$4,$AA5=AU$3),$S5,NA()),NA())</f>
        <v>#N/A</v>
      </c>
      <c r="AV5" t="e">
        <f t="shared" si="29"/>
        <v>#N/A</v>
      </c>
      <c r="AW5" t="e">
        <f t="shared" si="29"/>
        <v>#N/A</v>
      </c>
      <c r="AX5" t="e">
        <f t="shared" si="29"/>
        <v>#N/A</v>
      </c>
      <c r="AY5" t="e">
        <f t="shared" si="29"/>
        <v>#N/A</v>
      </c>
      <c r="AZ5" t="e">
        <f t="shared" si="29"/>
        <v>#N/A</v>
      </c>
      <c r="BA5" t="e">
        <f t="shared" si="29"/>
        <v>#N/A</v>
      </c>
      <c r="BB5" t="e">
        <f t="shared" si="29"/>
        <v>#N/A</v>
      </c>
      <c r="BC5" t="e">
        <f t="shared" si="29"/>
        <v>#N/A</v>
      </c>
      <c r="BD5" t="e">
        <f t="shared" si="29"/>
        <v>#N/A</v>
      </c>
      <c r="BE5" t="e">
        <f t="shared" ref="BE5:BN14" si="30">IF(AND(ISNUMBER($F5),ISNUMBER($S5)),IF(AND($F5=BE$4,$AA5=BE$3),$S5,NA()),NA())</f>
        <v>#N/A</v>
      </c>
      <c r="BF5">
        <f t="shared" si="30"/>
        <v>-1.4595673058697358</v>
      </c>
      <c r="BG5" t="e">
        <f t="shared" si="30"/>
        <v>#N/A</v>
      </c>
      <c r="BH5" t="e">
        <f t="shared" si="30"/>
        <v>#N/A</v>
      </c>
      <c r="BI5" t="e">
        <f t="shared" si="30"/>
        <v>#N/A</v>
      </c>
      <c r="BJ5" t="e">
        <f t="shared" si="30"/>
        <v>#N/A</v>
      </c>
      <c r="BK5" t="e">
        <f t="shared" si="30"/>
        <v>#N/A</v>
      </c>
      <c r="BL5" t="e">
        <f t="shared" si="30"/>
        <v>#N/A</v>
      </c>
      <c r="BM5" t="e">
        <f t="shared" si="30"/>
        <v>#N/A</v>
      </c>
      <c r="BN5" t="e">
        <f t="shared" si="30"/>
        <v>#N/A</v>
      </c>
      <c r="BO5" t="e">
        <f t="shared" ref="BO5:BX14" si="31">IF(AND(ISNUMBER($F5),ISNUMBER($S5)),IF(AND($F5=BO$4,$AA5=BO$3),$S5,NA()),NA())</f>
        <v>#N/A</v>
      </c>
      <c r="BP5" t="e">
        <f t="shared" si="31"/>
        <v>#N/A</v>
      </c>
      <c r="BQ5" t="e">
        <f t="shared" si="31"/>
        <v>#N/A</v>
      </c>
      <c r="BR5" t="e">
        <f t="shared" si="31"/>
        <v>#N/A</v>
      </c>
      <c r="BS5" t="e">
        <f t="shared" si="31"/>
        <v>#N/A</v>
      </c>
      <c r="BT5" t="e">
        <f t="shared" si="31"/>
        <v>#N/A</v>
      </c>
      <c r="BU5" t="e">
        <f t="shared" si="31"/>
        <v>#N/A</v>
      </c>
      <c r="BV5" t="e">
        <f t="shared" si="31"/>
        <v>#N/A</v>
      </c>
      <c r="BW5" t="e">
        <f t="shared" si="31"/>
        <v>#N/A</v>
      </c>
      <c r="BX5" t="e">
        <f t="shared" si="31"/>
        <v>#N/A</v>
      </c>
      <c r="BY5" t="e">
        <f t="shared" ref="BY5:CJ14" si="32">IF(AND(ISNUMBER($F5),ISNUMBER($S5)),IF(AND($F5=BY$4,$AA5=BY$3),$S5,NA()),NA())</f>
        <v>#N/A</v>
      </c>
      <c r="BZ5" t="e">
        <f t="shared" si="32"/>
        <v>#N/A</v>
      </c>
      <c r="CA5" t="e">
        <f t="shared" si="32"/>
        <v>#N/A</v>
      </c>
      <c r="CB5" t="e">
        <f t="shared" si="32"/>
        <v>#N/A</v>
      </c>
      <c r="CC5" t="e">
        <f t="shared" si="32"/>
        <v>#N/A</v>
      </c>
      <c r="CD5" t="e">
        <f t="shared" si="32"/>
        <v>#N/A</v>
      </c>
      <c r="CE5" t="e">
        <f t="shared" si="32"/>
        <v>#N/A</v>
      </c>
      <c r="CF5" t="e">
        <f t="shared" si="32"/>
        <v>#N/A</v>
      </c>
      <c r="CG5" t="e">
        <f t="shared" si="32"/>
        <v>#N/A</v>
      </c>
      <c r="CH5" t="e">
        <f t="shared" si="32"/>
        <v>#N/A</v>
      </c>
      <c r="CI5" t="e">
        <f t="shared" si="32"/>
        <v>#N/A</v>
      </c>
      <c r="CJ5" t="e">
        <f t="shared" si="32"/>
        <v>#N/A</v>
      </c>
      <c r="CK5">
        <f t="shared" ref="CK5:CK24" si="33">IF(ISNUMBER($R5),$R5,NA())</f>
        <v>0.3459238061136598</v>
      </c>
      <c r="CL5" t="str">
        <f t="shared" ref="CL5:CL24" si="34">IF($A5="","",$A5&amp;IF($T5="Sì"," ◆",""))</f>
        <v>NFR-01 ◆</v>
      </c>
      <c r="CM5">
        <f t="shared" ref="CM5:CM24" si="35">IF(ISNUMBER($S5),$S5,NA())</f>
        <v>-1.4595673058697358</v>
      </c>
      <c r="CN5" t="s">
        <v>2</v>
      </c>
      <c r="CO5">
        <v>-6.9</v>
      </c>
      <c r="CP5">
        <v>-8.0499999999999989</v>
      </c>
    </row>
    <row r="6" spans="1:94" x14ac:dyDescent="0.4">
      <c r="A6" t="str">
        <f>IF(Parametri!$H5="","",Parametri!$H5)</f>
        <v>NFR-02</v>
      </c>
      <c r="B6" t="str">
        <f>IF($A6="","",Parametri!$I5)</f>
        <v>Concentrazione su un fornitore cloud critico</v>
      </c>
      <c r="C6" t="str">
        <f>IF($A6="","",Parametri!$J5)</f>
        <v>9.9</v>
      </c>
      <c r="D6">
        <f t="shared" si="0"/>
        <v>4</v>
      </c>
      <c r="E6">
        <f t="shared" si="1"/>
        <v>4</v>
      </c>
      <c r="F6">
        <f t="shared" si="2"/>
        <v>16</v>
      </c>
      <c r="G6">
        <f t="shared" si="3"/>
        <v>3</v>
      </c>
      <c r="H6" s="29">
        <f t="shared" si="4"/>
        <v>1.5</v>
      </c>
      <c r="I6" s="29">
        <f t="shared" si="5"/>
        <v>0.25</v>
      </c>
      <c r="J6" s="29">
        <f>IF($A6="",NA(),MAX(IF(COUNTIFS(AZ_ID_Rischio,$A6,AZ_Ciclo,$AC6,AZ_Stato,"&lt;&gt;Respinta",AZ_Mesi_Orizzonte,"&gt;0")=0,moscaYDefault,_xlfn.MAXIFS(AZ_Mesi_Orizzonte,AZ_ID_Rischio,$A6,AZ_Ciclo,$AC6,AZ_Stato,"&lt;&gt;Respinta")/12),N(Parametri!$M5)))</f>
        <v>0.25</v>
      </c>
      <c r="K6" s="29">
        <f t="shared" si="6"/>
        <v>1</v>
      </c>
      <c r="L6" t="str">
        <f t="shared" si="7"/>
        <v>Margine 1 anno</v>
      </c>
      <c r="M6">
        <f t="shared" si="8"/>
        <v>6</v>
      </c>
      <c r="N6">
        <f>IF($A6="",NA(),COUNTIF($C$4:C5,C6))</f>
        <v>0</v>
      </c>
      <c r="O6">
        <f t="shared" si="9"/>
        <v>2</v>
      </c>
      <c r="P6" s="29">
        <f t="shared" si="10"/>
        <v>4.3633231299858242</v>
      </c>
      <c r="Q6" s="29">
        <f t="shared" si="11"/>
        <v>3</v>
      </c>
      <c r="R6" s="29">
        <f t="shared" si="12"/>
        <v>-2.8190778623577253</v>
      </c>
      <c r="S6" s="29">
        <f t="shared" si="13"/>
        <v>-1.0260604299770058</v>
      </c>
      <c r="T6" t="str">
        <f>IF($A6="","",IF(Parametri!$N5="Sì","Sì",""))</f>
        <v>Sì</v>
      </c>
      <c r="U6">
        <f t="shared" si="14"/>
        <v>0</v>
      </c>
      <c r="V6">
        <f t="shared" si="15"/>
        <v>1</v>
      </c>
      <c r="W6">
        <f>IF(OR($A6="",NOT(ISNUMBER(K6))),"",IF(N(INDEX(posNetti,2))&gt;=sogliaDirezione,1,0))</f>
        <v>0</v>
      </c>
      <c r="X6">
        <f t="shared" si="16"/>
        <v>1</v>
      </c>
      <c r="Y6">
        <f>IF(OR($A6="",NOT(ISNUMBER(K6))),"",IF(Parametri!$O5="Assente",1,0))</f>
        <v>0</v>
      </c>
      <c r="Z6">
        <f t="shared" si="17"/>
        <v>1</v>
      </c>
      <c r="AA6" t="str">
        <f t="shared" si="18"/>
        <v>Attenzione</v>
      </c>
      <c r="AB6" t="str">
        <f t="shared" si="19"/>
        <v>KRI in rosso</v>
      </c>
      <c r="AC6" t="str">
        <f t="shared" si="20"/>
        <v>2026Q4</v>
      </c>
      <c r="AD6">
        <f>2*PI()*1/72</f>
        <v>8.7266462599716474E-2</v>
      </c>
      <c r="AE6">
        <f t="shared" si="21"/>
        <v>0.17431148549531633</v>
      </c>
      <c r="AF6">
        <f t="shared" si="22"/>
        <v>1.9923893961834911</v>
      </c>
      <c r="AG6">
        <f t="shared" si="23"/>
        <v>0.26146722824297453</v>
      </c>
      <c r="AH6">
        <f t="shared" si="24"/>
        <v>2.9885840942752369</v>
      </c>
      <c r="AI6">
        <f t="shared" si="25"/>
        <v>0.34862297099063266</v>
      </c>
      <c r="AJ6">
        <f t="shared" si="26"/>
        <v>3.9847787923669822</v>
      </c>
      <c r="AK6">
        <f t="shared" si="27"/>
        <v>0.4357787137382908</v>
      </c>
      <c r="AL6">
        <f t="shared" si="28"/>
        <v>4.9809734904587275</v>
      </c>
      <c r="AN6">
        <f>6.3*SIN(2*PI()*0/ROWS(codiciL1))</f>
        <v>0</v>
      </c>
      <c r="AO6">
        <f>6.3*COS(2*PI()*0/ROWS(codiciL1))</f>
        <v>6.3</v>
      </c>
      <c r="AQ6" t="s">
        <v>11</v>
      </c>
      <c r="AR6">
        <f>6.95*SIN(2*PI()*(1+0.5)/ROWS(codiciL1))</f>
        <v>6.0188765563018487</v>
      </c>
      <c r="AS6">
        <f>6.95*COS(2*PI()*(1+0.5)/ROWS(codiciL1))</f>
        <v>3.475000000000001</v>
      </c>
      <c r="AU6" t="e">
        <f t="shared" si="29"/>
        <v>#N/A</v>
      </c>
      <c r="AV6" t="e">
        <f t="shared" si="29"/>
        <v>#N/A</v>
      </c>
      <c r="AW6" t="e">
        <f t="shared" si="29"/>
        <v>#N/A</v>
      </c>
      <c r="AX6" t="e">
        <f t="shared" si="29"/>
        <v>#N/A</v>
      </c>
      <c r="AY6" t="e">
        <f t="shared" si="29"/>
        <v>#N/A</v>
      </c>
      <c r="AZ6" t="e">
        <f t="shared" si="29"/>
        <v>#N/A</v>
      </c>
      <c r="BA6" t="e">
        <f t="shared" si="29"/>
        <v>#N/A</v>
      </c>
      <c r="BB6" t="e">
        <f t="shared" si="29"/>
        <v>#N/A</v>
      </c>
      <c r="BC6" t="e">
        <f t="shared" si="29"/>
        <v>#N/A</v>
      </c>
      <c r="BD6" t="e">
        <f t="shared" si="29"/>
        <v>#N/A</v>
      </c>
      <c r="BE6" t="e">
        <f t="shared" si="30"/>
        <v>#N/A</v>
      </c>
      <c r="BF6" t="e">
        <f t="shared" si="30"/>
        <v>#N/A</v>
      </c>
      <c r="BG6" t="e">
        <f t="shared" si="30"/>
        <v>#N/A</v>
      </c>
      <c r="BH6" t="e">
        <f t="shared" si="30"/>
        <v>#N/A</v>
      </c>
      <c r="BI6" t="e">
        <f t="shared" si="30"/>
        <v>#N/A</v>
      </c>
      <c r="BJ6" t="e">
        <f t="shared" si="30"/>
        <v>#N/A</v>
      </c>
      <c r="BK6" t="e">
        <f t="shared" si="30"/>
        <v>#N/A</v>
      </c>
      <c r="BL6" t="e">
        <f t="shared" si="30"/>
        <v>#N/A</v>
      </c>
      <c r="BM6" t="e">
        <f t="shared" si="30"/>
        <v>#N/A</v>
      </c>
      <c r="BN6" t="e">
        <f t="shared" si="30"/>
        <v>#N/A</v>
      </c>
      <c r="BO6" t="e">
        <f t="shared" si="31"/>
        <v>#N/A</v>
      </c>
      <c r="BP6" t="e">
        <f t="shared" si="31"/>
        <v>#N/A</v>
      </c>
      <c r="BQ6" t="e">
        <f t="shared" si="31"/>
        <v>#N/A</v>
      </c>
      <c r="BR6" t="e">
        <f t="shared" si="31"/>
        <v>#N/A</v>
      </c>
      <c r="BS6" t="e">
        <f t="shared" si="31"/>
        <v>#N/A</v>
      </c>
      <c r="BT6">
        <f t="shared" si="31"/>
        <v>-1.0260604299770058</v>
      </c>
      <c r="BU6" t="e">
        <f t="shared" si="31"/>
        <v>#N/A</v>
      </c>
      <c r="BV6" t="e">
        <f t="shared" si="31"/>
        <v>#N/A</v>
      </c>
      <c r="BW6" t="e">
        <f t="shared" si="31"/>
        <v>#N/A</v>
      </c>
      <c r="BX6" t="e">
        <f t="shared" si="31"/>
        <v>#N/A</v>
      </c>
      <c r="BY6" t="e">
        <f t="shared" si="32"/>
        <v>#N/A</v>
      </c>
      <c r="BZ6" t="e">
        <f t="shared" si="32"/>
        <v>#N/A</v>
      </c>
      <c r="CA6" t="e">
        <f t="shared" si="32"/>
        <v>#N/A</v>
      </c>
      <c r="CB6" t="e">
        <f t="shared" si="32"/>
        <v>#N/A</v>
      </c>
      <c r="CC6" t="e">
        <f t="shared" si="32"/>
        <v>#N/A</v>
      </c>
      <c r="CD6" t="e">
        <f t="shared" si="32"/>
        <v>#N/A</v>
      </c>
      <c r="CE6" t="e">
        <f t="shared" si="32"/>
        <v>#N/A</v>
      </c>
      <c r="CF6" t="e">
        <f t="shared" si="32"/>
        <v>#N/A</v>
      </c>
      <c r="CG6" t="e">
        <f t="shared" si="32"/>
        <v>#N/A</v>
      </c>
      <c r="CH6" t="e">
        <f t="shared" si="32"/>
        <v>#N/A</v>
      </c>
      <c r="CI6" t="e">
        <f t="shared" si="32"/>
        <v>#N/A</v>
      </c>
      <c r="CJ6" t="e">
        <f t="shared" si="32"/>
        <v>#N/A</v>
      </c>
      <c r="CK6">
        <f t="shared" si="33"/>
        <v>-2.8190778623577253</v>
      </c>
      <c r="CL6" t="str">
        <f t="shared" si="34"/>
        <v>NFR-02 ◆</v>
      </c>
      <c r="CM6">
        <f t="shared" si="35"/>
        <v>-1.0260604299770058</v>
      </c>
      <c r="CN6" t="s">
        <v>3</v>
      </c>
      <c r="CO6">
        <v>-6.9</v>
      </c>
      <c r="CP6">
        <v>-8.6499999999999986</v>
      </c>
    </row>
    <row r="7" spans="1:94" x14ac:dyDescent="0.4">
      <c r="A7" t="str">
        <f>IF(Parametri!$H6="","",Parametri!$H6)</f>
        <v>NFR-03</v>
      </c>
      <c r="B7" t="str">
        <f>IF($A7="","",Parametri!$I6)</f>
        <v>Greenwashing nella commercializzazione di prodotti ESG</v>
      </c>
      <c r="C7" t="str">
        <f>IF($A7="","",Parametri!$J6)</f>
        <v>9.1</v>
      </c>
      <c r="D7">
        <f t="shared" si="0"/>
        <v>3</v>
      </c>
      <c r="E7">
        <f t="shared" si="1"/>
        <v>3</v>
      </c>
      <c r="F7">
        <f t="shared" si="2"/>
        <v>9</v>
      </c>
      <c r="G7">
        <f t="shared" si="3"/>
        <v>4</v>
      </c>
      <c r="H7" s="29">
        <f t="shared" si="4"/>
        <v>0.5</v>
      </c>
      <c r="I7" s="29">
        <f t="shared" si="5"/>
        <v>0.25</v>
      </c>
      <c r="J7" s="29">
        <f>IF($A7="",NA(),MAX(IF(COUNTIFS(AZ_ID_Rischio,$A7,AZ_Ciclo,$AC7,AZ_Stato,"&lt;&gt;Respinta",AZ_Mesi_Orizzonte,"&gt;0")=0,moscaYDefault,_xlfn.MAXIFS(AZ_Mesi_Orizzonte,AZ_ID_Rischio,$A7,AZ_Ciclo,$AC7,AZ_Stato,"&lt;&gt;Respinta")/12),N(Parametri!$M6)))</f>
        <v>0.25</v>
      </c>
      <c r="K7" s="29">
        <f t="shared" si="6"/>
        <v>0</v>
      </c>
      <c r="L7" t="str">
        <f t="shared" si="7"/>
        <v>Agire entro l'anno</v>
      </c>
      <c r="M7">
        <f t="shared" si="8"/>
        <v>0</v>
      </c>
      <c r="N7">
        <f>IF($A7="",NA(),COUNTIF($C$4:C6,C7))</f>
        <v>0</v>
      </c>
      <c r="O7">
        <f t="shared" si="9"/>
        <v>2</v>
      </c>
      <c r="P7" s="29">
        <f t="shared" si="10"/>
        <v>0.17453292519943295</v>
      </c>
      <c r="Q7" s="29">
        <f t="shared" si="11"/>
        <v>2</v>
      </c>
      <c r="R7" s="29">
        <f t="shared" si="12"/>
        <v>0.34729635533386066</v>
      </c>
      <c r="S7" s="29">
        <f t="shared" si="13"/>
        <v>1.969615506024416</v>
      </c>
      <c r="T7" t="str">
        <f>IF($A7="","",IF(Parametri!$N6="Sì","Sì",""))</f>
        <v/>
      </c>
      <c r="U7">
        <f t="shared" si="14"/>
        <v>0</v>
      </c>
      <c r="V7">
        <f t="shared" si="15"/>
        <v>0</v>
      </c>
      <c r="W7">
        <f>IF(OR($A7="",NOT(ISNUMBER(K7))),"",IF(N(INDEX(posNetti,3))&gt;=sogliaDirezione,1,0))</f>
        <v>0</v>
      </c>
      <c r="X7">
        <f t="shared" si="16"/>
        <v>0</v>
      </c>
      <c r="Y7">
        <f>IF(OR($A7="",NOT(ISNUMBER(K7))),"",IF(Parametri!$O6="Assente",1,0))</f>
        <v>0</v>
      </c>
      <c r="Z7">
        <f t="shared" si="17"/>
        <v>1</v>
      </c>
      <c r="AA7" t="str">
        <f t="shared" si="18"/>
        <v>Attenzione</v>
      </c>
      <c r="AB7" t="str">
        <f t="shared" si="19"/>
        <v>margine sotto l'anno con KRI in ambra o rosso</v>
      </c>
      <c r="AC7" t="str">
        <f t="shared" si="20"/>
        <v>2026Q4</v>
      </c>
      <c r="AD7">
        <f>2*PI()*2/72</f>
        <v>0.17453292519943295</v>
      </c>
      <c r="AE7">
        <f t="shared" si="21"/>
        <v>0.34729635533386066</v>
      </c>
      <c r="AF7">
        <f t="shared" si="22"/>
        <v>1.969615506024416</v>
      </c>
      <c r="AG7">
        <f t="shared" si="23"/>
        <v>0.52094453300079102</v>
      </c>
      <c r="AH7">
        <f t="shared" si="24"/>
        <v>2.9544232590366239</v>
      </c>
      <c r="AI7">
        <f t="shared" si="25"/>
        <v>0.69459271066772132</v>
      </c>
      <c r="AJ7">
        <f t="shared" si="26"/>
        <v>3.9392310120488321</v>
      </c>
      <c r="AK7">
        <f t="shared" si="27"/>
        <v>0.86824088833465163</v>
      </c>
      <c r="AL7">
        <f t="shared" si="28"/>
        <v>4.9240387650610398</v>
      </c>
      <c r="AN7">
        <v>0</v>
      </c>
      <c r="AO7">
        <v>0</v>
      </c>
      <c r="AQ7" t="s">
        <v>12</v>
      </c>
      <c r="AR7">
        <f>6.95*SIN(2*PI()*(2+0.5)/ROWS(codiciL1))</f>
        <v>6.8444138834348456</v>
      </c>
      <c r="AS7">
        <f>6.95*COS(2*PI()*(2+0.5)/ROWS(codiciL1))</f>
        <v>-1.2068548347851655</v>
      </c>
      <c r="AU7" t="e">
        <f t="shared" si="29"/>
        <v>#N/A</v>
      </c>
      <c r="AV7" t="e">
        <f t="shared" si="29"/>
        <v>#N/A</v>
      </c>
      <c r="AW7" t="e">
        <f t="shared" si="29"/>
        <v>#N/A</v>
      </c>
      <c r="AX7" t="e">
        <f t="shared" si="29"/>
        <v>#N/A</v>
      </c>
      <c r="AY7" t="e">
        <f t="shared" si="29"/>
        <v>#N/A</v>
      </c>
      <c r="AZ7" t="e">
        <f t="shared" si="29"/>
        <v>#N/A</v>
      </c>
      <c r="BA7" t="e">
        <f t="shared" si="29"/>
        <v>#N/A</v>
      </c>
      <c r="BB7" t="e">
        <f t="shared" si="29"/>
        <v>#N/A</v>
      </c>
      <c r="BC7" t="e">
        <f t="shared" si="29"/>
        <v>#N/A</v>
      </c>
      <c r="BD7" t="e">
        <f t="shared" si="29"/>
        <v>#N/A</v>
      </c>
      <c r="BE7" t="e">
        <f t="shared" si="30"/>
        <v>#N/A</v>
      </c>
      <c r="BF7" t="e">
        <f t="shared" si="30"/>
        <v>#N/A</v>
      </c>
      <c r="BG7" t="e">
        <f t="shared" si="30"/>
        <v>#N/A</v>
      </c>
      <c r="BH7" t="e">
        <f t="shared" si="30"/>
        <v>#N/A</v>
      </c>
      <c r="BI7" t="e">
        <f t="shared" si="30"/>
        <v>#N/A</v>
      </c>
      <c r="BJ7" t="e">
        <f t="shared" si="30"/>
        <v>#N/A</v>
      </c>
      <c r="BK7" t="e">
        <f t="shared" si="30"/>
        <v>#N/A</v>
      </c>
      <c r="BL7" t="e">
        <f t="shared" si="30"/>
        <v>#N/A</v>
      </c>
      <c r="BM7" t="e">
        <f t="shared" si="30"/>
        <v>#N/A</v>
      </c>
      <c r="BN7" t="e">
        <f t="shared" si="30"/>
        <v>#N/A</v>
      </c>
      <c r="BO7" t="e">
        <f t="shared" si="31"/>
        <v>#N/A</v>
      </c>
      <c r="BP7">
        <f t="shared" si="31"/>
        <v>1.969615506024416</v>
      </c>
      <c r="BQ7" t="e">
        <f t="shared" si="31"/>
        <v>#N/A</v>
      </c>
      <c r="BR7" t="e">
        <f t="shared" si="31"/>
        <v>#N/A</v>
      </c>
      <c r="BS7" t="e">
        <f t="shared" si="31"/>
        <v>#N/A</v>
      </c>
      <c r="BT7" t="e">
        <f t="shared" si="31"/>
        <v>#N/A</v>
      </c>
      <c r="BU7" t="e">
        <f t="shared" si="31"/>
        <v>#N/A</v>
      </c>
      <c r="BV7" t="e">
        <f t="shared" si="31"/>
        <v>#N/A</v>
      </c>
      <c r="BW7" t="e">
        <f t="shared" si="31"/>
        <v>#N/A</v>
      </c>
      <c r="BX7" t="e">
        <f t="shared" si="31"/>
        <v>#N/A</v>
      </c>
      <c r="BY7" t="e">
        <f t="shared" si="32"/>
        <v>#N/A</v>
      </c>
      <c r="BZ7" t="e">
        <f t="shared" si="32"/>
        <v>#N/A</v>
      </c>
      <c r="CA7" t="e">
        <f t="shared" si="32"/>
        <v>#N/A</v>
      </c>
      <c r="CB7" t="e">
        <f t="shared" si="32"/>
        <v>#N/A</v>
      </c>
      <c r="CC7" t="e">
        <f t="shared" si="32"/>
        <v>#N/A</v>
      </c>
      <c r="CD7" t="e">
        <f t="shared" si="32"/>
        <v>#N/A</v>
      </c>
      <c r="CE7" t="e">
        <f t="shared" si="32"/>
        <v>#N/A</v>
      </c>
      <c r="CF7" t="e">
        <f t="shared" si="32"/>
        <v>#N/A</v>
      </c>
      <c r="CG7" t="e">
        <f t="shared" si="32"/>
        <v>#N/A</v>
      </c>
      <c r="CH7" t="e">
        <f t="shared" si="32"/>
        <v>#N/A</v>
      </c>
      <c r="CI7" t="e">
        <f t="shared" si="32"/>
        <v>#N/A</v>
      </c>
      <c r="CJ7" t="e">
        <f t="shared" si="32"/>
        <v>#N/A</v>
      </c>
      <c r="CK7">
        <f t="shared" si="33"/>
        <v>0.34729635533386066</v>
      </c>
      <c r="CL7" t="str">
        <f t="shared" si="34"/>
        <v>NFR-03</v>
      </c>
      <c r="CM7">
        <f t="shared" si="35"/>
        <v>1.969615506024416</v>
      </c>
      <c r="CN7" t="s">
        <v>4</v>
      </c>
      <c r="CO7">
        <v>-6.9</v>
      </c>
      <c r="CP7">
        <v>-9.2499999999999982</v>
      </c>
    </row>
    <row r="8" spans="1:94" x14ac:dyDescent="0.4">
      <c r="A8" t="str">
        <f>IF(Parametri!$H7="","",Parametri!$H7)</f>
        <v>NFR-04</v>
      </c>
      <c r="B8" t="str">
        <f>IF($A8="","",Parametri!$I7)</f>
        <v>Eventi climatici estremi su sedi e data center</v>
      </c>
      <c r="C8" t="str">
        <f>IF($A8="","",Parametri!$J7)</f>
        <v>9.8</v>
      </c>
      <c r="D8">
        <f t="shared" si="0"/>
        <v>3</v>
      </c>
      <c r="E8">
        <f t="shared" si="1"/>
        <v>3</v>
      </c>
      <c r="F8">
        <f t="shared" si="2"/>
        <v>9</v>
      </c>
      <c r="G8">
        <f t="shared" si="3"/>
        <v>3</v>
      </c>
      <c r="H8" s="29">
        <f t="shared" si="4"/>
        <v>1.5</v>
      </c>
      <c r="I8" s="29">
        <f t="shared" si="5"/>
        <v>0.25</v>
      </c>
      <c r="J8" s="29">
        <f>IF($A8="",NA(),MAX(IF(COUNTIFS(AZ_ID_Rischio,$A8,AZ_Ciclo,$AC8,AZ_Stato,"&lt;&gt;Respinta",AZ_Mesi_Orizzonte,"&gt;0")=0,moscaYDefault,_xlfn.MAXIFS(AZ_Mesi_Orizzonte,AZ_ID_Rischio,$A8,AZ_Ciclo,$AC8,AZ_Stato,"&lt;&gt;Respinta")/12),N(Parametri!$M7)))</f>
        <v>0.5</v>
      </c>
      <c r="K8" s="29">
        <f t="shared" si="6"/>
        <v>0.75</v>
      </c>
      <c r="L8" t="str">
        <f t="shared" si="7"/>
        <v>Agire entro l'anno</v>
      </c>
      <c r="M8">
        <f t="shared" si="8"/>
        <v>5</v>
      </c>
      <c r="N8">
        <f>IF($A8="",NA(),COUNTIF($C$4:C7,C8))</f>
        <v>0</v>
      </c>
      <c r="O8">
        <f t="shared" si="9"/>
        <v>1</v>
      </c>
      <c r="P8" s="29">
        <f t="shared" si="10"/>
        <v>3.8397243543875246</v>
      </c>
      <c r="Q8" s="29">
        <f t="shared" si="11"/>
        <v>2.75</v>
      </c>
      <c r="R8" s="29">
        <f t="shared" si="12"/>
        <v>-1.7676659266379819</v>
      </c>
      <c r="S8" s="29">
        <f t="shared" si="13"/>
        <v>-2.1066222185771903</v>
      </c>
      <c r="T8" t="str">
        <f>IF($A8="","",IF(Parametri!$N7="Sì","Sì",""))</f>
        <v/>
      </c>
      <c r="U8">
        <f t="shared" si="14"/>
        <v>0</v>
      </c>
      <c r="V8">
        <f t="shared" si="15"/>
        <v>0</v>
      </c>
      <c r="W8">
        <f>IF(OR($A8="",NOT(ISNUMBER(K8))),"",IF(N(INDEX(posNetti,4))&gt;=sogliaDirezione,1,0))</f>
        <v>0</v>
      </c>
      <c r="X8">
        <f t="shared" si="16"/>
        <v>0</v>
      </c>
      <c r="Y8">
        <f>IF(OR($A8="",NOT(ISNUMBER(K8))),"",IF(Parametri!$O7="Assente",1,0))</f>
        <v>0</v>
      </c>
      <c r="Z8">
        <f t="shared" si="17"/>
        <v>1</v>
      </c>
      <c r="AA8" t="str">
        <f t="shared" si="18"/>
        <v>Attenzione</v>
      </c>
      <c r="AB8" t="str">
        <f t="shared" si="19"/>
        <v>margine sotto l'anno con KRI in ambra o rosso</v>
      </c>
      <c r="AC8" t="str">
        <f t="shared" si="20"/>
        <v>2026Q4</v>
      </c>
      <c r="AD8">
        <f>2*PI()*3/72</f>
        <v>0.26179938779914941</v>
      </c>
      <c r="AE8">
        <f t="shared" si="21"/>
        <v>0.51763809020504148</v>
      </c>
      <c r="AF8">
        <f t="shared" si="22"/>
        <v>1.9318516525781366</v>
      </c>
      <c r="AG8">
        <f t="shared" si="23"/>
        <v>0.77645713530756222</v>
      </c>
      <c r="AH8">
        <f t="shared" si="24"/>
        <v>2.897777478867205</v>
      </c>
      <c r="AI8">
        <f t="shared" si="25"/>
        <v>1.035276180410083</v>
      </c>
      <c r="AJ8">
        <f t="shared" si="26"/>
        <v>3.8637033051562732</v>
      </c>
      <c r="AK8">
        <f t="shared" si="27"/>
        <v>1.2940952255126037</v>
      </c>
      <c r="AL8">
        <f t="shared" si="28"/>
        <v>4.8296291314453415</v>
      </c>
      <c r="AN8">
        <f>6.3*SIN(2*PI()*1/ROWS(codiciL1))</f>
        <v>4.0495619410251971</v>
      </c>
      <c r="AO8">
        <f>6.3*COS(2*PI()*1/ROWS(codiciL1))</f>
        <v>4.8260799916495616</v>
      </c>
      <c r="AQ8" t="s">
        <v>15</v>
      </c>
      <c r="AR8">
        <f>6.95*SIN(2*PI()*(3+0.5)/ROWS(codiciL1))</f>
        <v>4.4673738873214495</v>
      </c>
      <c r="AS8">
        <f>6.95*COS(2*PI()*(3+0.5)/ROWS(codiciL1))</f>
        <v>-5.3240088796768967</v>
      </c>
      <c r="AU8" t="e">
        <f t="shared" si="29"/>
        <v>#N/A</v>
      </c>
      <c r="AV8" t="e">
        <f t="shared" si="29"/>
        <v>#N/A</v>
      </c>
      <c r="AW8" t="e">
        <f t="shared" si="29"/>
        <v>#N/A</v>
      </c>
      <c r="AX8" t="e">
        <f t="shared" si="29"/>
        <v>#N/A</v>
      </c>
      <c r="AY8" t="e">
        <f t="shared" si="29"/>
        <v>#N/A</v>
      </c>
      <c r="AZ8" t="e">
        <f t="shared" si="29"/>
        <v>#N/A</v>
      </c>
      <c r="BA8" t="e">
        <f t="shared" si="29"/>
        <v>#N/A</v>
      </c>
      <c r="BB8" t="e">
        <f t="shared" si="29"/>
        <v>#N/A</v>
      </c>
      <c r="BC8" t="e">
        <f t="shared" si="29"/>
        <v>#N/A</v>
      </c>
      <c r="BD8" t="e">
        <f t="shared" si="29"/>
        <v>#N/A</v>
      </c>
      <c r="BE8" t="e">
        <f t="shared" si="30"/>
        <v>#N/A</v>
      </c>
      <c r="BF8" t="e">
        <f t="shared" si="30"/>
        <v>#N/A</v>
      </c>
      <c r="BG8" t="e">
        <f t="shared" si="30"/>
        <v>#N/A</v>
      </c>
      <c r="BH8" t="e">
        <f t="shared" si="30"/>
        <v>#N/A</v>
      </c>
      <c r="BI8" t="e">
        <f t="shared" si="30"/>
        <v>#N/A</v>
      </c>
      <c r="BJ8" t="e">
        <f t="shared" si="30"/>
        <v>#N/A</v>
      </c>
      <c r="BK8" t="e">
        <f t="shared" si="30"/>
        <v>#N/A</v>
      </c>
      <c r="BL8" t="e">
        <f t="shared" si="30"/>
        <v>#N/A</v>
      </c>
      <c r="BM8" t="e">
        <f t="shared" si="30"/>
        <v>#N/A</v>
      </c>
      <c r="BN8" t="e">
        <f t="shared" si="30"/>
        <v>#N/A</v>
      </c>
      <c r="BO8" t="e">
        <f t="shared" si="31"/>
        <v>#N/A</v>
      </c>
      <c r="BP8">
        <f t="shared" si="31"/>
        <v>-2.1066222185771903</v>
      </c>
      <c r="BQ8" t="e">
        <f t="shared" si="31"/>
        <v>#N/A</v>
      </c>
      <c r="BR8" t="e">
        <f t="shared" si="31"/>
        <v>#N/A</v>
      </c>
      <c r="BS8" t="e">
        <f t="shared" si="31"/>
        <v>#N/A</v>
      </c>
      <c r="BT8" t="e">
        <f t="shared" si="31"/>
        <v>#N/A</v>
      </c>
      <c r="BU8" t="e">
        <f t="shared" si="31"/>
        <v>#N/A</v>
      </c>
      <c r="BV8" t="e">
        <f t="shared" si="31"/>
        <v>#N/A</v>
      </c>
      <c r="BW8" t="e">
        <f t="shared" si="31"/>
        <v>#N/A</v>
      </c>
      <c r="BX8" t="e">
        <f t="shared" si="31"/>
        <v>#N/A</v>
      </c>
      <c r="BY8" t="e">
        <f t="shared" si="32"/>
        <v>#N/A</v>
      </c>
      <c r="BZ8" t="e">
        <f t="shared" si="32"/>
        <v>#N/A</v>
      </c>
      <c r="CA8" t="e">
        <f t="shared" si="32"/>
        <v>#N/A</v>
      </c>
      <c r="CB8" t="e">
        <f t="shared" si="32"/>
        <v>#N/A</v>
      </c>
      <c r="CC8" t="e">
        <f t="shared" si="32"/>
        <v>#N/A</v>
      </c>
      <c r="CD8" t="e">
        <f t="shared" si="32"/>
        <v>#N/A</v>
      </c>
      <c r="CE8" t="e">
        <f t="shared" si="32"/>
        <v>#N/A</v>
      </c>
      <c r="CF8" t="e">
        <f t="shared" si="32"/>
        <v>#N/A</v>
      </c>
      <c r="CG8" t="e">
        <f t="shared" si="32"/>
        <v>#N/A</v>
      </c>
      <c r="CH8" t="e">
        <f t="shared" si="32"/>
        <v>#N/A</v>
      </c>
      <c r="CI8" t="e">
        <f t="shared" si="32"/>
        <v>#N/A</v>
      </c>
      <c r="CJ8" t="e">
        <f t="shared" si="32"/>
        <v>#N/A</v>
      </c>
      <c r="CK8">
        <f t="shared" si="33"/>
        <v>-1.7676659266379819</v>
      </c>
      <c r="CL8" t="str">
        <f t="shared" si="34"/>
        <v>NFR-04</v>
      </c>
      <c r="CM8">
        <f t="shared" si="35"/>
        <v>-2.1066222185771903</v>
      </c>
      <c r="CN8" t="s">
        <v>227</v>
      </c>
      <c r="CO8">
        <v>-7.35</v>
      </c>
      <c r="CP8">
        <v>-9.85</v>
      </c>
    </row>
    <row r="9" spans="1:94" x14ac:dyDescent="0.4">
      <c r="A9" t="str">
        <f>IF(Parametri!$H8="","",Parametri!$H8)</f>
        <v>NFR-05</v>
      </c>
      <c r="B9" t="str">
        <f>IF($A9="","",Parametri!$I8)</f>
        <v>Errori di processo nella migrazione del core banking</v>
      </c>
      <c r="C9" t="str">
        <f>IF($A9="","",Parametri!$J8)</f>
        <v>9.13</v>
      </c>
      <c r="D9">
        <f t="shared" si="0"/>
        <v>3</v>
      </c>
      <c r="E9">
        <f t="shared" si="1"/>
        <v>3</v>
      </c>
      <c r="F9">
        <f t="shared" si="2"/>
        <v>9</v>
      </c>
      <c r="G9">
        <f t="shared" si="3"/>
        <v>3</v>
      </c>
      <c r="H9" s="29">
        <f t="shared" si="4"/>
        <v>1.5</v>
      </c>
      <c r="I9" s="29">
        <f t="shared" si="5"/>
        <v>0.25</v>
      </c>
      <c r="J9" s="29">
        <f>IF($A9="",NA(),MAX(IF(COUNTIFS(AZ_ID_Rischio,$A9,AZ_Ciclo,$AC9,AZ_Stato,"&lt;&gt;Respinta",AZ_Mesi_Orizzonte,"&gt;0")=0,moscaYDefault,_xlfn.MAXIFS(AZ_Mesi_Orizzonte,AZ_ID_Rischio,$A9,AZ_Ciclo,$AC9,AZ_Stato,"&lt;&gt;Respinta")/12),N(Parametri!$M8)))</f>
        <v>0.25</v>
      </c>
      <c r="K9" s="29">
        <f t="shared" si="6"/>
        <v>1</v>
      </c>
      <c r="L9" t="str">
        <f t="shared" si="7"/>
        <v>Margine 1 anno</v>
      </c>
      <c r="M9">
        <f t="shared" si="8"/>
        <v>8</v>
      </c>
      <c r="N9">
        <f>IF($A9="",NA(),COUNTIF($C$4:C8,C9))</f>
        <v>0</v>
      </c>
      <c r="O9">
        <f t="shared" si="9"/>
        <v>2</v>
      </c>
      <c r="P9" s="29">
        <f t="shared" si="10"/>
        <v>5.759586531581288</v>
      </c>
      <c r="Q9" s="29">
        <f t="shared" si="11"/>
        <v>3</v>
      </c>
      <c r="R9" s="29">
        <f t="shared" si="12"/>
        <v>-1.4999999999999991</v>
      </c>
      <c r="S9" s="29">
        <f t="shared" si="13"/>
        <v>2.5980762113533165</v>
      </c>
      <c r="T9" t="str">
        <f>IF($A9="","",IF(Parametri!$N8="Sì","Sì",""))</f>
        <v/>
      </c>
      <c r="U9">
        <f t="shared" si="14"/>
        <v>0</v>
      </c>
      <c r="V9">
        <f t="shared" si="15"/>
        <v>0</v>
      </c>
      <c r="W9">
        <f>IF(OR($A9="",NOT(ISNUMBER(K9))),"",IF(N(INDEX(posNetti,5))&gt;=sogliaDirezione,1,0))</f>
        <v>0</v>
      </c>
      <c r="X9">
        <f t="shared" si="16"/>
        <v>0</v>
      </c>
      <c r="Y9">
        <f>IF(OR($A9="",NOT(ISNUMBER(K9))),"",IF(Parametri!$O8="Assente",1,0))</f>
        <v>0</v>
      </c>
      <c r="Z9">
        <f t="shared" si="17"/>
        <v>0</v>
      </c>
      <c r="AA9" t="str">
        <f t="shared" si="18"/>
        <v>Monitoraggio</v>
      </c>
      <c r="AB9" t="str">
        <f t="shared" si="19"/>
        <v>nessun segnale forte</v>
      </c>
      <c r="AC9" t="str">
        <f t="shared" si="20"/>
        <v>2026Q4</v>
      </c>
      <c r="AD9">
        <f>2*PI()*4/72</f>
        <v>0.3490658503988659</v>
      </c>
      <c r="AE9">
        <f t="shared" si="21"/>
        <v>0.68404028665133743</v>
      </c>
      <c r="AF9">
        <f t="shared" si="22"/>
        <v>1.8793852415718169</v>
      </c>
      <c r="AG9">
        <f t="shared" si="23"/>
        <v>1.0260604299770062</v>
      </c>
      <c r="AH9">
        <f t="shared" si="24"/>
        <v>2.8190778623577253</v>
      </c>
      <c r="AI9">
        <f t="shared" si="25"/>
        <v>1.3680805733026749</v>
      </c>
      <c r="AJ9">
        <f t="shared" si="26"/>
        <v>3.7587704831436337</v>
      </c>
      <c r="AK9">
        <f t="shared" si="27"/>
        <v>1.7101007166283435</v>
      </c>
      <c r="AL9">
        <f t="shared" si="28"/>
        <v>4.6984631039295426</v>
      </c>
      <c r="AN9">
        <v>0</v>
      </c>
      <c r="AO9">
        <v>0</v>
      </c>
      <c r="AQ9" t="s">
        <v>23</v>
      </c>
      <c r="AR9">
        <f>6.95*SIN(2*PI()*(4+0.5)/ROWS(codiciL1))</f>
        <v>8.5147817616149091E-16</v>
      </c>
      <c r="AS9">
        <f>6.95*COS(2*PI()*(4+0.5)/ROWS(codiciL1))</f>
        <v>-6.95</v>
      </c>
      <c r="AU9" t="e">
        <f t="shared" si="29"/>
        <v>#N/A</v>
      </c>
      <c r="AV9" t="e">
        <f t="shared" si="29"/>
        <v>#N/A</v>
      </c>
      <c r="AW9" t="e">
        <f t="shared" si="29"/>
        <v>#N/A</v>
      </c>
      <c r="AX9" t="e">
        <f t="shared" si="29"/>
        <v>#N/A</v>
      </c>
      <c r="AY9" t="e">
        <f t="shared" si="29"/>
        <v>#N/A</v>
      </c>
      <c r="AZ9" t="e">
        <f t="shared" si="29"/>
        <v>#N/A</v>
      </c>
      <c r="BA9" t="e">
        <f t="shared" si="29"/>
        <v>#N/A</v>
      </c>
      <c r="BB9" t="e">
        <f t="shared" si="29"/>
        <v>#N/A</v>
      </c>
      <c r="BC9" t="e">
        <f t="shared" si="29"/>
        <v>#N/A</v>
      </c>
      <c r="BD9" t="e">
        <f t="shared" si="29"/>
        <v>#N/A</v>
      </c>
      <c r="BE9" t="e">
        <f t="shared" si="30"/>
        <v>#N/A</v>
      </c>
      <c r="BF9" t="e">
        <f t="shared" si="30"/>
        <v>#N/A</v>
      </c>
      <c r="BG9" t="e">
        <f t="shared" si="30"/>
        <v>#N/A</v>
      </c>
      <c r="BH9" t="e">
        <f t="shared" si="30"/>
        <v>#N/A</v>
      </c>
      <c r="BI9" t="e">
        <f t="shared" si="30"/>
        <v>#N/A</v>
      </c>
      <c r="BJ9" t="e">
        <f t="shared" si="30"/>
        <v>#N/A</v>
      </c>
      <c r="BK9" t="e">
        <f t="shared" si="30"/>
        <v>#N/A</v>
      </c>
      <c r="BL9" t="e">
        <f t="shared" si="30"/>
        <v>#N/A</v>
      </c>
      <c r="BM9" t="e">
        <f t="shared" si="30"/>
        <v>#N/A</v>
      </c>
      <c r="BN9" t="e">
        <f t="shared" si="30"/>
        <v>#N/A</v>
      </c>
      <c r="BO9" t="e">
        <f t="shared" si="31"/>
        <v>#N/A</v>
      </c>
      <c r="BP9" t="e">
        <f t="shared" si="31"/>
        <v>#N/A</v>
      </c>
      <c r="BQ9" t="e">
        <f t="shared" si="31"/>
        <v>#N/A</v>
      </c>
      <c r="BR9" t="e">
        <f t="shared" si="31"/>
        <v>#N/A</v>
      </c>
      <c r="BS9" t="e">
        <f t="shared" si="31"/>
        <v>#N/A</v>
      </c>
      <c r="BT9" t="e">
        <f t="shared" si="31"/>
        <v>#N/A</v>
      </c>
      <c r="BU9" t="e">
        <f t="shared" si="31"/>
        <v>#N/A</v>
      </c>
      <c r="BV9" t="e">
        <f t="shared" si="31"/>
        <v>#N/A</v>
      </c>
      <c r="BW9" t="e">
        <f t="shared" si="31"/>
        <v>#N/A</v>
      </c>
      <c r="BX9" t="e">
        <f t="shared" si="31"/>
        <v>#N/A</v>
      </c>
      <c r="BY9" t="e">
        <f t="shared" si="32"/>
        <v>#N/A</v>
      </c>
      <c r="BZ9" t="e">
        <f t="shared" si="32"/>
        <v>#N/A</v>
      </c>
      <c r="CA9" t="e">
        <f t="shared" si="32"/>
        <v>#N/A</v>
      </c>
      <c r="CB9" t="e">
        <f t="shared" si="32"/>
        <v>#N/A</v>
      </c>
      <c r="CC9" t="e">
        <f t="shared" si="32"/>
        <v>#N/A</v>
      </c>
      <c r="CD9">
        <f t="shared" si="32"/>
        <v>2.5980762113533165</v>
      </c>
      <c r="CE9" t="e">
        <f t="shared" si="32"/>
        <v>#N/A</v>
      </c>
      <c r="CF9" t="e">
        <f t="shared" si="32"/>
        <v>#N/A</v>
      </c>
      <c r="CG9" t="e">
        <f t="shared" si="32"/>
        <v>#N/A</v>
      </c>
      <c r="CH9" t="e">
        <f t="shared" si="32"/>
        <v>#N/A</v>
      </c>
      <c r="CI9" t="e">
        <f t="shared" si="32"/>
        <v>#N/A</v>
      </c>
      <c r="CJ9" t="e">
        <f t="shared" si="32"/>
        <v>#N/A</v>
      </c>
      <c r="CK9">
        <f t="shared" si="33"/>
        <v>-1.4999999999999991</v>
      </c>
      <c r="CL9" t="str">
        <f t="shared" si="34"/>
        <v>NFR-05</v>
      </c>
      <c r="CM9">
        <f t="shared" si="35"/>
        <v>2.5980762113533165</v>
      </c>
      <c r="CO9">
        <v>-6.45</v>
      </c>
      <c r="CP9">
        <v>-9.85</v>
      </c>
    </row>
    <row r="10" spans="1:94" x14ac:dyDescent="0.4">
      <c r="A10" t="str">
        <f>IF(Parametri!$H9="","",Parametri!$H9)</f>
        <v>NFR-06</v>
      </c>
      <c r="B10" t="str">
        <f>IF($A10="","",Parametri!$I9)</f>
        <v>Esfiltrazione di dati tramite strumenti di AI non autorizzati</v>
      </c>
      <c r="C10" t="str">
        <f>IF($A10="","",Parametri!$J9)</f>
        <v>9.7</v>
      </c>
      <c r="D10">
        <f t="shared" si="0"/>
        <v>3</v>
      </c>
      <c r="E10">
        <f t="shared" si="1"/>
        <v>3</v>
      </c>
      <c r="F10">
        <f t="shared" si="2"/>
        <v>9</v>
      </c>
      <c r="G10">
        <f t="shared" si="3"/>
        <v>3</v>
      </c>
      <c r="H10" s="29">
        <f t="shared" si="4"/>
        <v>1.5</v>
      </c>
      <c r="I10" s="29">
        <f t="shared" si="5"/>
        <v>0.25</v>
      </c>
      <c r="J10" s="29">
        <f>IF($A10="",NA(),MAX(IF(COUNTIFS(AZ_ID_Rischio,$A10,AZ_Ciclo,$AC10,AZ_Stato,"&lt;&gt;Respinta",AZ_Mesi_Orizzonte,"&gt;0")=0,moscaYDefault,_xlfn.MAXIFS(AZ_Mesi_Orizzonte,AZ_ID_Rischio,$A10,AZ_Ciclo,$AC10,AZ_Stato,"&lt;&gt;Respinta")/12),N(Parametri!$M9)))</f>
        <v>1</v>
      </c>
      <c r="K10" s="29">
        <f t="shared" si="6"/>
        <v>0.25</v>
      </c>
      <c r="L10" t="str">
        <f t="shared" si="7"/>
        <v>Agire entro l'anno</v>
      </c>
      <c r="M10">
        <f t="shared" si="8"/>
        <v>4</v>
      </c>
      <c r="N10">
        <f>IF($A10="",NA(),COUNTIF($C$4:C9,C10))</f>
        <v>1</v>
      </c>
      <c r="O10">
        <f t="shared" si="9"/>
        <v>3</v>
      </c>
      <c r="P10" s="29">
        <f t="shared" si="10"/>
        <v>3.1415926535897931</v>
      </c>
      <c r="Q10" s="29">
        <f t="shared" si="11"/>
        <v>2.25</v>
      </c>
      <c r="R10" s="29">
        <f t="shared" si="12"/>
        <v>2.756584023544395E-16</v>
      </c>
      <c r="S10" s="29">
        <f t="shared" si="13"/>
        <v>-2.25</v>
      </c>
      <c r="T10" t="str">
        <f>IF($A10="","",IF(Parametri!$N9="Sì","Sì",""))</f>
        <v/>
      </c>
      <c r="U10">
        <f t="shared" si="14"/>
        <v>0</v>
      </c>
      <c r="V10">
        <f t="shared" si="15"/>
        <v>0</v>
      </c>
      <c r="W10">
        <f>IF(OR($A10="",NOT(ISNUMBER(K10))),"",IF(N(INDEX(posNetti,6))&gt;=sogliaDirezione,1,0))</f>
        <v>0</v>
      </c>
      <c r="X10">
        <f t="shared" si="16"/>
        <v>0</v>
      </c>
      <c r="Y10">
        <f>IF(OR($A10="",NOT(ISNUMBER(K10))),"",IF(Parametri!$O9="Assente",1,0))</f>
        <v>1</v>
      </c>
      <c r="Z10">
        <f t="shared" si="17"/>
        <v>0</v>
      </c>
      <c r="AA10" t="str">
        <f t="shared" si="18"/>
        <v>Attenzione</v>
      </c>
      <c r="AB10" t="str">
        <f t="shared" si="19"/>
        <v>margine sotto l'anno con presidio dei controlli assente</v>
      </c>
      <c r="AC10" t="str">
        <f t="shared" si="20"/>
        <v>2026Q4</v>
      </c>
      <c r="AD10">
        <f>2*PI()*5/72</f>
        <v>0.43633231299858238</v>
      </c>
      <c r="AE10">
        <f t="shared" si="21"/>
        <v>0.84523652348139888</v>
      </c>
      <c r="AF10">
        <f t="shared" si="22"/>
        <v>1.8126155740732999</v>
      </c>
      <c r="AG10">
        <f t="shared" si="23"/>
        <v>1.2678547852220983</v>
      </c>
      <c r="AH10">
        <f t="shared" si="24"/>
        <v>2.7189233611099497</v>
      </c>
      <c r="AI10">
        <f t="shared" si="25"/>
        <v>1.6904730469627978</v>
      </c>
      <c r="AJ10">
        <f t="shared" si="26"/>
        <v>3.6252311481465997</v>
      </c>
      <c r="AK10">
        <f t="shared" si="27"/>
        <v>2.1130913087034973</v>
      </c>
      <c r="AL10">
        <f t="shared" si="28"/>
        <v>4.5315389351832494</v>
      </c>
      <c r="AN10">
        <f>6.3*SIN(2*PI()*2/ROWS(codiciL1))</f>
        <v>6.2042888439769106</v>
      </c>
      <c r="AO10">
        <f>6.3*COS(2*PI()*2/ROWS(codiciL1))</f>
        <v>1.0939835193016616</v>
      </c>
      <c r="AQ10" t="s">
        <v>24</v>
      </c>
      <c r="AR10">
        <f>6.95*SIN(2*PI()*(5+0.5)/ROWS(codiciL1))</f>
        <v>-4.4673738873214459</v>
      </c>
      <c r="AS10">
        <f>6.95*COS(2*PI()*(5+0.5)/ROWS(codiciL1))</f>
        <v>-5.3240088796768994</v>
      </c>
      <c r="AU10" t="e">
        <f t="shared" si="29"/>
        <v>#N/A</v>
      </c>
      <c r="AV10" t="e">
        <f t="shared" si="29"/>
        <v>#N/A</v>
      </c>
      <c r="AW10" t="e">
        <f t="shared" si="29"/>
        <v>#N/A</v>
      </c>
      <c r="AX10" t="e">
        <f t="shared" si="29"/>
        <v>#N/A</v>
      </c>
      <c r="AY10" t="e">
        <f t="shared" si="29"/>
        <v>#N/A</v>
      </c>
      <c r="AZ10" t="e">
        <f t="shared" si="29"/>
        <v>#N/A</v>
      </c>
      <c r="BA10" t="e">
        <f t="shared" si="29"/>
        <v>#N/A</v>
      </c>
      <c r="BB10" t="e">
        <f t="shared" si="29"/>
        <v>#N/A</v>
      </c>
      <c r="BC10" t="e">
        <f t="shared" si="29"/>
        <v>#N/A</v>
      </c>
      <c r="BD10" t="e">
        <f t="shared" si="29"/>
        <v>#N/A</v>
      </c>
      <c r="BE10" t="e">
        <f t="shared" si="30"/>
        <v>#N/A</v>
      </c>
      <c r="BF10" t="e">
        <f t="shared" si="30"/>
        <v>#N/A</v>
      </c>
      <c r="BG10" t="e">
        <f t="shared" si="30"/>
        <v>#N/A</v>
      </c>
      <c r="BH10" t="e">
        <f t="shared" si="30"/>
        <v>#N/A</v>
      </c>
      <c r="BI10" t="e">
        <f t="shared" si="30"/>
        <v>#N/A</v>
      </c>
      <c r="BJ10" t="e">
        <f t="shared" si="30"/>
        <v>#N/A</v>
      </c>
      <c r="BK10" t="e">
        <f t="shared" si="30"/>
        <v>#N/A</v>
      </c>
      <c r="BL10" t="e">
        <f t="shared" si="30"/>
        <v>#N/A</v>
      </c>
      <c r="BM10" t="e">
        <f t="shared" si="30"/>
        <v>#N/A</v>
      </c>
      <c r="BN10" t="e">
        <f t="shared" si="30"/>
        <v>#N/A</v>
      </c>
      <c r="BO10" t="e">
        <f t="shared" si="31"/>
        <v>#N/A</v>
      </c>
      <c r="BP10">
        <f t="shared" si="31"/>
        <v>-2.25</v>
      </c>
      <c r="BQ10" t="e">
        <f t="shared" si="31"/>
        <v>#N/A</v>
      </c>
      <c r="BR10" t="e">
        <f t="shared" si="31"/>
        <v>#N/A</v>
      </c>
      <c r="BS10" t="e">
        <f t="shared" si="31"/>
        <v>#N/A</v>
      </c>
      <c r="BT10" t="e">
        <f t="shared" si="31"/>
        <v>#N/A</v>
      </c>
      <c r="BU10" t="e">
        <f t="shared" si="31"/>
        <v>#N/A</v>
      </c>
      <c r="BV10" t="e">
        <f t="shared" si="31"/>
        <v>#N/A</v>
      </c>
      <c r="BW10" t="e">
        <f t="shared" si="31"/>
        <v>#N/A</v>
      </c>
      <c r="BX10" t="e">
        <f t="shared" si="31"/>
        <v>#N/A</v>
      </c>
      <c r="BY10" t="e">
        <f t="shared" si="32"/>
        <v>#N/A</v>
      </c>
      <c r="BZ10" t="e">
        <f t="shared" si="32"/>
        <v>#N/A</v>
      </c>
      <c r="CA10" t="e">
        <f t="shared" si="32"/>
        <v>#N/A</v>
      </c>
      <c r="CB10" t="e">
        <f t="shared" si="32"/>
        <v>#N/A</v>
      </c>
      <c r="CC10" t="e">
        <f t="shared" si="32"/>
        <v>#N/A</v>
      </c>
      <c r="CD10" t="e">
        <f t="shared" si="32"/>
        <v>#N/A</v>
      </c>
      <c r="CE10" t="e">
        <f t="shared" si="32"/>
        <v>#N/A</v>
      </c>
      <c r="CF10" t="e">
        <f t="shared" si="32"/>
        <v>#N/A</v>
      </c>
      <c r="CG10" t="e">
        <f t="shared" si="32"/>
        <v>#N/A</v>
      </c>
      <c r="CH10" t="e">
        <f t="shared" si="32"/>
        <v>#N/A</v>
      </c>
      <c r="CI10" t="e">
        <f t="shared" si="32"/>
        <v>#N/A</v>
      </c>
      <c r="CJ10" t="e">
        <f t="shared" si="32"/>
        <v>#N/A</v>
      </c>
      <c r="CK10">
        <f t="shared" si="33"/>
        <v>2.756584023544395E-16</v>
      </c>
      <c r="CL10" t="str">
        <f t="shared" si="34"/>
        <v>NFR-06</v>
      </c>
      <c r="CM10">
        <f t="shared" si="35"/>
        <v>-2.25</v>
      </c>
      <c r="CN10" t="s">
        <v>25</v>
      </c>
      <c r="CO10">
        <v>4.4000000000000004</v>
      </c>
      <c r="CP10">
        <v>-8.0499999999999989</v>
      </c>
    </row>
    <row r="11" spans="1:94" x14ac:dyDescent="0.4">
      <c r="A11" t="str">
        <f>IF(Parametri!$H10="","",Parametri!$H10)</f>
        <v>NFR-07</v>
      </c>
      <c r="B11" t="str">
        <f>IF($A11="","",Parametri!$I10)</f>
        <v>Ransomware presso un fornitore di servizi di pagamento</v>
      </c>
      <c r="C11" t="str">
        <f>IF($A11="","",Parametri!$J10)</f>
        <v>9.9</v>
      </c>
      <c r="D11">
        <f t="shared" si="0"/>
        <v>4</v>
      </c>
      <c r="E11">
        <f t="shared" si="1"/>
        <v>3</v>
      </c>
      <c r="F11">
        <f t="shared" si="2"/>
        <v>12</v>
      </c>
      <c r="G11">
        <f t="shared" si="3"/>
        <v>3</v>
      </c>
      <c r="H11" s="29">
        <f t="shared" si="4"/>
        <v>1.5</v>
      </c>
      <c r="I11" s="29">
        <f t="shared" si="5"/>
        <v>0.25</v>
      </c>
      <c r="J11" s="29">
        <f>IF($A11="",NA(),MAX(IF(COUNTIFS(AZ_ID_Rischio,$A11,AZ_Ciclo,$AC11,AZ_Stato,"&lt;&gt;Respinta",AZ_Mesi_Orizzonte,"&gt;0")=0,moscaYDefault,_xlfn.MAXIFS(AZ_Mesi_Orizzonte,AZ_ID_Rischio,$A11,AZ_Ciclo,$AC11,AZ_Stato,"&lt;&gt;Respinta")/12),N(Parametri!$M10)))</f>
        <v>0.5</v>
      </c>
      <c r="K11" s="29">
        <f t="shared" si="6"/>
        <v>0.75</v>
      </c>
      <c r="L11" t="str">
        <f t="shared" si="7"/>
        <v>Agire entro l'anno</v>
      </c>
      <c r="M11">
        <f t="shared" si="8"/>
        <v>6</v>
      </c>
      <c r="N11">
        <f>IF($A11="",NA(),COUNTIF($C$4:C10,C11))</f>
        <v>1</v>
      </c>
      <c r="O11">
        <f t="shared" si="9"/>
        <v>2</v>
      </c>
      <c r="P11" s="29">
        <f t="shared" si="10"/>
        <v>4.7123889803846897</v>
      </c>
      <c r="Q11" s="29">
        <f t="shared" si="11"/>
        <v>2.75</v>
      </c>
      <c r="R11" s="29">
        <f t="shared" si="12"/>
        <v>-2.75</v>
      </c>
      <c r="S11" s="29">
        <f t="shared" si="13"/>
        <v>-5.0537373764980575E-16</v>
      </c>
      <c r="T11" t="str">
        <f>IF($A11="","",IF(Parametri!$N10="Sì","Sì",""))</f>
        <v>Sì</v>
      </c>
      <c r="U11">
        <f t="shared" si="14"/>
        <v>0</v>
      </c>
      <c r="V11">
        <f t="shared" si="15"/>
        <v>0</v>
      </c>
      <c r="W11">
        <f>IF(OR($A11="",NOT(ISNUMBER(K11))),"",IF(N(INDEX(posNetti,7))&gt;=sogliaDirezione,1,0))</f>
        <v>0</v>
      </c>
      <c r="X11">
        <f t="shared" si="16"/>
        <v>1</v>
      </c>
      <c r="Y11">
        <f>IF(OR($A11="",NOT(ISNUMBER(K11))),"",IF(Parametri!$O10="Assente",1,0))</f>
        <v>0</v>
      </c>
      <c r="Z11">
        <f t="shared" si="17"/>
        <v>1</v>
      </c>
      <c r="AA11" t="str">
        <f t="shared" si="18"/>
        <v>Attenzione</v>
      </c>
      <c r="AB11" t="str">
        <f t="shared" si="19"/>
        <v>margine sotto l'anno con P x I alta, KRI in ambra o rosso</v>
      </c>
      <c r="AC11" t="str">
        <f t="shared" si="20"/>
        <v>2026Q4</v>
      </c>
      <c r="AD11">
        <f>2*PI()*6/72</f>
        <v>0.52359877559829882</v>
      </c>
      <c r="AE11">
        <f t="shared" si="21"/>
        <v>0.99999999999999989</v>
      </c>
      <c r="AF11">
        <f t="shared" si="22"/>
        <v>1.7320508075688774</v>
      </c>
      <c r="AG11">
        <f t="shared" si="23"/>
        <v>1.4999999999999998</v>
      </c>
      <c r="AH11">
        <f t="shared" si="24"/>
        <v>2.598076211353316</v>
      </c>
      <c r="AI11">
        <f t="shared" si="25"/>
        <v>1.9999999999999998</v>
      </c>
      <c r="AJ11">
        <f t="shared" si="26"/>
        <v>3.4641016151377548</v>
      </c>
      <c r="AK11">
        <f t="shared" si="27"/>
        <v>2.4999999999999996</v>
      </c>
      <c r="AL11">
        <f t="shared" si="28"/>
        <v>4.3301270189221936</v>
      </c>
      <c r="AN11">
        <v>0</v>
      </c>
      <c r="AO11">
        <v>0</v>
      </c>
      <c r="AQ11" t="s">
        <v>26</v>
      </c>
      <c r="AR11">
        <f>6.95*SIN(2*PI()*(6+0.5)/ROWS(codiciL1))</f>
        <v>-6.8444138834348456</v>
      </c>
      <c r="AS11">
        <f>6.95*COS(2*PI()*(6+0.5)/ROWS(codiciL1))</f>
        <v>-1.2068548347851658</v>
      </c>
      <c r="AU11" t="e">
        <f t="shared" si="29"/>
        <v>#N/A</v>
      </c>
      <c r="AV11" t="e">
        <f t="shared" si="29"/>
        <v>#N/A</v>
      </c>
      <c r="AW11" t="e">
        <f t="shared" si="29"/>
        <v>#N/A</v>
      </c>
      <c r="AX11" t="e">
        <f t="shared" si="29"/>
        <v>#N/A</v>
      </c>
      <c r="AY11" t="e">
        <f t="shared" si="29"/>
        <v>#N/A</v>
      </c>
      <c r="AZ11" t="e">
        <f t="shared" si="29"/>
        <v>#N/A</v>
      </c>
      <c r="BA11" t="e">
        <f t="shared" si="29"/>
        <v>#N/A</v>
      </c>
      <c r="BB11" t="e">
        <f t="shared" si="29"/>
        <v>#N/A</v>
      </c>
      <c r="BC11" t="e">
        <f t="shared" si="29"/>
        <v>#N/A</v>
      </c>
      <c r="BD11" t="e">
        <f t="shared" si="29"/>
        <v>#N/A</v>
      </c>
      <c r="BE11" t="e">
        <f t="shared" si="30"/>
        <v>#N/A</v>
      </c>
      <c r="BF11" t="e">
        <f t="shared" si="30"/>
        <v>#N/A</v>
      </c>
      <c r="BG11" t="e">
        <f t="shared" si="30"/>
        <v>#N/A</v>
      </c>
      <c r="BH11" t="e">
        <f t="shared" si="30"/>
        <v>#N/A</v>
      </c>
      <c r="BI11" t="e">
        <f t="shared" si="30"/>
        <v>#N/A</v>
      </c>
      <c r="BJ11" t="e">
        <f t="shared" si="30"/>
        <v>#N/A</v>
      </c>
      <c r="BK11" t="e">
        <f t="shared" si="30"/>
        <v>#N/A</v>
      </c>
      <c r="BL11" t="e">
        <f t="shared" si="30"/>
        <v>#N/A</v>
      </c>
      <c r="BM11" t="e">
        <f t="shared" si="30"/>
        <v>#N/A</v>
      </c>
      <c r="BN11" t="e">
        <f t="shared" si="30"/>
        <v>#N/A</v>
      </c>
      <c r="BO11" t="e">
        <f t="shared" si="31"/>
        <v>#N/A</v>
      </c>
      <c r="BP11" t="e">
        <f t="shared" si="31"/>
        <v>#N/A</v>
      </c>
      <c r="BQ11" t="e">
        <f t="shared" si="31"/>
        <v>#N/A</v>
      </c>
      <c r="BR11">
        <f t="shared" si="31"/>
        <v>-5.0537373764980575E-16</v>
      </c>
      <c r="BS11" t="e">
        <f t="shared" si="31"/>
        <v>#N/A</v>
      </c>
      <c r="BT11" t="e">
        <f t="shared" si="31"/>
        <v>#N/A</v>
      </c>
      <c r="BU11" t="e">
        <f t="shared" si="31"/>
        <v>#N/A</v>
      </c>
      <c r="BV11" t="e">
        <f t="shared" si="31"/>
        <v>#N/A</v>
      </c>
      <c r="BW11" t="e">
        <f t="shared" si="31"/>
        <v>#N/A</v>
      </c>
      <c r="BX11" t="e">
        <f t="shared" si="31"/>
        <v>#N/A</v>
      </c>
      <c r="BY11" t="e">
        <f t="shared" si="32"/>
        <v>#N/A</v>
      </c>
      <c r="BZ11" t="e">
        <f t="shared" si="32"/>
        <v>#N/A</v>
      </c>
      <c r="CA11" t="e">
        <f t="shared" si="32"/>
        <v>#N/A</v>
      </c>
      <c r="CB11" t="e">
        <f t="shared" si="32"/>
        <v>#N/A</v>
      </c>
      <c r="CC11" t="e">
        <f t="shared" si="32"/>
        <v>#N/A</v>
      </c>
      <c r="CD11" t="e">
        <f t="shared" si="32"/>
        <v>#N/A</v>
      </c>
      <c r="CE11" t="e">
        <f t="shared" si="32"/>
        <v>#N/A</v>
      </c>
      <c r="CF11" t="e">
        <f t="shared" si="32"/>
        <v>#N/A</v>
      </c>
      <c r="CG11" t="e">
        <f t="shared" si="32"/>
        <v>#N/A</v>
      </c>
      <c r="CH11" t="e">
        <f t="shared" si="32"/>
        <v>#N/A</v>
      </c>
      <c r="CI11" t="e">
        <f t="shared" si="32"/>
        <v>#N/A</v>
      </c>
      <c r="CJ11" t="e">
        <f t="shared" si="32"/>
        <v>#N/A</v>
      </c>
      <c r="CK11">
        <f t="shared" si="33"/>
        <v>-2.75</v>
      </c>
      <c r="CL11" t="str">
        <f t="shared" si="34"/>
        <v>NFR-07 ◆</v>
      </c>
      <c r="CM11">
        <f t="shared" si="35"/>
        <v>-5.0537373764980575E-16</v>
      </c>
      <c r="CN11" t="s">
        <v>27</v>
      </c>
      <c r="CO11">
        <v>3.5</v>
      </c>
      <c r="CP11">
        <v>-9.1</v>
      </c>
    </row>
    <row r="12" spans="1:94" x14ac:dyDescent="0.4">
      <c r="A12" t="str">
        <f>IF(Parametri!$H11="","",Parametri!$H11)</f>
        <v>NFR-08</v>
      </c>
      <c r="B12" t="str">
        <f>IF($A12="","",Parametri!$I11)</f>
        <v>Accessi impropri di dipendenti ai dati dei clienti</v>
      </c>
      <c r="C12" t="str">
        <f>IF($A12="","",Parametri!$J11)</f>
        <v>9.7</v>
      </c>
      <c r="D12">
        <f t="shared" si="0"/>
        <v>3</v>
      </c>
      <c r="E12">
        <f t="shared" si="1"/>
        <v>2</v>
      </c>
      <c r="F12">
        <f t="shared" si="2"/>
        <v>6</v>
      </c>
      <c r="G12">
        <f t="shared" si="3"/>
        <v>3</v>
      </c>
      <c r="H12" s="29">
        <f t="shared" si="4"/>
        <v>1.5</v>
      </c>
      <c r="I12" s="29">
        <f t="shared" si="5"/>
        <v>0.25</v>
      </c>
      <c r="J12" s="29">
        <f>IF($A12="",NA(),MAX(IF(COUNTIFS(AZ_ID_Rischio,$A12,AZ_Ciclo,$AC12,AZ_Stato,"&lt;&gt;Respinta",AZ_Mesi_Orizzonte,"&gt;0")=0,moscaYDefault,_xlfn.MAXIFS(AZ_Mesi_Orizzonte,AZ_ID_Rischio,$A12,AZ_Ciclo,$AC12,AZ_Stato,"&lt;&gt;Respinta")/12),N(Parametri!$M11)))</f>
        <v>0.25</v>
      </c>
      <c r="K12" s="29">
        <f t="shared" si="6"/>
        <v>1</v>
      </c>
      <c r="L12" t="str">
        <f t="shared" si="7"/>
        <v>Margine 1 anno</v>
      </c>
      <c r="M12">
        <f t="shared" si="8"/>
        <v>4</v>
      </c>
      <c r="N12">
        <f>IF($A12="",NA(),COUNTIF($C$4:C11,C12))</f>
        <v>2</v>
      </c>
      <c r="O12">
        <f t="shared" si="9"/>
        <v>3</v>
      </c>
      <c r="P12" s="29">
        <f t="shared" si="10"/>
        <v>3.37430322052237</v>
      </c>
      <c r="Q12" s="29">
        <f t="shared" si="11"/>
        <v>3</v>
      </c>
      <c r="R12" s="29">
        <f t="shared" si="12"/>
        <v>-0.69184761222731894</v>
      </c>
      <c r="S12" s="29">
        <f t="shared" si="13"/>
        <v>-2.9191346117394716</v>
      </c>
      <c r="T12" t="str">
        <f>IF($A12="","",IF(Parametri!$N11="Sì","Sì",""))</f>
        <v/>
      </c>
      <c r="U12">
        <f t="shared" si="14"/>
        <v>0</v>
      </c>
      <c r="V12">
        <f t="shared" si="15"/>
        <v>0</v>
      </c>
      <c r="W12">
        <f>IF(OR($A12="",NOT(ISNUMBER(K12))),"",IF(N(INDEX(posNetti,8))&gt;=sogliaDirezione,1,0))</f>
        <v>0</v>
      </c>
      <c r="X12">
        <f t="shared" si="16"/>
        <v>0</v>
      </c>
      <c r="Y12">
        <f>IF(OR($A12="",NOT(ISNUMBER(K12))),"",IF(Parametri!$O11="Assente",1,0))</f>
        <v>0</v>
      </c>
      <c r="Z12">
        <f t="shared" si="17"/>
        <v>0</v>
      </c>
      <c r="AA12" t="str">
        <f t="shared" si="18"/>
        <v>Monitoraggio</v>
      </c>
      <c r="AB12" t="str">
        <f t="shared" si="19"/>
        <v>nessun segnale forte</v>
      </c>
      <c r="AC12" t="str">
        <f t="shared" si="20"/>
        <v>2026Q4</v>
      </c>
      <c r="AD12">
        <f>2*PI()*7/72</f>
        <v>0.6108652381980153</v>
      </c>
      <c r="AE12">
        <f t="shared" si="21"/>
        <v>1.1471528727020921</v>
      </c>
      <c r="AF12">
        <f t="shared" si="22"/>
        <v>1.6383040885779836</v>
      </c>
      <c r="AG12">
        <f t="shared" si="23"/>
        <v>1.7207293090531381</v>
      </c>
      <c r="AH12">
        <f t="shared" si="24"/>
        <v>2.4574561328669753</v>
      </c>
      <c r="AI12">
        <f t="shared" si="25"/>
        <v>2.2943057454041842</v>
      </c>
      <c r="AJ12">
        <f t="shared" si="26"/>
        <v>3.2766081771559672</v>
      </c>
      <c r="AK12">
        <f t="shared" si="27"/>
        <v>2.8678821817552302</v>
      </c>
      <c r="AL12">
        <f t="shared" si="28"/>
        <v>4.0957602214449587</v>
      </c>
      <c r="AN12">
        <f>6.3*SIN(2*PI()*3/ROWS(codiciL1))</f>
        <v>5.455960043841964</v>
      </c>
      <c r="AO12">
        <f>6.3*COS(2*PI()*3/ROWS(codiciL1))</f>
        <v>-3.1499999999999986</v>
      </c>
      <c r="AQ12" t="s">
        <v>28</v>
      </c>
      <c r="AR12">
        <f>6.95*SIN(2*PI()*(7+0.5)/ROWS(codiciL1))</f>
        <v>-6.0188765563018514</v>
      </c>
      <c r="AS12">
        <f>6.95*COS(2*PI()*(7+0.5)/ROWS(codiciL1))</f>
        <v>3.4749999999999956</v>
      </c>
      <c r="AU12" t="e">
        <f t="shared" si="29"/>
        <v>#N/A</v>
      </c>
      <c r="AV12" t="e">
        <f t="shared" si="29"/>
        <v>#N/A</v>
      </c>
      <c r="AW12" t="e">
        <f t="shared" si="29"/>
        <v>#N/A</v>
      </c>
      <c r="AX12" t="e">
        <f t="shared" si="29"/>
        <v>#N/A</v>
      </c>
      <c r="AY12" t="e">
        <f t="shared" si="29"/>
        <v>#N/A</v>
      </c>
      <c r="AZ12" t="e">
        <f t="shared" si="29"/>
        <v>#N/A</v>
      </c>
      <c r="BA12" t="e">
        <f t="shared" si="29"/>
        <v>#N/A</v>
      </c>
      <c r="BB12" t="e">
        <f t="shared" si="29"/>
        <v>#N/A</v>
      </c>
      <c r="BC12" t="e">
        <f t="shared" si="29"/>
        <v>#N/A</v>
      </c>
      <c r="BD12" t="e">
        <f t="shared" si="29"/>
        <v>#N/A</v>
      </c>
      <c r="BE12" t="e">
        <f t="shared" si="30"/>
        <v>#N/A</v>
      </c>
      <c r="BF12" t="e">
        <f t="shared" si="30"/>
        <v>#N/A</v>
      </c>
      <c r="BG12" t="e">
        <f t="shared" si="30"/>
        <v>#N/A</v>
      </c>
      <c r="BH12" t="e">
        <f t="shared" si="30"/>
        <v>#N/A</v>
      </c>
      <c r="BI12" t="e">
        <f t="shared" si="30"/>
        <v>#N/A</v>
      </c>
      <c r="BJ12" t="e">
        <f t="shared" si="30"/>
        <v>#N/A</v>
      </c>
      <c r="BK12" t="e">
        <f t="shared" si="30"/>
        <v>#N/A</v>
      </c>
      <c r="BL12" t="e">
        <f t="shared" si="30"/>
        <v>#N/A</v>
      </c>
      <c r="BM12" t="e">
        <f t="shared" si="30"/>
        <v>#N/A</v>
      </c>
      <c r="BN12" t="e">
        <f t="shared" si="30"/>
        <v>#N/A</v>
      </c>
      <c r="BO12" t="e">
        <f t="shared" si="31"/>
        <v>#N/A</v>
      </c>
      <c r="BP12" t="e">
        <f t="shared" si="31"/>
        <v>#N/A</v>
      </c>
      <c r="BQ12" t="e">
        <f t="shared" si="31"/>
        <v>#N/A</v>
      </c>
      <c r="BR12" t="e">
        <f t="shared" si="31"/>
        <v>#N/A</v>
      </c>
      <c r="BS12" t="e">
        <f t="shared" si="31"/>
        <v>#N/A</v>
      </c>
      <c r="BT12" t="e">
        <f t="shared" si="31"/>
        <v>#N/A</v>
      </c>
      <c r="BU12" t="e">
        <f t="shared" si="31"/>
        <v>#N/A</v>
      </c>
      <c r="BV12" t="e">
        <f t="shared" si="31"/>
        <v>#N/A</v>
      </c>
      <c r="BW12" t="e">
        <f t="shared" si="31"/>
        <v>#N/A</v>
      </c>
      <c r="BX12" t="e">
        <f t="shared" si="31"/>
        <v>#N/A</v>
      </c>
      <c r="BY12" t="e">
        <f t="shared" si="32"/>
        <v>#N/A</v>
      </c>
      <c r="BZ12" t="e">
        <f t="shared" si="32"/>
        <v>#N/A</v>
      </c>
      <c r="CA12" t="e">
        <f t="shared" si="32"/>
        <v>#N/A</v>
      </c>
      <c r="CB12">
        <f t="shared" si="32"/>
        <v>-2.9191346117394716</v>
      </c>
      <c r="CC12" t="e">
        <f t="shared" si="32"/>
        <v>#N/A</v>
      </c>
      <c r="CD12" t="e">
        <f t="shared" si="32"/>
        <v>#N/A</v>
      </c>
      <c r="CE12" t="e">
        <f t="shared" si="32"/>
        <v>#N/A</v>
      </c>
      <c r="CF12" t="e">
        <f t="shared" si="32"/>
        <v>#N/A</v>
      </c>
      <c r="CG12" t="e">
        <f t="shared" si="32"/>
        <v>#N/A</v>
      </c>
      <c r="CH12" t="e">
        <f t="shared" si="32"/>
        <v>#N/A</v>
      </c>
      <c r="CI12" t="e">
        <f t="shared" si="32"/>
        <v>#N/A</v>
      </c>
      <c r="CJ12" t="e">
        <f t="shared" si="32"/>
        <v>#N/A</v>
      </c>
      <c r="CK12">
        <f t="shared" si="33"/>
        <v>-0.69184761222731894</v>
      </c>
      <c r="CL12" t="str">
        <f t="shared" si="34"/>
        <v>NFR-08</v>
      </c>
      <c r="CM12">
        <f t="shared" si="35"/>
        <v>-2.9191346117394716</v>
      </c>
      <c r="CN12" t="s">
        <v>29</v>
      </c>
      <c r="CO12">
        <v>4.8</v>
      </c>
      <c r="CP12">
        <v>-9.1</v>
      </c>
    </row>
    <row r="13" spans="1:94" x14ac:dyDescent="0.4">
      <c r="A13" t="str">
        <f>IF(Parametri!$H12="","",Parametri!$H12)</f>
        <v>NFR-09</v>
      </c>
      <c r="B13" t="str">
        <f>IF($A13="","",Parametri!$I12)</f>
        <v>Violazione di sanzioni internazionali tramite triangolazioni</v>
      </c>
      <c r="C13" t="str">
        <f>IF($A13="","",Parametri!$J12)</f>
        <v>9.4</v>
      </c>
      <c r="D13">
        <f t="shared" si="0"/>
        <v>4</v>
      </c>
      <c r="E13">
        <f t="shared" si="1"/>
        <v>2</v>
      </c>
      <c r="F13">
        <f t="shared" si="2"/>
        <v>8</v>
      </c>
      <c r="G13">
        <f t="shared" si="3"/>
        <v>2</v>
      </c>
      <c r="H13" s="29">
        <f t="shared" si="4"/>
        <v>2.5</v>
      </c>
      <c r="I13" s="29">
        <f t="shared" si="5"/>
        <v>0.25</v>
      </c>
      <c r="J13" s="29">
        <f>IF($A13="",NA(),MAX(IF(COUNTIFS(AZ_ID_Rischio,$A13,AZ_Ciclo,$AC13,AZ_Stato,"&lt;&gt;Respinta",AZ_Mesi_Orizzonte,"&gt;0")=0,moscaYDefault,_xlfn.MAXIFS(AZ_Mesi_Orizzonte,AZ_ID_Rischio,$A13,AZ_Ciclo,$AC13,AZ_Stato,"&lt;&gt;Respinta")/12),N(Parametri!$M12)))</f>
        <v>1</v>
      </c>
      <c r="K13" s="29">
        <f t="shared" si="6"/>
        <v>1.25</v>
      </c>
      <c r="L13" t="str">
        <f t="shared" si="7"/>
        <v>Margine 1,3 anni</v>
      </c>
      <c r="M13">
        <f t="shared" si="8"/>
        <v>1</v>
      </c>
      <c r="N13">
        <f>IF($A13="",NA(),COUNTIF($C$4:C12,C13))</f>
        <v>0</v>
      </c>
      <c r="O13">
        <f t="shared" si="9"/>
        <v>1</v>
      </c>
      <c r="P13" s="29">
        <f t="shared" si="10"/>
        <v>1.0471975511965976</v>
      </c>
      <c r="Q13" s="29">
        <f t="shared" si="11"/>
        <v>3.25</v>
      </c>
      <c r="R13" s="29">
        <f t="shared" si="12"/>
        <v>2.8145825622994254</v>
      </c>
      <c r="S13" s="29">
        <f t="shared" si="13"/>
        <v>1.6250000000000004</v>
      </c>
      <c r="T13" t="str">
        <f>IF($A13="","",IF(Parametri!$N12="Sì","Sì",""))</f>
        <v>Sì</v>
      </c>
      <c r="U13">
        <f t="shared" si="14"/>
        <v>0</v>
      </c>
      <c r="V13">
        <f t="shared" si="15"/>
        <v>0</v>
      </c>
      <c r="W13">
        <f>IF(OR($A13="",NOT(ISNUMBER(K13))),"",IF(N(INDEX(posNetti,9))&gt;=sogliaDirezione,1,0))</f>
        <v>0</v>
      </c>
      <c r="X13">
        <f t="shared" si="16"/>
        <v>0</v>
      </c>
      <c r="Y13">
        <f>IF(OR($A13="",NOT(ISNUMBER(K13))),"",IF(Parametri!$O12="Assente",1,0))</f>
        <v>0</v>
      </c>
      <c r="Z13">
        <f t="shared" si="17"/>
        <v>1</v>
      </c>
      <c r="AA13" t="str">
        <f t="shared" si="18"/>
        <v>Monitoraggio</v>
      </c>
      <c r="AB13" t="str">
        <f t="shared" si="19"/>
        <v>nessun segnale forte</v>
      </c>
      <c r="AC13" t="str">
        <f t="shared" si="20"/>
        <v>2026Q4</v>
      </c>
      <c r="AD13">
        <f>2*PI()*8/72</f>
        <v>0.69813170079773179</v>
      </c>
      <c r="AE13">
        <f t="shared" si="21"/>
        <v>1.2855752193730785</v>
      </c>
      <c r="AF13">
        <f t="shared" si="22"/>
        <v>1.532088886237956</v>
      </c>
      <c r="AG13">
        <f t="shared" si="23"/>
        <v>1.9283628290596178</v>
      </c>
      <c r="AH13">
        <f t="shared" si="24"/>
        <v>2.2981333293569342</v>
      </c>
      <c r="AI13">
        <f t="shared" si="25"/>
        <v>2.571150438746157</v>
      </c>
      <c r="AJ13">
        <f t="shared" si="26"/>
        <v>3.0641777724759121</v>
      </c>
      <c r="AK13">
        <f t="shared" si="27"/>
        <v>3.2139380484326963</v>
      </c>
      <c r="AL13">
        <f t="shared" si="28"/>
        <v>3.83022221559489</v>
      </c>
      <c r="AN13">
        <v>0</v>
      </c>
      <c r="AO13">
        <v>0</v>
      </c>
      <c r="AQ13" t="s">
        <v>30</v>
      </c>
      <c r="AR13">
        <f>6.95*SIN(2*PI()*(8+0.5)/ROWS(codiciL1))</f>
        <v>-2.377039996113397</v>
      </c>
      <c r="AS13">
        <f>6.95*COS(2*PI()*(8+0.5)/ROWS(codiciL1))</f>
        <v>6.5308637144620638</v>
      </c>
      <c r="AU13" t="e">
        <f t="shared" si="29"/>
        <v>#N/A</v>
      </c>
      <c r="AV13" t="e">
        <f t="shared" si="29"/>
        <v>#N/A</v>
      </c>
      <c r="AW13" t="e">
        <f t="shared" si="29"/>
        <v>#N/A</v>
      </c>
      <c r="AX13" t="e">
        <f t="shared" si="29"/>
        <v>#N/A</v>
      </c>
      <c r="AY13" t="e">
        <f t="shared" si="29"/>
        <v>#N/A</v>
      </c>
      <c r="AZ13" t="e">
        <f t="shared" si="29"/>
        <v>#N/A</v>
      </c>
      <c r="BA13" t="e">
        <f t="shared" si="29"/>
        <v>#N/A</v>
      </c>
      <c r="BB13" t="e">
        <f t="shared" si="29"/>
        <v>#N/A</v>
      </c>
      <c r="BC13" t="e">
        <f t="shared" si="29"/>
        <v>#N/A</v>
      </c>
      <c r="BD13" t="e">
        <f t="shared" si="29"/>
        <v>#N/A</v>
      </c>
      <c r="BE13" t="e">
        <f t="shared" si="30"/>
        <v>#N/A</v>
      </c>
      <c r="BF13" t="e">
        <f t="shared" si="30"/>
        <v>#N/A</v>
      </c>
      <c r="BG13" t="e">
        <f t="shared" si="30"/>
        <v>#N/A</v>
      </c>
      <c r="BH13" t="e">
        <f t="shared" si="30"/>
        <v>#N/A</v>
      </c>
      <c r="BI13" t="e">
        <f t="shared" si="30"/>
        <v>#N/A</v>
      </c>
      <c r="BJ13" t="e">
        <f t="shared" si="30"/>
        <v>#N/A</v>
      </c>
      <c r="BK13" t="e">
        <f t="shared" si="30"/>
        <v>#N/A</v>
      </c>
      <c r="BL13" t="e">
        <f t="shared" si="30"/>
        <v>#N/A</v>
      </c>
      <c r="BM13" t="e">
        <f t="shared" si="30"/>
        <v>#N/A</v>
      </c>
      <c r="BN13" t="e">
        <f t="shared" si="30"/>
        <v>#N/A</v>
      </c>
      <c r="BO13" t="e">
        <f t="shared" si="31"/>
        <v>#N/A</v>
      </c>
      <c r="BP13" t="e">
        <f t="shared" si="31"/>
        <v>#N/A</v>
      </c>
      <c r="BQ13" t="e">
        <f t="shared" si="31"/>
        <v>#N/A</v>
      </c>
      <c r="BR13" t="e">
        <f t="shared" si="31"/>
        <v>#N/A</v>
      </c>
      <c r="BS13" t="e">
        <f t="shared" si="31"/>
        <v>#N/A</v>
      </c>
      <c r="BT13" t="e">
        <f t="shared" si="31"/>
        <v>#N/A</v>
      </c>
      <c r="BU13" t="e">
        <f t="shared" si="31"/>
        <v>#N/A</v>
      </c>
      <c r="BV13" t="e">
        <f t="shared" si="31"/>
        <v>#N/A</v>
      </c>
      <c r="BW13" t="e">
        <f t="shared" si="31"/>
        <v>#N/A</v>
      </c>
      <c r="BX13" t="e">
        <f t="shared" si="31"/>
        <v>#N/A</v>
      </c>
      <c r="BY13" t="e">
        <f t="shared" si="32"/>
        <v>#N/A</v>
      </c>
      <c r="BZ13" t="e">
        <f t="shared" si="32"/>
        <v>#N/A</v>
      </c>
      <c r="CA13" t="e">
        <f t="shared" si="32"/>
        <v>#N/A</v>
      </c>
      <c r="CB13" t="e">
        <f t="shared" si="32"/>
        <v>#N/A</v>
      </c>
      <c r="CC13">
        <f t="shared" si="32"/>
        <v>1.6250000000000004</v>
      </c>
      <c r="CD13" t="e">
        <f t="shared" si="32"/>
        <v>#N/A</v>
      </c>
      <c r="CE13" t="e">
        <f t="shared" si="32"/>
        <v>#N/A</v>
      </c>
      <c r="CF13" t="e">
        <f t="shared" si="32"/>
        <v>#N/A</v>
      </c>
      <c r="CG13" t="e">
        <f t="shared" si="32"/>
        <v>#N/A</v>
      </c>
      <c r="CH13" t="e">
        <f t="shared" si="32"/>
        <v>#N/A</v>
      </c>
      <c r="CI13" t="e">
        <f t="shared" si="32"/>
        <v>#N/A</v>
      </c>
      <c r="CJ13" t="e">
        <f t="shared" si="32"/>
        <v>#N/A</v>
      </c>
      <c r="CK13">
        <f t="shared" si="33"/>
        <v>2.8145825622994254</v>
      </c>
      <c r="CL13" t="str">
        <f t="shared" si="34"/>
        <v>NFR-09 ◆</v>
      </c>
      <c r="CM13">
        <f t="shared" si="35"/>
        <v>1.6250000000000004</v>
      </c>
      <c r="CN13" t="s">
        <v>31</v>
      </c>
      <c r="CO13">
        <v>6.5</v>
      </c>
      <c r="CP13">
        <v>-9.1</v>
      </c>
    </row>
    <row r="14" spans="1:94" x14ac:dyDescent="0.4">
      <c r="A14" t="str">
        <f>IF(Parametri!$H13="","",Parametri!$H13)</f>
        <v>NFR-10</v>
      </c>
      <c r="B14" t="str">
        <f>IF($A14="","",Parametri!$I13)</f>
        <v>Informazioni errate ai clienti da assistenti di AI generativa</v>
      </c>
      <c r="C14" t="str">
        <f>IF($A14="","",Parametri!$J13)</f>
        <v>9.1</v>
      </c>
      <c r="D14">
        <f t="shared" si="0"/>
        <v>3</v>
      </c>
      <c r="E14">
        <f t="shared" si="1"/>
        <v>3</v>
      </c>
      <c r="F14">
        <f t="shared" si="2"/>
        <v>9</v>
      </c>
      <c r="G14">
        <f t="shared" si="3"/>
        <v>3</v>
      </c>
      <c r="H14" s="29">
        <f t="shared" si="4"/>
        <v>1.5</v>
      </c>
      <c r="I14" s="29">
        <f t="shared" si="5"/>
        <v>0.25</v>
      </c>
      <c r="J14" s="29">
        <f>IF($A14="",NA(),MAX(IF(COUNTIFS(AZ_ID_Rischio,$A14,AZ_Ciclo,$AC14,AZ_Stato,"&lt;&gt;Respinta",AZ_Mesi_Orizzonte,"&gt;0")=0,moscaYDefault,_xlfn.MAXIFS(AZ_Mesi_Orizzonte,AZ_ID_Rischio,$A14,AZ_Ciclo,$AC14,AZ_Stato,"&lt;&gt;Respinta")/12),N(Parametri!$M13)))</f>
        <v>0.25</v>
      </c>
      <c r="K14" s="29">
        <f t="shared" si="6"/>
        <v>1</v>
      </c>
      <c r="L14" t="str">
        <f t="shared" si="7"/>
        <v>Margine 1 anno</v>
      </c>
      <c r="M14">
        <f t="shared" si="8"/>
        <v>0</v>
      </c>
      <c r="N14">
        <f>IF($A14="",NA(),COUNTIF($C$4:C13,C14))</f>
        <v>1</v>
      </c>
      <c r="O14">
        <f t="shared" si="9"/>
        <v>2</v>
      </c>
      <c r="P14" s="29">
        <f t="shared" si="10"/>
        <v>0.52359877559829882</v>
      </c>
      <c r="Q14" s="29">
        <f t="shared" si="11"/>
        <v>3</v>
      </c>
      <c r="R14" s="29">
        <f t="shared" si="12"/>
        <v>1.4999999999999998</v>
      </c>
      <c r="S14" s="29">
        <f t="shared" si="13"/>
        <v>2.598076211353316</v>
      </c>
      <c r="T14" t="str">
        <f>IF($A14="","",IF(Parametri!$N13="Sì","Sì",""))</f>
        <v/>
      </c>
      <c r="U14">
        <f t="shared" si="14"/>
        <v>0</v>
      </c>
      <c r="V14">
        <f t="shared" si="15"/>
        <v>0</v>
      </c>
      <c r="W14">
        <f>IF(OR($A14="",NOT(ISNUMBER(K14))),"",IF(N(INDEX(posNetti,10))&gt;=sogliaDirezione,1,0))</f>
        <v>0</v>
      </c>
      <c r="X14">
        <f t="shared" si="16"/>
        <v>0</v>
      </c>
      <c r="Y14">
        <f>IF(OR($A14="",NOT(ISNUMBER(K14))),"",IF(Parametri!$O13="Assente",1,0))</f>
        <v>0</v>
      </c>
      <c r="Z14">
        <f t="shared" si="17"/>
        <v>1</v>
      </c>
      <c r="AA14" t="str">
        <f t="shared" si="18"/>
        <v>Monitoraggio</v>
      </c>
      <c r="AB14" t="str">
        <f t="shared" si="19"/>
        <v>nessun segnale forte</v>
      </c>
      <c r="AC14" t="str">
        <f t="shared" si="20"/>
        <v>2026Q4</v>
      </c>
      <c r="AD14">
        <f>2*PI()*9/72</f>
        <v>0.78539816339744828</v>
      </c>
      <c r="AE14">
        <f t="shared" si="21"/>
        <v>1.4142135623730949</v>
      </c>
      <c r="AF14">
        <f t="shared" si="22"/>
        <v>1.4142135623730951</v>
      </c>
      <c r="AG14">
        <f t="shared" si="23"/>
        <v>2.1213203435596424</v>
      </c>
      <c r="AH14">
        <f t="shared" si="24"/>
        <v>2.1213203435596428</v>
      </c>
      <c r="AI14">
        <f t="shared" si="25"/>
        <v>2.8284271247461898</v>
      </c>
      <c r="AJ14">
        <f t="shared" si="26"/>
        <v>2.8284271247461903</v>
      </c>
      <c r="AK14">
        <f t="shared" si="27"/>
        <v>3.5355339059327373</v>
      </c>
      <c r="AL14">
        <f t="shared" si="28"/>
        <v>3.5355339059327378</v>
      </c>
      <c r="AN14">
        <f>6.3*SIN(2*PI()*4/ROWS(codiciL1))</f>
        <v>2.154726902951714</v>
      </c>
      <c r="AO14">
        <f>6.3*COS(2*PI()*4/ROWS(codiciL1))</f>
        <v>-5.9200635109512225</v>
      </c>
      <c r="AU14" t="e">
        <f t="shared" si="29"/>
        <v>#N/A</v>
      </c>
      <c r="AV14" t="e">
        <f t="shared" si="29"/>
        <v>#N/A</v>
      </c>
      <c r="AW14" t="e">
        <f t="shared" si="29"/>
        <v>#N/A</v>
      </c>
      <c r="AX14" t="e">
        <f t="shared" si="29"/>
        <v>#N/A</v>
      </c>
      <c r="AY14" t="e">
        <f t="shared" si="29"/>
        <v>#N/A</v>
      </c>
      <c r="AZ14" t="e">
        <f t="shared" si="29"/>
        <v>#N/A</v>
      </c>
      <c r="BA14" t="e">
        <f t="shared" si="29"/>
        <v>#N/A</v>
      </c>
      <c r="BB14" t="e">
        <f t="shared" si="29"/>
        <v>#N/A</v>
      </c>
      <c r="BC14" t="e">
        <f t="shared" si="29"/>
        <v>#N/A</v>
      </c>
      <c r="BD14" t="e">
        <f t="shared" si="29"/>
        <v>#N/A</v>
      </c>
      <c r="BE14" t="e">
        <f t="shared" si="30"/>
        <v>#N/A</v>
      </c>
      <c r="BF14" t="e">
        <f t="shared" si="30"/>
        <v>#N/A</v>
      </c>
      <c r="BG14" t="e">
        <f t="shared" si="30"/>
        <v>#N/A</v>
      </c>
      <c r="BH14" t="e">
        <f t="shared" si="30"/>
        <v>#N/A</v>
      </c>
      <c r="BI14" t="e">
        <f t="shared" si="30"/>
        <v>#N/A</v>
      </c>
      <c r="BJ14" t="e">
        <f t="shared" si="30"/>
        <v>#N/A</v>
      </c>
      <c r="BK14" t="e">
        <f t="shared" si="30"/>
        <v>#N/A</v>
      </c>
      <c r="BL14" t="e">
        <f t="shared" si="30"/>
        <v>#N/A</v>
      </c>
      <c r="BM14" t="e">
        <f t="shared" si="30"/>
        <v>#N/A</v>
      </c>
      <c r="BN14" t="e">
        <f t="shared" si="30"/>
        <v>#N/A</v>
      </c>
      <c r="BO14" t="e">
        <f t="shared" si="31"/>
        <v>#N/A</v>
      </c>
      <c r="BP14" t="e">
        <f t="shared" si="31"/>
        <v>#N/A</v>
      </c>
      <c r="BQ14" t="e">
        <f t="shared" si="31"/>
        <v>#N/A</v>
      </c>
      <c r="BR14" t="e">
        <f t="shared" si="31"/>
        <v>#N/A</v>
      </c>
      <c r="BS14" t="e">
        <f t="shared" si="31"/>
        <v>#N/A</v>
      </c>
      <c r="BT14" t="e">
        <f t="shared" si="31"/>
        <v>#N/A</v>
      </c>
      <c r="BU14" t="e">
        <f t="shared" si="31"/>
        <v>#N/A</v>
      </c>
      <c r="BV14" t="e">
        <f t="shared" si="31"/>
        <v>#N/A</v>
      </c>
      <c r="BW14" t="e">
        <f t="shared" si="31"/>
        <v>#N/A</v>
      </c>
      <c r="BX14" t="e">
        <f t="shared" si="31"/>
        <v>#N/A</v>
      </c>
      <c r="BY14" t="e">
        <f t="shared" si="32"/>
        <v>#N/A</v>
      </c>
      <c r="BZ14" t="e">
        <f t="shared" si="32"/>
        <v>#N/A</v>
      </c>
      <c r="CA14" t="e">
        <f t="shared" si="32"/>
        <v>#N/A</v>
      </c>
      <c r="CB14" t="e">
        <f t="shared" si="32"/>
        <v>#N/A</v>
      </c>
      <c r="CC14" t="e">
        <f t="shared" si="32"/>
        <v>#N/A</v>
      </c>
      <c r="CD14">
        <f t="shared" si="32"/>
        <v>2.598076211353316</v>
      </c>
      <c r="CE14" t="e">
        <f t="shared" si="32"/>
        <v>#N/A</v>
      </c>
      <c r="CF14" t="e">
        <f t="shared" si="32"/>
        <v>#N/A</v>
      </c>
      <c r="CG14" t="e">
        <f t="shared" si="32"/>
        <v>#N/A</v>
      </c>
      <c r="CH14" t="e">
        <f t="shared" si="32"/>
        <v>#N/A</v>
      </c>
      <c r="CI14" t="e">
        <f t="shared" si="32"/>
        <v>#N/A</v>
      </c>
      <c r="CJ14" t="e">
        <f t="shared" si="32"/>
        <v>#N/A</v>
      </c>
      <c r="CK14">
        <f t="shared" si="33"/>
        <v>1.4999999999999998</v>
      </c>
      <c r="CL14" t="str">
        <f t="shared" si="34"/>
        <v>NFR-10</v>
      </c>
      <c r="CM14">
        <f t="shared" si="35"/>
        <v>2.598076211353316</v>
      </c>
    </row>
    <row r="15" spans="1:94" x14ac:dyDescent="0.4">
      <c r="A15" t="str">
        <f>IF(Parametri!$H14="","",Parametri!$H14)</f>
        <v>NFR-11</v>
      </c>
      <c r="B15" t="str">
        <f>IF($A15="","",Parametri!$I14)</f>
        <v>Fine del supporto dei sistemi di pagamento legacy</v>
      </c>
      <c r="C15" t="str">
        <f>IF($A15="","",Parametri!$J14)</f>
        <v>9.6</v>
      </c>
      <c r="D15">
        <f t="shared" si="0"/>
        <v>3</v>
      </c>
      <c r="E15">
        <f t="shared" si="1"/>
        <v>3</v>
      </c>
      <c r="F15">
        <f t="shared" si="2"/>
        <v>9</v>
      </c>
      <c r="G15">
        <f t="shared" si="3"/>
        <v>3</v>
      </c>
      <c r="H15" s="29">
        <f t="shared" si="4"/>
        <v>1.5</v>
      </c>
      <c r="I15" s="29">
        <f t="shared" si="5"/>
        <v>0.25</v>
      </c>
      <c r="J15" s="29">
        <f>IF($A15="",NA(),MAX(IF(COUNTIFS(AZ_ID_Rischio,$A15,AZ_Ciclo,$AC15,AZ_Stato,"&lt;&gt;Respinta",AZ_Mesi_Orizzonte,"&gt;0")=0,moscaYDefault,_xlfn.MAXIFS(AZ_Mesi_Orizzonte,AZ_ID_Rischio,$A15,AZ_Ciclo,$AC15,AZ_Stato,"&lt;&gt;Respinta")/12),N(Parametri!$M14)))</f>
        <v>3</v>
      </c>
      <c r="K15" s="29">
        <f t="shared" si="6"/>
        <v>-1.75</v>
      </c>
      <c r="L15" t="str">
        <f t="shared" si="7"/>
        <v>AGIRE ORA: X+Y &gt; Z</v>
      </c>
      <c r="M15">
        <f t="shared" si="8"/>
        <v>3</v>
      </c>
      <c r="N15">
        <f>IF($A15="",NA(),COUNTIF($C$4:C14,C15))</f>
        <v>0</v>
      </c>
      <c r="O15">
        <f t="shared" si="9"/>
        <v>1</v>
      </c>
      <c r="P15" s="29">
        <f t="shared" si="10"/>
        <v>2.4434609527920612</v>
      </c>
      <c r="Q15" s="29">
        <f t="shared" si="11"/>
        <v>0.6</v>
      </c>
      <c r="R15" s="29">
        <f t="shared" si="12"/>
        <v>0.38567256581192366</v>
      </c>
      <c r="S15" s="29">
        <f t="shared" si="13"/>
        <v>-0.45962666587138673</v>
      </c>
      <c r="T15" t="str">
        <f>IF($A15="","",IF(Parametri!$N14="Sì","Sì",""))</f>
        <v/>
      </c>
      <c r="U15">
        <f t="shared" si="14"/>
        <v>1</v>
      </c>
      <c r="V15">
        <f t="shared" si="15"/>
        <v>1</v>
      </c>
      <c r="W15">
        <f>IF(OR($A15="",NOT(ISNUMBER(K15))),"",IF(N(INDEX(posNetti,11))&gt;=sogliaDirezione,1,0))</f>
        <v>0</v>
      </c>
      <c r="X15">
        <f t="shared" si="16"/>
        <v>0</v>
      </c>
      <c r="Y15">
        <f>IF(OR($A15="",NOT(ISNUMBER(K15))),"",IF(Parametri!$O14="Assente",1,0))</f>
        <v>1</v>
      </c>
      <c r="Z15">
        <f t="shared" si="17"/>
        <v>1</v>
      </c>
      <c r="AA15" t="str">
        <f t="shared" si="18"/>
        <v>Attivazione</v>
      </c>
      <c r="AB15" t="str">
        <f t="shared" si="19"/>
        <v>AGIRE ORA; KRI in rosso</v>
      </c>
      <c r="AC15" t="str">
        <f t="shared" si="20"/>
        <v>2026Q4</v>
      </c>
      <c r="AD15">
        <f>2*PI()*10/72</f>
        <v>0.87266462599716477</v>
      </c>
      <c r="AE15">
        <f t="shared" si="21"/>
        <v>1.532088886237956</v>
      </c>
      <c r="AF15">
        <f t="shared" si="22"/>
        <v>1.2855752193730787</v>
      </c>
      <c r="AG15">
        <f t="shared" si="23"/>
        <v>2.2981333293569342</v>
      </c>
      <c r="AH15">
        <f t="shared" si="24"/>
        <v>1.9283628290596182</v>
      </c>
      <c r="AI15">
        <f t="shared" si="25"/>
        <v>3.0641777724759121</v>
      </c>
      <c r="AJ15">
        <f t="shared" si="26"/>
        <v>2.5711504387461575</v>
      </c>
      <c r="AK15">
        <f t="shared" si="27"/>
        <v>3.83022221559489</v>
      </c>
      <c r="AL15">
        <f t="shared" si="28"/>
        <v>3.2139380484326967</v>
      </c>
      <c r="AN15">
        <v>0</v>
      </c>
      <c r="AO15">
        <v>0</v>
      </c>
      <c r="AU15" t="e">
        <f t="shared" ref="AU15:BD24" si="36">IF(AND(ISNUMBER($F15),ISNUMBER($S15)),IF(AND($F15=AU$4,$AA15=AU$3),$S15,NA()),NA())</f>
        <v>#N/A</v>
      </c>
      <c r="AV15" t="e">
        <f t="shared" si="36"/>
        <v>#N/A</v>
      </c>
      <c r="AW15" t="e">
        <f t="shared" si="36"/>
        <v>#N/A</v>
      </c>
      <c r="AX15" t="e">
        <f t="shared" si="36"/>
        <v>#N/A</v>
      </c>
      <c r="AY15" t="e">
        <f t="shared" si="36"/>
        <v>#N/A</v>
      </c>
      <c r="AZ15" t="e">
        <f t="shared" si="36"/>
        <v>#N/A</v>
      </c>
      <c r="BA15" t="e">
        <f t="shared" si="36"/>
        <v>#N/A</v>
      </c>
      <c r="BB15">
        <f t="shared" si="36"/>
        <v>-0.45962666587138673</v>
      </c>
      <c r="BC15" t="e">
        <f t="shared" si="36"/>
        <v>#N/A</v>
      </c>
      <c r="BD15" t="e">
        <f t="shared" si="36"/>
        <v>#N/A</v>
      </c>
      <c r="BE15" t="e">
        <f t="shared" ref="BE15:BN24" si="37">IF(AND(ISNUMBER($F15),ISNUMBER($S15)),IF(AND($F15=BE$4,$AA15=BE$3),$S15,NA()),NA())</f>
        <v>#N/A</v>
      </c>
      <c r="BF15" t="e">
        <f t="shared" si="37"/>
        <v>#N/A</v>
      </c>
      <c r="BG15" t="e">
        <f t="shared" si="37"/>
        <v>#N/A</v>
      </c>
      <c r="BH15" t="e">
        <f t="shared" si="37"/>
        <v>#N/A</v>
      </c>
      <c r="BI15" t="e">
        <f t="shared" si="37"/>
        <v>#N/A</v>
      </c>
      <c r="BJ15" t="e">
        <f t="shared" si="37"/>
        <v>#N/A</v>
      </c>
      <c r="BK15" t="e">
        <f t="shared" si="37"/>
        <v>#N/A</v>
      </c>
      <c r="BL15" t="e">
        <f t="shared" si="37"/>
        <v>#N/A</v>
      </c>
      <c r="BM15" t="e">
        <f t="shared" si="37"/>
        <v>#N/A</v>
      </c>
      <c r="BN15" t="e">
        <f t="shared" si="37"/>
        <v>#N/A</v>
      </c>
      <c r="BO15" t="e">
        <f t="shared" ref="BO15:BX24" si="38">IF(AND(ISNUMBER($F15),ISNUMBER($S15)),IF(AND($F15=BO$4,$AA15=BO$3),$S15,NA()),NA())</f>
        <v>#N/A</v>
      </c>
      <c r="BP15" t="e">
        <f t="shared" si="38"/>
        <v>#N/A</v>
      </c>
      <c r="BQ15" t="e">
        <f t="shared" si="38"/>
        <v>#N/A</v>
      </c>
      <c r="BR15" t="e">
        <f t="shared" si="38"/>
        <v>#N/A</v>
      </c>
      <c r="BS15" t="e">
        <f t="shared" si="38"/>
        <v>#N/A</v>
      </c>
      <c r="BT15" t="e">
        <f t="shared" si="38"/>
        <v>#N/A</v>
      </c>
      <c r="BU15" t="e">
        <f t="shared" si="38"/>
        <v>#N/A</v>
      </c>
      <c r="BV15" t="e">
        <f t="shared" si="38"/>
        <v>#N/A</v>
      </c>
      <c r="BW15" t="e">
        <f t="shared" si="38"/>
        <v>#N/A</v>
      </c>
      <c r="BX15" t="e">
        <f t="shared" si="38"/>
        <v>#N/A</v>
      </c>
      <c r="BY15" t="e">
        <f t="shared" ref="BY15:CJ24" si="39">IF(AND(ISNUMBER($F15),ISNUMBER($S15)),IF(AND($F15=BY$4,$AA15=BY$3),$S15,NA()),NA())</f>
        <v>#N/A</v>
      </c>
      <c r="BZ15" t="e">
        <f t="shared" si="39"/>
        <v>#N/A</v>
      </c>
      <c r="CA15" t="e">
        <f t="shared" si="39"/>
        <v>#N/A</v>
      </c>
      <c r="CB15" t="e">
        <f t="shared" si="39"/>
        <v>#N/A</v>
      </c>
      <c r="CC15" t="e">
        <f t="shared" si="39"/>
        <v>#N/A</v>
      </c>
      <c r="CD15" t="e">
        <f t="shared" si="39"/>
        <v>#N/A</v>
      </c>
      <c r="CE15" t="e">
        <f t="shared" si="39"/>
        <v>#N/A</v>
      </c>
      <c r="CF15" t="e">
        <f t="shared" si="39"/>
        <v>#N/A</v>
      </c>
      <c r="CG15" t="e">
        <f t="shared" si="39"/>
        <v>#N/A</v>
      </c>
      <c r="CH15" t="e">
        <f t="shared" si="39"/>
        <v>#N/A</v>
      </c>
      <c r="CI15" t="e">
        <f t="shared" si="39"/>
        <v>#N/A</v>
      </c>
      <c r="CJ15" t="e">
        <f t="shared" si="39"/>
        <v>#N/A</v>
      </c>
      <c r="CK15">
        <f t="shared" si="33"/>
        <v>0.38567256581192366</v>
      </c>
      <c r="CL15" t="str">
        <f t="shared" si="34"/>
        <v>NFR-11</v>
      </c>
      <c r="CM15">
        <f t="shared" si="35"/>
        <v>-0.45962666587138673</v>
      </c>
    </row>
    <row r="16" spans="1:94" x14ac:dyDescent="0.4">
      <c r="A16" t="str">
        <f>IF(Parametri!$H15="","",Parametri!$H15)</f>
        <v>NFR-12</v>
      </c>
      <c r="B16" t="str">
        <f>IF($A16="","",Parametri!$I15)</f>
        <v>Errori operativi nei pagamenti istantanei obbligatori</v>
      </c>
      <c r="C16" t="str">
        <f>IF($A16="","",Parametri!$J15)</f>
        <v>9.13</v>
      </c>
      <c r="D16">
        <f t="shared" si="0"/>
        <v>3</v>
      </c>
      <c r="E16">
        <f t="shared" si="1"/>
        <v>4</v>
      </c>
      <c r="F16">
        <f t="shared" si="2"/>
        <v>12</v>
      </c>
      <c r="G16">
        <f t="shared" si="3"/>
        <v>4</v>
      </c>
      <c r="H16" s="29">
        <f t="shared" si="4"/>
        <v>0.5</v>
      </c>
      <c r="I16" s="29">
        <f t="shared" si="5"/>
        <v>0.25</v>
      </c>
      <c r="J16" s="29">
        <f>IF($A16="",NA(),MAX(IF(COUNTIFS(AZ_ID_Rischio,$A16,AZ_Ciclo,$AC16,AZ_Stato,"&lt;&gt;Respinta",AZ_Mesi_Orizzonte,"&gt;0")=0,moscaYDefault,_xlfn.MAXIFS(AZ_Mesi_Orizzonte,AZ_ID_Rischio,$A16,AZ_Ciclo,$AC16,AZ_Stato,"&lt;&gt;Respinta")/12),N(Parametri!$M15)))</f>
        <v>0.25</v>
      </c>
      <c r="K16" s="29">
        <f t="shared" si="6"/>
        <v>0</v>
      </c>
      <c r="L16" t="str">
        <f t="shared" si="7"/>
        <v>Agire entro l'anno</v>
      </c>
      <c r="M16">
        <f t="shared" si="8"/>
        <v>8</v>
      </c>
      <c r="N16">
        <f>IF($A16="",NA(),COUNTIF($C$4:C15,C16))</f>
        <v>1</v>
      </c>
      <c r="O16">
        <f t="shared" si="9"/>
        <v>2</v>
      </c>
      <c r="P16" s="29">
        <f t="shared" si="10"/>
        <v>6.1086523819801535</v>
      </c>
      <c r="Q16" s="29">
        <f t="shared" si="11"/>
        <v>2</v>
      </c>
      <c r="R16" s="29">
        <f t="shared" si="12"/>
        <v>-0.34729635533386077</v>
      </c>
      <c r="S16" s="29">
        <f t="shared" si="13"/>
        <v>1.969615506024416</v>
      </c>
      <c r="T16" t="str">
        <f>IF($A16="","",IF(Parametri!$N15="Sì","Sì",""))</f>
        <v/>
      </c>
      <c r="U16">
        <f t="shared" si="14"/>
        <v>0</v>
      </c>
      <c r="V16">
        <f t="shared" si="15"/>
        <v>0</v>
      </c>
      <c r="W16">
        <f>IF(OR($A16="",NOT(ISNUMBER(K16))),"",IF(N(INDEX(posNetti,12))&gt;=sogliaDirezione,1,0))</f>
        <v>0</v>
      </c>
      <c r="X16">
        <f t="shared" si="16"/>
        <v>1</v>
      </c>
      <c r="Y16">
        <f>IF(OR($A16="",NOT(ISNUMBER(K16))),"",IF(Parametri!$O15="Assente",1,0))</f>
        <v>0</v>
      </c>
      <c r="Z16">
        <f t="shared" si="17"/>
        <v>1</v>
      </c>
      <c r="AA16" t="str">
        <f t="shared" si="18"/>
        <v>Attenzione</v>
      </c>
      <c r="AB16" t="str">
        <f t="shared" si="19"/>
        <v>margine sotto l'anno con P x I alta, KRI in ambra o rosso</v>
      </c>
      <c r="AC16" t="str">
        <f t="shared" si="20"/>
        <v>2026Q4</v>
      </c>
      <c r="AD16">
        <f>2*PI()*11/72</f>
        <v>0.95993108859688114</v>
      </c>
      <c r="AE16">
        <f t="shared" si="21"/>
        <v>1.6383040885779834</v>
      </c>
      <c r="AF16">
        <f t="shared" si="22"/>
        <v>1.1471528727020923</v>
      </c>
      <c r="AG16">
        <f t="shared" si="23"/>
        <v>2.4574561328669748</v>
      </c>
      <c r="AH16">
        <f t="shared" si="24"/>
        <v>1.7207293090531386</v>
      </c>
      <c r="AI16">
        <f t="shared" si="25"/>
        <v>3.2766081771559668</v>
      </c>
      <c r="AJ16">
        <f t="shared" si="26"/>
        <v>2.2943057454041846</v>
      </c>
      <c r="AK16">
        <f t="shared" si="27"/>
        <v>4.0957602214449587</v>
      </c>
      <c r="AL16">
        <f t="shared" si="28"/>
        <v>2.8678821817552307</v>
      </c>
      <c r="AN16">
        <f>6.3*SIN(2*PI()*5/ROWS(codiciL1))</f>
        <v>-2.1547269029517127</v>
      </c>
      <c r="AO16">
        <f>6.3*COS(2*PI()*5/ROWS(codiciL1))</f>
        <v>-5.9200635109512225</v>
      </c>
      <c r="AU16" t="e">
        <f t="shared" si="36"/>
        <v>#N/A</v>
      </c>
      <c r="AV16" t="e">
        <f t="shared" si="36"/>
        <v>#N/A</v>
      </c>
      <c r="AW16" t="e">
        <f t="shared" si="36"/>
        <v>#N/A</v>
      </c>
      <c r="AX16" t="e">
        <f t="shared" si="36"/>
        <v>#N/A</v>
      </c>
      <c r="AY16" t="e">
        <f t="shared" si="36"/>
        <v>#N/A</v>
      </c>
      <c r="AZ16" t="e">
        <f t="shared" si="36"/>
        <v>#N/A</v>
      </c>
      <c r="BA16" t="e">
        <f t="shared" si="36"/>
        <v>#N/A</v>
      </c>
      <c r="BB16" t="e">
        <f t="shared" si="36"/>
        <v>#N/A</v>
      </c>
      <c r="BC16" t="e">
        <f t="shared" si="36"/>
        <v>#N/A</v>
      </c>
      <c r="BD16" t="e">
        <f t="shared" si="36"/>
        <v>#N/A</v>
      </c>
      <c r="BE16" t="e">
        <f t="shared" si="37"/>
        <v>#N/A</v>
      </c>
      <c r="BF16" t="e">
        <f t="shared" si="37"/>
        <v>#N/A</v>
      </c>
      <c r="BG16" t="e">
        <f t="shared" si="37"/>
        <v>#N/A</v>
      </c>
      <c r="BH16" t="e">
        <f t="shared" si="37"/>
        <v>#N/A</v>
      </c>
      <c r="BI16" t="e">
        <f t="shared" si="37"/>
        <v>#N/A</v>
      </c>
      <c r="BJ16" t="e">
        <f t="shared" si="37"/>
        <v>#N/A</v>
      </c>
      <c r="BK16" t="e">
        <f t="shared" si="37"/>
        <v>#N/A</v>
      </c>
      <c r="BL16" t="e">
        <f t="shared" si="37"/>
        <v>#N/A</v>
      </c>
      <c r="BM16" t="e">
        <f t="shared" si="37"/>
        <v>#N/A</v>
      </c>
      <c r="BN16" t="e">
        <f t="shared" si="37"/>
        <v>#N/A</v>
      </c>
      <c r="BO16" t="e">
        <f t="shared" si="38"/>
        <v>#N/A</v>
      </c>
      <c r="BP16" t="e">
        <f t="shared" si="38"/>
        <v>#N/A</v>
      </c>
      <c r="BQ16" t="e">
        <f t="shared" si="38"/>
        <v>#N/A</v>
      </c>
      <c r="BR16">
        <f t="shared" si="38"/>
        <v>1.969615506024416</v>
      </c>
      <c r="BS16" t="e">
        <f t="shared" si="38"/>
        <v>#N/A</v>
      </c>
      <c r="BT16" t="e">
        <f t="shared" si="38"/>
        <v>#N/A</v>
      </c>
      <c r="BU16" t="e">
        <f t="shared" si="38"/>
        <v>#N/A</v>
      </c>
      <c r="BV16" t="e">
        <f t="shared" si="38"/>
        <v>#N/A</v>
      </c>
      <c r="BW16" t="e">
        <f t="shared" si="38"/>
        <v>#N/A</v>
      </c>
      <c r="BX16" t="e">
        <f t="shared" si="38"/>
        <v>#N/A</v>
      </c>
      <c r="BY16" t="e">
        <f t="shared" si="39"/>
        <v>#N/A</v>
      </c>
      <c r="BZ16" t="e">
        <f t="shared" si="39"/>
        <v>#N/A</v>
      </c>
      <c r="CA16" t="e">
        <f t="shared" si="39"/>
        <v>#N/A</v>
      </c>
      <c r="CB16" t="e">
        <f t="shared" si="39"/>
        <v>#N/A</v>
      </c>
      <c r="CC16" t="e">
        <f t="shared" si="39"/>
        <v>#N/A</v>
      </c>
      <c r="CD16" t="e">
        <f t="shared" si="39"/>
        <v>#N/A</v>
      </c>
      <c r="CE16" t="e">
        <f t="shared" si="39"/>
        <v>#N/A</v>
      </c>
      <c r="CF16" t="e">
        <f t="shared" si="39"/>
        <v>#N/A</v>
      </c>
      <c r="CG16" t="e">
        <f t="shared" si="39"/>
        <v>#N/A</v>
      </c>
      <c r="CH16" t="e">
        <f t="shared" si="39"/>
        <v>#N/A</v>
      </c>
      <c r="CI16" t="e">
        <f t="shared" si="39"/>
        <v>#N/A</v>
      </c>
      <c r="CJ16" t="e">
        <f t="shared" si="39"/>
        <v>#N/A</v>
      </c>
      <c r="CK16">
        <f t="shared" si="33"/>
        <v>-0.34729635533386077</v>
      </c>
      <c r="CL16" t="str">
        <f t="shared" si="34"/>
        <v>NFR-12</v>
      </c>
      <c r="CM16">
        <f t="shared" si="35"/>
        <v>1.969615506024416</v>
      </c>
    </row>
    <row r="17" spans="1:91" x14ac:dyDescent="0.4">
      <c r="A17" t="str">
        <f>IF(Parametri!$H16="","",Parametri!$H16)</f>
        <v>NFR-16</v>
      </c>
      <c r="B17" t="str">
        <f>IF($A17="","",Parametri!$I16)</f>
        <v>Vertenze e carenza di tecnici nei ruoli IT critici</v>
      </c>
      <c r="C17" t="str">
        <f>IF($A17="","",Parametri!$J16)</f>
        <v>9.11</v>
      </c>
      <c r="D17">
        <f t="shared" si="0"/>
        <v>3</v>
      </c>
      <c r="E17">
        <f t="shared" si="1"/>
        <v>3</v>
      </c>
      <c r="F17">
        <f t="shared" si="2"/>
        <v>9</v>
      </c>
      <c r="G17">
        <f t="shared" si="3"/>
        <v>2</v>
      </c>
      <c r="H17" s="29">
        <f t="shared" si="4"/>
        <v>2.5</v>
      </c>
      <c r="I17" s="29">
        <f t="shared" si="5"/>
        <v>0.25</v>
      </c>
      <c r="J17" s="29">
        <f>IF($A17="",NA(),MAX(IF(COUNTIFS(AZ_ID_Rischio,$A17,AZ_Ciclo,$AC17,AZ_Stato,"&lt;&gt;Respinta",AZ_Mesi_Orizzonte,"&gt;0")=0,moscaYDefault,_xlfn.MAXIFS(AZ_Mesi_Orizzonte,AZ_ID_Rischio,$A17,AZ_Ciclo,$AC17,AZ_Stato,"&lt;&gt;Respinta")/12),N(Parametri!$M16)))</f>
        <v>0.5</v>
      </c>
      <c r="K17" s="29">
        <f t="shared" si="6"/>
        <v>1.75</v>
      </c>
      <c r="L17" t="str">
        <f t="shared" si="7"/>
        <v>Margine 1,8 anni</v>
      </c>
      <c r="M17">
        <f t="shared" si="8"/>
        <v>7</v>
      </c>
      <c r="N17">
        <f>IF($A17="",NA(),COUNTIF($C$4:C16,C17))</f>
        <v>0</v>
      </c>
      <c r="O17">
        <f t="shared" si="9"/>
        <v>1</v>
      </c>
      <c r="P17" s="29">
        <f t="shared" si="10"/>
        <v>5.2359877559829879</v>
      </c>
      <c r="Q17" s="29">
        <f t="shared" si="11"/>
        <v>3.75</v>
      </c>
      <c r="R17" s="29">
        <f t="shared" si="12"/>
        <v>-3.2475952641916463</v>
      </c>
      <c r="S17" s="29">
        <f t="shared" si="13"/>
        <v>1.8749999999999976</v>
      </c>
      <c r="T17" t="str">
        <f>IF($A17="","",IF(Parametri!$N16="Sì","Sì",""))</f>
        <v/>
      </c>
      <c r="U17">
        <f t="shared" si="14"/>
        <v>0</v>
      </c>
      <c r="V17">
        <f t="shared" si="15"/>
        <v>0</v>
      </c>
      <c r="W17">
        <f>IF(OR($A17="",NOT(ISNUMBER(K17))),"",IF(N(INDEX(posNetti,13))&gt;=sogliaDirezione,1,0))</f>
        <v>0</v>
      </c>
      <c r="X17">
        <f t="shared" si="16"/>
        <v>0</v>
      </c>
      <c r="Y17">
        <f>IF(OR($A17="",NOT(ISNUMBER(K17))),"",IF(Parametri!$O16="Assente",1,0))</f>
        <v>0</v>
      </c>
      <c r="Z17">
        <f t="shared" si="17"/>
        <v>0</v>
      </c>
      <c r="AA17" t="str">
        <f t="shared" si="18"/>
        <v>Monitoraggio</v>
      </c>
      <c r="AB17" t="str">
        <f t="shared" si="19"/>
        <v>nessun segnale forte</v>
      </c>
      <c r="AC17" t="str">
        <f t="shared" si="20"/>
        <v>2026Q4</v>
      </c>
      <c r="AD17">
        <f>2*PI()*12/72</f>
        <v>1.0471975511965976</v>
      </c>
      <c r="AE17">
        <f t="shared" si="21"/>
        <v>1.7320508075688772</v>
      </c>
      <c r="AF17">
        <f t="shared" si="22"/>
        <v>1.0000000000000002</v>
      </c>
      <c r="AG17">
        <f t="shared" si="23"/>
        <v>2.598076211353316</v>
      </c>
      <c r="AH17">
        <f t="shared" si="24"/>
        <v>1.5000000000000004</v>
      </c>
      <c r="AI17">
        <f t="shared" si="25"/>
        <v>3.4641016151377544</v>
      </c>
      <c r="AJ17">
        <f t="shared" si="26"/>
        <v>2.0000000000000004</v>
      </c>
      <c r="AK17">
        <f t="shared" si="27"/>
        <v>4.3301270189221928</v>
      </c>
      <c r="AL17">
        <f t="shared" si="28"/>
        <v>2.5000000000000004</v>
      </c>
      <c r="AN17">
        <v>0</v>
      </c>
      <c r="AO17">
        <v>0</v>
      </c>
      <c r="AU17" t="e">
        <f t="shared" si="36"/>
        <v>#N/A</v>
      </c>
      <c r="AV17" t="e">
        <f t="shared" si="36"/>
        <v>#N/A</v>
      </c>
      <c r="AW17" t="e">
        <f t="shared" si="36"/>
        <v>#N/A</v>
      </c>
      <c r="AX17" t="e">
        <f t="shared" si="36"/>
        <v>#N/A</v>
      </c>
      <c r="AY17" t="e">
        <f t="shared" si="36"/>
        <v>#N/A</v>
      </c>
      <c r="AZ17" t="e">
        <f t="shared" si="36"/>
        <v>#N/A</v>
      </c>
      <c r="BA17" t="e">
        <f t="shared" si="36"/>
        <v>#N/A</v>
      </c>
      <c r="BB17" t="e">
        <f t="shared" si="36"/>
        <v>#N/A</v>
      </c>
      <c r="BC17" t="e">
        <f t="shared" si="36"/>
        <v>#N/A</v>
      </c>
      <c r="BD17" t="e">
        <f t="shared" si="36"/>
        <v>#N/A</v>
      </c>
      <c r="BE17" t="e">
        <f t="shared" si="37"/>
        <v>#N/A</v>
      </c>
      <c r="BF17" t="e">
        <f t="shared" si="37"/>
        <v>#N/A</v>
      </c>
      <c r="BG17" t="e">
        <f t="shared" si="37"/>
        <v>#N/A</v>
      </c>
      <c r="BH17" t="e">
        <f t="shared" si="37"/>
        <v>#N/A</v>
      </c>
      <c r="BI17" t="e">
        <f t="shared" si="37"/>
        <v>#N/A</v>
      </c>
      <c r="BJ17" t="e">
        <f t="shared" si="37"/>
        <v>#N/A</v>
      </c>
      <c r="BK17" t="e">
        <f t="shared" si="37"/>
        <v>#N/A</v>
      </c>
      <c r="BL17" t="e">
        <f t="shared" si="37"/>
        <v>#N/A</v>
      </c>
      <c r="BM17" t="e">
        <f t="shared" si="37"/>
        <v>#N/A</v>
      </c>
      <c r="BN17" t="e">
        <f t="shared" si="37"/>
        <v>#N/A</v>
      </c>
      <c r="BO17" t="e">
        <f t="shared" si="38"/>
        <v>#N/A</v>
      </c>
      <c r="BP17" t="e">
        <f t="shared" si="38"/>
        <v>#N/A</v>
      </c>
      <c r="BQ17" t="e">
        <f t="shared" si="38"/>
        <v>#N/A</v>
      </c>
      <c r="BR17" t="e">
        <f t="shared" si="38"/>
        <v>#N/A</v>
      </c>
      <c r="BS17" t="e">
        <f t="shared" si="38"/>
        <v>#N/A</v>
      </c>
      <c r="BT17" t="e">
        <f t="shared" si="38"/>
        <v>#N/A</v>
      </c>
      <c r="BU17" t="e">
        <f t="shared" si="38"/>
        <v>#N/A</v>
      </c>
      <c r="BV17" t="e">
        <f t="shared" si="38"/>
        <v>#N/A</v>
      </c>
      <c r="BW17" t="e">
        <f t="shared" si="38"/>
        <v>#N/A</v>
      </c>
      <c r="BX17" t="e">
        <f t="shared" si="38"/>
        <v>#N/A</v>
      </c>
      <c r="BY17" t="e">
        <f t="shared" si="39"/>
        <v>#N/A</v>
      </c>
      <c r="BZ17" t="e">
        <f t="shared" si="39"/>
        <v>#N/A</v>
      </c>
      <c r="CA17" t="e">
        <f t="shared" si="39"/>
        <v>#N/A</v>
      </c>
      <c r="CB17" t="e">
        <f t="shared" si="39"/>
        <v>#N/A</v>
      </c>
      <c r="CC17" t="e">
        <f t="shared" si="39"/>
        <v>#N/A</v>
      </c>
      <c r="CD17">
        <f t="shared" si="39"/>
        <v>1.8749999999999976</v>
      </c>
      <c r="CE17" t="e">
        <f t="shared" si="39"/>
        <v>#N/A</v>
      </c>
      <c r="CF17" t="e">
        <f t="shared" si="39"/>
        <v>#N/A</v>
      </c>
      <c r="CG17" t="e">
        <f t="shared" si="39"/>
        <v>#N/A</v>
      </c>
      <c r="CH17" t="e">
        <f t="shared" si="39"/>
        <v>#N/A</v>
      </c>
      <c r="CI17" t="e">
        <f t="shared" si="39"/>
        <v>#N/A</v>
      </c>
      <c r="CJ17" t="e">
        <f t="shared" si="39"/>
        <v>#N/A</v>
      </c>
      <c r="CK17">
        <f t="shared" si="33"/>
        <v>-3.2475952641916463</v>
      </c>
      <c r="CL17" t="str">
        <f t="shared" si="34"/>
        <v>NFR-16</v>
      </c>
      <c r="CM17">
        <f t="shared" si="35"/>
        <v>1.8749999999999976</v>
      </c>
    </row>
    <row r="18" spans="1:91" x14ac:dyDescent="0.4">
      <c r="A18" t="str">
        <f>IF(Parametri!$H17="","",Parametri!$H17)</f>
        <v/>
      </c>
      <c r="B18" t="str">
        <f>IF($A18="","",Parametri!$I17)</f>
        <v/>
      </c>
      <c r="C18" t="str">
        <f>IF($A18="","",Parametri!$J17)</f>
        <v/>
      </c>
      <c r="D18" t="e">
        <f t="shared" si="0"/>
        <v>#N/A</v>
      </c>
      <c r="E18" t="e">
        <f t="shared" si="1"/>
        <v>#N/A</v>
      </c>
      <c r="F18" t="e">
        <f t="shared" si="2"/>
        <v>#N/A</v>
      </c>
      <c r="G18" t="e">
        <f t="shared" si="3"/>
        <v>#N/A</v>
      </c>
      <c r="H18" s="29" t="e">
        <f t="shared" si="4"/>
        <v>#N/A</v>
      </c>
      <c r="I18" s="29" t="e">
        <f t="shared" si="5"/>
        <v>#N/A</v>
      </c>
      <c r="J18" s="29" t="e">
        <f>IF($A18="",NA(),MAX(IF(COUNTIFS(AZ_ID_Rischio,$A18,AZ_Ciclo,$AC18,AZ_Stato,"&lt;&gt;Respinta",AZ_Mesi_Orizzonte,"&gt;0")=0,moscaYDefault,_xlfn.MAXIFS(AZ_Mesi_Orizzonte,AZ_ID_Rischio,$A18,AZ_Ciclo,$AC18,AZ_Stato,"&lt;&gt;Respinta")/12),N(Parametri!$M17)))</f>
        <v>#N/A</v>
      </c>
      <c r="K18" s="29" t="e">
        <f t="shared" si="6"/>
        <v>#N/A</v>
      </c>
      <c r="L18" t="str">
        <f t="shared" si="7"/>
        <v/>
      </c>
      <c r="M18" t="e">
        <f t="shared" si="8"/>
        <v>#N/A</v>
      </c>
      <c r="N18" t="e">
        <f>IF($A18="",NA(),COUNTIF($C$4:C17,C18))</f>
        <v>#N/A</v>
      </c>
      <c r="O18" t="e">
        <f t="shared" si="9"/>
        <v>#N/A</v>
      </c>
      <c r="P18" s="29" t="e">
        <f t="shared" si="10"/>
        <v>#N/A</v>
      </c>
      <c r="Q18" s="29" t="e">
        <f t="shared" si="11"/>
        <v>#N/A</v>
      </c>
      <c r="R18" s="29" t="e">
        <f t="shared" si="12"/>
        <v>#N/A</v>
      </c>
      <c r="S18" s="29" t="e">
        <f t="shared" si="13"/>
        <v>#N/A</v>
      </c>
      <c r="T18" t="str">
        <f>IF($A18="","",IF(Parametri!$N17="Sì","Sì",""))</f>
        <v/>
      </c>
      <c r="U18" t="str">
        <f t="shared" si="14"/>
        <v/>
      </c>
      <c r="V18" t="str">
        <f t="shared" si="15"/>
        <v/>
      </c>
      <c r="W18" t="str">
        <f>IF(OR($A18="",NOT(ISNUMBER(K18))),"",IF(N(INDEX(posNetti,14))&gt;=sogliaDirezione,1,0))</f>
        <v/>
      </c>
      <c r="X18" t="str">
        <f t="shared" si="16"/>
        <v/>
      </c>
      <c r="Y18" t="str">
        <f>IF(OR($A18="",NOT(ISNUMBER(K18))),"",IF(Parametri!$O17="Assente",1,0))</f>
        <v/>
      </c>
      <c r="Z18" t="str">
        <f t="shared" si="17"/>
        <v/>
      </c>
      <c r="AA18" t="str">
        <f t="shared" si="18"/>
        <v/>
      </c>
      <c r="AB18" t="str">
        <f t="shared" si="19"/>
        <v/>
      </c>
      <c r="AC18" t="str">
        <f t="shared" si="20"/>
        <v/>
      </c>
      <c r="AD18">
        <f>2*PI()*13/72</f>
        <v>1.1344640137963142</v>
      </c>
      <c r="AE18">
        <f t="shared" si="21"/>
        <v>1.8126155740732999</v>
      </c>
      <c r="AF18">
        <f t="shared" si="22"/>
        <v>0.84523652348139888</v>
      </c>
      <c r="AG18">
        <f t="shared" si="23"/>
        <v>2.7189233611099497</v>
      </c>
      <c r="AH18">
        <f t="shared" si="24"/>
        <v>1.2678547852220983</v>
      </c>
      <c r="AI18">
        <f t="shared" si="25"/>
        <v>3.6252311481465997</v>
      </c>
      <c r="AJ18">
        <f t="shared" si="26"/>
        <v>1.6904730469627978</v>
      </c>
      <c r="AK18">
        <f t="shared" si="27"/>
        <v>4.5315389351832494</v>
      </c>
      <c r="AL18">
        <f t="shared" si="28"/>
        <v>2.1130913087034973</v>
      </c>
      <c r="AN18">
        <f>6.3*SIN(2*PI()*6/ROWS(codiciL1))</f>
        <v>-5.4559600438419613</v>
      </c>
      <c r="AO18">
        <f>6.3*COS(2*PI()*6/ROWS(codiciL1))</f>
        <v>-3.1500000000000026</v>
      </c>
      <c r="AU18" t="e">
        <f t="shared" si="36"/>
        <v>#N/A</v>
      </c>
      <c r="AV18" t="e">
        <f t="shared" si="36"/>
        <v>#N/A</v>
      </c>
      <c r="AW18" t="e">
        <f t="shared" si="36"/>
        <v>#N/A</v>
      </c>
      <c r="AX18" t="e">
        <f t="shared" si="36"/>
        <v>#N/A</v>
      </c>
      <c r="AY18" t="e">
        <f t="shared" si="36"/>
        <v>#N/A</v>
      </c>
      <c r="AZ18" t="e">
        <f t="shared" si="36"/>
        <v>#N/A</v>
      </c>
      <c r="BA18" t="e">
        <f t="shared" si="36"/>
        <v>#N/A</v>
      </c>
      <c r="BB18" t="e">
        <f t="shared" si="36"/>
        <v>#N/A</v>
      </c>
      <c r="BC18" t="e">
        <f t="shared" si="36"/>
        <v>#N/A</v>
      </c>
      <c r="BD18" t="e">
        <f t="shared" si="36"/>
        <v>#N/A</v>
      </c>
      <c r="BE18" t="e">
        <f t="shared" si="37"/>
        <v>#N/A</v>
      </c>
      <c r="BF18" t="e">
        <f t="shared" si="37"/>
        <v>#N/A</v>
      </c>
      <c r="BG18" t="e">
        <f t="shared" si="37"/>
        <v>#N/A</v>
      </c>
      <c r="BH18" t="e">
        <f t="shared" si="37"/>
        <v>#N/A</v>
      </c>
      <c r="BI18" t="e">
        <f t="shared" si="37"/>
        <v>#N/A</v>
      </c>
      <c r="BJ18" t="e">
        <f t="shared" si="37"/>
        <v>#N/A</v>
      </c>
      <c r="BK18" t="e">
        <f t="shared" si="37"/>
        <v>#N/A</v>
      </c>
      <c r="BL18" t="e">
        <f t="shared" si="37"/>
        <v>#N/A</v>
      </c>
      <c r="BM18" t="e">
        <f t="shared" si="37"/>
        <v>#N/A</v>
      </c>
      <c r="BN18" t="e">
        <f t="shared" si="37"/>
        <v>#N/A</v>
      </c>
      <c r="BO18" t="e">
        <f t="shared" si="38"/>
        <v>#N/A</v>
      </c>
      <c r="BP18" t="e">
        <f t="shared" si="38"/>
        <v>#N/A</v>
      </c>
      <c r="BQ18" t="e">
        <f t="shared" si="38"/>
        <v>#N/A</v>
      </c>
      <c r="BR18" t="e">
        <f t="shared" si="38"/>
        <v>#N/A</v>
      </c>
      <c r="BS18" t="e">
        <f t="shared" si="38"/>
        <v>#N/A</v>
      </c>
      <c r="BT18" t="e">
        <f t="shared" si="38"/>
        <v>#N/A</v>
      </c>
      <c r="BU18" t="e">
        <f t="shared" si="38"/>
        <v>#N/A</v>
      </c>
      <c r="BV18" t="e">
        <f t="shared" si="38"/>
        <v>#N/A</v>
      </c>
      <c r="BW18" t="e">
        <f t="shared" si="38"/>
        <v>#N/A</v>
      </c>
      <c r="BX18" t="e">
        <f t="shared" si="38"/>
        <v>#N/A</v>
      </c>
      <c r="BY18" t="e">
        <f t="shared" si="39"/>
        <v>#N/A</v>
      </c>
      <c r="BZ18" t="e">
        <f t="shared" si="39"/>
        <v>#N/A</v>
      </c>
      <c r="CA18" t="e">
        <f t="shared" si="39"/>
        <v>#N/A</v>
      </c>
      <c r="CB18" t="e">
        <f t="shared" si="39"/>
        <v>#N/A</v>
      </c>
      <c r="CC18" t="e">
        <f t="shared" si="39"/>
        <v>#N/A</v>
      </c>
      <c r="CD18" t="e">
        <f t="shared" si="39"/>
        <v>#N/A</v>
      </c>
      <c r="CE18" t="e">
        <f t="shared" si="39"/>
        <v>#N/A</v>
      </c>
      <c r="CF18" t="e">
        <f t="shared" si="39"/>
        <v>#N/A</v>
      </c>
      <c r="CG18" t="e">
        <f t="shared" si="39"/>
        <v>#N/A</v>
      </c>
      <c r="CH18" t="e">
        <f t="shared" si="39"/>
        <v>#N/A</v>
      </c>
      <c r="CI18" t="e">
        <f t="shared" si="39"/>
        <v>#N/A</v>
      </c>
      <c r="CJ18" t="e">
        <f t="shared" si="39"/>
        <v>#N/A</v>
      </c>
      <c r="CK18" t="e">
        <f t="shared" si="33"/>
        <v>#N/A</v>
      </c>
      <c r="CL18" t="str">
        <f t="shared" si="34"/>
        <v/>
      </c>
      <c r="CM18" t="e">
        <f t="shared" si="35"/>
        <v>#N/A</v>
      </c>
    </row>
    <row r="19" spans="1:91" x14ac:dyDescent="0.4">
      <c r="A19" t="str">
        <f>IF(Parametri!$H18="","",Parametri!$H18)</f>
        <v/>
      </c>
      <c r="B19" t="str">
        <f>IF($A19="","",Parametri!$I18)</f>
        <v/>
      </c>
      <c r="C19" t="str">
        <f>IF($A19="","",Parametri!$J18)</f>
        <v/>
      </c>
      <c r="D19" t="e">
        <f t="shared" si="0"/>
        <v>#N/A</v>
      </c>
      <c r="E19" t="e">
        <f t="shared" si="1"/>
        <v>#N/A</v>
      </c>
      <c r="F19" t="e">
        <f t="shared" si="2"/>
        <v>#N/A</v>
      </c>
      <c r="G19" t="e">
        <f t="shared" si="3"/>
        <v>#N/A</v>
      </c>
      <c r="H19" s="29" t="e">
        <f t="shared" si="4"/>
        <v>#N/A</v>
      </c>
      <c r="I19" s="29" t="e">
        <f t="shared" si="5"/>
        <v>#N/A</v>
      </c>
      <c r="J19" s="29" t="e">
        <f>IF($A19="",NA(),MAX(IF(COUNTIFS(AZ_ID_Rischio,$A19,AZ_Ciclo,$AC19,AZ_Stato,"&lt;&gt;Respinta",AZ_Mesi_Orizzonte,"&gt;0")=0,moscaYDefault,_xlfn.MAXIFS(AZ_Mesi_Orizzonte,AZ_ID_Rischio,$A19,AZ_Ciclo,$AC19,AZ_Stato,"&lt;&gt;Respinta")/12),N(Parametri!$M18)))</f>
        <v>#N/A</v>
      </c>
      <c r="K19" s="29" t="e">
        <f t="shared" si="6"/>
        <v>#N/A</v>
      </c>
      <c r="L19" t="str">
        <f t="shared" si="7"/>
        <v/>
      </c>
      <c r="M19" t="e">
        <f t="shared" si="8"/>
        <v>#N/A</v>
      </c>
      <c r="N19" t="e">
        <f>IF($A19="",NA(),COUNTIF($C$4:C18,C19))</f>
        <v>#N/A</v>
      </c>
      <c r="O19" t="e">
        <f t="shared" si="9"/>
        <v>#N/A</v>
      </c>
      <c r="P19" s="29" t="e">
        <f t="shared" si="10"/>
        <v>#N/A</v>
      </c>
      <c r="Q19" s="29" t="e">
        <f t="shared" si="11"/>
        <v>#N/A</v>
      </c>
      <c r="R19" s="29" t="e">
        <f t="shared" si="12"/>
        <v>#N/A</v>
      </c>
      <c r="S19" s="29" t="e">
        <f t="shared" si="13"/>
        <v>#N/A</v>
      </c>
      <c r="T19" t="str">
        <f>IF($A19="","",IF(Parametri!$N18="Sì","Sì",""))</f>
        <v/>
      </c>
      <c r="U19" t="str">
        <f t="shared" si="14"/>
        <v/>
      </c>
      <c r="V19" t="str">
        <f t="shared" si="15"/>
        <v/>
      </c>
      <c r="W19" t="str">
        <f>IF(OR($A19="",NOT(ISNUMBER(K19))),"",IF(N(INDEX(posNetti,15))&gt;=sogliaDirezione,1,0))</f>
        <v/>
      </c>
      <c r="X19" t="str">
        <f t="shared" si="16"/>
        <v/>
      </c>
      <c r="Y19" t="str">
        <f>IF(OR($A19="",NOT(ISNUMBER(K19))),"",IF(Parametri!$O18="Assente",1,0))</f>
        <v/>
      </c>
      <c r="Z19" t="str">
        <f t="shared" si="17"/>
        <v/>
      </c>
      <c r="AA19" t="str">
        <f t="shared" si="18"/>
        <v/>
      </c>
      <c r="AB19" t="str">
        <f t="shared" si="19"/>
        <v/>
      </c>
      <c r="AC19" t="str">
        <f t="shared" si="20"/>
        <v/>
      </c>
      <c r="AD19">
        <f>2*PI()*14/72</f>
        <v>1.2217304763960306</v>
      </c>
      <c r="AE19">
        <f t="shared" si="21"/>
        <v>1.8793852415718166</v>
      </c>
      <c r="AF19">
        <f t="shared" si="22"/>
        <v>0.68404028665133765</v>
      </c>
      <c r="AG19">
        <f t="shared" si="23"/>
        <v>2.8190778623577248</v>
      </c>
      <c r="AH19">
        <f t="shared" si="24"/>
        <v>1.0260604299770064</v>
      </c>
      <c r="AI19">
        <f t="shared" si="25"/>
        <v>3.7587704831436333</v>
      </c>
      <c r="AJ19">
        <f t="shared" si="26"/>
        <v>1.3680805733026753</v>
      </c>
      <c r="AK19">
        <f t="shared" si="27"/>
        <v>4.6984631039295417</v>
      </c>
      <c r="AL19">
        <f t="shared" si="28"/>
        <v>1.7101007166283442</v>
      </c>
      <c r="AN19">
        <v>0</v>
      </c>
      <c r="AO19">
        <v>0</v>
      </c>
      <c r="AU19" t="e">
        <f t="shared" si="36"/>
        <v>#N/A</v>
      </c>
      <c r="AV19" t="e">
        <f t="shared" si="36"/>
        <v>#N/A</v>
      </c>
      <c r="AW19" t="e">
        <f t="shared" si="36"/>
        <v>#N/A</v>
      </c>
      <c r="AX19" t="e">
        <f t="shared" si="36"/>
        <v>#N/A</v>
      </c>
      <c r="AY19" t="e">
        <f t="shared" si="36"/>
        <v>#N/A</v>
      </c>
      <c r="AZ19" t="e">
        <f t="shared" si="36"/>
        <v>#N/A</v>
      </c>
      <c r="BA19" t="e">
        <f t="shared" si="36"/>
        <v>#N/A</v>
      </c>
      <c r="BB19" t="e">
        <f t="shared" si="36"/>
        <v>#N/A</v>
      </c>
      <c r="BC19" t="e">
        <f t="shared" si="36"/>
        <v>#N/A</v>
      </c>
      <c r="BD19" t="e">
        <f t="shared" si="36"/>
        <v>#N/A</v>
      </c>
      <c r="BE19" t="e">
        <f t="shared" si="37"/>
        <v>#N/A</v>
      </c>
      <c r="BF19" t="e">
        <f t="shared" si="37"/>
        <v>#N/A</v>
      </c>
      <c r="BG19" t="e">
        <f t="shared" si="37"/>
        <v>#N/A</v>
      </c>
      <c r="BH19" t="e">
        <f t="shared" si="37"/>
        <v>#N/A</v>
      </c>
      <c r="BI19" t="e">
        <f t="shared" si="37"/>
        <v>#N/A</v>
      </c>
      <c r="BJ19" t="e">
        <f t="shared" si="37"/>
        <v>#N/A</v>
      </c>
      <c r="BK19" t="e">
        <f t="shared" si="37"/>
        <v>#N/A</v>
      </c>
      <c r="BL19" t="e">
        <f t="shared" si="37"/>
        <v>#N/A</v>
      </c>
      <c r="BM19" t="e">
        <f t="shared" si="37"/>
        <v>#N/A</v>
      </c>
      <c r="BN19" t="e">
        <f t="shared" si="37"/>
        <v>#N/A</v>
      </c>
      <c r="BO19" t="e">
        <f t="shared" si="38"/>
        <v>#N/A</v>
      </c>
      <c r="BP19" t="e">
        <f t="shared" si="38"/>
        <v>#N/A</v>
      </c>
      <c r="BQ19" t="e">
        <f t="shared" si="38"/>
        <v>#N/A</v>
      </c>
      <c r="BR19" t="e">
        <f t="shared" si="38"/>
        <v>#N/A</v>
      </c>
      <c r="BS19" t="e">
        <f t="shared" si="38"/>
        <v>#N/A</v>
      </c>
      <c r="BT19" t="e">
        <f t="shared" si="38"/>
        <v>#N/A</v>
      </c>
      <c r="BU19" t="e">
        <f t="shared" si="38"/>
        <v>#N/A</v>
      </c>
      <c r="BV19" t="e">
        <f t="shared" si="38"/>
        <v>#N/A</v>
      </c>
      <c r="BW19" t="e">
        <f t="shared" si="38"/>
        <v>#N/A</v>
      </c>
      <c r="BX19" t="e">
        <f t="shared" si="38"/>
        <v>#N/A</v>
      </c>
      <c r="BY19" t="e">
        <f t="shared" si="39"/>
        <v>#N/A</v>
      </c>
      <c r="BZ19" t="e">
        <f t="shared" si="39"/>
        <v>#N/A</v>
      </c>
      <c r="CA19" t="e">
        <f t="shared" si="39"/>
        <v>#N/A</v>
      </c>
      <c r="CB19" t="e">
        <f t="shared" si="39"/>
        <v>#N/A</v>
      </c>
      <c r="CC19" t="e">
        <f t="shared" si="39"/>
        <v>#N/A</v>
      </c>
      <c r="CD19" t="e">
        <f t="shared" si="39"/>
        <v>#N/A</v>
      </c>
      <c r="CE19" t="e">
        <f t="shared" si="39"/>
        <v>#N/A</v>
      </c>
      <c r="CF19" t="e">
        <f t="shared" si="39"/>
        <v>#N/A</v>
      </c>
      <c r="CG19" t="e">
        <f t="shared" si="39"/>
        <v>#N/A</v>
      </c>
      <c r="CH19" t="e">
        <f t="shared" si="39"/>
        <v>#N/A</v>
      </c>
      <c r="CI19" t="e">
        <f t="shared" si="39"/>
        <v>#N/A</v>
      </c>
      <c r="CJ19" t="e">
        <f t="shared" si="39"/>
        <v>#N/A</v>
      </c>
      <c r="CK19" t="e">
        <f t="shared" si="33"/>
        <v>#N/A</v>
      </c>
      <c r="CL19" t="str">
        <f t="shared" si="34"/>
        <v/>
      </c>
      <c r="CM19" t="e">
        <f t="shared" si="35"/>
        <v>#N/A</v>
      </c>
    </row>
    <row r="20" spans="1:91" x14ac:dyDescent="0.4">
      <c r="A20" t="str">
        <f>IF(Parametri!$H19="","",Parametri!$H19)</f>
        <v/>
      </c>
      <c r="B20" t="str">
        <f>IF($A20="","",Parametri!$I19)</f>
        <v/>
      </c>
      <c r="C20" t="str">
        <f>IF($A20="","",Parametri!$J19)</f>
        <v/>
      </c>
      <c r="D20" t="e">
        <f t="shared" si="0"/>
        <v>#N/A</v>
      </c>
      <c r="E20" t="e">
        <f t="shared" si="1"/>
        <v>#N/A</v>
      </c>
      <c r="F20" t="e">
        <f t="shared" si="2"/>
        <v>#N/A</v>
      </c>
      <c r="G20" t="e">
        <f t="shared" si="3"/>
        <v>#N/A</v>
      </c>
      <c r="H20" s="29" t="e">
        <f t="shared" si="4"/>
        <v>#N/A</v>
      </c>
      <c r="I20" s="29" t="e">
        <f t="shared" si="5"/>
        <v>#N/A</v>
      </c>
      <c r="J20" s="29" t="e">
        <f>IF($A20="",NA(),MAX(IF(COUNTIFS(AZ_ID_Rischio,$A20,AZ_Ciclo,$AC20,AZ_Stato,"&lt;&gt;Respinta",AZ_Mesi_Orizzonte,"&gt;0")=0,moscaYDefault,_xlfn.MAXIFS(AZ_Mesi_Orizzonte,AZ_ID_Rischio,$A20,AZ_Ciclo,$AC20,AZ_Stato,"&lt;&gt;Respinta")/12),N(Parametri!$M19)))</f>
        <v>#N/A</v>
      </c>
      <c r="K20" s="29" t="e">
        <f t="shared" si="6"/>
        <v>#N/A</v>
      </c>
      <c r="L20" t="str">
        <f t="shared" si="7"/>
        <v/>
      </c>
      <c r="M20" t="e">
        <f t="shared" si="8"/>
        <v>#N/A</v>
      </c>
      <c r="N20" t="e">
        <f>IF($A20="",NA(),COUNTIF($C$4:C19,C20))</f>
        <v>#N/A</v>
      </c>
      <c r="O20" t="e">
        <f t="shared" si="9"/>
        <v>#N/A</v>
      </c>
      <c r="P20" s="29" t="e">
        <f t="shared" si="10"/>
        <v>#N/A</v>
      </c>
      <c r="Q20" s="29" t="e">
        <f t="shared" si="11"/>
        <v>#N/A</v>
      </c>
      <c r="R20" s="29" t="e">
        <f t="shared" si="12"/>
        <v>#N/A</v>
      </c>
      <c r="S20" s="29" t="e">
        <f t="shared" si="13"/>
        <v>#N/A</v>
      </c>
      <c r="T20" t="str">
        <f>IF($A20="","",IF(Parametri!$N19="Sì","Sì",""))</f>
        <v/>
      </c>
      <c r="U20" t="str">
        <f t="shared" si="14"/>
        <v/>
      </c>
      <c r="V20" t="str">
        <f t="shared" si="15"/>
        <v/>
      </c>
      <c r="W20" t="str">
        <f>IF(OR($A20="",NOT(ISNUMBER(K20))),"",IF(N(INDEX(posNetti,16))&gt;=sogliaDirezione,1,0))</f>
        <v/>
      </c>
      <c r="X20" t="str">
        <f t="shared" si="16"/>
        <v/>
      </c>
      <c r="Y20" t="str">
        <f>IF(OR($A20="",NOT(ISNUMBER(K20))),"",IF(Parametri!$O19="Assente",1,0))</f>
        <v/>
      </c>
      <c r="Z20" t="str">
        <f t="shared" si="17"/>
        <v/>
      </c>
      <c r="AA20" t="str">
        <f t="shared" si="18"/>
        <v/>
      </c>
      <c r="AB20" t="str">
        <f t="shared" si="19"/>
        <v/>
      </c>
      <c r="AC20" t="str">
        <f t="shared" si="20"/>
        <v/>
      </c>
      <c r="AD20">
        <f>2*PI()*15/72</f>
        <v>1.308996938995747</v>
      </c>
      <c r="AE20">
        <f t="shared" si="21"/>
        <v>1.9318516525781364</v>
      </c>
      <c r="AF20">
        <f t="shared" si="22"/>
        <v>0.51763809020504192</v>
      </c>
      <c r="AG20">
        <f t="shared" si="23"/>
        <v>2.8977774788672046</v>
      </c>
      <c r="AH20">
        <f t="shared" si="24"/>
        <v>0.77645713530756288</v>
      </c>
      <c r="AI20">
        <f t="shared" si="25"/>
        <v>3.8637033051562728</v>
      </c>
      <c r="AJ20">
        <f t="shared" si="26"/>
        <v>1.0352761804100838</v>
      </c>
      <c r="AK20">
        <f t="shared" si="27"/>
        <v>4.8296291314453406</v>
      </c>
      <c r="AL20">
        <f t="shared" si="28"/>
        <v>1.2940952255126048</v>
      </c>
      <c r="AN20">
        <f>6.3*SIN(2*PI()*7/ROWS(codiciL1))</f>
        <v>-6.2042888439769115</v>
      </c>
      <c r="AO20">
        <f>6.3*COS(2*PI()*7/ROWS(codiciL1))</f>
        <v>1.0939835193016587</v>
      </c>
      <c r="AU20" t="e">
        <f t="shared" si="36"/>
        <v>#N/A</v>
      </c>
      <c r="AV20" t="e">
        <f t="shared" si="36"/>
        <v>#N/A</v>
      </c>
      <c r="AW20" t="e">
        <f t="shared" si="36"/>
        <v>#N/A</v>
      </c>
      <c r="AX20" t="e">
        <f t="shared" si="36"/>
        <v>#N/A</v>
      </c>
      <c r="AY20" t="e">
        <f t="shared" si="36"/>
        <v>#N/A</v>
      </c>
      <c r="AZ20" t="e">
        <f t="shared" si="36"/>
        <v>#N/A</v>
      </c>
      <c r="BA20" t="e">
        <f t="shared" si="36"/>
        <v>#N/A</v>
      </c>
      <c r="BB20" t="e">
        <f t="shared" si="36"/>
        <v>#N/A</v>
      </c>
      <c r="BC20" t="e">
        <f t="shared" si="36"/>
        <v>#N/A</v>
      </c>
      <c r="BD20" t="e">
        <f t="shared" si="36"/>
        <v>#N/A</v>
      </c>
      <c r="BE20" t="e">
        <f t="shared" si="37"/>
        <v>#N/A</v>
      </c>
      <c r="BF20" t="e">
        <f t="shared" si="37"/>
        <v>#N/A</v>
      </c>
      <c r="BG20" t="e">
        <f t="shared" si="37"/>
        <v>#N/A</v>
      </c>
      <c r="BH20" t="e">
        <f t="shared" si="37"/>
        <v>#N/A</v>
      </c>
      <c r="BI20" t="e">
        <f t="shared" si="37"/>
        <v>#N/A</v>
      </c>
      <c r="BJ20" t="e">
        <f t="shared" si="37"/>
        <v>#N/A</v>
      </c>
      <c r="BK20" t="e">
        <f t="shared" si="37"/>
        <v>#N/A</v>
      </c>
      <c r="BL20" t="e">
        <f t="shared" si="37"/>
        <v>#N/A</v>
      </c>
      <c r="BM20" t="e">
        <f t="shared" si="37"/>
        <v>#N/A</v>
      </c>
      <c r="BN20" t="e">
        <f t="shared" si="37"/>
        <v>#N/A</v>
      </c>
      <c r="BO20" t="e">
        <f t="shared" si="38"/>
        <v>#N/A</v>
      </c>
      <c r="BP20" t="e">
        <f t="shared" si="38"/>
        <v>#N/A</v>
      </c>
      <c r="BQ20" t="e">
        <f t="shared" si="38"/>
        <v>#N/A</v>
      </c>
      <c r="BR20" t="e">
        <f t="shared" si="38"/>
        <v>#N/A</v>
      </c>
      <c r="BS20" t="e">
        <f t="shared" si="38"/>
        <v>#N/A</v>
      </c>
      <c r="BT20" t="e">
        <f t="shared" si="38"/>
        <v>#N/A</v>
      </c>
      <c r="BU20" t="e">
        <f t="shared" si="38"/>
        <v>#N/A</v>
      </c>
      <c r="BV20" t="e">
        <f t="shared" si="38"/>
        <v>#N/A</v>
      </c>
      <c r="BW20" t="e">
        <f t="shared" si="38"/>
        <v>#N/A</v>
      </c>
      <c r="BX20" t="e">
        <f t="shared" si="38"/>
        <v>#N/A</v>
      </c>
      <c r="BY20" t="e">
        <f t="shared" si="39"/>
        <v>#N/A</v>
      </c>
      <c r="BZ20" t="e">
        <f t="shared" si="39"/>
        <v>#N/A</v>
      </c>
      <c r="CA20" t="e">
        <f t="shared" si="39"/>
        <v>#N/A</v>
      </c>
      <c r="CB20" t="e">
        <f t="shared" si="39"/>
        <v>#N/A</v>
      </c>
      <c r="CC20" t="e">
        <f t="shared" si="39"/>
        <v>#N/A</v>
      </c>
      <c r="CD20" t="e">
        <f t="shared" si="39"/>
        <v>#N/A</v>
      </c>
      <c r="CE20" t="e">
        <f t="shared" si="39"/>
        <v>#N/A</v>
      </c>
      <c r="CF20" t="e">
        <f t="shared" si="39"/>
        <v>#N/A</v>
      </c>
      <c r="CG20" t="e">
        <f t="shared" si="39"/>
        <v>#N/A</v>
      </c>
      <c r="CH20" t="e">
        <f t="shared" si="39"/>
        <v>#N/A</v>
      </c>
      <c r="CI20" t="e">
        <f t="shared" si="39"/>
        <v>#N/A</v>
      </c>
      <c r="CJ20" t="e">
        <f t="shared" si="39"/>
        <v>#N/A</v>
      </c>
      <c r="CK20" t="e">
        <f t="shared" si="33"/>
        <v>#N/A</v>
      </c>
      <c r="CL20" t="str">
        <f t="shared" si="34"/>
        <v/>
      </c>
      <c r="CM20" t="e">
        <f t="shared" si="35"/>
        <v>#N/A</v>
      </c>
    </row>
    <row r="21" spans="1:91" x14ac:dyDescent="0.4">
      <c r="A21" t="str">
        <f>IF(Parametri!$H20="","",Parametri!$H20)</f>
        <v/>
      </c>
      <c r="B21" t="str">
        <f>IF($A21="","",Parametri!$I20)</f>
        <v/>
      </c>
      <c r="C21" t="str">
        <f>IF($A21="","",Parametri!$J20)</f>
        <v/>
      </c>
      <c r="D21" t="e">
        <f t="shared" si="0"/>
        <v>#N/A</v>
      </c>
      <c r="E21" t="e">
        <f t="shared" si="1"/>
        <v>#N/A</v>
      </c>
      <c r="F21" t="e">
        <f t="shared" si="2"/>
        <v>#N/A</v>
      </c>
      <c r="G21" t="e">
        <f t="shared" si="3"/>
        <v>#N/A</v>
      </c>
      <c r="H21" s="29" t="e">
        <f t="shared" si="4"/>
        <v>#N/A</v>
      </c>
      <c r="I21" s="29" t="e">
        <f t="shared" si="5"/>
        <v>#N/A</v>
      </c>
      <c r="J21" s="29" t="e">
        <f>IF($A21="",NA(),MAX(IF(COUNTIFS(AZ_ID_Rischio,$A21,AZ_Ciclo,$AC21,AZ_Stato,"&lt;&gt;Respinta",AZ_Mesi_Orizzonte,"&gt;0")=0,moscaYDefault,_xlfn.MAXIFS(AZ_Mesi_Orizzonte,AZ_ID_Rischio,$A21,AZ_Ciclo,$AC21,AZ_Stato,"&lt;&gt;Respinta")/12),N(Parametri!$M20)))</f>
        <v>#N/A</v>
      </c>
      <c r="K21" s="29" t="e">
        <f t="shared" si="6"/>
        <v>#N/A</v>
      </c>
      <c r="L21" t="str">
        <f t="shared" si="7"/>
        <v/>
      </c>
      <c r="M21" t="e">
        <f t="shared" si="8"/>
        <v>#N/A</v>
      </c>
      <c r="N21" t="e">
        <f>IF($A21="",NA(),COUNTIF($C$4:C20,C21))</f>
        <v>#N/A</v>
      </c>
      <c r="O21" t="e">
        <f t="shared" si="9"/>
        <v>#N/A</v>
      </c>
      <c r="P21" s="29" t="e">
        <f t="shared" si="10"/>
        <v>#N/A</v>
      </c>
      <c r="Q21" s="29" t="e">
        <f t="shared" si="11"/>
        <v>#N/A</v>
      </c>
      <c r="R21" s="29" t="e">
        <f t="shared" si="12"/>
        <v>#N/A</v>
      </c>
      <c r="S21" s="29" t="e">
        <f t="shared" si="13"/>
        <v>#N/A</v>
      </c>
      <c r="T21" t="str">
        <f>IF($A21="","",IF(Parametri!$N20="Sì","Sì",""))</f>
        <v/>
      </c>
      <c r="U21" t="str">
        <f t="shared" si="14"/>
        <v/>
      </c>
      <c r="V21" t="str">
        <f t="shared" si="15"/>
        <v/>
      </c>
      <c r="W21" t="str">
        <f>IF(OR($A21="",NOT(ISNUMBER(K21))),"",IF(N(INDEX(posNetti,17))&gt;=sogliaDirezione,1,0))</f>
        <v/>
      </c>
      <c r="X21" t="str">
        <f t="shared" si="16"/>
        <v/>
      </c>
      <c r="Y21" t="str">
        <f>IF(OR($A21="",NOT(ISNUMBER(K21))),"",IF(Parametri!$O20="Assente",1,0))</f>
        <v/>
      </c>
      <c r="Z21" t="str">
        <f t="shared" si="17"/>
        <v/>
      </c>
      <c r="AA21" t="str">
        <f t="shared" si="18"/>
        <v/>
      </c>
      <c r="AB21" t="str">
        <f t="shared" si="19"/>
        <v/>
      </c>
      <c r="AC21" t="str">
        <f t="shared" si="20"/>
        <v/>
      </c>
      <c r="AD21">
        <f>2*PI()*16/72</f>
        <v>1.3962634015954636</v>
      </c>
      <c r="AE21">
        <f t="shared" si="21"/>
        <v>1.969615506024416</v>
      </c>
      <c r="AF21">
        <f t="shared" si="22"/>
        <v>0.34729635533386083</v>
      </c>
      <c r="AG21">
        <f t="shared" si="23"/>
        <v>2.9544232590366239</v>
      </c>
      <c r="AH21">
        <f t="shared" si="24"/>
        <v>0.52094453300079124</v>
      </c>
      <c r="AI21">
        <f t="shared" si="25"/>
        <v>3.9392310120488321</v>
      </c>
      <c r="AJ21">
        <f t="shared" si="26"/>
        <v>0.69459271066772166</v>
      </c>
      <c r="AK21">
        <f t="shared" si="27"/>
        <v>4.9240387650610398</v>
      </c>
      <c r="AL21">
        <f t="shared" si="28"/>
        <v>0.86824088833465207</v>
      </c>
      <c r="AN21">
        <v>0</v>
      </c>
      <c r="AO21">
        <v>0</v>
      </c>
      <c r="AU21" t="e">
        <f t="shared" si="36"/>
        <v>#N/A</v>
      </c>
      <c r="AV21" t="e">
        <f t="shared" si="36"/>
        <v>#N/A</v>
      </c>
      <c r="AW21" t="e">
        <f t="shared" si="36"/>
        <v>#N/A</v>
      </c>
      <c r="AX21" t="e">
        <f t="shared" si="36"/>
        <v>#N/A</v>
      </c>
      <c r="AY21" t="e">
        <f t="shared" si="36"/>
        <v>#N/A</v>
      </c>
      <c r="AZ21" t="e">
        <f t="shared" si="36"/>
        <v>#N/A</v>
      </c>
      <c r="BA21" t="e">
        <f t="shared" si="36"/>
        <v>#N/A</v>
      </c>
      <c r="BB21" t="e">
        <f t="shared" si="36"/>
        <v>#N/A</v>
      </c>
      <c r="BC21" t="e">
        <f t="shared" si="36"/>
        <v>#N/A</v>
      </c>
      <c r="BD21" t="e">
        <f t="shared" si="36"/>
        <v>#N/A</v>
      </c>
      <c r="BE21" t="e">
        <f t="shared" si="37"/>
        <v>#N/A</v>
      </c>
      <c r="BF21" t="e">
        <f t="shared" si="37"/>
        <v>#N/A</v>
      </c>
      <c r="BG21" t="e">
        <f t="shared" si="37"/>
        <v>#N/A</v>
      </c>
      <c r="BH21" t="e">
        <f t="shared" si="37"/>
        <v>#N/A</v>
      </c>
      <c r="BI21" t="e">
        <f t="shared" si="37"/>
        <v>#N/A</v>
      </c>
      <c r="BJ21" t="e">
        <f t="shared" si="37"/>
        <v>#N/A</v>
      </c>
      <c r="BK21" t="e">
        <f t="shared" si="37"/>
        <v>#N/A</v>
      </c>
      <c r="BL21" t="e">
        <f t="shared" si="37"/>
        <v>#N/A</v>
      </c>
      <c r="BM21" t="e">
        <f t="shared" si="37"/>
        <v>#N/A</v>
      </c>
      <c r="BN21" t="e">
        <f t="shared" si="37"/>
        <v>#N/A</v>
      </c>
      <c r="BO21" t="e">
        <f t="shared" si="38"/>
        <v>#N/A</v>
      </c>
      <c r="BP21" t="e">
        <f t="shared" si="38"/>
        <v>#N/A</v>
      </c>
      <c r="BQ21" t="e">
        <f t="shared" si="38"/>
        <v>#N/A</v>
      </c>
      <c r="BR21" t="e">
        <f t="shared" si="38"/>
        <v>#N/A</v>
      </c>
      <c r="BS21" t="e">
        <f t="shared" si="38"/>
        <v>#N/A</v>
      </c>
      <c r="BT21" t="e">
        <f t="shared" si="38"/>
        <v>#N/A</v>
      </c>
      <c r="BU21" t="e">
        <f t="shared" si="38"/>
        <v>#N/A</v>
      </c>
      <c r="BV21" t="e">
        <f t="shared" si="38"/>
        <v>#N/A</v>
      </c>
      <c r="BW21" t="e">
        <f t="shared" si="38"/>
        <v>#N/A</v>
      </c>
      <c r="BX21" t="e">
        <f t="shared" si="38"/>
        <v>#N/A</v>
      </c>
      <c r="BY21" t="e">
        <f t="shared" si="39"/>
        <v>#N/A</v>
      </c>
      <c r="BZ21" t="e">
        <f t="shared" si="39"/>
        <v>#N/A</v>
      </c>
      <c r="CA21" t="e">
        <f t="shared" si="39"/>
        <v>#N/A</v>
      </c>
      <c r="CB21" t="e">
        <f t="shared" si="39"/>
        <v>#N/A</v>
      </c>
      <c r="CC21" t="e">
        <f t="shared" si="39"/>
        <v>#N/A</v>
      </c>
      <c r="CD21" t="e">
        <f t="shared" si="39"/>
        <v>#N/A</v>
      </c>
      <c r="CE21" t="e">
        <f t="shared" si="39"/>
        <v>#N/A</v>
      </c>
      <c r="CF21" t="e">
        <f t="shared" si="39"/>
        <v>#N/A</v>
      </c>
      <c r="CG21" t="e">
        <f t="shared" si="39"/>
        <v>#N/A</v>
      </c>
      <c r="CH21" t="e">
        <f t="shared" si="39"/>
        <v>#N/A</v>
      </c>
      <c r="CI21" t="e">
        <f t="shared" si="39"/>
        <v>#N/A</v>
      </c>
      <c r="CJ21" t="e">
        <f t="shared" si="39"/>
        <v>#N/A</v>
      </c>
      <c r="CK21" t="e">
        <f t="shared" si="33"/>
        <v>#N/A</v>
      </c>
      <c r="CL21" t="str">
        <f t="shared" si="34"/>
        <v/>
      </c>
      <c r="CM21" t="e">
        <f t="shared" si="35"/>
        <v>#N/A</v>
      </c>
    </row>
    <row r="22" spans="1:91" x14ac:dyDescent="0.4">
      <c r="A22" t="str">
        <f>IF(Parametri!$H21="","",Parametri!$H21)</f>
        <v/>
      </c>
      <c r="B22" t="str">
        <f>IF($A22="","",Parametri!$I21)</f>
        <v/>
      </c>
      <c r="C22" t="str">
        <f>IF($A22="","",Parametri!$J21)</f>
        <v/>
      </c>
      <c r="D22" t="e">
        <f t="shared" si="0"/>
        <v>#N/A</v>
      </c>
      <c r="E22" t="e">
        <f t="shared" si="1"/>
        <v>#N/A</v>
      </c>
      <c r="F22" t="e">
        <f t="shared" si="2"/>
        <v>#N/A</v>
      </c>
      <c r="G22" t="e">
        <f t="shared" si="3"/>
        <v>#N/A</v>
      </c>
      <c r="H22" s="29" t="e">
        <f t="shared" si="4"/>
        <v>#N/A</v>
      </c>
      <c r="I22" s="29" t="e">
        <f t="shared" si="5"/>
        <v>#N/A</v>
      </c>
      <c r="J22" s="29" t="e">
        <f>IF($A22="",NA(),MAX(IF(COUNTIFS(AZ_ID_Rischio,$A22,AZ_Ciclo,$AC22,AZ_Stato,"&lt;&gt;Respinta",AZ_Mesi_Orizzonte,"&gt;0")=0,moscaYDefault,_xlfn.MAXIFS(AZ_Mesi_Orizzonte,AZ_ID_Rischio,$A22,AZ_Ciclo,$AC22,AZ_Stato,"&lt;&gt;Respinta")/12),N(Parametri!$M21)))</f>
        <v>#N/A</v>
      </c>
      <c r="K22" s="29" t="e">
        <f t="shared" si="6"/>
        <v>#N/A</v>
      </c>
      <c r="L22" t="str">
        <f t="shared" si="7"/>
        <v/>
      </c>
      <c r="M22" t="e">
        <f t="shared" si="8"/>
        <v>#N/A</v>
      </c>
      <c r="N22" t="e">
        <f>IF($A22="",NA(),COUNTIF($C$4:C21,C22))</f>
        <v>#N/A</v>
      </c>
      <c r="O22" t="e">
        <f t="shared" si="9"/>
        <v>#N/A</v>
      </c>
      <c r="P22" s="29" t="e">
        <f t="shared" si="10"/>
        <v>#N/A</v>
      </c>
      <c r="Q22" s="29" t="e">
        <f t="shared" si="11"/>
        <v>#N/A</v>
      </c>
      <c r="R22" s="29" t="e">
        <f t="shared" si="12"/>
        <v>#N/A</v>
      </c>
      <c r="S22" s="29" t="e">
        <f t="shared" si="13"/>
        <v>#N/A</v>
      </c>
      <c r="T22" t="str">
        <f>IF($A22="","",IF(Parametri!$N21="Sì","Sì",""))</f>
        <v/>
      </c>
      <c r="U22" t="str">
        <f t="shared" si="14"/>
        <v/>
      </c>
      <c r="V22" t="str">
        <f t="shared" si="15"/>
        <v/>
      </c>
      <c r="W22" t="str">
        <f>IF(OR($A22="",NOT(ISNUMBER(K22))),"",IF(N(INDEX(posNetti,18))&gt;=sogliaDirezione,1,0))</f>
        <v/>
      </c>
      <c r="X22" t="str">
        <f t="shared" si="16"/>
        <v/>
      </c>
      <c r="Y22" t="str">
        <f>IF(OR($A22="",NOT(ISNUMBER(K22))),"",IF(Parametri!$O21="Assente",1,0))</f>
        <v/>
      </c>
      <c r="Z22" t="str">
        <f t="shared" si="17"/>
        <v/>
      </c>
      <c r="AA22" t="str">
        <f t="shared" si="18"/>
        <v/>
      </c>
      <c r="AB22" t="str">
        <f t="shared" si="19"/>
        <v/>
      </c>
      <c r="AC22" t="str">
        <f t="shared" si="20"/>
        <v/>
      </c>
      <c r="AD22">
        <f>2*PI()*17/72</f>
        <v>1.4835298641951802</v>
      </c>
      <c r="AE22">
        <f t="shared" si="21"/>
        <v>1.9923893961834911</v>
      </c>
      <c r="AF22">
        <f t="shared" si="22"/>
        <v>0.17431148549531628</v>
      </c>
      <c r="AG22">
        <f t="shared" si="23"/>
        <v>2.9885840942752369</v>
      </c>
      <c r="AH22">
        <f t="shared" si="24"/>
        <v>0.26146722824297441</v>
      </c>
      <c r="AI22">
        <f t="shared" si="25"/>
        <v>3.9847787923669822</v>
      </c>
      <c r="AJ22">
        <f t="shared" si="26"/>
        <v>0.34862297099063255</v>
      </c>
      <c r="AK22">
        <f t="shared" si="27"/>
        <v>4.9809734904587275</v>
      </c>
      <c r="AL22">
        <f t="shared" si="28"/>
        <v>0.43577871373829069</v>
      </c>
      <c r="AN22">
        <f>6.3*SIN(2*PI()*8/ROWS(codiciL1))</f>
        <v>-4.0495619410251988</v>
      </c>
      <c r="AO22">
        <f>6.3*COS(2*PI()*8/ROWS(codiciL1))</f>
        <v>4.8260799916495598</v>
      </c>
      <c r="AU22" t="e">
        <f t="shared" si="36"/>
        <v>#N/A</v>
      </c>
      <c r="AV22" t="e">
        <f t="shared" si="36"/>
        <v>#N/A</v>
      </c>
      <c r="AW22" t="e">
        <f t="shared" si="36"/>
        <v>#N/A</v>
      </c>
      <c r="AX22" t="e">
        <f t="shared" si="36"/>
        <v>#N/A</v>
      </c>
      <c r="AY22" t="e">
        <f t="shared" si="36"/>
        <v>#N/A</v>
      </c>
      <c r="AZ22" t="e">
        <f t="shared" si="36"/>
        <v>#N/A</v>
      </c>
      <c r="BA22" t="e">
        <f t="shared" si="36"/>
        <v>#N/A</v>
      </c>
      <c r="BB22" t="e">
        <f t="shared" si="36"/>
        <v>#N/A</v>
      </c>
      <c r="BC22" t="e">
        <f t="shared" si="36"/>
        <v>#N/A</v>
      </c>
      <c r="BD22" t="e">
        <f t="shared" si="36"/>
        <v>#N/A</v>
      </c>
      <c r="BE22" t="e">
        <f t="shared" si="37"/>
        <v>#N/A</v>
      </c>
      <c r="BF22" t="e">
        <f t="shared" si="37"/>
        <v>#N/A</v>
      </c>
      <c r="BG22" t="e">
        <f t="shared" si="37"/>
        <v>#N/A</v>
      </c>
      <c r="BH22" t="e">
        <f t="shared" si="37"/>
        <v>#N/A</v>
      </c>
      <c r="BI22" t="e">
        <f t="shared" si="37"/>
        <v>#N/A</v>
      </c>
      <c r="BJ22" t="e">
        <f t="shared" si="37"/>
        <v>#N/A</v>
      </c>
      <c r="BK22" t="e">
        <f t="shared" si="37"/>
        <v>#N/A</v>
      </c>
      <c r="BL22" t="e">
        <f t="shared" si="37"/>
        <v>#N/A</v>
      </c>
      <c r="BM22" t="e">
        <f t="shared" si="37"/>
        <v>#N/A</v>
      </c>
      <c r="BN22" t="e">
        <f t="shared" si="37"/>
        <v>#N/A</v>
      </c>
      <c r="BO22" t="e">
        <f t="shared" si="38"/>
        <v>#N/A</v>
      </c>
      <c r="BP22" t="e">
        <f t="shared" si="38"/>
        <v>#N/A</v>
      </c>
      <c r="BQ22" t="e">
        <f t="shared" si="38"/>
        <v>#N/A</v>
      </c>
      <c r="BR22" t="e">
        <f t="shared" si="38"/>
        <v>#N/A</v>
      </c>
      <c r="BS22" t="e">
        <f t="shared" si="38"/>
        <v>#N/A</v>
      </c>
      <c r="BT22" t="e">
        <f t="shared" si="38"/>
        <v>#N/A</v>
      </c>
      <c r="BU22" t="e">
        <f t="shared" si="38"/>
        <v>#N/A</v>
      </c>
      <c r="BV22" t="e">
        <f t="shared" si="38"/>
        <v>#N/A</v>
      </c>
      <c r="BW22" t="e">
        <f t="shared" si="38"/>
        <v>#N/A</v>
      </c>
      <c r="BX22" t="e">
        <f t="shared" si="38"/>
        <v>#N/A</v>
      </c>
      <c r="BY22" t="e">
        <f t="shared" si="39"/>
        <v>#N/A</v>
      </c>
      <c r="BZ22" t="e">
        <f t="shared" si="39"/>
        <v>#N/A</v>
      </c>
      <c r="CA22" t="e">
        <f t="shared" si="39"/>
        <v>#N/A</v>
      </c>
      <c r="CB22" t="e">
        <f t="shared" si="39"/>
        <v>#N/A</v>
      </c>
      <c r="CC22" t="e">
        <f t="shared" si="39"/>
        <v>#N/A</v>
      </c>
      <c r="CD22" t="e">
        <f t="shared" si="39"/>
        <v>#N/A</v>
      </c>
      <c r="CE22" t="e">
        <f t="shared" si="39"/>
        <v>#N/A</v>
      </c>
      <c r="CF22" t="e">
        <f t="shared" si="39"/>
        <v>#N/A</v>
      </c>
      <c r="CG22" t="e">
        <f t="shared" si="39"/>
        <v>#N/A</v>
      </c>
      <c r="CH22" t="e">
        <f t="shared" si="39"/>
        <v>#N/A</v>
      </c>
      <c r="CI22" t="e">
        <f t="shared" si="39"/>
        <v>#N/A</v>
      </c>
      <c r="CJ22" t="e">
        <f t="shared" si="39"/>
        <v>#N/A</v>
      </c>
      <c r="CK22" t="e">
        <f t="shared" si="33"/>
        <v>#N/A</v>
      </c>
      <c r="CL22" t="str">
        <f t="shared" si="34"/>
        <v/>
      </c>
      <c r="CM22" t="e">
        <f t="shared" si="35"/>
        <v>#N/A</v>
      </c>
    </row>
    <row r="23" spans="1:91" x14ac:dyDescent="0.4">
      <c r="A23" t="str">
        <f>IF(Parametri!$H22="","",Parametri!$H22)</f>
        <v/>
      </c>
      <c r="B23" t="str">
        <f>IF($A23="","",Parametri!$I22)</f>
        <v/>
      </c>
      <c r="C23" t="str">
        <f>IF($A23="","",Parametri!$J22)</f>
        <v/>
      </c>
      <c r="D23" t="e">
        <f t="shared" si="0"/>
        <v>#N/A</v>
      </c>
      <c r="E23" t="e">
        <f t="shared" si="1"/>
        <v>#N/A</v>
      </c>
      <c r="F23" t="e">
        <f t="shared" si="2"/>
        <v>#N/A</v>
      </c>
      <c r="G23" t="e">
        <f t="shared" si="3"/>
        <v>#N/A</v>
      </c>
      <c r="H23" s="29" t="e">
        <f t="shared" si="4"/>
        <v>#N/A</v>
      </c>
      <c r="I23" s="29" t="e">
        <f t="shared" si="5"/>
        <v>#N/A</v>
      </c>
      <c r="J23" s="29" t="e">
        <f>IF($A23="",NA(),MAX(IF(COUNTIFS(AZ_ID_Rischio,$A23,AZ_Ciclo,$AC23,AZ_Stato,"&lt;&gt;Respinta",AZ_Mesi_Orizzonte,"&gt;0")=0,moscaYDefault,_xlfn.MAXIFS(AZ_Mesi_Orizzonte,AZ_ID_Rischio,$A23,AZ_Ciclo,$AC23,AZ_Stato,"&lt;&gt;Respinta")/12),N(Parametri!$M22)))</f>
        <v>#N/A</v>
      </c>
      <c r="K23" s="29" t="e">
        <f t="shared" si="6"/>
        <v>#N/A</v>
      </c>
      <c r="L23" t="str">
        <f t="shared" si="7"/>
        <v/>
      </c>
      <c r="M23" t="e">
        <f t="shared" si="8"/>
        <v>#N/A</v>
      </c>
      <c r="N23" t="e">
        <f>IF($A23="",NA(),COUNTIF($C$4:C22,C23))</f>
        <v>#N/A</v>
      </c>
      <c r="O23" t="e">
        <f t="shared" si="9"/>
        <v>#N/A</v>
      </c>
      <c r="P23" s="29" t="e">
        <f t="shared" si="10"/>
        <v>#N/A</v>
      </c>
      <c r="Q23" s="29" t="e">
        <f t="shared" si="11"/>
        <v>#N/A</v>
      </c>
      <c r="R23" s="29" t="e">
        <f t="shared" si="12"/>
        <v>#N/A</v>
      </c>
      <c r="S23" s="29" t="e">
        <f t="shared" si="13"/>
        <v>#N/A</v>
      </c>
      <c r="T23" t="str">
        <f>IF($A23="","",IF(Parametri!$N22="Sì","Sì",""))</f>
        <v/>
      </c>
      <c r="U23" t="str">
        <f t="shared" si="14"/>
        <v/>
      </c>
      <c r="V23" t="str">
        <f t="shared" si="15"/>
        <v/>
      </c>
      <c r="W23" t="str">
        <f>IF(OR($A23="",NOT(ISNUMBER(K23))),"",IF(N(INDEX(posNetti,19))&gt;=sogliaDirezione,1,0))</f>
        <v/>
      </c>
      <c r="X23" t="str">
        <f t="shared" si="16"/>
        <v/>
      </c>
      <c r="Y23" t="str">
        <f>IF(OR($A23="",NOT(ISNUMBER(K23))),"",IF(Parametri!$O22="Assente",1,0))</f>
        <v/>
      </c>
      <c r="Z23" t="str">
        <f t="shared" si="17"/>
        <v/>
      </c>
      <c r="AA23" t="str">
        <f t="shared" si="18"/>
        <v/>
      </c>
      <c r="AB23" t="str">
        <f t="shared" si="19"/>
        <v/>
      </c>
      <c r="AC23" t="str">
        <f t="shared" si="20"/>
        <v/>
      </c>
      <c r="AD23">
        <f>2*PI()*18/72</f>
        <v>1.5707963267948966</v>
      </c>
      <c r="AE23">
        <f t="shared" si="21"/>
        <v>2</v>
      </c>
      <c r="AF23">
        <f t="shared" si="22"/>
        <v>1.22514845490862E-16</v>
      </c>
      <c r="AG23">
        <f t="shared" si="23"/>
        <v>3</v>
      </c>
      <c r="AH23">
        <f t="shared" si="24"/>
        <v>1.83772268236293E-16</v>
      </c>
      <c r="AI23">
        <f t="shared" si="25"/>
        <v>4</v>
      </c>
      <c r="AJ23">
        <f t="shared" si="26"/>
        <v>2.45029690981724E-16</v>
      </c>
      <c r="AK23">
        <f t="shared" si="27"/>
        <v>5</v>
      </c>
      <c r="AL23">
        <f t="shared" si="28"/>
        <v>3.06287113727155E-16</v>
      </c>
      <c r="AU23" t="e">
        <f t="shared" si="36"/>
        <v>#N/A</v>
      </c>
      <c r="AV23" t="e">
        <f t="shared" si="36"/>
        <v>#N/A</v>
      </c>
      <c r="AW23" t="e">
        <f t="shared" si="36"/>
        <v>#N/A</v>
      </c>
      <c r="AX23" t="e">
        <f t="shared" si="36"/>
        <v>#N/A</v>
      </c>
      <c r="AY23" t="e">
        <f t="shared" si="36"/>
        <v>#N/A</v>
      </c>
      <c r="AZ23" t="e">
        <f t="shared" si="36"/>
        <v>#N/A</v>
      </c>
      <c r="BA23" t="e">
        <f t="shared" si="36"/>
        <v>#N/A</v>
      </c>
      <c r="BB23" t="e">
        <f t="shared" si="36"/>
        <v>#N/A</v>
      </c>
      <c r="BC23" t="e">
        <f t="shared" si="36"/>
        <v>#N/A</v>
      </c>
      <c r="BD23" t="e">
        <f t="shared" si="36"/>
        <v>#N/A</v>
      </c>
      <c r="BE23" t="e">
        <f t="shared" si="37"/>
        <v>#N/A</v>
      </c>
      <c r="BF23" t="e">
        <f t="shared" si="37"/>
        <v>#N/A</v>
      </c>
      <c r="BG23" t="e">
        <f t="shared" si="37"/>
        <v>#N/A</v>
      </c>
      <c r="BH23" t="e">
        <f t="shared" si="37"/>
        <v>#N/A</v>
      </c>
      <c r="BI23" t="e">
        <f t="shared" si="37"/>
        <v>#N/A</v>
      </c>
      <c r="BJ23" t="e">
        <f t="shared" si="37"/>
        <v>#N/A</v>
      </c>
      <c r="BK23" t="e">
        <f t="shared" si="37"/>
        <v>#N/A</v>
      </c>
      <c r="BL23" t="e">
        <f t="shared" si="37"/>
        <v>#N/A</v>
      </c>
      <c r="BM23" t="e">
        <f t="shared" si="37"/>
        <v>#N/A</v>
      </c>
      <c r="BN23" t="e">
        <f t="shared" si="37"/>
        <v>#N/A</v>
      </c>
      <c r="BO23" t="e">
        <f t="shared" si="38"/>
        <v>#N/A</v>
      </c>
      <c r="BP23" t="e">
        <f t="shared" si="38"/>
        <v>#N/A</v>
      </c>
      <c r="BQ23" t="e">
        <f t="shared" si="38"/>
        <v>#N/A</v>
      </c>
      <c r="BR23" t="e">
        <f t="shared" si="38"/>
        <v>#N/A</v>
      </c>
      <c r="BS23" t="e">
        <f t="shared" si="38"/>
        <v>#N/A</v>
      </c>
      <c r="BT23" t="e">
        <f t="shared" si="38"/>
        <v>#N/A</v>
      </c>
      <c r="BU23" t="e">
        <f t="shared" si="38"/>
        <v>#N/A</v>
      </c>
      <c r="BV23" t="e">
        <f t="shared" si="38"/>
        <v>#N/A</v>
      </c>
      <c r="BW23" t="e">
        <f t="shared" si="38"/>
        <v>#N/A</v>
      </c>
      <c r="BX23" t="e">
        <f t="shared" si="38"/>
        <v>#N/A</v>
      </c>
      <c r="BY23" t="e">
        <f t="shared" si="39"/>
        <v>#N/A</v>
      </c>
      <c r="BZ23" t="e">
        <f t="shared" si="39"/>
        <v>#N/A</v>
      </c>
      <c r="CA23" t="e">
        <f t="shared" si="39"/>
        <v>#N/A</v>
      </c>
      <c r="CB23" t="e">
        <f t="shared" si="39"/>
        <v>#N/A</v>
      </c>
      <c r="CC23" t="e">
        <f t="shared" si="39"/>
        <v>#N/A</v>
      </c>
      <c r="CD23" t="e">
        <f t="shared" si="39"/>
        <v>#N/A</v>
      </c>
      <c r="CE23" t="e">
        <f t="shared" si="39"/>
        <v>#N/A</v>
      </c>
      <c r="CF23" t="e">
        <f t="shared" si="39"/>
        <v>#N/A</v>
      </c>
      <c r="CG23" t="e">
        <f t="shared" si="39"/>
        <v>#N/A</v>
      </c>
      <c r="CH23" t="e">
        <f t="shared" si="39"/>
        <v>#N/A</v>
      </c>
      <c r="CI23" t="e">
        <f t="shared" si="39"/>
        <v>#N/A</v>
      </c>
      <c r="CJ23" t="e">
        <f t="shared" si="39"/>
        <v>#N/A</v>
      </c>
      <c r="CK23" t="e">
        <f t="shared" si="33"/>
        <v>#N/A</v>
      </c>
      <c r="CL23" t="str">
        <f t="shared" si="34"/>
        <v/>
      </c>
      <c r="CM23" t="e">
        <f t="shared" si="35"/>
        <v>#N/A</v>
      </c>
    </row>
    <row r="24" spans="1:91" x14ac:dyDescent="0.4">
      <c r="A24" t="str">
        <f>IF(Parametri!$H23="","",Parametri!$H23)</f>
        <v/>
      </c>
      <c r="B24" t="str">
        <f>IF($A24="","",Parametri!$I23)</f>
        <v/>
      </c>
      <c r="C24" t="str">
        <f>IF($A24="","",Parametri!$J23)</f>
        <v/>
      </c>
      <c r="D24" t="e">
        <f t="shared" si="0"/>
        <v>#N/A</v>
      </c>
      <c r="E24" t="e">
        <f t="shared" si="1"/>
        <v>#N/A</v>
      </c>
      <c r="F24" t="e">
        <f t="shared" si="2"/>
        <v>#N/A</v>
      </c>
      <c r="G24" t="e">
        <f t="shared" si="3"/>
        <v>#N/A</v>
      </c>
      <c r="H24" s="29" t="e">
        <f t="shared" si="4"/>
        <v>#N/A</v>
      </c>
      <c r="I24" s="29" t="e">
        <f t="shared" si="5"/>
        <v>#N/A</v>
      </c>
      <c r="J24" s="29" t="e">
        <f>IF($A24="",NA(),MAX(IF(COUNTIFS(AZ_ID_Rischio,$A24,AZ_Ciclo,$AC24,AZ_Stato,"&lt;&gt;Respinta",AZ_Mesi_Orizzonte,"&gt;0")=0,moscaYDefault,_xlfn.MAXIFS(AZ_Mesi_Orizzonte,AZ_ID_Rischio,$A24,AZ_Ciclo,$AC24,AZ_Stato,"&lt;&gt;Respinta")/12),N(Parametri!$M23)))</f>
        <v>#N/A</v>
      </c>
      <c r="K24" s="29" t="e">
        <f t="shared" si="6"/>
        <v>#N/A</v>
      </c>
      <c r="L24" t="str">
        <f t="shared" si="7"/>
        <v/>
      </c>
      <c r="M24" t="e">
        <f t="shared" si="8"/>
        <v>#N/A</v>
      </c>
      <c r="N24" t="e">
        <f>IF($A24="",NA(),COUNTIF($C$4:C23,C24))</f>
        <v>#N/A</v>
      </c>
      <c r="O24" t="e">
        <f t="shared" si="9"/>
        <v>#N/A</v>
      </c>
      <c r="P24" s="29" t="e">
        <f t="shared" si="10"/>
        <v>#N/A</v>
      </c>
      <c r="Q24" s="29" t="e">
        <f t="shared" si="11"/>
        <v>#N/A</v>
      </c>
      <c r="R24" s="29" t="e">
        <f t="shared" si="12"/>
        <v>#N/A</v>
      </c>
      <c r="S24" s="29" t="e">
        <f t="shared" si="13"/>
        <v>#N/A</v>
      </c>
      <c r="T24" t="str">
        <f>IF($A24="","",IF(Parametri!$N23="Sì","Sì",""))</f>
        <v/>
      </c>
      <c r="U24" t="str">
        <f t="shared" si="14"/>
        <v/>
      </c>
      <c r="V24" t="str">
        <f t="shared" si="15"/>
        <v/>
      </c>
      <c r="W24" t="str">
        <f>IF(OR($A24="",NOT(ISNUMBER(K24))),"",IF(N(INDEX(posNetti,20))&gt;=sogliaDirezione,1,0))</f>
        <v/>
      </c>
      <c r="X24" t="str">
        <f t="shared" si="16"/>
        <v/>
      </c>
      <c r="Y24" t="str">
        <f>IF(OR($A24="",NOT(ISNUMBER(K24))),"",IF(Parametri!$O23="Assente",1,0))</f>
        <v/>
      </c>
      <c r="Z24" t="str">
        <f t="shared" si="17"/>
        <v/>
      </c>
      <c r="AA24" t="str">
        <f t="shared" si="18"/>
        <v/>
      </c>
      <c r="AB24" t="str">
        <f t="shared" si="19"/>
        <v/>
      </c>
      <c r="AC24" t="str">
        <f t="shared" si="20"/>
        <v/>
      </c>
      <c r="AD24">
        <f>2*PI()*19/72</f>
        <v>1.6580627893946129</v>
      </c>
      <c r="AE24">
        <f t="shared" si="21"/>
        <v>1.9923893961834911</v>
      </c>
      <c r="AF24">
        <f t="shared" si="22"/>
        <v>-0.17431148549531603</v>
      </c>
      <c r="AG24">
        <f t="shared" si="23"/>
        <v>2.9885840942752369</v>
      </c>
      <c r="AH24">
        <f t="shared" si="24"/>
        <v>-0.26146722824297403</v>
      </c>
      <c r="AI24">
        <f t="shared" si="25"/>
        <v>3.9847787923669822</v>
      </c>
      <c r="AJ24">
        <f t="shared" si="26"/>
        <v>-0.34862297099063205</v>
      </c>
      <c r="AK24">
        <f t="shared" si="27"/>
        <v>4.9809734904587275</v>
      </c>
      <c r="AL24">
        <f t="shared" si="28"/>
        <v>-0.43577871373829008</v>
      </c>
      <c r="AU24" t="e">
        <f t="shared" si="36"/>
        <v>#N/A</v>
      </c>
      <c r="AV24" t="e">
        <f t="shared" si="36"/>
        <v>#N/A</v>
      </c>
      <c r="AW24" t="e">
        <f t="shared" si="36"/>
        <v>#N/A</v>
      </c>
      <c r="AX24" t="e">
        <f t="shared" si="36"/>
        <v>#N/A</v>
      </c>
      <c r="AY24" t="e">
        <f t="shared" si="36"/>
        <v>#N/A</v>
      </c>
      <c r="AZ24" t="e">
        <f t="shared" si="36"/>
        <v>#N/A</v>
      </c>
      <c r="BA24" t="e">
        <f t="shared" si="36"/>
        <v>#N/A</v>
      </c>
      <c r="BB24" t="e">
        <f t="shared" si="36"/>
        <v>#N/A</v>
      </c>
      <c r="BC24" t="e">
        <f t="shared" si="36"/>
        <v>#N/A</v>
      </c>
      <c r="BD24" t="e">
        <f t="shared" si="36"/>
        <v>#N/A</v>
      </c>
      <c r="BE24" t="e">
        <f t="shared" si="37"/>
        <v>#N/A</v>
      </c>
      <c r="BF24" t="e">
        <f t="shared" si="37"/>
        <v>#N/A</v>
      </c>
      <c r="BG24" t="e">
        <f t="shared" si="37"/>
        <v>#N/A</v>
      </c>
      <c r="BH24" t="e">
        <f t="shared" si="37"/>
        <v>#N/A</v>
      </c>
      <c r="BI24" t="e">
        <f t="shared" si="37"/>
        <v>#N/A</v>
      </c>
      <c r="BJ24" t="e">
        <f t="shared" si="37"/>
        <v>#N/A</v>
      </c>
      <c r="BK24" t="e">
        <f t="shared" si="37"/>
        <v>#N/A</v>
      </c>
      <c r="BL24" t="e">
        <f t="shared" si="37"/>
        <v>#N/A</v>
      </c>
      <c r="BM24" t="e">
        <f t="shared" si="37"/>
        <v>#N/A</v>
      </c>
      <c r="BN24" t="e">
        <f t="shared" si="37"/>
        <v>#N/A</v>
      </c>
      <c r="BO24" t="e">
        <f t="shared" si="38"/>
        <v>#N/A</v>
      </c>
      <c r="BP24" t="e">
        <f t="shared" si="38"/>
        <v>#N/A</v>
      </c>
      <c r="BQ24" t="e">
        <f t="shared" si="38"/>
        <v>#N/A</v>
      </c>
      <c r="BR24" t="e">
        <f t="shared" si="38"/>
        <v>#N/A</v>
      </c>
      <c r="BS24" t="e">
        <f t="shared" si="38"/>
        <v>#N/A</v>
      </c>
      <c r="BT24" t="e">
        <f t="shared" si="38"/>
        <v>#N/A</v>
      </c>
      <c r="BU24" t="e">
        <f t="shared" si="38"/>
        <v>#N/A</v>
      </c>
      <c r="BV24" t="e">
        <f t="shared" si="38"/>
        <v>#N/A</v>
      </c>
      <c r="BW24" t="e">
        <f t="shared" si="38"/>
        <v>#N/A</v>
      </c>
      <c r="BX24" t="e">
        <f t="shared" si="38"/>
        <v>#N/A</v>
      </c>
      <c r="BY24" t="e">
        <f t="shared" si="39"/>
        <v>#N/A</v>
      </c>
      <c r="BZ24" t="e">
        <f t="shared" si="39"/>
        <v>#N/A</v>
      </c>
      <c r="CA24" t="e">
        <f t="shared" si="39"/>
        <v>#N/A</v>
      </c>
      <c r="CB24" t="e">
        <f t="shared" si="39"/>
        <v>#N/A</v>
      </c>
      <c r="CC24" t="e">
        <f t="shared" si="39"/>
        <v>#N/A</v>
      </c>
      <c r="CD24" t="e">
        <f t="shared" si="39"/>
        <v>#N/A</v>
      </c>
      <c r="CE24" t="e">
        <f t="shared" si="39"/>
        <v>#N/A</v>
      </c>
      <c r="CF24" t="e">
        <f t="shared" si="39"/>
        <v>#N/A</v>
      </c>
      <c r="CG24" t="e">
        <f t="shared" si="39"/>
        <v>#N/A</v>
      </c>
      <c r="CH24" t="e">
        <f t="shared" si="39"/>
        <v>#N/A</v>
      </c>
      <c r="CI24" t="e">
        <f t="shared" si="39"/>
        <v>#N/A</v>
      </c>
      <c r="CJ24" t="e">
        <f t="shared" si="39"/>
        <v>#N/A</v>
      </c>
      <c r="CK24" t="e">
        <f t="shared" si="33"/>
        <v>#N/A</v>
      </c>
      <c r="CL24" t="str">
        <f t="shared" si="34"/>
        <v/>
      </c>
      <c r="CM24" t="e">
        <f t="shared" si="35"/>
        <v>#N/A</v>
      </c>
    </row>
    <row r="25" spans="1:91" x14ac:dyDescent="0.4">
      <c r="AD25">
        <f>2*PI()*20/72</f>
        <v>1.7453292519943295</v>
      </c>
      <c r="AE25">
        <f t="shared" si="21"/>
        <v>1.969615506024416</v>
      </c>
      <c r="AF25">
        <f t="shared" si="22"/>
        <v>-0.34729635533386061</v>
      </c>
      <c r="AG25">
        <f t="shared" si="23"/>
        <v>2.9544232590366239</v>
      </c>
      <c r="AH25">
        <f t="shared" si="24"/>
        <v>-0.52094453300079091</v>
      </c>
      <c r="AI25">
        <f t="shared" si="25"/>
        <v>3.9392310120488321</v>
      </c>
      <c r="AJ25">
        <f t="shared" si="26"/>
        <v>-0.69459271066772121</v>
      </c>
      <c r="AK25">
        <f t="shared" si="27"/>
        <v>4.9240387650610398</v>
      </c>
      <c r="AL25">
        <f t="shared" si="28"/>
        <v>-0.86824088833465152</v>
      </c>
    </row>
    <row r="26" spans="1:91" ht="48" customHeight="1" x14ac:dyDescent="0.4">
      <c r="A26" s="141" t="s">
        <v>228</v>
      </c>
      <c r="B26" s="142"/>
      <c r="C26" s="142"/>
      <c r="D26" s="142"/>
      <c r="E26" s="142"/>
      <c r="F26" s="142"/>
      <c r="G26" s="142"/>
      <c r="H26" s="142"/>
      <c r="I26" s="142"/>
      <c r="J26" s="142"/>
      <c r="K26" s="142"/>
      <c r="L26" s="142"/>
      <c r="AD26">
        <f>2*PI()*21/72</f>
        <v>1.8325957145940461</v>
      </c>
      <c r="AE26">
        <f t="shared" si="21"/>
        <v>1.9318516525781366</v>
      </c>
      <c r="AF26">
        <f t="shared" si="22"/>
        <v>-0.5176380902050417</v>
      </c>
      <c r="AG26">
        <f t="shared" si="23"/>
        <v>2.897777478867205</v>
      </c>
      <c r="AH26">
        <f t="shared" si="24"/>
        <v>-0.77645713530756255</v>
      </c>
      <c r="AI26">
        <f t="shared" si="25"/>
        <v>3.8637033051562732</v>
      </c>
      <c r="AJ26">
        <f t="shared" si="26"/>
        <v>-1.0352761804100834</v>
      </c>
      <c r="AK26">
        <f t="shared" si="27"/>
        <v>4.8296291314453415</v>
      </c>
      <c r="AL26">
        <f t="shared" si="28"/>
        <v>-1.2940952255126041</v>
      </c>
    </row>
    <row r="27" spans="1:91" x14ac:dyDescent="0.4">
      <c r="AD27">
        <f>2*PI()*22/72</f>
        <v>1.9198621771937623</v>
      </c>
      <c r="AE27">
        <f t="shared" si="21"/>
        <v>1.8793852415718169</v>
      </c>
      <c r="AF27">
        <f t="shared" si="22"/>
        <v>-0.68404028665133698</v>
      </c>
      <c r="AG27">
        <f t="shared" si="23"/>
        <v>2.8190778623577253</v>
      </c>
      <c r="AH27">
        <f t="shared" si="24"/>
        <v>-1.0260604299770055</v>
      </c>
      <c r="AI27">
        <f t="shared" si="25"/>
        <v>3.7587704831436337</v>
      </c>
      <c r="AJ27">
        <f t="shared" si="26"/>
        <v>-1.368080573302674</v>
      </c>
      <c r="AK27">
        <f t="shared" si="27"/>
        <v>4.6984631039295426</v>
      </c>
      <c r="AL27">
        <f t="shared" si="28"/>
        <v>-1.7101007166283424</v>
      </c>
    </row>
    <row r="28" spans="1:91" x14ac:dyDescent="0.4">
      <c r="AD28">
        <f>2*PI()*23/72</f>
        <v>2.0071286397934789</v>
      </c>
      <c r="AE28">
        <f t="shared" si="21"/>
        <v>1.8126155740733001</v>
      </c>
      <c r="AF28">
        <f t="shared" si="22"/>
        <v>-0.84523652348139866</v>
      </c>
      <c r="AG28">
        <f t="shared" si="23"/>
        <v>2.7189233611099501</v>
      </c>
      <c r="AH28">
        <f t="shared" si="24"/>
        <v>-1.267854785222098</v>
      </c>
      <c r="AI28">
        <f t="shared" si="25"/>
        <v>3.6252311481466002</v>
      </c>
      <c r="AJ28">
        <f t="shared" si="26"/>
        <v>-1.6904730469627973</v>
      </c>
      <c r="AK28">
        <f t="shared" si="27"/>
        <v>4.5315389351832502</v>
      </c>
      <c r="AL28">
        <f t="shared" si="28"/>
        <v>-2.1130913087034968</v>
      </c>
    </row>
    <row r="29" spans="1:91" x14ac:dyDescent="0.4">
      <c r="AD29">
        <f>2*PI()*24/72</f>
        <v>2.0943951023931953</v>
      </c>
      <c r="AE29">
        <f t="shared" si="21"/>
        <v>1.7320508075688774</v>
      </c>
      <c r="AF29">
        <f t="shared" si="22"/>
        <v>-0.99999999999999956</v>
      </c>
      <c r="AG29">
        <f t="shared" si="23"/>
        <v>2.598076211353316</v>
      </c>
      <c r="AH29">
        <f t="shared" si="24"/>
        <v>-1.4999999999999993</v>
      </c>
      <c r="AI29">
        <f t="shared" si="25"/>
        <v>3.4641016151377548</v>
      </c>
      <c r="AJ29">
        <f t="shared" si="26"/>
        <v>-1.9999999999999991</v>
      </c>
      <c r="AK29">
        <f t="shared" si="27"/>
        <v>4.3301270189221936</v>
      </c>
      <c r="AL29">
        <f t="shared" si="28"/>
        <v>-2.4999999999999991</v>
      </c>
    </row>
    <row r="30" spans="1:91" x14ac:dyDescent="0.4">
      <c r="AD30">
        <f>2*PI()*25/72</f>
        <v>2.1816615649929121</v>
      </c>
      <c r="AE30">
        <f t="shared" si="21"/>
        <v>1.6383040885779834</v>
      </c>
      <c r="AF30">
        <f t="shared" si="22"/>
        <v>-1.1471528727020923</v>
      </c>
      <c r="AG30">
        <f t="shared" si="23"/>
        <v>2.4574561328669748</v>
      </c>
      <c r="AH30">
        <f t="shared" si="24"/>
        <v>-1.7207293090531386</v>
      </c>
      <c r="AI30">
        <f t="shared" si="25"/>
        <v>3.2766081771559668</v>
      </c>
      <c r="AJ30">
        <f t="shared" si="26"/>
        <v>-2.2943057454041846</v>
      </c>
      <c r="AK30">
        <f t="shared" si="27"/>
        <v>4.0957602214449587</v>
      </c>
      <c r="AL30">
        <f t="shared" si="28"/>
        <v>-2.8678821817552307</v>
      </c>
    </row>
    <row r="31" spans="1:91" x14ac:dyDescent="0.4">
      <c r="AD31">
        <f>2*PI()*26/72</f>
        <v>2.2689280275926285</v>
      </c>
      <c r="AE31">
        <f t="shared" si="21"/>
        <v>1.532088886237956</v>
      </c>
      <c r="AF31">
        <f t="shared" si="22"/>
        <v>-1.2855752193730787</v>
      </c>
      <c r="AG31">
        <f t="shared" si="23"/>
        <v>2.2981333293569342</v>
      </c>
      <c r="AH31">
        <f t="shared" si="24"/>
        <v>-1.9283628290596182</v>
      </c>
      <c r="AI31">
        <f t="shared" si="25"/>
        <v>3.0641777724759121</v>
      </c>
      <c r="AJ31">
        <f t="shared" si="26"/>
        <v>-2.5711504387461575</v>
      </c>
      <c r="AK31">
        <f t="shared" si="27"/>
        <v>3.83022221559489</v>
      </c>
      <c r="AL31">
        <f t="shared" si="28"/>
        <v>-3.2139380484326967</v>
      </c>
    </row>
    <row r="32" spans="1:91" x14ac:dyDescent="0.4">
      <c r="AD32">
        <f>2*PI()*27/72</f>
        <v>2.3561944901923448</v>
      </c>
      <c r="AE32">
        <f t="shared" si="21"/>
        <v>1.4142135623730951</v>
      </c>
      <c r="AF32">
        <f t="shared" si="22"/>
        <v>-1.4142135623730949</v>
      </c>
      <c r="AG32">
        <f t="shared" si="23"/>
        <v>2.1213203435596428</v>
      </c>
      <c r="AH32">
        <f t="shared" si="24"/>
        <v>-2.1213203435596424</v>
      </c>
      <c r="AI32">
        <f t="shared" si="25"/>
        <v>2.8284271247461903</v>
      </c>
      <c r="AJ32">
        <f t="shared" si="26"/>
        <v>-2.8284271247461898</v>
      </c>
      <c r="AK32">
        <f t="shared" si="27"/>
        <v>3.5355339059327378</v>
      </c>
      <c r="AL32">
        <f t="shared" si="28"/>
        <v>-3.5355339059327373</v>
      </c>
    </row>
    <row r="33" spans="30:38" x14ac:dyDescent="0.4">
      <c r="AD33">
        <f>2*PI()*28/72</f>
        <v>2.4434609527920612</v>
      </c>
      <c r="AE33">
        <f t="shared" si="21"/>
        <v>1.2855752193730789</v>
      </c>
      <c r="AF33">
        <f t="shared" si="22"/>
        <v>-1.5320888862379558</v>
      </c>
      <c r="AG33">
        <f t="shared" si="23"/>
        <v>1.9283628290596184</v>
      </c>
      <c r="AH33">
        <f t="shared" si="24"/>
        <v>-2.2981333293569337</v>
      </c>
      <c r="AI33">
        <f t="shared" si="25"/>
        <v>2.5711504387461579</v>
      </c>
      <c r="AJ33">
        <f t="shared" si="26"/>
        <v>-3.0641777724759116</v>
      </c>
      <c r="AK33">
        <f t="shared" si="27"/>
        <v>3.2139380484326976</v>
      </c>
      <c r="AL33">
        <f t="shared" si="28"/>
        <v>-3.8302222155948895</v>
      </c>
    </row>
    <row r="34" spans="30:38" x14ac:dyDescent="0.4">
      <c r="AD34">
        <f>2*PI()*29/72</f>
        <v>2.530727415391778</v>
      </c>
      <c r="AE34">
        <f t="shared" si="21"/>
        <v>1.1471528727020919</v>
      </c>
      <c r="AF34">
        <f t="shared" si="22"/>
        <v>-1.6383040885779838</v>
      </c>
      <c r="AG34">
        <f t="shared" si="23"/>
        <v>1.7207293090531377</v>
      </c>
      <c r="AH34">
        <f t="shared" si="24"/>
        <v>-2.4574561328669757</v>
      </c>
      <c r="AI34">
        <f t="shared" si="25"/>
        <v>2.2943057454041837</v>
      </c>
      <c r="AJ34">
        <f t="shared" si="26"/>
        <v>-3.2766081771559676</v>
      </c>
      <c r="AK34">
        <f t="shared" si="27"/>
        <v>2.8678821817552298</v>
      </c>
      <c r="AL34">
        <f t="shared" si="28"/>
        <v>-4.0957602214449595</v>
      </c>
    </row>
    <row r="35" spans="30:38" x14ac:dyDescent="0.4">
      <c r="AD35">
        <f>2*PI()*30/72</f>
        <v>2.617993877991494</v>
      </c>
      <c r="AE35">
        <f t="shared" si="21"/>
        <v>1.0000000000000007</v>
      </c>
      <c r="AF35">
        <f t="shared" si="22"/>
        <v>-1.732050807568877</v>
      </c>
      <c r="AG35">
        <f t="shared" si="23"/>
        <v>1.5000000000000009</v>
      </c>
      <c r="AH35">
        <f t="shared" si="24"/>
        <v>-2.5980762113533156</v>
      </c>
      <c r="AI35">
        <f t="shared" si="25"/>
        <v>2.0000000000000013</v>
      </c>
      <c r="AJ35">
        <f t="shared" si="26"/>
        <v>-3.4641016151377539</v>
      </c>
      <c r="AK35">
        <f t="shared" si="27"/>
        <v>2.5000000000000018</v>
      </c>
      <c r="AL35">
        <f t="shared" si="28"/>
        <v>-4.3301270189221928</v>
      </c>
    </row>
    <row r="36" spans="30:38" x14ac:dyDescent="0.4">
      <c r="AD36">
        <f>2*PI()*31/72</f>
        <v>2.7052603405912108</v>
      </c>
      <c r="AE36">
        <f t="shared" si="21"/>
        <v>0.84523652348139899</v>
      </c>
      <c r="AF36">
        <f t="shared" si="22"/>
        <v>-1.8126155740732999</v>
      </c>
      <c r="AG36">
        <f t="shared" si="23"/>
        <v>1.2678547852220985</v>
      </c>
      <c r="AH36">
        <f t="shared" si="24"/>
        <v>-2.7189233611099497</v>
      </c>
      <c r="AI36">
        <f t="shared" si="25"/>
        <v>1.690473046962798</v>
      </c>
      <c r="AJ36">
        <f t="shared" si="26"/>
        <v>-3.6252311481465997</v>
      </c>
      <c r="AK36">
        <f t="shared" si="27"/>
        <v>2.1130913087034973</v>
      </c>
      <c r="AL36">
        <f t="shared" si="28"/>
        <v>-4.5315389351832494</v>
      </c>
    </row>
    <row r="37" spans="30:38" x14ac:dyDescent="0.4">
      <c r="AD37">
        <f>2*PI()*32/72</f>
        <v>2.7925268031909272</v>
      </c>
      <c r="AE37">
        <f t="shared" ref="AE37:AE68" si="40">2*SIN($AD37)</f>
        <v>0.68404028665133776</v>
      </c>
      <c r="AF37">
        <f t="shared" ref="AF37:AF68" si="41">2*COS($AD37)</f>
        <v>-1.8793852415718166</v>
      </c>
      <c r="AG37">
        <f t="shared" ref="AG37:AG68" si="42">3*SIN($AD37)</f>
        <v>1.0260604299770066</v>
      </c>
      <c r="AH37">
        <f t="shared" ref="AH37:AH68" si="43">3*COS($AD37)</f>
        <v>-2.8190778623577248</v>
      </c>
      <c r="AI37">
        <f t="shared" ref="AI37:AI68" si="44">4*SIN($AD37)</f>
        <v>1.3680805733026755</v>
      </c>
      <c r="AJ37">
        <f t="shared" ref="AJ37:AJ68" si="45">4*COS($AD37)</f>
        <v>-3.7587704831436333</v>
      </c>
      <c r="AK37">
        <f t="shared" ref="AK37:AK68" si="46">5*SIN($AD37)</f>
        <v>1.7101007166283444</v>
      </c>
      <c r="AL37">
        <f t="shared" ref="AL37:AL68" si="47">5*COS($AD37)</f>
        <v>-4.6984631039295417</v>
      </c>
    </row>
    <row r="38" spans="30:38" x14ac:dyDescent="0.4">
      <c r="AD38">
        <f>2*PI()*33/72</f>
        <v>2.879793265790644</v>
      </c>
      <c r="AE38">
        <f t="shared" si="40"/>
        <v>0.51763809020504115</v>
      </c>
      <c r="AF38">
        <f t="shared" si="41"/>
        <v>-1.9318516525781366</v>
      </c>
      <c r="AG38">
        <f t="shared" si="42"/>
        <v>0.77645713530756177</v>
      </c>
      <c r="AH38">
        <f t="shared" si="43"/>
        <v>-2.897777478867205</v>
      </c>
      <c r="AI38">
        <f t="shared" si="44"/>
        <v>1.0352761804100823</v>
      </c>
      <c r="AJ38">
        <f t="shared" si="45"/>
        <v>-3.8637033051562732</v>
      </c>
      <c r="AK38">
        <f t="shared" si="46"/>
        <v>1.2940952255126028</v>
      </c>
      <c r="AL38">
        <f t="shared" si="47"/>
        <v>-4.8296291314453415</v>
      </c>
    </row>
    <row r="39" spans="30:38" x14ac:dyDescent="0.4">
      <c r="AD39">
        <f>2*PI()*34/72</f>
        <v>2.9670597283903604</v>
      </c>
      <c r="AE39">
        <f t="shared" si="40"/>
        <v>0.34729635533386055</v>
      </c>
      <c r="AF39">
        <f t="shared" si="41"/>
        <v>-1.969615506024416</v>
      </c>
      <c r="AG39">
        <f t="shared" si="42"/>
        <v>0.5209445330007908</v>
      </c>
      <c r="AH39">
        <f t="shared" si="43"/>
        <v>-2.9544232590366239</v>
      </c>
      <c r="AI39">
        <f t="shared" si="44"/>
        <v>0.6945927106677211</v>
      </c>
      <c r="AJ39">
        <f t="shared" si="45"/>
        <v>-3.9392310120488321</v>
      </c>
      <c r="AK39">
        <f t="shared" si="46"/>
        <v>0.86824088833465141</v>
      </c>
      <c r="AL39">
        <f t="shared" si="47"/>
        <v>-4.9240387650610398</v>
      </c>
    </row>
    <row r="40" spans="30:38" x14ac:dyDescent="0.4">
      <c r="AD40">
        <f>2*PI()*35/72</f>
        <v>3.0543261909900767</v>
      </c>
      <c r="AE40">
        <f t="shared" si="40"/>
        <v>0.17431148549531639</v>
      </c>
      <c r="AF40">
        <f t="shared" si="41"/>
        <v>-1.9923893961834911</v>
      </c>
      <c r="AG40">
        <f t="shared" si="42"/>
        <v>0.26146722824297458</v>
      </c>
      <c r="AH40">
        <f t="shared" si="43"/>
        <v>-2.9885840942752369</v>
      </c>
      <c r="AI40">
        <f t="shared" si="44"/>
        <v>0.34862297099063277</v>
      </c>
      <c r="AJ40">
        <f t="shared" si="45"/>
        <v>-3.9847787923669822</v>
      </c>
      <c r="AK40">
        <f t="shared" si="46"/>
        <v>0.43577871373829097</v>
      </c>
      <c r="AL40">
        <f t="shared" si="47"/>
        <v>-4.9809734904587275</v>
      </c>
    </row>
    <row r="41" spans="30:38" x14ac:dyDescent="0.4">
      <c r="AD41">
        <f>2*PI()*36/72</f>
        <v>3.1415926535897931</v>
      </c>
      <c r="AE41">
        <f t="shared" si="40"/>
        <v>2.45029690981724E-16</v>
      </c>
      <c r="AF41">
        <f t="shared" si="41"/>
        <v>-2</v>
      </c>
      <c r="AG41">
        <f t="shared" si="42"/>
        <v>3.67544536472586E-16</v>
      </c>
      <c r="AH41">
        <f t="shared" si="43"/>
        <v>-3</v>
      </c>
      <c r="AI41">
        <f t="shared" si="44"/>
        <v>4.90059381963448E-16</v>
      </c>
      <c r="AJ41">
        <f t="shared" si="45"/>
        <v>-4</v>
      </c>
      <c r="AK41">
        <f t="shared" si="46"/>
        <v>6.1257422745431001E-16</v>
      </c>
      <c r="AL41">
        <f t="shared" si="47"/>
        <v>-5</v>
      </c>
    </row>
    <row r="42" spans="30:38" x14ac:dyDescent="0.4">
      <c r="AD42">
        <f>2*PI()*37/72</f>
        <v>3.2288591161895095</v>
      </c>
      <c r="AE42">
        <f t="shared" si="40"/>
        <v>-0.17431148549531589</v>
      </c>
      <c r="AF42">
        <f t="shared" si="41"/>
        <v>-1.9923893961834911</v>
      </c>
      <c r="AG42">
        <f t="shared" si="42"/>
        <v>-0.26146722824297386</v>
      </c>
      <c r="AH42">
        <f t="shared" si="43"/>
        <v>-2.9885840942752369</v>
      </c>
      <c r="AI42">
        <f t="shared" si="44"/>
        <v>-0.34862297099063178</v>
      </c>
      <c r="AJ42">
        <f t="shared" si="45"/>
        <v>-3.9847787923669822</v>
      </c>
      <c r="AK42">
        <f t="shared" si="46"/>
        <v>-0.43577871373828969</v>
      </c>
      <c r="AL42">
        <f t="shared" si="47"/>
        <v>-4.9809734904587275</v>
      </c>
    </row>
    <row r="43" spans="30:38" x14ac:dyDescent="0.4">
      <c r="AD43">
        <f>2*PI()*38/72</f>
        <v>3.3161255787892259</v>
      </c>
      <c r="AE43">
        <f t="shared" si="40"/>
        <v>-0.34729635533386005</v>
      </c>
      <c r="AF43">
        <f t="shared" si="41"/>
        <v>-1.9696155060244163</v>
      </c>
      <c r="AG43">
        <f t="shared" si="42"/>
        <v>-0.52094453300079002</v>
      </c>
      <c r="AH43">
        <f t="shared" si="43"/>
        <v>-2.9544232590366244</v>
      </c>
      <c r="AI43">
        <f t="shared" si="44"/>
        <v>-0.6945927106677201</v>
      </c>
      <c r="AJ43">
        <f t="shared" si="45"/>
        <v>-3.9392310120488325</v>
      </c>
      <c r="AK43">
        <f t="shared" si="46"/>
        <v>-0.86824088833465018</v>
      </c>
      <c r="AL43">
        <f t="shared" si="47"/>
        <v>-4.9240387650610407</v>
      </c>
    </row>
    <row r="44" spans="30:38" x14ac:dyDescent="0.4">
      <c r="AD44">
        <f>2*PI()*39/72</f>
        <v>3.4033920413889422</v>
      </c>
      <c r="AE44">
        <f t="shared" si="40"/>
        <v>-0.5176380902050407</v>
      </c>
      <c r="AF44">
        <f t="shared" si="41"/>
        <v>-1.9318516525781368</v>
      </c>
      <c r="AG44">
        <f t="shared" si="42"/>
        <v>-0.77645713530756111</v>
      </c>
      <c r="AH44">
        <f t="shared" si="43"/>
        <v>-2.897777478867205</v>
      </c>
      <c r="AI44">
        <f t="shared" si="44"/>
        <v>-1.0352761804100814</v>
      </c>
      <c r="AJ44">
        <f t="shared" si="45"/>
        <v>-3.8637033051562737</v>
      </c>
      <c r="AK44">
        <f t="shared" si="46"/>
        <v>-1.2940952255126017</v>
      </c>
      <c r="AL44">
        <f t="shared" si="47"/>
        <v>-4.8296291314453423</v>
      </c>
    </row>
    <row r="45" spans="30:38" x14ac:dyDescent="0.4">
      <c r="AD45">
        <f>2*PI()*40/72</f>
        <v>3.4906585039886591</v>
      </c>
      <c r="AE45">
        <f t="shared" si="40"/>
        <v>-0.68404028665133731</v>
      </c>
      <c r="AF45">
        <f t="shared" si="41"/>
        <v>-1.8793852415718169</v>
      </c>
      <c r="AG45">
        <f t="shared" si="42"/>
        <v>-1.026060429977006</v>
      </c>
      <c r="AH45">
        <f t="shared" si="43"/>
        <v>-2.8190778623577253</v>
      </c>
      <c r="AI45">
        <f t="shared" si="44"/>
        <v>-1.3680805733026746</v>
      </c>
      <c r="AJ45">
        <f t="shared" si="45"/>
        <v>-3.7587704831436337</v>
      </c>
      <c r="AK45">
        <f t="shared" si="46"/>
        <v>-1.7101007166283433</v>
      </c>
      <c r="AL45">
        <f t="shared" si="47"/>
        <v>-4.6984631039295426</v>
      </c>
    </row>
    <row r="46" spans="30:38" x14ac:dyDescent="0.4">
      <c r="AD46">
        <f>2*PI()*41/72</f>
        <v>3.577924966588375</v>
      </c>
      <c r="AE46">
        <f t="shared" si="40"/>
        <v>-0.84523652348139777</v>
      </c>
      <c r="AF46">
        <f t="shared" si="41"/>
        <v>-1.8126155740733005</v>
      </c>
      <c r="AG46">
        <f t="shared" si="42"/>
        <v>-1.2678547852220967</v>
      </c>
      <c r="AH46">
        <f t="shared" si="43"/>
        <v>-2.718923361109951</v>
      </c>
      <c r="AI46">
        <f t="shared" si="44"/>
        <v>-1.6904730469627955</v>
      </c>
      <c r="AJ46">
        <f t="shared" si="45"/>
        <v>-3.6252311481466011</v>
      </c>
      <c r="AK46">
        <f t="shared" si="46"/>
        <v>-2.1130913087034946</v>
      </c>
      <c r="AL46">
        <f t="shared" si="47"/>
        <v>-4.5315389351832511</v>
      </c>
    </row>
    <row r="47" spans="30:38" x14ac:dyDescent="0.4">
      <c r="AD47">
        <f>2*PI()*42/72</f>
        <v>3.6651914291880923</v>
      </c>
      <c r="AE47">
        <f t="shared" si="40"/>
        <v>-1.0000000000000002</v>
      </c>
      <c r="AF47">
        <f t="shared" si="41"/>
        <v>-1.7320508075688772</v>
      </c>
      <c r="AG47">
        <f t="shared" si="42"/>
        <v>-1.5000000000000004</v>
      </c>
      <c r="AH47">
        <f t="shared" si="43"/>
        <v>-2.598076211353316</v>
      </c>
      <c r="AI47">
        <f t="shared" si="44"/>
        <v>-2.0000000000000004</v>
      </c>
      <c r="AJ47">
        <f t="shared" si="45"/>
        <v>-3.4641016151377544</v>
      </c>
      <c r="AK47">
        <f t="shared" si="46"/>
        <v>-2.5000000000000004</v>
      </c>
      <c r="AL47">
        <f t="shared" si="47"/>
        <v>-4.3301270189221928</v>
      </c>
    </row>
    <row r="48" spans="30:38" x14ac:dyDescent="0.4">
      <c r="AD48">
        <f>2*PI()*43/72</f>
        <v>3.7524578917878082</v>
      </c>
      <c r="AE48">
        <f t="shared" si="40"/>
        <v>-1.1471528727020917</v>
      </c>
      <c r="AF48">
        <f t="shared" si="41"/>
        <v>-1.638304088577984</v>
      </c>
      <c r="AG48">
        <f t="shared" si="42"/>
        <v>-1.7207293090531375</v>
      </c>
      <c r="AH48">
        <f t="shared" si="43"/>
        <v>-2.4574561328669762</v>
      </c>
      <c r="AI48">
        <f t="shared" si="44"/>
        <v>-2.2943057454041833</v>
      </c>
      <c r="AJ48">
        <f t="shared" si="45"/>
        <v>-3.2766081771559681</v>
      </c>
      <c r="AK48">
        <f t="shared" si="46"/>
        <v>-2.8678821817552294</v>
      </c>
      <c r="AL48">
        <f t="shared" si="47"/>
        <v>-4.0957602214449604</v>
      </c>
    </row>
    <row r="49" spans="30:38" x14ac:dyDescent="0.4">
      <c r="AD49">
        <f>2*PI()*44/72</f>
        <v>3.8397243543875246</v>
      </c>
      <c r="AE49">
        <f t="shared" si="40"/>
        <v>-1.2855752193730778</v>
      </c>
      <c r="AF49">
        <f t="shared" si="41"/>
        <v>-1.5320888862379567</v>
      </c>
      <c r="AG49">
        <f t="shared" si="42"/>
        <v>-1.9283628290596169</v>
      </c>
      <c r="AH49">
        <f t="shared" si="43"/>
        <v>-2.298133329356935</v>
      </c>
      <c r="AI49">
        <f t="shared" si="44"/>
        <v>-2.5711504387461557</v>
      </c>
      <c r="AJ49">
        <f t="shared" si="45"/>
        <v>-3.0641777724759134</v>
      </c>
      <c r="AK49">
        <f t="shared" si="46"/>
        <v>-3.2139380484326945</v>
      </c>
      <c r="AL49">
        <f t="shared" si="47"/>
        <v>-3.8302222155948917</v>
      </c>
    </row>
    <row r="50" spans="30:38" x14ac:dyDescent="0.4">
      <c r="AD50">
        <f>2*PI()*45/72</f>
        <v>3.9269908169872414</v>
      </c>
      <c r="AE50">
        <f t="shared" si="40"/>
        <v>-1.4142135623730949</v>
      </c>
      <c r="AF50">
        <f t="shared" si="41"/>
        <v>-1.4142135623730954</v>
      </c>
      <c r="AG50">
        <f t="shared" si="42"/>
        <v>-2.1213203435596424</v>
      </c>
      <c r="AH50">
        <f t="shared" si="43"/>
        <v>-2.1213203435596428</v>
      </c>
      <c r="AI50">
        <f t="shared" si="44"/>
        <v>-2.8284271247461898</v>
      </c>
      <c r="AJ50">
        <f t="shared" si="45"/>
        <v>-2.8284271247461907</v>
      </c>
      <c r="AK50">
        <f t="shared" si="46"/>
        <v>-3.5355339059327373</v>
      </c>
      <c r="AL50">
        <f t="shared" si="47"/>
        <v>-3.5355339059327386</v>
      </c>
    </row>
    <row r="51" spans="30:38" x14ac:dyDescent="0.4">
      <c r="AD51">
        <f>2*PI()*46/72</f>
        <v>4.0142572795869578</v>
      </c>
      <c r="AE51">
        <f t="shared" si="40"/>
        <v>-1.5320888862379558</v>
      </c>
      <c r="AF51">
        <f t="shared" si="41"/>
        <v>-1.2855752193730789</v>
      </c>
      <c r="AG51">
        <f t="shared" si="42"/>
        <v>-2.2981333293569337</v>
      </c>
      <c r="AH51">
        <f t="shared" si="43"/>
        <v>-1.9283628290596184</v>
      </c>
      <c r="AI51">
        <f t="shared" si="44"/>
        <v>-3.0641777724759116</v>
      </c>
      <c r="AJ51">
        <f t="shared" si="45"/>
        <v>-2.5711504387461579</v>
      </c>
      <c r="AK51">
        <f t="shared" si="46"/>
        <v>-3.8302222155948895</v>
      </c>
      <c r="AL51">
        <f t="shared" si="47"/>
        <v>-3.2139380484326976</v>
      </c>
    </row>
    <row r="52" spans="30:38" x14ac:dyDescent="0.4">
      <c r="AD52">
        <f>2*PI()*47/72</f>
        <v>4.101523742186675</v>
      </c>
      <c r="AE52">
        <f t="shared" si="40"/>
        <v>-1.6383040885779843</v>
      </c>
      <c r="AF52">
        <f t="shared" si="41"/>
        <v>-1.1471528727020914</v>
      </c>
      <c r="AG52">
        <f t="shared" si="42"/>
        <v>-2.4574561328669766</v>
      </c>
      <c r="AH52">
        <f t="shared" si="43"/>
        <v>-1.7207293090531373</v>
      </c>
      <c r="AI52">
        <f t="shared" si="44"/>
        <v>-3.2766081771559685</v>
      </c>
      <c r="AJ52">
        <f t="shared" si="45"/>
        <v>-2.2943057454041829</v>
      </c>
      <c r="AK52">
        <f t="shared" si="46"/>
        <v>-4.0957602214449604</v>
      </c>
      <c r="AL52">
        <f t="shared" si="47"/>
        <v>-2.8678821817552285</v>
      </c>
    </row>
    <row r="53" spans="30:38" x14ac:dyDescent="0.4">
      <c r="AD53">
        <f>2*PI()*48/72</f>
        <v>4.1887902047863905</v>
      </c>
      <c r="AE53">
        <f t="shared" si="40"/>
        <v>-1.7320508075688767</v>
      </c>
      <c r="AF53">
        <f t="shared" si="41"/>
        <v>-1.0000000000000009</v>
      </c>
      <c r="AG53">
        <f t="shared" si="42"/>
        <v>-2.5980762113533151</v>
      </c>
      <c r="AH53">
        <f t="shared" si="43"/>
        <v>-1.5000000000000013</v>
      </c>
      <c r="AI53">
        <f t="shared" si="44"/>
        <v>-3.4641016151377535</v>
      </c>
      <c r="AJ53">
        <f t="shared" si="45"/>
        <v>-2.0000000000000018</v>
      </c>
      <c r="AK53">
        <f t="shared" si="46"/>
        <v>-4.3301270189221919</v>
      </c>
      <c r="AL53">
        <f t="shared" si="47"/>
        <v>-2.5000000000000022</v>
      </c>
    </row>
    <row r="54" spans="30:38" x14ac:dyDescent="0.4">
      <c r="AD54">
        <f>2*PI()*49/72</f>
        <v>4.2760566673861069</v>
      </c>
      <c r="AE54">
        <f t="shared" si="40"/>
        <v>-1.8126155740732994</v>
      </c>
      <c r="AF54">
        <f t="shared" si="41"/>
        <v>-0.84523652348139988</v>
      </c>
      <c r="AG54">
        <f t="shared" si="42"/>
        <v>-2.7189233611099493</v>
      </c>
      <c r="AH54">
        <f t="shared" si="43"/>
        <v>-1.2678547852220998</v>
      </c>
      <c r="AI54">
        <f t="shared" si="44"/>
        <v>-3.6252311481465989</v>
      </c>
      <c r="AJ54">
        <f t="shared" si="45"/>
        <v>-1.6904730469627998</v>
      </c>
      <c r="AK54">
        <f t="shared" si="46"/>
        <v>-4.5315389351832485</v>
      </c>
      <c r="AL54">
        <f t="shared" si="47"/>
        <v>-2.1130913087034999</v>
      </c>
    </row>
    <row r="55" spans="30:38" x14ac:dyDescent="0.4">
      <c r="AD55">
        <f>2*PI()*50/72</f>
        <v>4.3633231299858242</v>
      </c>
      <c r="AE55">
        <f t="shared" si="40"/>
        <v>-1.8793852415718169</v>
      </c>
      <c r="AF55">
        <f t="shared" si="41"/>
        <v>-0.68404028665133709</v>
      </c>
      <c r="AG55">
        <f t="shared" si="42"/>
        <v>-2.8190778623577253</v>
      </c>
      <c r="AH55">
        <f t="shared" si="43"/>
        <v>-1.0260604299770058</v>
      </c>
      <c r="AI55">
        <f t="shared" si="44"/>
        <v>-3.7587704831436337</v>
      </c>
      <c r="AJ55">
        <f t="shared" si="45"/>
        <v>-1.3680805733026742</v>
      </c>
      <c r="AK55">
        <f t="shared" si="46"/>
        <v>-4.6984631039295426</v>
      </c>
      <c r="AL55">
        <f t="shared" si="47"/>
        <v>-1.7101007166283426</v>
      </c>
    </row>
    <row r="56" spans="30:38" x14ac:dyDescent="0.4">
      <c r="AD56">
        <f>2*PI()*51/72</f>
        <v>4.4505895925855405</v>
      </c>
      <c r="AE56">
        <f t="shared" si="40"/>
        <v>-1.9318516525781366</v>
      </c>
      <c r="AF56">
        <f t="shared" si="41"/>
        <v>-0.51763809020504126</v>
      </c>
      <c r="AG56">
        <f t="shared" si="42"/>
        <v>-2.897777478867205</v>
      </c>
      <c r="AH56">
        <f t="shared" si="43"/>
        <v>-0.77645713530756189</v>
      </c>
      <c r="AI56">
        <f t="shared" si="44"/>
        <v>-3.8637033051562732</v>
      </c>
      <c r="AJ56">
        <f t="shared" si="45"/>
        <v>-1.0352761804100825</v>
      </c>
      <c r="AK56">
        <f t="shared" si="46"/>
        <v>-4.8296291314453415</v>
      </c>
      <c r="AL56">
        <f t="shared" si="47"/>
        <v>-1.2940952255126033</v>
      </c>
    </row>
    <row r="57" spans="30:38" x14ac:dyDescent="0.4">
      <c r="AD57">
        <f>2*PI()*52/72</f>
        <v>4.5378560551852569</v>
      </c>
      <c r="AE57">
        <f t="shared" si="40"/>
        <v>-1.969615506024416</v>
      </c>
      <c r="AF57">
        <f t="shared" si="41"/>
        <v>-0.34729635533386066</v>
      </c>
      <c r="AG57">
        <f t="shared" si="42"/>
        <v>-2.9544232590366239</v>
      </c>
      <c r="AH57">
        <f t="shared" si="43"/>
        <v>-0.52094453300079102</v>
      </c>
      <c r="AI57">
        <f t="shared" si="44"/>
        <v>-3.9392310120488321</v>
      </c>
      <c r="AJ57">
        <f t="shared" si="45"/>
        <v>-0.69459271066772132</v>
      </c>
      <c r="AK57">
        <f t="shared" si="46"/>
        <v>-4.9240387650610398</v>
      </c>
      <c r="AL57">
        <f t="shared" si="47"/>
        <v>-0.86824088833465163</v>
      </c>
    </row>
    <row r="58" spans="30:38" x14ac:dyDescent="0.4">
      <c r="AD58">
        <f>2*PI()*53/72</f>
        <v>4.6251225177849733</v>
      </c>
      <c r="AE58">
        <f t="shared" si="40"/>
        <v>-1.9923893961834911</v>
      </c>
      <c r="AF58">
        <f t="shared" si="41"/>
        <v>-0.1743114854953165</v>
      </c>
      <c r="AG58">
        <f t="shared" si="42"/>
        <v>-2.9885840942752369</v>
      </c>
      <c r="AH58">
        <f t="shared" si="43"/>
        <v>-0.26146722824297475</v>
      </c>
      <c r="AI58">
        <f t="shared" si="44"/>
        <v>-3.9847787923669822</v>
      </c>
      <c r="AJ58">
        <f t="shared" si="45"/>
        <v>-0.348622970990633</v>
      </c>
      <c r="AK58">
        <f t="shared" si="46"/>
        <v>-4.9809734904587275</v>
      </c>
      <c r="AL58">
        <f t="shared" si="47"/>
        <v>-0.43577871373829125</v>
      </c>
    </row>
    <row r="59" spans="30:38" x14ac:dyDescent="0.4">
      <c r="AD59">
        <f>2*PI()*54/72</f>
        <v>4.7123889803846897</v>
      </c>
      <c r="AE59">
        <f t="shared" si="40"/>
        <v>-2</v>
      </c>
      <c r="AF59">
        <f t="shared" si="41"/>
        <v>-3.67544536472586E-16</v>
      </c>
      <c r="AG59">
        <f t="shared" si="42"/>
        <v>-3</v>
      </c>
      <c r="AH59">
        <f t="shared" si="43"/>
        <v>-5.51316804708879E-16</v>
      </c>
      <c r="AI59">
        <f t="shared" si="44"/>
        <v>-4</v>
      </c>
      <c r="AJ59">
        <f t="shared" si="45"/>
        <v>-7.3508907294517201E-16</v>
      </c>
      <c r="AK59">
        <f t="shared" si="46"/>
        <v>-5</v>
      </c>
      <c r="AL59">
        <f t="shared" si="47"/>
        <v>-9.1886134118146501E-16</v>
      </c>
    </row>
    <row r="60" spans="30:38" x14ac:dyDescent="0.4">
      <c r="AD60">
        <f>2*PI()*55/72</f>
        <v>4.7996554429844061</v>
      </c>
      <c r="AE60">
        <f t="shared" si="40"/>
        <v>-1.9923893961834911</v>
      </c>
      <c r="AF60">
        <f t="shared" si="41"/>
        <v>0.17431148549531578</v>
      </c>
      <c r="AG60">
        <f t="shared" si="42"/>
        <v>-2.9885840942752369</v>
      </c>
      <c r="AH60">
        <f t="shared" si="43"/>
        <v>0.26146722824297364</v>
      </c>
      <c r="AI60">
        <f t="shared" si="44"/>
        <v>-3.9847787923669822</v>
      </c>
      <c r="AJ60">
        <f t="shared" si="45"/>
        <v>0.34862297099063155</v>
      </c>
      <c r="AK60">
        <f t="shared" si="46"/>
        <v>-4.9809734904587275</v>
      </c>
      <c r="AL60">
        <f t="shared" si="47"/>
        <v>0.43577871373828947</v>
      </c>
    </row>
    <row r="61" spans="30:38" x14ac:dyDescent="0.4">
      <c r="AD61">
        <f>2*PI()*56/72</f>
        <v>4.8869219055841224</v>
      </c>
      <c r="AE61">
        <f t="shared" si="40"/>
        <v>-1.9696155060244163</v>
      </c>
      <c r="AF61">
        <f t="shared" si="41"/>
        <v>0.34729635533385994</v>
      </c>
      <c r="AG61">
        <f t="shared" si="42"/>
        <v>-2.9544232590366244</v>
      </c>
      <c r="AH61">
        <f t="shared" si="43"/>
        <v>0.52094453300078991</v>
      </c>
      <c r="AI61">
        <f t="shared" si="44"/>
        <v>-3.9392310120488325</v>
      </c>
      <c r="AJ61">
        <f t="shared" si="45"/>
        <v>0.69459271066771988</v>
      </c>
      <c r="AK61">
        <f t="shared" si="46"/>
        <v>-4.9240387650610407</v>
      </c>
      <c r="AL61">
        <f t="shared" si="47"/>
        <v>0.86824088833464985</v>
      </c>
    </row>
    <row r="62" spans="30:38" x14ac:dyDescent="0.4">
      <c r="AD62">
        <f>2*PI()*57/72</f>
        <v>4.9741883681838388</v>
      </c>
      <c r="AE62">
        <f t="shared" si="40"/>
        <v>-1.9318516525781368</v>
      </c>
      <c r="AF62">
        <f t="shared" si="41"/>
        <v>0.51763809020504059</v>
      </c>
      <c r="AG62">
        <f t="shared" si="42"/>
        <v>-2.897777478867205</v>
      </c>
      <c r="AH62">
        <f t="shared" si="43"/>
        <v>0.77645713530756089</v>
      </c>
      <c r="AI62">
        <f t="shared" si="44"/>
        <v>-3.8637033051562737</v>
      </c>
      <c r="AJ62">
        <f t="shared" si="45"/>
        <v>1.0352761804100812</v>
      </c>
      <c r="AK62">
        <f t="shared" si="46"/>
        <v>-4.8296291314453423</v>
      </c>
      <c r="AL62">
        <f t="shared" si="47"/>
        <v>1.2940952255126015</v>
      </c>
    </row>
    <row r="63" spans="30:38" x14ac:dyDescent="0.4">
      <c r="AD63">
        <f>2*PI()*58/72</f>
        <v>5.0614548307835561</v>
      </c>
      <c r="AE63">
        <f t="shared" si="40"/>
        <v>-1.8793852415718166</v>
      </c>
      <c r="AF63">
        <f t="shared" si="41"/>
        <v>0.68404028665133798</v>
      </c>
      <c r="AG63">
        <f t="shared" si="42"/>
        <v>-2.8190778623577248</v>
      </c>
      <c r="AH63">
        <f t="shared" si="43"/>
        <v>1.0260604299770071</v>
      </c>
      <c r="AI63">
        <f t="shared" si="44"/>
        <v>-3.7587704831436333</v>
      </c>
      <c r="AJ63">
        <f t="shared" si="45"/>
        <v>1.368080573302676</v>
      </c>
      <c r="AK63">
        <f t="shared" si="46"/>
        <v>-4.6984631039295417</v>
      </c>
      <c r="AL63">
        <f t="shared" si="47"/>
        <v>1.7101007166283448</v>
      </c>
    </row>
    <row r="64" spans="30:38" x14ac:dyDescent="0.4">
      <c r="AD64">
        <f>2*PI()*59/72</f>
        <v>5.1487212933832716</v>
      </c>
      <c r="AE64">
        <f t="shared" si="40"/>
        <v>-1.8126155740733005</v>
      </c>
      <c r="AF64">
        <f t="shared" si="41"/>
        <v>0.84523652348139766</v>
      </c>
      <c r="AG64">
        <f t="shared" si="42"/>
        <v>-2.718923361109951</v>
      </c>
      <c r="AH64">
        <f t="shared" si="43"/>
        <v>1.2678547852220965</v>
      </c>
      <c r="AI64">
        <f t="shared" si="44"/>
        <v>-3.6252311481466011</v>
      </c>
      <c r="AJ64">
        <f t="shared" si="45"/>
        <v>1.6904730469627953</v>
      </c>
      <c r="AK64">
        <f t="shared" si="46"/>
        <v>-4.5315389351832511</v>
      </c>
      <c r="AL64">
        <f t="shared" si="47"/>
        <v>2.1130913087034942</v>
      </c>
    </row>
    <row r="65" spans="30:38" x14ac:dyDescent="0.4">
      <c r="AD65">
        <f>2*PI()*60/72</f>
        <v>5.2359877559829879</v>
      </c>
      <c r="AE65">
        <f t="shared" si="40"/>
        <v>-1.7320508075688781</v>
      </c>
      <c r="AF65">
        <f t="shared" si="41"/>
        <v>0.99999999999999867</v>
      </c>
      <c r="AG65">
        <f t="shared" si="42"/>
        <v>-2.5980762113533169</v>
      </c>
      <c r="AH65">
        <f t="shared" si="43"/>
        <v>1.499999999999998</v>
      </c>
      <c r="AI65">
        <f t="shared" si="44"/>
        <v>-3.4641016151377562</v>
      </c>
      <c r="AJ65">
        <f t="shared" si="45"/>
        <v>1.9999999999999973</v>
      </c>
      <c r="AK65">
        <f t="shared" si="46"/>
        <v>-4.3301270189221954</v>
      </c>
      <c r="AL65">
        <f t="shared" si="47"/>
        <v>2.4999999999999964</v>
      </c>
    </row>
    <row r="66" spans="30:38" x14ac:dyDescent="0.4">
      <c r="AD66">
        <f>2*PI()*61/72</f>
        <v>5.3232542185827052</v>
      </c>
      <c r="AE66">
        <f t="shared" si="40"/>
        <v>-1.6383040885779836</v>
      </c>
      <c r="AF66">
        <f t="shared" si="41"/>
        <v>1.1471528727020921</v>
      </c>
      <c r="AG66">
        <f t="shared" si="42"/>
        <v>-2.4574561328669753</v>
      </c>
      <c r="AH66">
        <f t="shared" si="43"/>
        <v>1.7207293090531381</v>
      </c>
      <c r="AI66">
        <f t="shared" si="44"/>
        <v>-3.2766081771559672</v>
      </c>
      <c r="AJ66">
        <f t="shared" si="45"/>
        <v>2.2943057454041842</v>
      </c>
      <c r="AK66">
        <f t="shared" si="46"/>
        <v>-4.0957602214449587</v>
      </c>
      <c r="AL66">
        <f t="shared" si="47"/>
        <v>2.8678821817552302</v>
      </c>
    </row>
    <row r="67" spans="30:38" x14ac:dyDescent="0.4">
      <c r="AD67">
        <f>2*PI()*62/72</f>
        <v>5.4105206811824216</v>
      </c>
      <c r="AE67">
        <f t="shared" si="40"/>
        <v>-1.5320888862379562</v>
      </c>
      <c r="AF67">
        <f t="shared" si="41"/>
        <v>1.2855752193730785</v>
      </c>
      <c r="AG67">
        <f t="shared" si="42"/>
        <v>-2.2981333293569346</v>
      </c>
      <c r="AH67">
        <f t="shared" si="43"/>
        <v>1.9283628290596178</v>
      </c>
      <c r="AI67">
        <f t="shared" si="44"/>
        <v>-3.0641777724759125</v>
      </c>
      <c r="AJ67">
        <f t="shared" si="45"/>
        <v>2.571150438746157</v>
      </c>
      <c r="AK67">
        <f t="shared" si="46"/>
        <v>-3.8302222155948904</v>
      </c>
      <c r="AL67">
        <f t="shared" si="47"/>
        <v>3.2139380484326963</v>
      </c>
    </row>
    <row r="68" spans="30:38" x14ac:dyDescent="0.4">
      <c r="AD68">
        <f>2*PI()*63/72</f>
        <v>5.497787143782138</v>
      </c>
      <c r="AE68">
        <f t="shared" si="40"/>
        <v>-1.4142135623730954</v>
      </c>
      <c r="AF68">
        <f t="shared" si="41"/>
        <v>1.4142135623730947</v>
      </c>
      <c r="AG68">
        <f t="shared" si="42"/>
        <v>-2.1213203435596428</v>
      </c>
      <c r="AH68">
        <f t="shared" si="43"/>
        <v>2.1213203435596419</v>
      </c>
      <c r="AI68">
        <f t="shared" si="44"/>
        <v>-2.8284271247461907</v>
      </c>
      <c r="AJ68">
        <f t="shared" si="45"/>
        <v>2.8284271247461894</v>
      </c>
      <c r="AK68">
        <f t="shared" si="46"/>
        <v>-3.5355339059327386</v>
      </c>
      <c r="AL68">
        <f t="shared" si="47"/>
        <v>3.5355339059327369</v>
      </c>
    </row>
    <row r="69" spans="30:38" x14ac:dyDescent="0.4">
      <c r="AD69">
        <f>2*PI()*64/72</f>
        <v>5.5850536063818543</v>
      </c>
      <c r="AE69">
        <f t="shared" ref="AE69:AE77" si="48">2*SIN($AD69)</f>
        <v>-1.2855752193730792</v>
      </c>
      <c r="AF69">
        <f t="shared" ref="AF69:AF77" si="49">2*COS($AD69)</f>
        <v>1.5320888862379556</v>
      </c>
      <c r="AG69">
        <f t="shared" ref="AG69:AG77" si="50">3*SIN($AD69)</f>
        <v>-1.9283628290596186</v>
      </c>
      <c r="AH69">
        <f t="shared" ref="AH69:AH77" si="51">3*COS($AD69)</f>
        <v>2.2981333293569333</v>
      </c>
      <c r="AI69">
        <f t="shared" ref="AI69:AI77" si="52">4*SIN($AD69)</f>
        <v>-2.5711504387461583</v>
      </c>
      <c r="AJ69">
        <f t="shared" ref="AJ69:AJ77" si="53">4*COS($AD69)</f>
        <v>3.0641777724759112</v>
      </c>
      <c r="AK69">
        <f t="shared" ref="AK69:AK77" si="54">5*SIN($AD69)</f>
        <v>-3.213938048432698</v>
      </c>
      <c r="AL69">
        <f t="shared" ref="AL69:AL77" si="55">5*COS($AD69)</f>
        <v>3.8302222155948891</v>
      </c>
    </row>
    <row r="70" spans="30:38" x14ac:dyDescent="0.4">
      <c r="AD70">
        <f>2*PI()*65/72</f>
        <v>5.6723200689815707</v>
      </c>
      <c r="AE70">
        <f t="shared" si="48"/>
        <v>-1.147152872702093</v>
      </c>
      <c r="AF70">
        <f t="shared" si="49"/>
        <v>1.6383040885779832</v>
      </c>
      <c r="AG70">
        <f t="shared" si="50"/>
        <v>-1.7207293090531395</v>
      </c>
      <c r="AH70">
        <f t="shared" si="51"/>
        <v>2.4574561328669748</v>
      </c>
      <c r="AI70">
        <f t="shared" si="52"/>
        <v>-2.294305745404186</v>
      </c>
      <c r="AJ70">
        <f t="shared" si="53"/>
        <v>3.2766081771559663</v>
      </c>
      <c r="AK70">
        <f t="shared" si="54"/>
        <v>-2.8678821817552325</v>
      </c>
      <c r="AL70">
        <f t="shared" si="55"/>
        <v>4.0957602214449578</v>
      </c>
    </row>
    <row r="71" spans="30:38" x14ac:dyDescent="0.4">
      <c r="AD71">
        <f>2*PI()*66/72</f>
        <v>5.759586531581288</v>
      </c>
      <c r="AE71">
        <f t="shared" si="48"/>
        <v>-0.99999999999999933</v>
      </c>
      <c r="AF71">
        <f t="shared" si="49"/>
        <v>1.7320508075688776</v>
      </c>
      <c r="AG71">
        <f t="shared" si="50"/>
        <v>-1.4999999999999991</v>
      </c>
      <c r="AH71">
        <f t="shared" si="51"/>
        <v>2.5980762113533165</v>
      </c>
      <c r="AI71">
        <f t="shared" si="52"/>
        <v>-1.9999999999999987</v>
      </c>
      <c r="AJ71">
        <f t="shared" si="53"/>
        <v>3.4641016151377553</v>
      </c>
      <c r="AK71">
        <f t="shared" si="54"/>
        <v>-2.4999999999999982</v>
      </c>
      <c r="AL71">
        <f t="shared" si="55"/>
        <v>4.3301270189221945</v>
      </c>
    </row>
    <row r="72" spans="30:38" x14ac:dyDescent="0.4">
      <c r="AD72">
        <f>2*PI()*67/72</f>
        <v>5.8468529941810035</v>
      </c>
      <c r="AE72">
        <f t="shared" si="48"/>
        <v>-0.84523652348139999</v>
      </c>
      <c r="AF72">
        <f t="shared" si="49"/>
        <v>1.8126155740732994</v>
      </c>
      <c r="AG72">
        <f t="shared" si="50"/>
        <v>-1.2678547852221</v>
      </c>
      <c r="AH72">
        <f t="shared" si="51"/>
        <v>2.7189233611099493</v>
      </c>
      <c r="AI72">
        <f t="shared" si="52"/>
        <v>-1.6904730469628</v>
      </c>
      <c r="AJ72">
        <f t="shared" si="53"/>
        <v>3.6252311481465989</v>
      </c>
      <c r="AK72">
        <f t="shared" si="54"/>
        <v>-2.1130913087034999</v>
      </c>
      <c r="AL72">
        <f t="shared" si="55"/>
        <v>4.5315389351832485</v>
      </c>
    </row>
    <row r="73" spans="30:38" x14ac:dyDescent="0.4">
      <c r="AD73">
        <f>2*PI()*68/72</f>
        <v>5.9341194567807207</v>
      </c>
      <c r="AE73">
        <f t="shared" si="48"/>
        <v>-0.6840402866513372</v>
      </c>
      <c r="AF73">
        <f t="shared" si="49"/>
        <v>1.8793852415718169</v>
      </c>
      <c r="AG73">
        <f t="shared" si="50"/>
        <v>-1.0260604299770058</v>
      </c>
      <c r="AH73">
        <f t="shared" si="51"/>
        <v>2.8190778623577253</v>
      </c>
      <c r="AI73">
        <f t="shared" si="52"/>
        <v>-1.3680805733026744</v>
      </c>
      <c r="AJ73">
        <f t="shared" si="53"/>
        <v>3.7587704831436337</v>
      </c>
      <c r="AK73">
        <f t="shared" si="54"/>
        <v>-1.7101007166283431</v>
      </c>
      <c r="AL73">
        <f t="shared" si="55"/>
        <v>4.6984631039295426</v>
      </c>
    </row>
    <row r="74" spans="30:38" x14ac:dyDescent="0.4">
      <c r="AD74">
        <f>2*PI()*69/72</f>
        <v>6.0213859193804371</v>
      </c>
      <c r="AE74">
        <f t="shared" si="48"/>
        <v>-0.51763809020504137</v>
      </c>
      <c r="AF74">
        <f t="shared" si="49"/>
        <v>1.9318516525781366</v>
      </c>
      <c r="AG74">
        <f t="shared" si="50"/>
        <v>-0.776457135307562</v>
      </c>
      <c r="AH74">
        <f t="shared" si="51"/>
        <v>2.897777478867205</v>
      </c>
      <c r="AI74">
        <f t="shared" si="52"/>
        <v>-1.0352761804100827</v>
      </c>
      <c r="AJ74">
        <f t="shared" si="53"/>
        <v>3.8637033051562732</v>
      </c>
      <c r="AK74">
        <f t="shared" si="54"/>
        <v>-1.2940952255126035</v>
      </c>
      <c r="AL74">
        <f t="shared" si="55"/>
        <v>4.8296291314453415</v>
      </c>
    </row>
    <row r="75" spans="30:38" x14ac:dyDescent="0.4">
      <c r="AD75">
        <f>2*PI()*70/72</f>
        <v>6.1086523819801535</v>
      </c>
      <c r="AE75">
        <f t="shared" si="48"/>
        <v>-0.34729635533386077</v>
      </c>
      <c r="AF75">
        <f t="shared" si="49"/>
        <v>1.969615506024416</v>
      </c>
      <c r="AG75">
        <f t="shared" si="50"/>
        <v>-0.52094453300079113</v>
      </c>
      <c r="AH75">
        <f t="shared" si="51"/>
        <v>2.9544232590366239</v>
      </c>
      <c r="AI75">
        <f t="shared" si="52"/>
        <v>-0.69459271066772155</v>
      </c>
      <c r="AJ75">
        <f t="shared" si="53"/>
        <v>3.9392310120488321</v>
      </c>
      <c r="AK75">
        <f t="shared" si="54"/>
        <v>-0.86824088833465196</v>
      </c>
      <c r="AL75">
        <f t="shared" si="55"/>
        <v>4.9240387650610398</v>
      </c>
    </row>
    <row r="76" spans="30:38" x14ac:dyDescent="0.4">
      <c r="AD76">
        <f>2*PI()*71/72</f>
        <v>6.1959188445798699</v>
      </c>
      <c r="AE76">
        <f t="shared" si="48"/>
        <v>-0.17431148549531664</v>
      </c>
      <c r="AF76">
        <f t="shared" si="49"/>
        <v>1.9923893961834911</v>
      </c>
      <c r="AG76">
        <f t="shared" si="50"/>
        <v>-0.26146722824297497</v>
      </c>
      <c r="AH76">
        <f t="shared" si="51"/>
        <v>2.9885840942752369</v>
      </c>
      <c r="AI76">
        <f t="shared" si="52"/>
        <v>-0.34862297099063327</v>
      </c>
      <c r="AJ76">
        <f t="shared" si="53"/>
        <v>3.9847787923669822</v>
      </c>
      <c r="AK76">
        <f t="shared" si="54"/>
        <v>-0.43577871373829158</v>
      </c>
      <c r="AL76">
        <f t="shared" si="55"/>
        <v>4.9809734904587275</v>
      </c>
    </row>
    <row r="77" spans="30:38" x14ac:dyDescent="0.4">
      <c r="AD77">
        <f>2*PI()*72/72</f>
        <v>6.2831853071795862</v>
      </c>
      <c r="AE77">
        <f t="shared" si="48"/>
        <v>-4.90059381963448E-16</v>
      </c>
      <c r="AF77">
        <f t="shared" si="49"/>
        <v>2</v>
      </c>
      <c r="AG77">
        <f t="shared" si="50"/>
        <v>-7.3508907294517201E-16</v>
      </c>
      <c r="AH77">
        <f t="shared" si="51"/>
        <v>3</v>
      </c>
      <c r="AI77">
        <f t="shared" si="52"/>
        <v>-9.8011876392689601E-16</v>
      </c>
      <c r="AJ77">
        <f t="shared" si="53"/>
        <v>4</v>
      </c>
      <c r="AK77">
        <f t="shared" si="54"/>
        <v>-1.22514845490862E-15</v>
      </c>
      <c r="AL77">
        <f t="shared" si="55"/>
        <v>5</v>
      </c>
    </row>
  </sheetData>
  <mergeCells count="3">
    <mergeCell ref="A26:L26"/>
    <mergeCell ref="A2:L2"/>
    <mergeCell ref="A1:L1"/>
  </mergeCells>
  <conditionalFormatting sqref="D5:S24">
    <cfRule type="expression" dxfId="131" priority="7">
      <formula>ISNA(D5)</formula>
    </cfRule>
  </conditionalFormatting>
  <conditionalFormatting sqref="L5:L24">
    <cfRule type="expression" dxfId="130" priority="1">
      <formula>LEFT(L5,9)="AGIRE ORA"</formula>
    </cfRule>
    <cfRule type="expression" dxfId="129" priority="2">
      <formula>OR(LEFT(L5,11)="Agire entro",LEFT(L5,12)="Entro l'anno")</formula>
    </cfRule>
    <cfRule type="expression" dxfId="128" priority="3">
      <formula>LEFT(L5,7)="Margine"</formula>
    </cfRule>
  </conditionalFormatting>
  <conditionalFormatting sqref="AA5:AA24">
    <cfRule type="expression" dxfId="127" priority="4">
      <formula>AA5="Attivazione"</formula>
    </cfRule>
    <cfRule type="expression" dxfId="126" priority="5">
      <formula>AA5="Attenzione"</formula>
    </cfRule>
    <cfRule type="expression" dxfId="125" priority="6">
      <formula>AA5="Monitoraggio"</formula>
    </cfRule>
  </conditionalFormatting>
  <pageMargins left="0.4" right="0.4" top="1" bottom="1" header="0.5" footer="0.5"/>
  <pageSetup paperSize="9" fitToHeight="0" orientation="portrait"/>
  <headerFooter>
    <oddHeader>&amp;L&amp;A&amp;CUso interno&amp;RHorizon Scan NFR</oddHeader>
    <oddFooter>&amp;L&amp;F&amp;RPagina &amp;P di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Q37"/>
  <sheetViews>
    <sheetView showGridLines="0" workbookViewId="0"/>
  </sheetViews>
  <sheetFormatPr defaultRowHeight="14.6" x14ac:dyDescent="0.4"/>
  <cols>
    <col min="1" max="1" width="13" customWidth="1"/>
    <col min="2" max="2" width="5" customWidth="1"/>
    <col min="3" max="7" width="20" customWidth="1"/>
    <col min="12" max="43" width="13" hidden="1" customWidth="1"/>
  </cols>
  <sheetData>
    <row r="1" spans="1:43" ht="28" customHeight="1" x14ac:dyDescent="0.4">
      <c r="A1" s="161" t="str">
        <f>"Horizon Scan NFR — Matrice di gravita'   ·   "&amp;etichettaCiclo</f>
        <v>Horizon Scan NFR — Matrice di gravita'   ·   Ciclo 2026Q4 · dati al 31/12/2026 · validato · Uso interno</v>
      </c>
      <c r="B1" s="162"/>
      <c r="C1" s="162"/>
      <c r="D1" s="162"/>
      <c r="E1" s="162"/>
      <c r="F1" s="162"/>
      <c r="G1" s="162"/>
    </row>
    <row r="2" spans="1:43" ht="45.55" customHeight="1" x14ac:dyDescent="0.4">
      <c r="A2" s="173" t="s">
        <v>229</v>
      </c>
      <c r="B2" s="142"/>
      <c r="C2" s="142"/>
      <c r="D2" s="142"/>
      <c r="E2" s="142"/>
      <c r="F2" s="142"/>
      <c r="G2" s="142"/>
    </row>
    <row r="4" spans="1:43" x14ac:dyDescent="0.4">
      <c r="A4" s="32" t="s">
        <v>204</v>
      </c>
      <c r="S4">
        <v>51</v>
      </c>
      <c r="T4">
        <v>52</v>
      </c>
      <c r="U4">
        <v>53</v>
      </c>
      <c r="V4">
        <v>54</v>
      </c>
      <c r="W4">
        <v>55</v>
      </c>
      <c r="X4">
        <v>41</v>
      </c>
      <c r="Y4">
        <v>42</v>
      </c>
      <c r="Z4">
        <v>43</v>
      </c>
      <c r="AA4">
        <v>44</v>
      </c>
      <c r="AB4">
        <v>45</v>
      </c>
      <c r="AC4">
        <v>31</v>
      </c>
      <c r="AD4">
        <v>32</v>
      </c>
      <c r="AE4">
        <v>33</v>
      </c>
      <c r="AF4">
        <v>34</v>
      </c>
      <c r="AG4">
        <v>35</v>
      </c>
      <c r="AH4">
        <v>21</v>
      </c>
      <c r="AI4">
        <v>22</v>
      </c>
      <c r="AJ4">
        <v>23</v>
      </c>
      <c r="AK4">
        <v>24</v>
      </c>
      <c r="AL4">
        <v>25</v>
      </c>
      <c r="AM4">
        <v>11</v>
      </c>
      <c r="AN4">
        <v>12</v>
      </c>
      <c r="AO4">
        <v>13</v>
      </c>
      <c r="AP4">
        <v>14</v>
      </c>
      <c r="AQ4">
        <v>15</v>
      </c>
    </row>
    <row r="5" spans="1:43" ht="50.05" customHeight="1" x14ac:dyDescent="0.4">
      <c r="A5" s="33" t="s">
        <v>230</v>
      </c>
      <c r="B5" s="34">
        <v>5</v>
      </c>
      <c r="C5" s="35" t="str">
        <f>_xlfn.TEXTJOIN("   ",TRUE,S5:S24)</f>
        <v/>
      </c>
      <c r="D5" s="36" t="str">
        <f>_xlfn.TEXTJOIN("   ",TRUE,T5:T24)</f>
        <v/>
      </c>
      <c r="E5" s="37" t="str">
        <f>_xlfn.TEXTJOIN("   ",TRUE,U5:U24)</f>
        <v/>
      </c>
      <c r="F5" s="37" t="str">
        <f>_xlfn.TEXTJOIN("   ",TRUE,V5:V24)</f>
        <v/>
      </c>
      <c r="G5" s="37" t="str">
        <f>_xlfn.TEXTJOIN("   ",TRUE,W5:W24)</f>
        <v/>
      </c>
      <c r="L5" t="str">
        <f>INDEX(posID,1)&amp;""</f>
        <v>NFR-01</v>
      </c>
      <c r="M5">
        <f>IF(AND(ISNUMBER(INDEX(posProbabilita,1)),ISNUMBER(INDEX(posImpatto,1))),INDEX(posProbabilita,1)*10+INDEX(posImpatto,1),"")</f>
        <v>44</v>
      </c>
      <c r="N5">
        <f>IF(M5="","",INDEX(posProbabilita,1)*INDEX(posImpatto,1))</f>
        <v>16</v>
      </c>
      <c r="O5" t="str">
        <f>IF(M5="","",L5&amp;IF(INDEX(ANA_Attenzione_Supervisore,1)="Sì"," ◆",""))</f>
        <v>NFR-01 ◆</v>
      </c>
      <c r="P5">
        <f>IF(N5="","",N5-1/1000)</f>
        <v>15.999000000000001</v>
      </c>
      <c r="Q5">
        <f>IFERROR(MATCH(_xlfn.AGGREGATE(14,6,$P$5:$P$24,1),$P$5:$P$24,0),"")</f>
        <v>1</v>
      </c>
      <c r="S5" t="str">
        <f t="shared" ref="S5:AB14" si="0">IF($M5=S$4,$O5,"")</f>
        <v/>
      </c>
      <c r="T5" t="str">
        <f t="shared" si="0"/>
        <v/>
      </c>
      <c r="U5" t="str">
        <f t="shared" si="0"/>
        <v/>
      </c>
      <c r="V5" t="str">
        <f t="shared" si="0"/>
        <v/>
      </c>
      <c r="W5" t="str">
        <f t="shared" si="0"/>
        <v/>
      </c>
      <c r="X5" t="str">
        <f t="shared" si="0"/>
        <v/>
      </c>
      <c r="Y5" t="str">
        <f t="shared" si="0"/>
        <v/>
      </c>
      <c r="Z5" t="str">
        <f t="shared" si="0"/>
        <v/>
      </c>
      <c r="AA5" t="str">
        <f t="shared" si="0"/>
        <v>NFR-01 ◆</v>
      </c>
      <c r="AB5" t="str">
        <f t="shared" si="0"/>
        <v/>
      </c>
      <c r="AC5" t="str">
        <f t="shared" ref="AC5:AQ14" si="1">IF($M5=AC$4,$O5,"")</f>
        <v/>
      </c>
      <c r="AD5" t="str">
        <f t="shared" si="1"/>
        <v/>
      </c>
      <c r="AE5" t="str">
        <f t="shared" si="1"/>
        <v/>
      </c>
      <c r="AF5" t="str">
        <f t="shared" si="1"/>
        <v/>
      </c>
      <c r="AG5" t="str">
        <f t="shared" si="1"/>
        <v/>
      </c>
      <c r="AH5" t="str">
        <f t="shared" si="1"/>
        <v/>
      </c>
      <c r="AI5" t="str">
        <f t="shared" si="1"/>
        <v/>
      </c>
      <c r="AJ5" t="str">
        <f t="shared" si="1"/>
        <v/>
      </c>
      <c r="AK5" t="str">
        <f t="shared" si="1"/>
        <v/>
      </c>
      <c r="AL5" t="str">
        <f t="shared" si="1"/>
        <v/>
      </c>
      <c r="AM5" t="str">
        <f t="shared" si="1"/>
        <v/>
      </c>
      <c r="AN5" t="str">
        <f t="shared" si="1"/>
        <v/>
      </c>
      <c r="AO5" t="str">
        <f t="shared" si="1"/>
        <v/>
      </c>
      <c r="AP5" t="str">
        <f t="shared" si="1"/>
        <v/>
      </c>
      <c r="AQ5" t="str">
        <f t="shared" si="1"/>
        <v/>
      </c>
    </row>
    <row r="6" spans="1:43" ht="50.05" customHeight="1" x14ac:dyDescent="0.4">
      <c r="A6" s="33" t="s">
        <v>231</v>
      </c>
      <c r="B6" s="34">
        <v>4</v>
      </c>
      <c r="C6" s="35" t="str">
        <f>_xlfn.TEXTJOIN("   ",TRUE,X5:X24)</f>
        <v/>
      </c>
      <c r="D6" s="36" t="str">
        <f>_xlfn.TEXTJOIN("   ",TRUE,Y5:Y24)</f>
        <v/>
      </c>
      <c r="E6" s="36" t="str">
        <f>_xlfn.TEXTJOIN("   ",TRUE,Z5:Z24)</f>
        <v>NFR-12</v>
      </c>
      <c r="F6" s="37" t="str">
        <f>_xlfn.TEXTJOIN("   ",TRUE,AA5:AA24)</f>
        <v>NFR-01 ◆   NFR-02 ◆</v>
      </c>
      <c r="G6" s="37" t="str">
        <f>_xlfn.TEXTJOIN("   ",TRUE,AB5:AB24)</f>
        <v/>
      </c>
      <c r="L6" t="str">
        <f>INDEX(posID,2)&amp;""</f>
        <v>NFR-02</v>
      </c>
      <c r="M6">
        <f>IF(AND(ISNUMBER(INDEX(posProbabilita,2)),ISNUMBER(INDEX(posImpatto,2))),INDEX(posProbabilita,2)*10+INDEX(posImpatto,2),"")</f>
        <v>44</v>
      </c>
      <c r="N6">
        <f>IF(M6="","",INDEX(posProbabilita,2)*INDEX(posImpatto,2))</f>
        <v>16</v>
      </c>
      <c r="O6" t="str">
        <f>IF(M6="","",L6&amp;IF(INDEX(ANA_Attenzione_Supervisore,2)="Sì"," ◆",""))</f>
        <v>NFR-02 ◆</v>
      </c>
      <c r="P6">
        <f>IF(N6="","",N6-2/1000)</f>
        <v>15.997999999999999</v>
      </c>
      <c r="Q6">
        <f>IFERROR(MATCH(_xlfn.AGGREGATE(14,6,$P$5:$P$24,2),$P$5:$P$24,0),"")</f>
        <v>2</v>
      </c>
      <c r="S6" t="str">
        <f t="shared" si="0"/>
        <v/>
      </c>
      <c r="T6" t="str">
        <f t="shared" si="0"/>
        <v/>
      </c>
      <c r="U6" t="str">
        <f t="shared" si="0"/>
        <v/>
      </c>
      <c r="V6" t="str">
        <f t="shared" si="0"/>
        <v/>
      </c>
      <c r="W6" t="str">
        <f t="shared" si="0"/>
        <v/>
      </c>
      <c r="X6" t="str">
        <f t="shared" si="0"/>
        <v/>
      </c>
      <c r="Y6" t="str">
        <f t="shared" si="0"/>
        <v/>
      </c>
      <c r="Z6" t="str">
        <f t="shared" si="0"/>
        <v/>
      </c>
      <c r="AA6" t="str">
        <f t="shared" si="0"/>
        <v>NFR-02 ◆</v>
      </c>
      <c r="AB6" t="str">
        <f t="shared" si="0"/>
        <v/>
      </c>
      <c r="AC6" t="str">
        <f t="shared" si="1"/>
        <v/>
      </c>
      <c r="AD6" t="str">
        <f t="shared" si="1"/>
        <v/>
      </c>
      <c r="AE6" t="str">
        <f t="shared" si="1"/>
        <v/>
      </c>
      <c r="AF6" t="str">
        <f t="shared" si="1"/>
        <v/>
      </c>
      <c r="AG6" t="str">
        <f t="shared" si="1"/>
        <v/>
      </c>
      <c r="AH6" t="str">
        <f t="shared" si="1"/>
        <v/>
      </c>
      <c r="AI6" t="str">
        <f t="shared" si="1"/>
        <v/>
      </c>
      <c r="AJ6" t="str">
        <f t="shared" si="1"/>
        <v/>
      </c>
      <c r="AK6" t="str">
        <f t="shared" si="1"/>
        <v/>
      </c>
      <c r="AL6" t="str">
        <f t="shared" si="1"/>
        <v/>
      </c>
      <c r="AM6" t="str">
        <f t="shared" si="1"/>
        <v/>
      </c>
      <c r="AN6" t="str">
        <f t="shared" si="1"/>
        <v/>
      </c>
      <c r="AO6" t="str">
        <f t="shared" si="1"/>
        <v/>
      </c>
      <c r="AP6" t="str">
        <f t="shared" si="1"/>
        <v/>
      </c>
      <c r="AQ6" t="str">
        <f t="shared" si="1"/>
        <v/>
      </c>
    </row>
    <row r="7" spans="1:43" ht="50.05" customHeight="1" x14ac:dyDescent="0.4">
      <c r="A7" s="33" t="s">
        <v>232</v>
      </c>
      <c r="B7" s="34">
        <v>3</v>
      </c>
      <c r="C7" s="35" t="str">
        <f>_xlfn.TEXTJOIN("   ",TRUE,AC5:AC24)</f>
        <v/>
      </c>
      <c r="D7" s="35" t="str">
        <f>_xlfn.TEXTJOIN("   ",TRUE,AD5:AD24)</f>
        <v/>
      </c>
      <c r="E7" s="36" t="str">
        <f>_xlfn.TEXTJOIN("   ",TRUE,AE5:AE24)</f>
        <v>NFR-03   NFR-04   NFR-05   NFR-06   NFR-10   NFR-11   NFR-16</v>
      </c>
      <c r="F7" s="36" t="str">
        <f>_xlfn.TEXTJOIN("   ",TRUE,AF5:AF24)</f>
        <v>NFR-07 ◆</v>
      </c>
      <c r="G7" s="37" t="str">
        <f>_xlfn.TEXTJOIN("   ",TRUE,AG5:AG24)</f>
        <v/>
      </c>
      <c r="L7" t="str">
        <f>INDEX(posID,3)&amp;""</f>
        <v>NFR-03</v>
      </c>
      <c r="M7">
        <f>IF(AND(ISNUMBER(INDEX(posProbabilita,3)),ISNUMBER(INDEX(posImpatto,3))),INDEX(posProbabilita,3)*10+INDEX(posImpatto,3),"")</f>
        <v>33</v>
      </c>
      <c r="N7">
        <f>IF(M7="","",INDEX(posProbabilita,3)*INDEX(posImpatto,3))</f>
        <v>9</v>
      </c>
      <c r="O7" t="str">
        <f>IF(M7="","",L7&amp;IF(INDEX(ANA_Attenzione_Supervisore,3)="Sì"," ◆",""))</f>
        <v>NFR-03</v>
      </c>
      <c r="P7">
        <f>IF(N7="","",N7-3/1000)</f>
        <v>8.9969999999999999</v>
      </c>
      <c r="Q7">
        <f>IFERROR(MATCH(_xlfn.AGGREGATE(14,6,$P$5:$P$24,3),$P$5:$P$24,0),"")</f>
        <v>7</v>
      </c>
      <c r="S7" t="str">
        <f t="shared" si="0"/>
        <v/>
      </c>
      <c r="T7" t="str">
        <f t="shared" si="0"/>
        <v/>
      </c>
      <c r="U7" t="str">
        <f t="shared" si="0"/>
        <v/>
      </c>
      <c r="V7" t="str">
        <f t="shared" si="0"/>
        <v/>
      </c>
      <c r="W7" t="str">
        <f t="shared" si="0"/>
        <v/>
      </c>
      <c r="X7" t="str">
        <f t="shared" si="0"/>
        <v/>
      </c>
      <c r="Y7" t="str">
        <f t="shared" si="0"/>
        <v/>
      </c>
      <c r="Z7" t="str">
        <f t="shared" si="0"/>
        <v/>
      </c>
      <c r="AA7" t="str">
        <f t="shared" si="0"/>
        <v/>
      </c>
      <c r="AB7" t="str">
        <f t="shared" si="0"/>
        <v/>
      </c>
      <c r="AC7" t="str">
        <f t="shared" si="1"/>
        <v/>
      </c>
      <c r="AD7" t="str">
        <f t="shared" si="1"/>
        <v/>
      </c>
      <c r="AE7" t="str">
        <f t="shared" si="1"/>
        <v>NFR-03</v>
      </c>
      <c r="AF7" t="str">
        <f t="shared" si="1"/>
        <v/>
      </c>
      <c r="AG7" t="str">
        <f t="shared" si="1"/>
        <v/>
      </c>
      <c r="AH7" t="str">
        <f t="shared" si="1"/>
        <v/>
      </c>
      <c r="AI7" t="str">
        <f t="shared" si="1"/>
        <v/>
      </c>
      <c r="AJ7" t="str">
        <f t="shared" si="1"/>
        <v/>
      </c>
      <c r="AK7" t="str">
        <f t="shared" si="1"/>
        <v/>
      </c>
      <c r="AL7" t="str">
        <f t="shared" si="1"/>
        <v/>
      </c>
      <c r="AM7" t="str">
        <f t="shared" si="1"/>
        <v/>
      </c>
      <c r="AN7" t="str">
        <f t="shared" si="1"/>
        <v/>
      </c>
      <c r="AO7" t="str">
        <f t="shared" si="1"/>
        <v/>
      </c>
      <c r="AP7" t="str">
        <f t="shared" si="1"/>
        <v/>
      </c>
      <c r="AQ7" t="str">
        <f t="shared" si="1"/>
        <v/>
      </c>
    </row>
    <row r="8" spans="1:43" ht="50.05" customHeight="1" x14ac:dyDescent="0.4">
      <c r="A8" s="33" t="s">
        <v>233</v>
      </c>
      <c r="B8" s="34">
        <v>2</v>
      </c>
      <c r="C8" s="35" t="str">
        <f>_xlfn.TEXTJOIN("   ",TRUE,AH5:AH24)</f>
        <v/>
      </c>
      <c r="D8" s="35" t="str">
        <f>_xlfn.TEXTJOIN("   ",TRUE,AI5:AI24)</f>
        <v/>
      </c>
      <c r="E8" s="35" t="str">
        <f>_xlfn.TEXTJOIN("   ",TRUE,AJ5:AJ24)</f>
        <v>NFR-08</v>
      </c>
      <c r="F8" s="36" t="str">
        <f>_xlfn.TEXTJOIN("   ",TRUE,AK5:AK24)</f>
        <v>NFR-09 ◆</v>
      </c>
      <c r="G8" s="36" t="str">
        <f>_xlfn.TEXTJOIN("   ",TRUE,AL5:AL24)</f>
        <v/>
      </c>
      <c r="L8" t="str">
        <f>INDEX(posID,4)&amp;""</f>
        <v>NFR-04</v>
      </c>
      <c r="M8">
        <f>IF(AND(ISNUMBER(INDEX(posProbabilita,4)),ISNUMBER(INDEX(posImpatto,4))),INDEX(posProbabilita,4)*10+INDEX(posImpatto,4),"")</f>
        <v>33</v>
      </c>
      <c r="N8">
        <f>IF(M8="","",INDEX(posProbabilita,4)*INDEX(posImpatto,4))</f>
        <v>9</v>
      </c>
      <c r="O8" t="str">
        <f>IF(M8="","",L8&amp;IF(INDEX(ANA_Attenzione_Supervisore,4)="Sì"," ◆",""))</f>
        <v>NFR-04</v>
      </c>
      <c r="P8">
        <f>IF(N8="","",N8-4/1000)</f>
        <v>8.9960000000000004</v>
      </c>
      <c r="Q8">
        <f>IFERROR(MATCH(_xlfn.AGGREGATE(14,6,$P$5:$P$24,4),$P$5:$P$24,0),"")</f>
        <v>12</v>
      </c>
      <c r="S8" t="str">
        <f t="shared" si="0"/>
        <v/>
      </c>
      <c r="T8" t="str">
        <f t="shared" si="0"/>
        <v/>
      </c>
      <c r="U8" t="str">
        <f t="shared" si="0"/>
        <v/>
      </c>
      <c r="V8" t="str">
        <f t="shared" si="0"/>
        <v/>
      </c>
      <c r="W8" t="str">
        <f t="shared" si="0"/>
        <v/>
      </c>
      <c r="X8" t="str">
        <f t="shared" si="0"/>
        <v/>
      </c>
      <c r="Y8" t="str">
        <f t="shared" si="0"/>
        <v/>
      </c>
      <c r="Z8" t="str">
        <f t="shared" si="0"/>
        <v/>
      </c>
      <c r="AA8" t="str">
        <f t="shared" si="0"/>
        <v/>
      </c>
      <c r="AB8" t="str">
        <f t="shared" si="0"/>
        <v/>
      </c>
      <c r="AC8" t="str">
        <f t="shared" si="1"/>
        <v/>
      </c>
      <c r="AD8" t="str">
        <f t="shared" si="1"/>
        <v/>
      </c>
      <c r="AE8" t="str">
        <f t="shared" si="1"/>
        <v>NFR-04</v>
      </c>
      <c r="AF8" t="str">
        <f t="shared" si="1"/>
        <v/>
      </c>
      <c r="AG8" t="str">
        <f t="shared" si="1"/>
        <v/>
      </c>
      <c r="AH8" t="str">
        <f t="shared" si="1"/>
        <v/>
      </c>
      <c r="AI8" t="str">
        <f t="shared" si="1"/>
        <v/>
      </c>
      <c r="AJ8" t="str">
        <f t="shared" si="1"/>
        <v/>
      </c>
      <c r="AK8" t="str">
        <f t="shared" si="1"/>
        <v/>
      </c>
      <c r="AL8" t="str">
        <f t="shared" si="1"/>
        <v/>
      </c>
      <c r="AM8" t="str">
        <f t="shared" si="1"/>
        <v/>
      </c>
      <c r="AN8" t="str">
        <f t="shared" si="1"/>
        <v/>
      </c>
      <c r="AO8" t="str">
        <f t="shared" si="1"/>
        <v/>
      </c>
      <c r="AP8" t="str">
        <f t="shared" si="1"/>
        <v/>
      </c>
      <c r="AQ8" t="str">
        <f t="shared" si="1"/>
        <v/>
      </c>
    </row>
    <row r="9" spans="1:43" ht="50.05" customHeight="1" x14ac:dyDescent="0.4">
      <c r="A9" s="33" t="s">
        <v>234</v>
      </c>
      <c r="B9" s="34">
        <v>1</v>
      </c>
      <c r="C9" s="35" t="str">
        <f>_xlfn.TEXTJOIN("   ",TRUE,AM5:AM24)</f>
        <v/>
      </c>
      <c r="D9" s="35" t="str">
        <f>_xlfn.TEXTJOIN("   ",TRUE,AN5:AN24)</f>
        <v/>
      </c>
      <c r="E9" s="35" t="str">
        <f>_xlfn.TEXTJOIN("   ",TRUE,AO5:AO24)</f>
        <v/>
      </c>
      <c r="F9" s="35" t="str">
        <f>_xlfn.TEXTJOIN("   ",TRUE,AP5:AP24)</f>
        <v/>
      </c>
      <c r="G9" s="35" t="str">
        <f>_xlfn.TEXTJOIN("   ",TRUE,AQ5:AQ24)</f>
        <v/>
      </c>
      <c r="L9" t="str">
        <f>INDEX(posID,5)&amp;""</f>
        <v>NFR-05</v>
      </c>
      <c r="M9">
        <f>IF(AND(ISNUMBER(INDEX(posProbabilita,5)),ISNUMBER(INDEX(posImpatto,5))),INDEX(posProbabilita,5)*10+INDEX(posImpatto,5),"")</f>
        <v>33</v>
      </c>
      <c r="N9">
        <f>IF(M9="","",INDEX(posProbabilita,5)*INDEX(posImpatto,5))</f>
        <v>9</v>
      </c>
      <c r="O9" t="str">
        <f>IF(M9="","",L9&amp;IF(INDEX(ANA_Attenzione_Supervisore,5)="Sì"," ◆",""))</f>
        <v>NFR-05</v>
      </c>
      <c r="P9">
        <f>IF(N9="","",N9-5/1000)</f>
        <v>8.9949999999999992</v>
      </c>
      <c r="Q9">
        <f>IFERROR(MATCH(_xlfn.AGGREGATE(14,6,$P$5:$P$24,5),$P$5:$P$24,0),"")</f>
        <v>3</v>
      </c>
      <c r="S9" t="str">
        <f t="shared" si="0"/>
        <v/>
      </c>
      <c r="T9" t="str">
        <f t="shared" si="0"/>
        <v/>
      </c>
      <c r="U9" t="str">
        <f t="shared" si="0"/>
        <v/>
      </c>
      <c r="V9" t="str">
        <f t="shared" si="0"/>
        <v/>
      </c>
      <c r="W9" t="str">
        <f t="shared" si="0"/>
        <v/>
      </c>
      <c r="X9" t="str">
        <f t="shared" si="0"/>
        <v/>
      </c>
      <c r="Y9" t="str">
        <f t="shared" si="0"/>
        <v/>
      </c>
      <c r="Z9" t="str">
        <f t="shared" si="0"/>
        <v/>
      </c>
      <c r="AA9" t="str">
        <f t="shared" si="0"/>
        <v/>
      </c>
      <c r="AB9" t="str">
        <f t="shared" si="0"/>
        <v/>
      </c>
      <c r="AC9" t="str">
        <f t="shared" si="1"/>
        <v/>
      </c>
      <c r="AD9" t="str">
        <f t="shared" si="1"/>
        <v/>
      </c>
      <c r="AE9" t="str">
        <f t="shared" si="1"/>
        <v>NFR-05</v>
      </c>
      <c r="AF9" t="str">
        <f t="shared" si="1"/>
        <v/>
      </c>
      <c r="AG9" t="str">
        <f t="shared" si="1"/>
        <v/>
      </c>
      <c r="AH9" t="str">
        <f t="shared" si="1"/>
        <v/>
      </c>
      <c r="AI9" t="str">
        <f t="shared" si="1"/>
        <v/>
      </c>
      <c r="AJ9" t="str">
        <f t="shared" si="1"/>
        <v/>
      </c>
      <c r="AK9" t="str">
        <f t="shared" si="1"/>
        <v/>
      </c>
      <c r="AL9" t="str">
        <f t="shared" si="1"/>
        <v/>
      </c>
      <c r="AM9" t="str">
        <f t="shared" si="1"/>
        <v/>
      </c>
      <c r="AN9" t="str">
        <f t="shared" si="1"/>
        <v/>
      </c>
      <c r="AO9" t="str">
        <f t="shared" si="1"/>
        <v/>
      </c>
      <c r="AP9" t="str">
        <f t="shared" si="1"/>
        <v/>
      </c>
      <c r="AQ9" t="str">
        <f t="shared" si="1"/>
        <v/>
      </c>
    </row>
    <row r="10" spans="1:43" x14ac:dyDescent="0.4">
      <c r="C10" s="38">
        <v>1</v>
      </c>
      <c r="D10" s="38">
        <v>2</v>
      </c>
      <c r="E10" s="38">
        <v>3</v>
      </c>
      <c r="F10" s="38">
        <v>4</v>
      </c>
      <c r="G10" s="38">
        <v>5</v>
      </c>
      <c r="L10" t="str">
        <f>INDEX(posID,6)&amp;""</f>
        <v>NFR-06</v>
      </c>
      <c r="M10">
        <f>IF(AND(ISNUMBER(INDEX(posProbabilita,6)),ISNUMBER(INDEX(posImpatto,6))),INDEX(posProbabilita,6)*10+INDEX(posImpatto,6),"")</f>
        <v>33</v>
      </c>
      <c r="N10">
        <f>IF(M10="","",INDEX(posProbabilita,6)*INDEX(posImpatto,6))</f>
        <v>9</v>
      </c>
      <c r="O10" t="str">
        <f>IF(M10="","",L10&amp;IF(INDEX(ANA_Attenzione_Supervisore,6)="Sì"," ◆",""))</f>
        <v>NFR-06</v>
      </c>
      <c r="P10">
        <f>IF(N10="","",N10-6/1000)</f>
        <v>8.9939999999999998</v>
      </c>
      <c r="Q10">
        <f>IFERROR(MATCH(_xlfn.AGGREGATE(14,6,$P$5:$P$24,6),$P$5:$P$24,0),"")</f>
        <v>4</v>
      </c>
      <c r="S10" t="str">
        <f t="shared" si="0"/>
        <v/>
      </c>
      <c r="T10" t="str">
        <f t="shared" si="0"/>
        <v/>
      </c>
      <c r="U10" t="str">
        <f t="shared" si="0"/>
        <v/>
      </c>
      <c r="V10" t="str">
        <f t="shared" si="0"/>
        <v/>
      </c>
      <c r="W10" t="str">
        <f t="shared" si="0"/>
        <v/>
      </c>
      <c r="X10" t="str">
        <f t="shared" si="0"/>
        <v/>
      </c>
      <c r="Y10" t="str">
        <f t="shared" si="0"/>
        <v/>
      </c>
      <c r="Z10" t="str">
        <f t="shared" si="0"/>
        <v/>
      </c>
      <c r="AA10" t="str">
        <f t="shared" si="0"/>
        <v/>
      </c>
      <c r="AB10" t="str">
        <f t="shared" si="0"/>
        <v/>
      </c>
      <c r="AC10" t="str">
        <f t="shared" si="1"/>
        <v/>
      </c>
      <c r="AD10" t="str">
        <f t="shared" si="1"/>
        <v/>
      </c>
      <c r="AE10" t="str">
        <f t="shared" si="1"/>
        <v>NFR-06</v>
      </c>
      <c r="AF10" t="str">
        <f t="shared" si="1"/>
        <v/>
      </c>
      <c r="AG10" t="str">
        <f t="shared" si="1"/>
        <v/>
      </c>
      <c r="AH10" t="str">
        <f t="shared" si="1"/>
        <v/>
      </c>
      <c r="AI10" t="str">
        <f t="shared" si="1"/>
        <v/>
      </c>
      <c r="AJ10" t="str">
        <f t="shared" si="1"/>
        <v/>
      </c>
      <c r="AK10" t="str">
        <f t="shared" si="1"/>
        <v/>
      </c>
      <c r="AL10" t="str">
        <f t="shared" si="1"/>
        <v/>
      </c>
      <c r="AM10" t="str">
        <f t="shared" si="1"/>
        <v/>
      </c>
      <c r="AN10" t="str">
        <f t="shared" si="1"/>
        <v/>
      </c>
      <c r="AO10" t="str">
        <f t="shared" si="1"/>
        <v/>
      </c>
      <c r="AP10" t="str">
        <f t="shared" si="1"/>
        <v/>
      </c>
      <c r="AQ10" t="str">
        <f t="shared" si="1"/>
        <v/>
      </c>
    </row>
    <row r="11" spans="1:43" x14ac:dyDescent="0.4">
      <c r="C11" s="39" t="s">
        <v>235</v>
      </c>
      <c r="D11" s="39" t="s">
        <v>236</v>
      </c>
      <c r="E11" s="39" t="s">
        <v>237</v>
      </c>
      <c r="F11" s="39" t="s">
        <v>238</v>
      </c>
      <c r="G11" s="39" t="s">
        <v>239</v>
      </c>
      <c r="L11" t="str">
        <f>INDEX(posID,7)&amp;""</f>
        <v>NFR-07</v>
      </c>
      <c r="M11">
        <f>IF(AND(ISNUMBER(INDEX(posProbabilita,7)),ISNUMBER(INDEX(posImpatto,7))),INDEX(posProbabilita,7)*10+INDEX(posImpatto,7),"")</f>
        <v>34</v>
      </c>
      <c r="N11">
        <f>IF(M11="","",INDEX(posProbabilita,7)*INDEX(posImpatto,7))</f>
        <v>12</v>
      </c>
      <c r="O11" t="str">
        <f>IF(M11="","",L11&amp;IF(INDEX(ANA_Attenzione_Supervisore,7)="Sì"," ◆",""))</f>
        <v>NFR-07 ◆</v>
      </c>
      <c r="P11">
        <f>IF(N11="","",N11-7/1000)</f>
        <v>11.993</v>
      </c>
      <c r="Q11">
        <f>IFERROR(MATCH(_xlfn.AGGREGATE(14,6,$P$5:$P$24,7),$P$5:$P$24,0),"")</f>
        <v>5</v>
      </c>
      <c r="S11" t="str">
        <f t="shared" si="0"/>
        <v/>
      </c>
      <c r="T11" t="str">
        <f t="shared" si="0"/>
        <v/>
      </c>
      <c r="U11" t="str">
        <f t="shared" si="0"/>
        <v/>
      </c>
      <c r="V11" t="str">
        <f t="shared" si="0"/>
        <v/>
      </c>
      <c r="W11" t="str">
        <f t="shared" si="0"/>
        <v/>
      </c>
      <c r="X11" t="str">
        <f t="shared" si="0"/>
        <v/>
      </c>
      <c r="Y11" t="str">
        <f t="shared" si="0"/>
        <v/>
      </c>
      <c r="Z11" t="str">
        <f t="shared" si="0"/>
        <v/>
      </c>
      <c r="AA11" t="str">
        <f t="shared" si="0"/>
        <v/>
      </c>
      <c r="AB11" t="str">
        <f t="shared" si="0"/>
        <v/>
      </c>
      <c r="AC11" t="str">
        <f t="shared" si="1"/>
        <v/>
      </c>
      <c r="AD11" t="str">
        <f t="shared" si="1"/>
        <v/>
      </c>
      <c r="AE11" t="str">
        <f t="shared" si="1"/>
        <v/>
      </c>
      <c r="AF11" t="str">
        <f t="shared" si="1"/>
        <v>NFR-07 ◆</v>
      </c>
      <c r="AG11" t="str">
        <f t="shared" si="1"/>
        <v/>
      </c>
      <c r="AH11" t="str">
        <f t="shared" si="1"/>
        <v/>
      </c>
      <c r="AI11" t="str">
        <f t="shared" si="1"/>
        <v/>
      </c>
      <c r="AJ11" t="str">
        <f t="shared" si="1"/>
        <v/>
      </c>
      <c r="AK11" t="str">
        <f t="shared" si="1"/>
        <v/>
      </c>
      <c r="AL11" t="str">
        <f t="shared" si="1"/>
        <v/>
      </c>
      <c r="AM11" t="str">
        <f t="shared" si="1"/>
        <v/>
      </c>
      <c r="AN11" t="str">
        <f t="shared" si="1"/>
        <v/>
      </c>
      <c r="AO11" t="str">
        <f t="shared" si="1"/>
        <v/>
      </c>
      <c r="AP11" t="str">
        <f t="shared" si="1"/>
        <v/>
      </c>
      <c r="AQ11" t="str">
        <f t="shared" si="1"/>
        <v/>
      </c>
    </row>
    <row r="12" spans="1:43" x14ac:dyDescent="0.4">
      <c r="E12" s="38" t="s">
        <v>203</v>
      </c>
      <c r="L12" t="str">
        <f>INDEX(posID,8)&amp;""</f>
        <v>NFR-08</v>
      </c>
      <c r="M12">
        <f>IF(AND(ISNUMBER(INDEX(posProbabilita,8)),ISNUMBER(INDEX(posImpatto,8))),INDEX(posProbabilita,8)*10+INDEX(posImpatto,8),"")</f>
        <v>23</v>
      </c>
      <c r="N12">
        <f>IF(M12="","",INDEX(posProbabilita,8)*INDEX(posImpatto,8))</f>
        <v>6</v>
      </c>
      <c r="O12" t="str">
        <f>IF(M12="","",L12&amp;IF(INDEX(ANA_Attenzione_Supervisore,8)="Sì"," ◆",""))</f>
        <v>NFR-08</v>
      </c>
      <c r="P12">
        <f>IF(N12="","",N12-8/1000)</f>
        <v>5.992</v>
      </c>
      <c r="Q12">
        <f>IFERROR(MATCH(_xlfn.AGGREGATE(14,6,$P$5:$P$24,8),$P$5:$P$24,0),"")</f>
        <v>6</v>
      </c>
      <c r="S12" t="str">
        <f t="shared" si="0"/>
        <v/>
      </c>
      <c r="T12" t="str">
        <f t="shared" si="0"/>
        <v/>
      </c>
      <c r="U12" t="str">
        <f t="shared" si="0"/>
        <v/>
      </c>
      <c r="V12" t="str">
        <f t="shared" si="0"/>
        <v/>
      </c>
      <c r="W12" t="str">
        <f t="shared" si="0"/>
        <v/>
      </c>
      <c r="X12" t="str">
        <f t="shared" si="0"/>
        <v/>
      </c>
      <c r="Y12" t="str">
        <f t="shared" si="0"/>
        <v/>
      </c>
      <c r="Z12" t="str">
        <f t="shared" si="0"/>
        <v/>
      </c>
      <c r="AA12" t="str">
        <f t="shared" si="0"/>
        <v/>
      </c>
      <c r="AB12" t="str">
        <f t="shared" si="0"/>
        <v/>
      </c>
      <c r="AC12" t="str">
        <f t="shared" si="1"/>
        <v/>
      </c>
      <c r="AD12" t="str">
        <f t="shared" si="1"/>
        <v/>
      </c>
      <c r="AE12" t="str">
        <f t="shared" si="1"/>
        <v/>
      </c>
      <c r="AF12" t="str">
        <f t="shared" si="1"/>
        <v/>
      </c>
      <c r="AG12" t="str">
        <f t="shared" si="1"/>
        <v/>
      </c>
      <c r="AH12" t="str">
        <f t="shared" si="1"/>
        <v/>
      </c>
      <c r="AI12" t="str">
        <f t="shared" si="1"/>
        <v/>
      </c>
      <c r="AJ12" t="str">
        <f t="shared" si="1"/>
        <v>NFR-08</v>
      </c>
      <c r="AK12" t="str">
        <f t="shared" si="1"/>
        <v/>
      </c>
      <c r="AL12" t="str">
        <f t="shared" si="1"/>
        <v/>
      </c>
      <c r="AM12" t="str">
        <f t="shared" si="1"/>
        <v/>
      </c>
      <c r="AN12" t="str">
        <f t="shared" si="1"/>
        <v/>
      </c>
      <c r="AO12" t="str">
        <f t="shared" si="1"/>
        <v/>
      </c>
      <c r="AP12" t="str">
        <f t="shared" si="1"/>
        <v/>
      </c>
      <c r="AQ12" t="str">
        <f t="shared" si="1"/>
        <v/>
      </c>
    </row>
    <row r="13" spans="1:43" x14ac:dyDescent="0.4">
      <c r="L13" t="str">
        <f>INDEX(posID,9)&amp;""</f>
        <v>NFR-09</v>
      </c>
      <c r="M13">
        <f>IF(AND(ISNUMBER(INDEX(posProbabilita,9)),ISNUMBER(INDEX(posImpatto,9))),INDEX(posProbabilita,9)*10+INDEX(posImpatto,9),"")</f>
        <v>24</v>
      </c>
      <c r="N13">
        <f>IF(M13="","",INDEX(posProbabilita,9)*INDEX(posImpatto,9))</f>
        <v>8</v>
      </c>
      <c r="O13" t="str">
        <f>IF(M13="","",L13&amp;IF(INDEX(ANA_Attenzione_Supervisore,9)="Sì"," ◆",""))</f>
        <v>NFR-09 ◆</v>
      </c>
      <c r="P13">
        <f>IF(N13="","",N13-9/1000)</f>
        <v>7.9909999999999997</v>
      </c>
      <c r="Q13">
        <f>IFERROR(MATCH(_xlfn.AGGREGATE(14,6,$P$5:$P$24,9),$P$5:$P$24,0),"")</f>
        <v>10</v>
      </c>
      <c r="S13" t="str">
        <f t="shared" si="0"/>
        <v/>
      </c>
      <c r="T13" t="str">
        <f t="shared" si="0"/>
        <v/>
      </c>
      <c r="U13" t="str">
        <f t="shared" si="0"/>
        <v/>
      </c>
      <c r="V13" t="str">
        <f t="shared" si="0"/>
        <v/>
      </c>
      <c r="W13" t="str">
        <f t="shared" si="0"/>
        <v/>
      </c>
      <c r="X13" t="str">
        <f t="shared" si="0"/>
        <v/>
      </c>
      <c r="Y13" t="str">
        <f t="shared" si="0"/>
        <v/>
      </c>
      <c r="Z13" t="str">
        <f t="shared" si="0"/>
        <v/>
      </c>
      <c r="AA13" t="str">
        <f t="shared" si="0"/>
        <v/>
      </c>
      <c r="AB13" t="str">
        <f t="shared" si="0"/>
        <v/>
      </c>
      <c r="AC13" t="str">
        <f t="shared" si="1"/>
        <v/>
      </c>
      <c r="AD13" t="str">
        <f t="shared" si="1"/>
        <v/>
      </c>
      <c r="AE13" t="str">
        <f t="shared" si="1"/>
        <v/>
      </c>
      <c r="AF13" t="str">
        <f t="shared" si="1"/>
        <v/>
      </c>
      <c r="AG13" t="str">
        <f t="shared" si="1"/>
        <v/>
      </c>
      <c r="AH13" t="str">
        <f t="shared" si="1"/>
        <v/>
      </c>
      <c r="AI13" t="str">
        <f t="shared" si="1"/>
        <v/>
      </c>
      <c r="AJ13" t="str">
        <f t="shared" si="1"/>
        <v/>
      </c>
      <c r="AK13" t="str">
        <f t="shared" si="1"/>
        <v>NFR-09 ◆</v>
      </c>
      <c r="AL13" t="str">
        <f t="shared" si="1"/>
        <v/>
      </c>
      <c r="AM13" t="str">
        <f t="shared" si="1"/>
        <v/>
      </c>
      <c r="AN13" t="str">
        <f t="shared" si="1"/>
        <v/>
      </c>
      <c r="AO13" t="str">
        <f t="shared" si="1"/>
        <v/>
      </c>
      <c r="AP13" t="str">
        <f t="shared" si="1"/>
        <v/>
      </c>
      <c r="AQ13" t="str">
        <f t="shared" si="1"/>
        <v/>
      </c>
    </row>
    <row r="14" spans="1:43" ht="15.9" x14ac:dyDescent="0.45">
      <c r="A14" s="149" t="s">
        <v>240</v>
      </c>
      <c r="B14" s="150"/>
      <c r="C14" s="150"/>
      <c r="D14" s="150"/>
      <c r="E14" s="150"/>
      <c r="F14" s="150"/>
      <c r="G14" s="150"/>
      <c r="L14" t="str">
        <f>INDEX(posID,10)&amp;""</f>
        <v>NFR-10</v>
      </c>
      <c r="M14">
        <f>IF(AND(ISNUMBER(INDEX(posProbabilita,10)),ISNUMBER(INDEX(posImpatto,10))),INDEX(posProbabilita,10)*10+INDEX(posImpatto,10),"")</f>
        <v>33</v>
      </c>
      <c r="N14">
        <f>IF(M14="","",INDEX(posProbabilita,10)*INDEX(posImpatto,10))</f>
        <v>9</v>
      </c>
      <c r="O14" t="str">
        <f>IF(M14="","",L14&amp;IF(INDEX(ANA_Attenzione_Supervisore,10)="Sì"," ◆",""))</f>
        <v>NFR-10</v>
      </c>
      <c r="P14">
        <f>IF(N14="","",N14-10/1000)</f>
        <v>8.99</v>
      </c>
      <c r="Q14">
        <f>IFERROR(MATCH(_xlfn.AGGREGATE(14,6,$P$5:$P$24,10),$P$5:$P$24,0),"")</f>
        <v>11</v>
      </c>
      <c r="S14" t="str">
        <f t="shared" si="0"/>
        <v/>
      </c>
      <c r="T14" t="str">
        <f t="shared" si="0"/>
        <v/>
      </c>
      <c r="U14" t="str">
        <f t="shared" si="0"/>
        <v/>
      </c>
      <c r="V14" t="str">
        <f t="shared" si="0"/>
        <v/>
      </c>
      <c r="W14" t="str">
        <f t="shared" si="0"/>
        <v/>
      </c>
      <c r="X14" t="str">
        <f t="shared" si="0"/>
        <v/>
      </c>
      <c r="Y14" t="str">
        <f t="shared" si="0"/>
        <v/>
      </c>
      <c r="Z14" t="str">
        <f t="shared" si="0"/>
        <v/>
      </c>
      <c r="AA14" t="str">
        <f t="shared" si="0"/>
        <v/>
      </c>
      <c r="AB14" t="str">
        <f t="shared" si="0"/>
        <v/>
      </c>
      <c r="AC14" t="str">
        <f t="shared" si="1"/>
        <v/>
      </c>
      <c r="AD14" t="str">
        <f t="shared" si="1"/>
        <v/>
      </c>
      <c r="AE14" t="str">
        <f t="shared" si="1"/>
        <v>NFR-10</v>
      </c>
      <c r="AF14" t="str">
        <f t="shared" si="1"/>
        <v/>
      </c>
      <c r="AG14" t="str">
        <f t="shared" si="1"/>
        <v/>
      </c>
      <c r="AH14" t="str">
        <f t="shared" si="1"/>
        <v/>
      </c>
      <c r="AI14" t="str">
        <f t="shared" si="1"/>
        <v/>
      </c>
      <c r="AJ14" t="str">
        <f t="shared" si="1"/>
        <v/>
      </c>
      <c r="AK14" t="str">
        <f t="shared" si="1"/>
        <v/>
      </c>
      <c r="AL14" t="str">
        <f t="shared" si="1"/>
        <v/>
      </c>
      <c r="AM14" t="str">
        <f t="shared" si="1"/>
        <v/>
      </c>
      <c r="AN14" t="str">
        <f t="shared" si="1"/>
        <v/>
      </c>
      <c r="AO14" t="str">
        <f t="shared" si="1"/>
        <v/>
      </c>
      <c r="AP14" t="str">
        <f t="shared" si="1"/>
        <v/>
      </c>
      <c r="AQ14" t="str">
        <f t="shared" si="1"/>
        <v/>
      </c>
    </row>
    <row r="15" spans="1:43" x14ac:dyDescent="0.4">
      <c r="A15" s="182" t="s">
        <v>173</v>
      </c>
      <c r="B15" s="142"/>
      <c r="C15" s="182" t="s">
        <v>18</v>
      </c>
      <c r="D15" s="142"/>
      <c r="E15" s="142"/>
      <c r="F15" s="40" t="s">
        <v>241</v>
      </c>
      <c r="G15" s="40" t="s">
        <v>205</v>
      </c>
      <c r="L15" t="str">
        <f>INDEX(posID,11)&amp;""</f>
        <v>NFR-11</v>
      </c>
      <c r="M15">
        <f>IF(AND(ISNUMBER(INDEX(posProbabilita,11)),ISNUMBER(INDEX(posImpatto,11))),INDEX(posProbabilita,11)*10+INDEX(posImpatto,11),"")</f>
        <v>33</v>
      </c>
      <c r="N15">
        <f>IF(M15="","",INDEX(posProbabilita,11)*INDEX(posImpatto,11))</f>
        <v>9</v>
      </c>
      <c r="O15" t="str">
        <f>IF(M15="","",L15&amp;IF(INDEX(ANA_Attenzione_Supervisore,11)="Sì"," ◆",""))</f>
        <v>NFR-11</v>
      </c>
      <c r="P15">
        <f>IF(N15="","",N15-11/1000)</f>
        <v>8.9890000000000008</v>
      </c>
      <c r="Q15">
        <f>IFERROR(MATCH(_xlfn.AGGREGATE(14,6,$P$5:$P$24,11),$P$5:$P$24,0),"")</f>
        <v>13</v>
      </c>
      <c r="S15" t="str">
        <f t="shared" ref="S15:AB24" si="2">IF($M15=S$4,$O15,"")</f>
        <v/>
      </c>
      <c r="T15" t="str">
        <f t="shared" si="2"/>
        <v/>
      </c>
      <c r="U15" t="str">
        <f t="shared" si="2"/>
        <v/>
      </c>
      <c r="V15" t="str">
        <f t="shared" si="2"/>
        <v/>
      </c>
      <c r="W15" t="str">
        <f t="shared" si="2"/>
        <v/>
      </c>
      <c r="X15" t="str">
        <f t="shared" si="2"/>
        <v/>
      </c>
      <c r="Y15" t="str">
        <f t="shared" si="2"/>
        <v/>
      </c>
      <c r="Z15" t="str">
        <f t="shared" si="2"/>
        <v/>
      </c>
      <c r="AA15" t="str">
        <f t="shared" si="2"/>
        <v/>
      </c>
      <c r="AB15" t="str">
        <f t="shared" si="2"/>
        <v/>
      </c>
      <c r="AC15" t="str">
        <f t="shared" ref="AC15:AQ24" si="3">IF($M15=AC$4,$O15,"")</f>
        <v/>
      </c>
      <c r="AD15" t="str">
        <f t="shared" si="3"/>
        <v/>
      </c>
      <c r="AE15" t="str">
        <f t="shared" si="3"/>
        <v>NFR-11</v>
      </c>
      <c r="AF15" t="str">
        <f t="shared" si="3"/>
        <v/>
      </c>
      <c r="AG15" t="str">
        <f t="shared" si="3"/>
        <v/>
      </c>
      <c r="AH15" t="str">
        <f t="shared" si="3"/>
        <v/>
      </c>
      <c r="AI15" t="str">
        <f t="shared" si="3"/>
        <v/>
      </c>
      <c r="AJ15" t="str">
        <f t="shared" si="3"/>
        <v/>
      </c>
      <c r="AK15" t="str">
        <f t="shared" si="3"/>
        <v/>
      </c>
      <c r="AL15" t="str">
        <f t="shared" si="3"/>
        <v/>
      </c>
      <c r="AM15" t="str">
        <f t="shared" si="3"/>
        <v/>
      </c>
      <c r="AN15" t="str">
        <f t="shared" si="3"/>
        <v/>
      </c>
      <c r="AO15" t="str">
        <f t="shared" si="3"/>
        <v/>
      </c>
      <c r="AP15" t="str">
        <f t="shared" si="3"/>
        <v/>
      </c>
      <c r="AQ15" t="str">
        <f t="shared" si="3"/>
        <v/>
      </c>
    </row>
    <row r="16" spans="1:43" x14ac:dyDescent="0.4">
      <c r="A16" s="180" t="str">
        <f>IF($Q$5="","",INDEX(posID,$Q$5))</f>
        <v>NFR-01</v>
      </c>
      <c r="B16" s="148"/>
      <c r="C16" s="181" t="str">
        <f>IF($Q$5="","",INDEX(posNome,$Q$5)&amp;IF(INDEX(ANA_Attenzione_Supervisore,$Q$5)="Sì","  ◆",""))</f>
        <v>Frodi su pagamenti istantanei abilitate da AI generativa  ◆</v>
      </c>
      <c r="D16" s="148"/>
      <c r="E16" s="148"/>
      <c r="F16" s="41" t="str">
        <f>IF($Q$5="","",INDEX(posProbabilita,$Q$5)&amp;" · "&amp;INDEX(posImpatto,$Q$5))</f>
        <v>4 · 4</v>
      </c>
      <c r="G16" s="41">
        <f>IF($Q$5="","",INDEX($N$5:$N$24,$Q$5))</f>
        <v>16</v>
      </c>
      <c r="L16" t="str">
        <f>INDEX(posID,12)&amp;""</f>
        <v>NFR-12</v>
      </c>
      <c r="M16">
        <f>IF(AND(ISNUMBER(INDEX(posProbabilita,12)),ISNUMBER(INDEX(posImpatto,12))),INDEX(posProbabilita,12)*10+INDEX(posImpatto,12),"")</f>
        <v>43</v>
      </c>
      <c r="N16">
        <f>IF(M16="","",INDEX(posProbabilita,12)*INDEX(posImpatto,12))</f>
        <v>12</v>
      </c>
      <c r="O16" t="str">
        <f>IF(M16="","",L16&amp;IF(INDEX(ANA_Attenzione_Supervisore,12)="Sì"," ◆",""))</f>
        <v>NFR-12</v>
      </c>
      <c r="P16">
        <f>IF(N16="","",N16-12/1000)</f>
        <v>11.988</v>
      </c>
      <c r="Q16">
        <f>IFERROR(MATCH(_xlfn.AGGREGATE(14,6,$P$5:$P$24,12),$P$5:$P$24,0),"")</f>
        <v>9</v>
      </c>
      <c r="S16" t="str">
        <f t="shared" si="2"/>
        <v/>
      </c>
      <c r="T16" t="str">
        <f t="shared" si="2"/>
        <v/>
      </c>
      <c r="U16" t="str">
        <f t="shared" si="2"/>
        <v/>
      </c>
      <c r="V16" t="str">
        <f t="shared" si="2"/>
        <v/>
      </c>
      <c r="W16" t="str">
        <f t="shared" si="2"/>
        <v/>
      </c>
      <c r="X16" t="str">
        <f t="shared" si="2"/>
        <v/>
      </c>
      <c r="Y16" t="str">
        <f t="shared" si="2"/>
        <v/>
      </c>
      <c r="Z16" t="str">
        <f t="shared" si="2"/>
        <v>NFR-12</v>
      </c>
      <c r="AA16" t="str">
        <f t="shared" si="2"/>
        <v/>
      </c>
      <c r="AB16" t="str">
        <f t="shared" si="2"/>
        <v/>
      </c>
      <c r="AC16" t="str">
        <f t="shared" si="3"/>
        <v/>
      </c>
      <c r="AD16" t="str">
        <f t="shared" si="3"/>
        <v/>
      </c>
      <c r="AE16" t="str">
        <f t="shared" si="3"/>
        <v/>
      </c>
      <c r="AF16" t="str">
        <f t="shared" si="3"/>
        <v/>
      </c>
      <c r="AG16" t="str">
        <f t="shared" si="3"/>
        <v/>
      </c>
      <c r="AH16" t="str">
        <f t="shared" si="3"/>
        <v/>
      </c>
      <c r="AI16" t="str">
        <f t="shared" si="3"/>
        <v/>
      </c>
      <c r="AJ16" t="str">
        <f t="shared" si="3"/>
        <v/>
      </c>
      <c r="AK16" t="str">
        <f t="shared" si="3"/>
        <v/>
      </c>
      <c r="AL16" t="str">
        <f t="shared" si="3"/>
        <v/>
      </c>
      <c r="AM16" t="str">
        <f t="shared" si="3"/>
        <v/>
      </c>
      <c r="AN16" t="str">
        <f t="shared" si="3"/>
        <v/>
      </c>
      <c r="AO16" t="str">
        <f t="shared" si="3"/>
        <v/>
      </c>
      <c r="AP16" t="str">
        <f t="shared" si="3"/>
        <v/>
      </c>
      <c r="AQ16" t="str">
        <f t="shared" si="3"/>
        <v/>
      </c>
    </row>
    <row r="17" spans="1:43" x14ac:dyDescent="0.4">
      <c r="A17" s="180" t="str">
        <f>IF($Q$6="","",INDEX(posID,$Q$6))</f>
        <v>NFR-02</v>
      </c>
      <c r="B17" s="148"/>
      <c r="C17" s="181" t="str">
        <f>IF($Q$6="","",INDEX(posNome,$Q$6)&amp;IF(INDEX(ANA_Attenzione_Supervisore,$Q$6)="Sì","  ◆",""))</f>
        <v>Concentrazione su un fornitore cloud critico  ◆</v>
      </c>
      <c r="D17" s="148"/>
      <c r="E17" s="148"/>
      <c r="F17" s="41" t="str">
        <f>IF($Q$6="","",INDEX(posProbabilita,$Q$6)&amp;" · "&amp;INDEX(posImpatto,$Q$6))</f>
        <v>4 · 4</v>
      </c>
      <c r="G17" s="41">
        <f>IF($Q$6="","",INDEX($N$5:$N$24,$Q$6))</f>
        <v>16</v>
      </c>
      <c r="L17" t="str">
        <f>INDEX(posID,13)&amp;""</f>
        <v>NFR-16</v>
      </c>
      <c r="M17">
        <f>IF(AND(ISNUMBER(INDEX(posProbabilita,13)),ISNUMBER(INDEX(posImpatto,13))),INDEX(posProbabilita,13)*10+INDEX(posImpatto,13),"")</f>
        <v>33</v>
      </c>
      <c r="N17">
        <f>IF(M17="","",INDEX(posProbabilita,13)*INDEX(posImpatto,13))</f>
        <v>9</v>
      </c>
      <c r="O17" t="str">
        <f>IF(M17="","",L17&amp;IF(INDEX(ANA_Attenzione_Supervisore,13)="Sì"," ◆",""))</f>
        <v>NFR-16</v>
      </c>
      <c r="P17">
        <f>IF(N17="","",N17-13/1000)</f>
        <v>8.9870000000000001</v>
      </c>
      <c r="Q17">
        <f>IFERROR(MATCH(_xlfn.AGGREGATE(14,6,$P$5:$P$24,13),$P$5:$P$24,0),"")</f>
        <v>8</v>
      </c>
      <c r="S17" t="str">
        <f t="shared" si="2"/>
        <v/>
      </c>
      <c r="T17" t="str">
        <f t="shared" si="2"/>
        <v/>
      </c>
      <c r="U17" t="str">
        <f t="shared" si="2"/>
        <v/>
      </c>
      <c r="V17" t="str">
        <f t="shared" si="2"/>
        <v/>
      </c>
      <c r="W17" t="str">
        <f t="shared" si="2"/>
        <v/>
      </c>
      <c r="X17" t="str">
        <f t="shared" si="2"/>
        <v/>
      </c>
      <c r="Y17" t="str">
        <f t="shared" si="2"/>
        <v/>
      </c>
      <c r="Z17" t="str">
        <f t="shared" si="2"/>
        <v/>
      </c>
      <c r="AA17" t="str">
        <f t="shared" si="2"/>
        <v/>
      </c>
      <c r="AB17" t="str">
        <f t="shared" si="2"/>
        <v/>
      </c>
      <c r="AC17" t="str">
        <f t="shared" si="3"/>
        <v/>
      </c>
      <c r="AD17" t="str">
        <f t="shared" si="3"/>
        <v/>
      </c>
      <c r="AE17" t="str">
        <f t="shared" si="3"/>
        <v>NFR-16</v>
      </c>
      <c r="AF17" t="str">
        <f t="shared" si="3"/>
        <v/>
      </c>
      <c r="AG17" t="str">
        <f t="shared" si="3"/>
        <v/>
      </c>
      <c r="AH17" t="str">
        <f t="shared" si="3"/>
        <v/>
      </c>
      <c r="AI17" t="str">
        <f t="shared" si="3"/>
        <v/>
      </c>
      <c r="AJ17" t="str">
        <f t="shared" si="3"/>
        <v/>
      </c>
      <c r="AK17" t="str">
        <f t="shared" si="3"/>
        <v/>
      </c>
      <c r="AL17" t="str">
        <f t="shared" si="3"/>
        <v/>
      </c>
      <c r="AM17" t="str">
        <f t="shared" si="3"/>
        <v/>
      </c>
      <c r="AN17" t="str">
        <f t="shared" si="3"/>
        <v/>
      </c>
      <c r="AO17" t="str">
        <f t="shared" si="3"/>
        <v/>
      </c>
      <c r="AP17" t="str">
        <f t="shared" si="3"/>
        <v/>
      </c>
      <c r="AQ17" t="str">
        <f t="shared" si="3"/>
        <v/>
      </c>
    </row>
    <row r="18" spans="1:43" x14ac:dyDescent="0.4">
      <c r="A18" s="180" t="str">
        <f>IF($Q$7="","",INDEX(posID,$Q$7))</f>
        <v>NFR-07</v>
      </c>
      <c r="B18" s="148"/>
      <c r="C18" s="181" t="str">
        <f>IF($Q$7="","",INDEX(posNome,$Q$7)&amp;IF(INDEX(ANA_Attenzione_Supervisore,$Q$7)="Sì","  ◆",""))</f>
        <v>Ransomware presso un fornitore di servizi di pagamento  ◆</v>
      </c>
      <c r="D18" s="148"/>
      <c r="E18" s="148"/>
      <c r="F18" s="41" t="str">
        <f>IF($Q$7="","",INDEX(posProbabilita,$Q$7)&amp;" · "&amp;INDEX(posImpatto,$Q$7))</f>
        <v>3 · 4</v>
      </c>
      <c r="G18" s="41">
        <f>IF($Q$7="","",INDEX($N$5:$N$24,$Q$7))</f>
        <v>12</v>
      </c>
      <c r="L18" t="str">
        <f>INDEX(posID,14)&amp;""</f>
        <v/>
      </c>
      <c r="M18" t="str">
        <f>IF(AND(ISNUMBER(INDEX(posProbabilita,14)),ISNUMBER(INDEX(posImpatto,14))),INDEX(posProbabilita,14)*10+INDEX(posImpatto,14),"")</f>
        <v/>
      </c>
      <c r="N18" t="str">
        <f>IF(M18="","",INDEX(posProbabilita,14)*INDEX(posImpatto,14))</f>
        <v/>
      </c>
      <c r="O18" t="str">
        <f>IF(M18="","",L18&amp;IF(INDEX(ANA_Attenzione_Supervisore,14)="Sì"," ◆",""))</f>
        <v/>
      </c>
      <c r="P18" t="str">
        <f>IF(N18="","",N18-14/1000)</f>
        <v/>
      </c>
      <c r="Q18" t="str">
        <f>IFERROR(MATCH(_xlfn.AGGREGATE(14,6,$P$5:$P$24,14),$P$5:$P$24,0),"")</f>
        <v/>
      </c>
      <c r="S18" t="str">
        <f t="shared" si="2"/>
        <v/>
      </c>
      <c r="T18" t="str">
        <f t="shared" si="2"/>
        <v/>
      </c>
      <c r="U18" t="str">
        <f t="shared" si="2"/>
        <v/>
      </c>
      <c r="V18" t="str">
        <f t="shared" si="2"/>
        <v/>
      </c>
      <c r="W18" t="str">
        <f t="shared" si="2"/>
        <v/>
      </c>
      <c r="X18" t="str">
        <f t="shared" si="2"/>
        <v/>
      </c>
      <c r="Y18" t="str">
        <f t="shared" si="2"/>
        <v/>
      </c>
      <c r="Z18" t="str">
        <f t="shared" si="2"/>
        <v/>
      </c>
      <c r="AA18" t="str">
        <f t="shared" si="2"/>
        <v/>
      </c>
      <c r="AB18" t="str">
        <f t="shared" si="2"/>
        <v/>
      </c>
      <c r="AC18" t="str">
        <f t="shared" si="3"/>
        <v/>
      </c>
      <c r="AD18" t="str">
        <f t="shared" si="3"/>
        <v/>
      </c>
      <c r="AE18" t="str">
        <f t="shared" si="3"/>
        <v/>
      </c>
      <c r="AF18" t="str">
        <f t="shared" si="3"/>
        <v/>
      </c>
      <c r="AG18" t="str">
        <f t="shared" si="3"/>
        <v/>
      </c>
      <c r="AH18" t="str">
        <f t="shared" si="3"/>
        <v/>
      </c>
      <c r="AI18" t="str">
        <f t="shared" si="3"/>
        <v/>
      </c>
      <c r="AJ18" t="str">
        <f t="shared" si="3"/>
        <v/>
      </c>
      <c r="AK18" t="str">
        <f t="shared" si="3"/>
        <v/>
      </c>
      <c r="AL18" t="str">
        <f t="shared" si="3"/>
        <v/>
      </c>
      <c r="AM18" t="str">
        <f t="shared" si="3"/>
        <v/>
      </c>
      <c r="AN18" t="str">
        <f t="shared" si="3"/>
        <v/>
      </c>
      <c r="AO18" t="str">
        <f t="shared" si="3"/>
        <v/>
      </c>
      <c r="AP18" t="str">
        <f t="shared" si="3"/>
        <v/>
      </c>
      <c r="AQ18" t="str">
        <f t="shared" si="3"/>
        <v/>
      </c>
    </row>
    <row r="19" spans="1:43" x14ac:dyDescent="0.4">
      <c r="A19" s="180" t="str">
        <f>IF($Q$8="","",INDEX(posID,$Q$8))</f>
        <v>NFR-12</v>
      </c>
      <c r="B19" s="148"/>
      <c r="C19" s="181" t="str">
        <f>IF($Q$8="","",INDEX(posNome,$Q$8)&amp;IF(INDEX(ANA_Attenzione_Supervisore,$Q$8)="Sì","  ◆",""))</f>
        <v>Errori operativi nei pagamenti istantanei obbligatori</v>
      </c>
      <c r="D19" s="148"/>
      <c r="E19" s="148"/>
      <c r="F19" s="41" t="str">
        <f>IF($Q$8="","",INDEX(posProbabilita,$Q$8)&amp;" · "&amp;INDEX(posImpatto,$Q$8))</f>
        <v>4 · 3</v>
      </c>
      <c r="G19" s="41">
        <f>IF($Q$8="","",INDEX($N$5:$N$24,$Q$8))</f>
        <v>12</v>
      </c>
      <c r="L19" t="str">
        <f>INDEX(posID,15)&amp;""</f>
        <v/>
      </c>
      <c r="M19" t="str">
        <f>IF(AND(ISNUMBER(INDEX(posProbabilita,15)),ISNUMBER(INDEX(posImpatto,15))),INDEX(posProbabilita,15)*10+INDEX(posImpatto,15),"")</f>
        <v/>
      </c>
      <c r="N19" t="str">
        <f>IF(M19="","",INDEX(posProbabilita,15)*INDEX(posImpatto,15))</f>
        <v/>
      </c>
      <c r="O19" t="str">
        <f>IF(M19="","",L19&amp;IF(INDEX(ANA_Attenzione_Supervisore,15)="Sì"," ◆",""))</f>
        <v/>
      </c>
      <c r="P19" t="str">
        <f>IF(N19="","",N19-15/1000)</f>
        <v/>
      </c>
      <c r="Q19" t="str">
        <f>IFERROR(MATCH(_xlfn.AGGREGATE(14,6,$P$5:$P$24,15),$P$5:$P$24,0),"")</f>
        <v/>
      </c>
      <c r="S19" t="str">
        <f t="shared" si="2"/>
        <v/>
      </c>
      <c r="T19" t="str">
        <f t="shared" si="2"/>
        <v/>
      </c>
      <c r="U19" t="str">
        <f t="shared" si="2"/>
        <v/>
      </c>
      <c r="V19" t="str">
        <f t="shared" si="2"/>
        <v/>
      </c>
      <c r="W19" t="str">
        <f t="shared" si="2"/>
        <v/>
      </c>
      <c r="X19" t="str">
        <f t="shared" si="2"/>
        <v/>
      </c>
      <c r="Y19" t="str">
        <f t="shared" si="2"/>
        <v/>
      </c>
      <c r="Z19" t="str">
        <f t="shared" si="2"/>
        <v/>
      </c>
      <c r="AA19" t="str">
        <f t="shared" si="2"/>
        <v/>
      </c>
      <c r="AB19" t="str">
        <f t="shared" si="2"/>
        <v/>
      </c>
      <c r="AC19" t="str">
        <f t="shared" si="3"/>
        <v/>
      </c>
      <c r="AD19" t="str">
        <f t="shared" si="3"/>
        <v/>
      </c>
      <c r="AE19" t="str">
        <f t="shared" si="3"/>
        <v/>
      </c>
      <c r="AF19" t="str">
        <f t="shared" si="3"/>
        <v/>
      </c>
      <c r="AG19" t="str">
        <f t="shared" si="3"/>
        <v/>
      </c>
      <c r="AH19" t="str">
        <f t="shared" si="3"/>
        <v/>
      </c>
      <c r="AI19" t="str">
        <f t="shared" si="3"/>
        <v/>
      </c>
      <c r="AJ19" t="str">
        <f t="shared" si="3"/>
        <v/>
      </c>
      <c r="AK19" t="str">
        <f t="shared" si="3"/>
        <v/>
      </c>
      <c r="AL19" t="str">
        <f t="shared" si="3"/>
        <v/>
      </c>
      <c r="AM19" t="str">
        <f t="shared" si="3"/>
        <v/>
      </c>
      <c r="AN19" t="str">
        <f t="shared" si="3"/>
        <v/>
      </c>
      <c r="AO19" t="str">
        <f t="shared" si="3"/>
        <v/>
      </c>
      <c r="AP19" t="str">
        <f t="shared" si="3"/>
        <v/>
      </c>
      <c r="AQ19" t="str">
        <f t="shared" si="3"/>
        <v/>
      </c>
    </row>
    <row r="20" spans="1:43" x14ac:dyDescent="0.4">
      <c r="A20" s="180" t="str">
        <f>IF($Q$9="","",INDEX(posID,$Q$9))</f>
        <v>NFR-03</v>
      </c>
      <c r="B20" s="148"/>
      <c r="C20" s="181" t="str">
        <f>IF($Q$9="","",INDEX(posNome,$Q$9)&amp;IF(INDEX(ANA_Attenzione_Supervisore,$Q$9)="Sì","  ◆",""))</f>
        <v>Greenwashing nella commercializzazione di prodotti ESG</v>
      </c>
      <c r="D20" s="148"/>
      <c r="E20" s="148"/>
      <c r="F20" s="41" t="str">
        <f>IF($Q$9="","",INDEX(posProbabilita,$Q$9)&amp;" · "&amp;INDEX(posImpatto,$Q$9))</f>
        <v>3 · 3</v>
      </c>
      <c r="G20" s="41">
        <f>IF($Q$9="","",INDEX($N$5:$N$24,$Q$9))</f>
        <v>9</v>
      </c>
      <c r="L20" t="str">
        <f>INDEX(posID,16)&amp;""</f>
        <v/>
      </c>
      <c r="M20" t="str">
        <f>IF(AND(ISNUMBER(INDEX(posProbabilita,16)),ISNUMBER(INDEX(posImpatto,16))),INDEX(posProbabilita,16)*10+INDEX(posImpatto,16),"")</f>
        <v/>
      </c>
      <c r="N20" t="str">
        <f>IF(M20="","",INDEX(posProbabilita,16)*INDEX(posImpatto,16))</f>
        <v/>
      </c>
      <c r="O20" t="str">
        <f>IF(M20="","",L20&amp;IF(INDEX(ANA_Attenzione_Supervisore,16)="Sì"," ◆",""))</f>
        <v/>
      </c>
      <c r="P20" t="str">
        <f>IF(N20="","",N20-16/1000)</f>
        <v/>
      </c>
      <c r="Q20" t="str">
        <f>IFERROR(MATCH(_xlfn.AGGREGATE(14,6,$P$5:$P$24,16),$P$5:$P$24,0),"")</f>
        <v/>
      </c>
      <c r="S20" t="str">
        <f t="shared" si="2"/>
        <v/>
      </c>
      <c r="T20" t="str">
        <f t="shared" si="2"/>
        <v/>
      </c>
      <c r="U20" t="str">
        <f t="shared" si="2"/>
        <v/>
      </c>
      <c r="V20" t="str">
        <f t="shared" si="2"/>
        <v/>
      </c>
      <c r="W20" t="str">
        <f t="shared" si="2"/>
        <v/>
      </c>
      <c r="X20" t="str">
        <f t="shared" si="2"/>
        <v/>
      </c>
      <c r="Y20" t="str">
        <f t="shared" si="2"/>
        <v/>
      </c>
      <c r="Z20" t="str">
        <f t="shared" si="2"/>
        <v/>
      </c>
      <c r="AA20" t="str">
        <f t="shared" si="2"/>
        <v/>
      </c>
      <c r="AB20" t="str">
        <f t="shared" si="2"/>
        <v/>
      </c>
      <c r="AC20" t="str">
        <f t="shared" si="3"/>
        <v/>
      </c>
      <c r="AD20" t="str">
        <f t="shared" si="3"/>
        <v/>
      </c>
      <c r="AE20" t="str">
        <f t="shared" si="3"/>
        <v/>
      </c>
      <c r="AF20" t="str">
        <f t="shared" si="3"/>
        <v/>
      </c>
      <c r="AG20" t="str">
        <f t="shared" si="3"/>
        <v/>
      </c>
      <c r="AH20" t="str">
        <f t="shared" si="3"/>
        <v/>
      </c>
      <c r="AI20" t="str">
        <f t="shared" si="3"/>
        <v/>
      </c>
      <c r="AJ20" t="str">
        <f t="shared" si="3"/>
        <v/>
      </c>
      <c r="AK20" t="str">
        <f t="shared" si="3"/>
        <v/>
      </c>
      <c r="AL20" t="str">
        <f t="shared" si="3"/>
        <v/>
      </c>
      <c r="AM20" t="str">
        <f t="shared" si="3"/>
        <v/>
      </c>
      <c r="AN20" t="str">
        <f t="shared" si="3"/>
        <v/>
      </c>
      <c r="AO20" t="str">
        <f t="shared" si="3"/>
        <v/>
      </c>
      <c r="AP20" t="str">
        <f t="shared" si="3"/>
        <v/>
      </c>
      <c r="AQ20" t="str">
        <f t="shared" si="3"/>
        <v/>
      </c>
    </row>
    <row r="21" spans="1:43" x14ac:dyDescent="0.4">
      <c r="A21" s="180" t="str">
        <f>IF($Q$10="","",INDEX(posID,$Q$10))</f>
        <v>NFR-04</v>
      </c>
      <c r="B21" s="148"/>
      <c r="C21" s="181" t="str">
        <f>IF($Q$10="","",INDEX(posNome,$Q$10)&amp;IF(INDEX(ANA_Attenzione_Supervisore,$Q$10)="Sì","  ◆",""))</f>
        <v>Eventi climatici estremi su sedi e data center</v>
      </c>
      <c r="D21" s="148"/>
      <c r="E21" s="148"/>
      <c r="F21" s="41" t="str">
        <f>IF($Q$10="","",INDEX(posProbabilita,$Q$10)&amp;" · "&amp;INDEX(posImpatto,$Q$10))</f>
        <v>3 · 3</v>
      </c>
      <c r="G21" s="41">
        <f>IF($Q$10="","",INDEX($N$5:$N$24,$Q$10))</f>
        <v>9</v>
      </c>
      <c r="L21" t="str">
        <f>INDEX(posID,17)&amp;""</f>
        <v/>
      </c>
      <c r="M21" t="str">
        <f>IF(AND(ISNUMBER(INDEX(posProbabilita,17)),ISNUMBER(INDEX(posImpatto,17))),INDEX(posProbabilita,17)*10+INDEX(posImpatto,17),"")</f>
        <v/>
      </c>
      <c r="N21" t="str">
        <f>IF(M21="","",INDEX(posProbabilita,17)*INDEX(posImpatto,17))</f>
        <v/>
      </c>
      <c r="O21" t="str">
        <f>IF(M21="","",L21&amp;IF(INDEX(ANA_Attenzione_Supervisore,17)="Sì"," ◆",""))</f>
        <v/>
      </c>
      <c r="P21" t="str">
        <f>IF(N21="","",N21-17/1000)</f>
        <v/>
      </c>
      <c r="Q21" t="str">
        <f>IFERROR(MATCH(_xlfn.AGGREGATE(14,6,$P$5:$P$24,17),$P$5:$P$24,0),"")</f>
        <v/>
      </c>
      <c r="S21" t="str">
        <f t="shared" si="2"/>
        <v/>
      </c>
      <c r="T21" t="str">
        <f t="shared" si="2"/>
        <v/>
      </c>
      <c r="U21" t="str">
        <f t="shared" si="2"/>
        <v/>
      </c>
      <c r="V21" t="str">
        <f t="shared" si="2"/>
        <v/>
      </c>
      <c r="W21" t="str">
        <f t="shared" si="2"/>
        <v/>
      </c>
      <c r="X21" t="str">
        <f t="shared" si="2"/>
        <v/>
      </c>
      <c r="Y21" t="str">
        <f t="shared" si="2"/>
        <v/>
      </c>
      <c r="Z21" t="str">
        <f t="shared" si="2"/>
        <v/>
      </c>
      <c r="AA21" t="str">
        <f t="shared" si="2"/>
        <v/>
      </c>
      <c r="AB21" t="str">
        <f t="shared" si="2"/>
        <v/>
      </c>
      <c r="AC21" t="str">
        <f t="shared" si="3"/>
        <v/>
      </c>
      <c r="AD21" t="str">
        <f t="shared" si="3"/>
        <v/>
      </c>
      <c r="AE21" t="str">
        <f t="shared" si="3"/>
        <v/>
      </c>
      <c r="AF21" t="str">
        <f t="shared" si="3"/>
        <v/>
      </c>
      <c r="AG21" t="str">
        <f t="shared" si="3"/>
        <v/>
      </c>
      <c r="AH21" t="str">
        <f t="shared" si="3"/>
        <v/>
      </c>
      <c r="AI21" t="str">
        <f t="shared" si="3"/>
        <v/>
      </c>
      <c r="AJ21" t="str">
        <f t="shared" si="3"/>
        <v/>
      </c>
      <c r="AK21" t="str">
        <f t="shared" si="3"/>
        <v/>
      </c>
      <c r="AL21" t="str">
        <f t="shared" si="3"/>
        <v/>
      </c>
      <c r="AM21" t="str">
        <f t="shared" si="3"/>
        <v/>
      </c>
      <c r="AN21" t="str">
        <f t="shared" si="3"/>
        <v/>
      </c>
      <c r="AO21" t="str">
        <f t="shared" si="3"/>
        <v/>
      </c>
      <c r="AP21" t="str">
        <f t="shared" si="3"/>
        <v/>
      </c>
      <c r="AQ21" t="str">
        <f t="shared" si="3"/>
        <v/>
      </c>
    </row>
    <row r="22" spans="1:43" x14ac:dyDescent="0.4">
      <c r="A22" s="180" t="str">
        <f>IF($Q$11="","",INDEX(posID,$Q$11))</f>
        <v>NFR-05</v>
      </c>
      <c r="B22" s="148"/>
      <c r="C22" s="181" t="str">
        <f>IF($Q$11="","",INDEX(posNome,$Q$11)&amp;IF(INDEX(ANA_Attenzione_Supervisore,$Q$11)="Sì","  ◆",""))</f>
        <v>Errori di processo nella migrazione del core banking</v>
      </c>
      <c r="D22" s="148"/>
      <c r="E22" s="148"/>
      <c r="F22" s="41" t="str">
        <f>IF($Q$11="","",INDEX(posProbabilita,$Q$11)&amp;" · "&amp;INDEX(posImpatto,$Q$11))</f>
        <v>3 · 3</v>
      </c>
      <c r="G22" s="41">
        <f>IF($Q$11="","",INDEX($N$5:$N$24,$Q$11))</f>
        <v>9</v>
      </c>
      <c r="L22" t="str">
        <f>INDEX(posID,18)&amp;""</f>
        <v/>
      </c>
      <c r="M22" t="str">
        <f>IF(AND(ISNUMBER(INDEX(posProbabilita,18)),ISNUMBER(INDEX(posImpatto,18))),INDEX(posProbabilita,18)*10+INDEX(posImpatto,18),"")</f>
        <v/>
      </c>
      <c r="N22" t="str">
        <f>IF(M22="","",INDEX(posProbabilita,18)*INDEX(posImpatto,18))</f>
        <v/>
      </c>
      <c r="O22" t="str">
        <f>IF(M22="","",L22&amp;IF(INDEX(ANA_Attenzione_Supervisore,18)="Sì"," ◆",""))</f>
        <v/>
      </c>
      <c r="P22" t="str">
        <f>IF(N22="","",N22-18/1000)</f>
        <v/>
      </c>
      <c r="Q22" t="str">
        <f>IFERROR(MATCH(_xlfn.AGGREGATE(14,6,$P$5:$P$24,18),$P$5:$P$24,0),"")</f>
        <v/>
      </c>
      <c r="S22" t="str">
        <f t="shared" si="2"/>
        <v/>
      </c>
      <c r="T22" t="str">
        <f t="shared" si="2"/>
        <v/>
      </c>
      <c r="U22" t="str">
        <f t="shared" si="2"/>
        <v/>
      </c>
      <c r="V22" t="str">
        <f t="shared" si="2"/>
        <v/>
      </c>
      <c r="W22" t="str">
        <f t="shared" si="2"/>
        <v/>
      </c>
      <c r="X22" t="str">
        <f t="shared" si="2"/>
        <v/>
      </c>
      <c r="Y22" t="str">
        <f t="shared" si="2"/>
        <v/>
      </c>
      <c r="Z22" t="str">
        <f t="shared" si="2"/>
        <v/>
      </c>
      <c r="AA22" t="str">
        <f t="shared" si="2"/>
        <v/>
      </c>
      <c r="AB22" t="str">
        <f t="shared" si="2"/>
        <v/>
      </c>
      <c r="AC22" t="str">
        <f t="shared" si="3"/>
        <v/>
      </c>
      <c r="AD22" t="str">
        <f t="shared" si="3"/>
        <v/>
      </c>
      <c r="AE22" t="str">
        <f t="shared" si="3"/>
        <v/>
      </c>
      <c r="AF22" t="str">
        <f t="shared" si="3"/>
        <v/>
      </c>
      <c r="AG22" t="str">
        <f t="shared" si="3"/>
        <v/>
      </c>
      <c r="AH22" t="str">
        <f t="shared" si="3"/>
        <v/>
      </c>
      <c r="AI22" t="str">
        <f t="shared" si="3"/>
        <v/>
      </c>
      <c r="AJ22" t="str">
        <f t="shared" si="3"/>
        <v/>
      </c>
      <c r="AK22" t="str">
        <f t="shared" si="3"/>
        <v/>
      </c>
      <c r="AL22" t="str">
        <f t="shared" si="3"/>
        <v/>
      </c>
      <c r="AM22" t="str">
        <f t="shared" si="3"/>
        <v/>
      </c>
      <c r="AN22" t="str">
        <f t="shared" si="3"/>
        <v/>
      </c>
      <c r="AO22" t="str">
        <f t="shared" si="3"/>
        <v/>
      </c>
      <c r="AP22" t="str">
        <f t="shared" si="3"/>
        <v/>
      </c>
      <c r="AQ22" t="str">
        <f t="shared" si="3"/>
        <v/>
      </c>
    </row>
    <row r="23" spans="1:43" x14ac:dyDescent="0.4">
      <c r="A23" s="180" t="str">
        <f>IF($Q$12="","",INDEX(posID,$Q$12))</f>
        <v>NFR-06</v>
      </c>
      <c r="B23" s="148"/>
      <c r="C23" s="181" t="str">
        <f>IF($Q$12="","",INDEX(posNome,$Q$12)&amp;IF(INDEX(ANA_Attenzione_Supervisore,$Q$12)="Sì","  ◆",""))</f>
        <v>Esfiltrazione di dati tramite strumenti di AI non autorizzati</v>
      </c>
      <c r="D23" s="148"/>
      <c r="E23" s="148"/>
      <c r="F23" s="41" t="str">
        <f>IF($Q$12="","",INDEX(posProbabilita,$Q$12)&amp;" · "&amp;INDEX(posImpatto,$Q$12))</f>
        <v>3 · 3</v>
      </c>
      <c r="G23" s="41">
        <f>IF($Q$12="","",INDEX($N$5:$N$24,$Q$12))</f>
        <v>9</v>
      </c>
      <c r="L23" t="str">
        <f>INDEX(posID,19)&amp;""</f>
        <v/>
      </c>
      <c r="M23" t="str">
        <f>IF(AND(ISNUMBER(INDEX(posProbabilita,19)),ISNUMBER(INDEX(posImpatto,19))),INDEX(posProbabilita,19)*10+INDEX(posImpatto,19),"")</f>
        <v/>
      </c>
      <c r="N23" t="str">
        <f>IF(M23="","",INDEX(posProbabilita,19)*INDEX(posImpatto,19))</f>
        <v/>
      </c>
      <c r="O23" t="str">
        <f>IF(M23="","",L23&amp;IF(INDEX(ANA_Attenzione_Supervisore,19)="Sì"," ◆",""))</f>
        <v/>
      </c>
      <c r="P23" t="str">
        <f>IF(N23="","",N23-19/1000)</f>
        <v/>
      </c>
      <c r="Q23" t="str">
        <f>IFERROR(MATCH(_xlfn.AGGREGATE(14,6,$P$5:$P$24,19),$P$5:$P$24,0),"")</f>
        <v/>
      </c>
      <c r="S23" t="str">
        <f t="shared" si="2"/>
        <v/>
      </c>
      <c r="T23" t="str">
        <f t="shared" si="2"/>
        <v/>
      </c>
      <c r="U23" t="str">
        <f t="shared" si="2"/>
        <v/>
      </c>
      <c r="V23" t="str">
        <f t="shared" si="2"/>
        <v/>
      </c>
      <c r="W23" t="str">
        <f t="shared" si="2"/>
        <v/>
      </c>
      <c r="X23" t="str">
        <f t="shared" si="2"/>
        <v/>
      </c>
      <c r="Y23" t="str">
        <f t="shared" si="2"/>
        <v/>
      </c>
      <c r="Z23" t="str">
        <f t="shared" si="2"/>
        <v/>
      </c>
      <c r="AA23" t="str">
        <f t="shared" si="2"/>
        <v/>
      </c>
      <c r="AB23" t="str">
        <f t="shared" si="2"/>
        <v/>
      </c>
      <c r="AC23" t="str">
        <f t="shared" si="3"/>
        <v/>
      </c>
      <c r="AD23" t="str">
        <f t="shared" si="3"/>
        <v/>
      </c>
      <c r="AE23" t="str">
        <f t="shared" si="3"/>
        <v/>
      </c>
      <c r="AF23" t="str">
        <f t="shared" si="3"/>
        <v/>
      </c>
      <c r="AG23" t="str">
        <f t="shared" si="3"/>
        <v/>
      </c>
      <c r="AH23" t="str">
        <f t="shared" si="3"/>
        <v/>
      </c>
      <c r="AI23" t="str">
        <f t="shared" si="3"/>
        <v/>
      </c>
      <c r="AJ23" t="str">
        <f t="shared" si="3"/>
        <v/>
      </c>
      <c r="AK23" t="str">
        <f t="shared" si="3"/>
        <v/>
      </c>
      <c r="AL23" t="str">
        <f t="shared" si="3"/>
        <v/>
      </c>
      <c r="AM23" t="str">
        <f t="shared" si="3"/>
        <v/>
      </c>
      <c r="AN23" t="str">
        <f t="shared" si="3"/>
        <v/>
      </c>
      <c r="AO23" t="str">
        <f t="shared" si="3"/>
        <v/>
      </c>
      <c r="AP23" t="str">
        <f t="shared" si="3"/>
        <v/>
      </c>
      <c r="AQ23" t="str">
        <f t="shared" si="3"/>
        <v/>
      </c>
    </row>
    <row r="24" spans="1:43" x14ac:dyDescent="0.4">
      <c r="A24" s="180" t="str">
        <f>IF($Q$13="","",INDEX(posID,$Q$13))</f>
        <v>NFR-10</v>
      </c>
      <c r="B24" s="148"/>
      <c r="C24" s="181" t="str">
        <f>IF($Q$13="","",INDEX(posNome,$Q$13)&amp;IF(INDEX(ANA_Attenzione_Supervisore,$Q$13)="Sì","  ◆",""))</f>
        <v>Informazioni errate ai clienti da assistenti di AI generativa</v>
      </c>
      <c r="D24" s="148"/>
      <c r="E24" s="148"/>
      <c r="F24" s="41" t="str">
        <f>IF($Q$13="","",INDEX(posProbabilita,$Q$13)&amp;" · "&amp;INDEX(posImpatto,$Q$13))</f>
        <v>3 · 3</v>
      </c>
      <c r="G24" s="41">
        <f>IF($Q$13="","",INDEX($N$5:$N$24,$Q$13))</f>
        <v>9</v>
      </c>
      <c r="L24" t="str">
        <f>INDEX(posID,20)&amp;""</f>
        <v/>
      </c>
      <c r="M24" t="str">
        <f>IF(AND(ISNUMBER(INDEX(posProbabilita,20)),ISNUMBER(INDEX(posImpatto,20))),INDEX(posProbabilita,20)*10+INDEX(posImpatto,20),"")</f>
        <v/>
      </c>
      <c r="N24" t="str">
        <f>IF(M24="","",INDEX(posProbabilita,20)*INDEX(posImpatto,20))</f>
        <v/>
      </c>
      <c r="O24" t="str">
        <f>IF(M24="","",L24&amp;IF(INDEX(ANA_Attenzione_Supervisore,20)="Sì"," ◆",""))</f>
        <v/>
      </c>
      <c r="P24" t="str">
        <f>IF(N24="","",N24-20/1000)</f>
        <v/>
      </c>
      <c r="Q24" t="str">
        <f>IFERROR(MATCH(_xlfn.AGGREGATE(14,6,$P$5:$P$24,20),$P$5:$P$24,0),"")</f>
        <v/>
      </c>
      <c r="S24" t="str">
        <f t="shared" si="2"/>
        <v/>
      </c>
      <c r="T24" t="str">
        <f t="shared" si="2"/>
        <v/>
      </c>
      <c r="U24" t="str">
        <f t="shared" si="2"/>
        <v/>
      </c>
      <c r="V24" t="str">
        <f t="shared" si="2"/>
        <v/>
      </c>
      <c r="W24" t="str">
        <f t="shared" si="2"/>
        <v/>
      </c>
      <c r="X24" t="str">
        <f t="shared" si="2"/>
        <v/>
      </c>
      <c r="Y24" t="str">
        <f t="shared" si="2"/>
        <v/>
      </c>
      <c r="Z24" t="str">
        <f t="shared" si="2"/>
        <v/>
      </c>
      <c r="AA24" t="str">
        <f t="shared" si="2"/>
        <v/>
      </c>
      <c r="AB24" t="str">
        <f t="shared" si="2"/>
        <v/>
      </c>
      <c r="AC24" t="str">
        <f t="shared" si="3"/>
        <v/>
      </c>
      <c r="AD24" t="str">
        <f t="shared" si="3"/>
        <v/>
      </c>
      <c r="AE24" t="str">
        <f t="shared" si="3"/>
        <v/>
      </c>
      <c r="AF24" t="str">
        <f t="shared" si="3"/>
        <v/>
      </c>
      <c r="AG24" t="str">
        <f t="shared" si="3"/>
        <v/>
      </c>
      <c r="AH24" t="str">
        <f t="shared" si="3"/>
        <v/>
      </c>
      <c r="AI24" t="str">
        <f t="shared" si="3"/>
        <v/>
      </c>
      <c r="AJ24" t="str">
        <f t="shared" si="3"/>
        <v/>
      </c>
      <c r="AK24" t="str">
        <f t="shared" si="3"/>
        <v/>
      </c>
      <c r="AL24" t="str">
        <f t="shared" si="3"/>
        <v/>
      </c>
      <c r="AM24" t="str">
        <f t="shared" si="3"/>
        <v/>
      </c>
      <c r="AN24" t="str">
        <f t="shared" si="3"/>
        <v/>
      </c>
      <c r="AO24" t="str">
        <f t="shared" si="3"/>
        <v/>
      </c>
      <c r="AP24" t="str">
        <f t="shared" si="3"/>
        <v/>
      </c>
      <c r="AQ24" t="str">
        <f t="shared" si="3"/>
        <v/>
      </c>
    </row>
    <row r="25" spans="1:43" x14ac:dyDescent="0.4">
      <c r="A25" s="180" t="str">
        <f>IF($Q$14="","",INDEX(posID,$Q$14))</f>
        <v>NFR-11</v>
      </c>
      <c r="B25" s="148"/>
      <c r="C25" s="181" t="str">
        <f>IF($Q$14="","",INDEX(posNome,$Q$14)&amp;IF(INDEX(ANA_Attenzione_Supervisore,$Q$14)="Sì","  ◆",""))</f>
        <v>Fine del supporto dei sistemi di pagamento legacy</v>
      </c>
      <c r="D25" s="148"/>
      <c r="E25" s="148"/>
      <c r="F25" s="41" t="str">
        <f>IF($Q$14="","",INDEX(posProbabilita,$Q$14)&amp;" · "&amp;INDEX(posImpatto,$Q$14))</f>
        <v>3 · 3</v>
      </c>
      <c r="G25" s="41">
        <f>IF($Q$14="","",INDEX($N$5:$N$24,$Q$14))</f>
        <v>9</v>
      </c>
    </row>
    <row r="26" spans="1:43" x14ac:dyDescent="0.4">
      <c r="A26" s="180" t="str">
        <f>IF($Q$15="","",INDEX(posID,$Q$15))</f>
        <v>NFR-16</v>
      </c>
      <c r="B26" s="148"/>
      <c r="C26" s="181" t="str">
        <f>IF($Q$15="","",INDEX(posNome,$Q$15)&amp;IF(INDEX(ANA_Attenzione_Supervisore,$Q$15)="Sì","  ◆",""))</f>
        <v>Vertenze e carenza di tecnici nei ruoli IT critici</v>
      </c>
      <c r="D26" s="148"/>
      <c r="E26" s="148"/>
      <c r="F26" s="41" t="str">
        <f>IF($Q$15="","",INDEX(posProbabilita,$Q$15)&amp;" · "&amp;INDEX(posImpatto,$Q$15))</f>
        <v>3 · 3</v>
      </c>
      <c r="G26" s="41">
        <f>IF($Q$15="","",INDEX($N$5:$N$24,$Q$15))</f>
        <v>9</v>
      </c>
    </row>
    <row r="27" spans="1:43" x14ac:dyDescent="0.4">
      <c r="A27" s="180" t="str">
        <f>IF($Q$16="","",INDEX(posID,$Q$16))</f>
        <v>NFR-09</v>
      </c>
      <c r="B27" s="148"/>
      <c r="C27" s="181" t="str">
        <f>IF($Q$16="","",INDEX(posNome,$Q$16)&amp;IF(INDEX(ANA_Attenzione_Supervisore,$Q$16)="Sì","  ◆",""))</f>
        <v>Violazione di sanzioni internazionali tramite triangolazioni  ◆</v>
      </c>
      <c r="D27" s="148"/>
      <c r="E27" s="148"/>
      <c r="F27" s="41" t="str">
        <f>IF($Q$16="","",INDEX(posProbabilita,$Q$16)&amp;" · "&amp;INDEX(posImpatto,$Q$16))</f>
        <v>2 · 4</v>
      </c>
      <c r="G27" s="41">
        <f>IF($Q$16="","",INDEX($N$5:$N$24,$Q$16))</f>
        <v>8</v>
      </c>
    </row>
    <row r="28" spans="1:43" x14ac:dyDescent="0.4">
      <c r="A28" s="180" t="str">
        <f>IF($Q$17="","",INDEX(posID,$Q$17))</f>
        <v>NFR-08</v>
      </c>
      <c r="B28" s="148"/>
      <c r="C28" s="181" t="str">
        <f>IF($Q$17="","",INDEX(posNome,$Q$17)&amp;IF(INDEX(ANA_Attenzione_Supervisore,$Q$17)="Sì","  ◆",""))</f>
        <v>Accessi impropri di dipendenti ai dati dei clienti</v>
      </c>
      <c r="D28" s="148"/>
      <c r="E28" s="148"/>
      <c r="F28" s="41" t="str">
        <f>IF($Q$17="","",INDEX(posProbabilita,$Q$17)&amp;" · "&amp;INDEX(posImpatto,$Q$17))</f>
        <v>2 · 3</v>
      </c>
      <c r="G28" s="41">
        <f>IF($Q$17="","",INDEX($N$5:$N$24,$Q$17))</f>
        <v>6</v>
      </c>
    </row>
    <row r="29" spans="1:43" x14ac:dyDescent="0.4">
      <c r="A29" s="180" t="str">
        <f>IF($Q$18="","",INDEX(posID,$Q$18))</f>
        <v/>
      </c>
      <c r="B29" s="148"/>
      <c r="C29" s="181" t="str">
        <f>IF($Q$18="","",INDEX(posNome,$Q$18)&amp;IF(INDEX(ANA_Attenzione_Supervisore,$Q$18)="Sì","  ◆",""))</f>
        <v/>
      </c>
      <c r="D29" s="148"/>
      <c r="E29" s="148"/>
      <c r="F29" s="41" t="str">
        <f>IF($Q$18="","",INDEX(posProbabilita,$Q$18)&amp;" · "&amp;INDEX(posImpatto,$Q$18))</f>
        <v/>
      </c>
      <c r="G29" s="41" t="str">
        <f>IF($Q$18="","",INDEX($N$5:$N$24,$Q$18))</f>
        <v/>
      </c>
    </row>
    <row r="30" spans="1:43" x14ac:dyDescent="0.4">
      <c r="A30" s="180" t="str">
        <f>IF($Q$19="","",INDEX(posID,$Q$19))</f>
        <v/>
      </c>
      <c r="B30" s="148"/>
      <c r="C30" s="181" t="str">
        <f>IF($Q$19="","",INDEX(posNome,$Q$19)&amp;IF(INDEX(ANA_Attenzione_Supervisore,$Q$19)="Sì","  ◆",""))</f>
        <v/>
      </c>
      <c r="D30" s="148"/>
      <c r="E30" s="148"/>
      <c r="F30" s="41" t="str">
        <f>IF($Q$19="","",INDEX(posProbabilita,$Q$19)&amp;" · "&amp;INDEX(posImpatto,$Q$19))</f>
        <v/>
      </c>
      <c r="G30" s="41" t="str">
        <f>IF($Q$19="","",INDEX($N$5:$N$24,$Q$19))</f>
        <v/>
      </c>
    </row>
    <row r="31" spans="1:43" x14ac:dyDescent="0.4">
      <c r="A31" s="180" t="str">
        <f>IF($Q$20="","",INDEX(posID,$Q$20))</f>
        <v/>
      </c>
      <c r="B31" s="148"/>
      <c r="C31" s="181" t="str">
        <f>IF($Q$20="","",INDEX(posNome,$Q$20)&amp;IF(INDEX(ANA_Attenzione_Supervisore,$Q$20)="Sì","  ◆",""))</f>
        <v/>
      </c>
      <c r="D31" s="148"/>
      <c r="E31" s="148"/>
      <c r="F31" s="41" t="str">
        <f>IF($Q$20="","",INDEX(posProbabilita,$Q$20)&amp;" · "&amp;INDEX(posImpatto,$Q$20))</f>
        <v/>
      </c>
      <c r="G31" s="41" t="str">
        <f>IF($Q$20="","",INDEX($N$5:$N$24,$Q$20))</f>
        <v/>
      </c>
    </row>
    <row r="32" spans="1:43" x14ac:dyDescent="0.4">
      <c r="A32" s="180" t="str">
        <f>IF($Q$21="","",INDEX(posID,$Q$21))</f>
        <v/>
      </c>
      <c r="B32" s="148"/>
      <c r="C32" s="181" t="str">
        <f>IF($Q$21="","",INDEX(posNome,$Q$21)&amp;IF(INDEX(ANA_Attenzione_Supervisore,$Q$21)="Sì","  ◆",""))</f>
        <v/>
      </c>
      <c r="D32" s="148"/>
      <c r="E32" s="148"/>
      <c r="F32" s="41" t="str">
        <f>IF($Q$21="","",INDEX(posProbabilita,$Q$21)&amp;" · "&amp;INDEX(posImpatto,$Q$21))</f>
        <v/>
      </c>
      <c r="G32" s="41" t="str">
        <f>IF($Q$21="","",INDEX($N$5:$N$24,$Q$21))</f>
        <v/>
      </c>
    </row>
    <row r="33" spans="1:7" x14ac:dyDescent="0.4">
      <c r="A33" s="180" t="str">
        <f>IF($Q$22="","",INDEX(posID,$Q$22))</f>
        <v/>
      </c>
      <c r="B33" s="148"/>
      <c r="C33" s="181" t="str">
        <f>IF($Q$22="","",INDEX(posNome,$Q$22)&amp;IF(INDEX(ANA_Attenzione_Supervisore,$Q$22)="Sì","  ◆",""))</f>
        <v/>
      </c>
      <c r="D33" s="148"/>
      <c r="E33" s="148"/>
      <c r="F33" s="41" t="str">
        <f>IF($Q$22="","",INDEX(posProbabilita,$Q$22)&amp;" · "&amp;INDEX(posImpatto,$Q$22))</f>
        <v/>
      </c>
      <c r="G33" s="41" t="str">
        <f>IF($Q$22="","",INDEX($N$5:$N$24,$Q$22))</f>
        <v/>
      </c>
    </row>
    <row r="34" spans="1:7" x14ac:dyDescent="0.4">
      <c r="A34" s="180" t="str">
        <f>IF($Q$23="","",INDEX(posID,$Q$23))</f>
        <v/>
      </c>
      <c r="B34" s="148"/>
      <c r="C34" s="181" t="str">
        <f>IF($Q$23="","",INDEX(posNome,$Q$23)&amp;IF(INDEX(ANA_Attenzione_Supervisore,$Q$23)="Sì","  ◆",""))</f>
        <v/>
      </c>
      <c r="D34" s="148"/>
      <c r="E34" s="148"/>
      <c r="F34" s="41" t="str">
        <f>IF($Q$23="","",INDEX(posProbabilita,$Q$23)&amp;" · "&amp;INDEX(posImpatto,$Q$23))</f>
        <v/>
      </c>
      <c r="G34" s="41" t="str">
        <f>IF($Q$23="","",INDEX($N$5:$N$24,$Q$23))</f>
        <v/>
      </c>
    </row>
    <row r="35" spans="1:7" x14ac:dyDescent="0.4">
      <c r="A35" s="180" t="str">
        <f>IF($Q$24="","",INDEX(posID,$Q$24))</f>
        <v/>
      </c>
      <c r="B35" s="148"/>
      <c r="C35" s="181" t="str">
        <f>IF($Q$24="","",INDEX(posNome,$Q$24)&amp;IF(INDEX(ANA_Attenzione_Supervisore,$Q$24)="Sì","  ◆",""))</f>
        <v/>
      </c>
      <c r="D35" s="148"/>
      <c r="E35" s="148"/>
      <c r="F35" s="41" t="str">
        <f>IF($Q$24="","",INDEX(posProbabilita,$Q$24)&amp;" · "&amp;INDEX(posImpatto,$Q$24))</f>
        <v/>
      </c>
      <c r="G35" s="41" t="str">
        <f>IF($Q$24="","",INDEX($N$5:$N$24,$Q$24))</f>
        <v/>
      </c>
    </row>
    <row r="37" spans="1:7" ht="26.05" customHeight="1" x14ac:dyDescent="0.4">
      <c r="A37" s="141" t="s">
        <v>242</v>
      </c>
      <c r="B37" s="142"/>
      <c r="C37" s="142"/>
      <c r="D37" s="142"/>
      <c r="E37" s="142"/>
      <c r="F37" s="142"/>
      <c r="G37" s="142"/>
    </row>
  </sheetData>
  <mergeCells count="46">
    <mergeCell ref="A37:G37"/>
    <mergeCell ref="A20:B20"/>
    <mergeCell ref="C33:E33"/>
    <mergeCell ref="A29:B29"/>
    <mergeCell ref="A19:B19"/>
    <mergeCell ref="A28:B28"/>
    <mergeCell ref="C26:E26"/>
    <mergeCell ref="C29:E29"/>
    <mergeCell ref="C20:E20"/>
    <mergeCell ref="C35:E35"/>
    <mergeCell ref="C25:E25"/>
    <mergeCell ref="A34:B34"/>
    <mergeCell ref="C34:E34"/>
    <mergeCell ref="A31:B31"/>
    <mergeCell ref="C31:E31"/>
    <mergeCell ref="C22:E22"/>
    <mergeCell ref="A35:B35"/>
    <mergeCell ref="A33:B33"/>
    <mergeCell ref="C18:E18"/>
    <mergeCell ref="A32:B32"/>
    <mergeCell ref="A23:B23"/>
    <mergeCell ref="C30:E30"/>
    <mergeCell ref="C32:E32"/>
    <mergeCell ref="A26:B26"/>
    <mergeCell ref="A21:B21"/>
    <mergeCell ref="C28:E28"/>
    <mergeCell ref="A24:B24"/>
    <mergeCell ref="A30:B30"/>
    <mergeCell ref="C21:E21"/>
    <mergeCell ref="C27:E27"/>
    <mergeCell ref="A25:B25"/>
    <mergeCell ref="C23:E23"/>
    <mergeCell ref="A27:B27"/>
    <mergeCell ref="A22:B22"/>
    <mergeCell ref="C24:E24"/>
    <mergeCell ref="A1:G1"/>
    <mergeCell ref="C19:E19"/>
    <mergeCell ref="A2:G2"/>
    <mergeCell ref="C16:E16"/>
    <mergeCell ref="A14:G14"/>
    <mergeCell ref="A15:B15"/>
    <mergeCell ref="C15:E15"/>
    <mergeCell ref="A17:B17"/>
    <mergeCell ref="A16:B16"/>
    <mergeCell ref="C17:E17"/>
    <mergeCell ref="A18:B18"/>
  </mergeCells>
  <conditionalFormatting sqref="G16:G35">
    <cfRule type="expression" dxfId="124" priority="1">
      <formula>AND(ISNUMBER(G16),G16&gt;=15)</formula>
    </cfRule>
    <cfRule type="expression" dxfId="123" priority="2">
      <formula>AND(ISNUMBER(G16),G16&gt;=8,G16&lt;15)</formula>
    </cfRule>
    <cfRule type="expression" dxfId="122" priority="3">
      <formula>AND(ISNUMBER(G16),G16&lt;8)</formula>
    </cfRule>
  </conditionalFormatting>
  <pageMargins left="0.4" right="0.4" top="1" bottom="1" header="0.5" footer="0.5"/>
  <pageSetup paperSize="9" orientation="landscape"/>
  <headerFooter>
    <oddHeader>&amp;L&amp;A&amp;CUso interno&amp;RHorizon Scan NFR</oddHeader>
    <oddFooter>&amp;L&amp;F&amp;RPagina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T52"/>
  <sheetViews>
    <sheetView showGridLines="0" workbookViewId="0"/>
  </sheetViews>
  <sheetFormatPr defaultRowHeight="14.6" x14ac:dyDescent="0.4"/>
  <cols>
    <col min="1" max="1" width="9" customWidth="1"/>
    <col min="2" max="2" width="30" customWidth="1"/>
    <col min="3" max="7" width="10" customWidth="1"/>
    <col min="10" max="10" width="2" customWidth="1"/>
    <col min="11" max="11" width="8" customWidth="1"/>
    <col min="12" max="12" width="7" customWidth="1"/>
    <col min="13" max="17" width="14" customWidth="1"/>
    <col min="30" max="41" width="13" hidden="1" customWidth="1"/>
    <col min="46" max="46" width="13" hidden="1" customWidth="1"/>
  </cols>
  <sheetData>
    <row r="1" spans="1:46" ht="28" customHeight="1" x14ac:dyDescent="0.4">
      <c r="A1" s="161" t="str">
        <f>"Horizon Scan NFR — Delta: che cosa e' cambiato dal ciclo precedente   ·   "&amp;etichettaCiclo</f>
        <v>Horizon Scan NFR — Delta: che cosa e' cambiato dal ciclo precedente   ·   Ciclo 2026Q4 · dati al 31/12/2026 · validato · Uso interno</v>
      </c>
      <c r="B1" s="162"/>
      <c r="C1" s="162"/>
      <c r="D1" s="162"/>
      <c r="E1" s="162"/>
      <c r="F1" s="162"/>
      <c r="G1" s="162"/>
      <c r="H1" s="162"/>
      <c r="I1" s="162"/>
      <c r="J1" s="162"/>
      <c r="K1" s="162"/>
      <c r="L1" s="162"/>
      <c r="M1" s="162"/>
      <c r="N1" s="162"/>
      <c r="O1" s="162"/>
      <c r="P1" s="162"/>
      <c r="Q1" s="162"/>
    </row>
    <row r="2" spans="1:46" ht="45.55" customHeight="1" x14ac:dyDescent="0.4">
      <c r="A2" s="173" t="s">
        <v>243</v>
      </c>
      <c r="B2" s="142"/>
      <c r="C2" s="142"/>
      <c r="D2" s="142"/>
      <c r="E2" s="142"/>
      <c r="F2" s="142"/>
      <c r="G2" s="142"/>
      <c r="H2" s="142"/>
      <c r="I2" s="142"/>
      <c r="J2" s="142"/>
      <c r="K2" s="142"/>
      <c r="L2" s="142"/>
      <c r="M2" s="142"/>
      <c r="N2" s="142"/>
      <c r="O2" s="142"/>
      <c r="P2" s="142"/>
      <c r="Q2" s="142"/>
      <c r="AT2" t="str">
        <f>COUNTIF($AI$5:$AI$24,"&gt;0")&amp;" in aumento, "&amp;COUNTIF($AI$5:$AI$24,"&lt;0")&amp;" in diminuzione, "&amp;COUNTIF($AI$5:$AI$24,0)&amp;" invariati"</f>
        <v>3 in aumento, 0 in diminuzione, 10 invariati</v>
      </c>
    </row>
    <row r="4" spans="1:46" ht="15.9" x14ac:dyDescent="0.45">
      <c r="K4" s="149" t="s">
        <v>244</v>
      </c>
      <c r="L4" s="150"/>
      <c r="M4" s="150"/>
      <c r="N4" s="150"/>
      <c r="O4" s="150"/>
      <c r="P4" s="150"/>
      <c r="Q4" s="150"/>
      <c r="AD4" t="s">
        <v>173</v>
      </c>
      <c r="AE4" t="s">
        <v>245</v>
      </c>
      <c r="AF4" t="s">
        <v>246</v>
      </c>
      <c r="AG4" t="s">
        <v>247</v>
      </c>
      <c r="AH4" t="s">
        <v>248</v>
      </c>
      <c r="AI4" t="s">
        <v>249</v>
      </c>
      <c r="AJ4" t="s">
        <v>250</v>
      </c>
      <c r="AK4" t="s">
        <v>172</v>
      </c>
      <c r="AL4" t="s">
        <v>251</v>
      </c>
      <c r="AM4" t="s">
        <v>252</v>
      </c>
      <c r="AN4" t="s">
        <v>253</v>
      </c>
      <c r="AO4" t="s">
        <v>254</v>
      </c>
    </row>
    <row r="5" spans="1:46" x14ac:dyDescent="0.4">
      <c r="K5" s="40" t="s">
        <v>18</v>
      </c>
      <c r="L5" s="40" t="s">
        <v>255</v>
      </c>
      <c r="M5" s="182" t="s">
        <v>256</v>
      </c>
      <c r="N5" s="142"/>
      <c r="O5" s="142"/>
      <c r="P5" s="142"/>
      <c r="Q5" s="142"/>
      <c r="AD5" t="str">
        <f>INDEX(posID,1)&amp;""</f>
        <v>NFR-01</v>
      </c>
      <c r="AE5">
        <f t="shared" ref="AE5:AE24" si="0">IF($AD5="",NA(),IF(COUNTIFS(RR_ID_Rischio,$AD5,RR_Ciclo,cicloCorrente,RR_Impatto,"&lt;&gt;")*COUNTIFS(RR_ID_Rischio,$AD5,RR_Ciclo,cicloPrecedente,RR_Impatto,"&lt;&gt;")=0,NA(),SUMIFS(RR_Impatto,RR_ID_Rischio,$AD5,RR_Ciclo,cicloCorrente)-SUMIFS(RR_Impatto,RR_ID_Rischio,$AD5,RR_Ciclo,cicloPrecedente)))</f>
        <v>0</v>
      </c>
      <c r="AF5">
        <f t="shared" ref="AF5:AF24" si="1">IF($AD5="",NA(),IF(COUNTIFS(RR_ID_Rischio,$AD5,RR_Ciclo,cicloCorrente,RR_Probabilita,"&lt;&gt;")*COUNTIFS(RR_ID_Rischio,$AD5,RR_Ciclo,cicloPrecedente,RR_Probabilita,"&lt;&gt;")=0,NA(),SUMIFS(RR_Probabilita,RR_ID_Rischio,$AD5,RR_Ciclo,cicloCorrente)-SUMIFS(RR_Probabilita,RR_ID_Rischio,$AD5,RR_Ciclo,cicloPrecedente)))</f>
        <v>0</v>
      </c>
      <c r="AG5">
        <f t="shared" ref="AG5:AG24" si="2">IF($AD5="",NA(),IF(COUNTIFS(RR_ID_Rischio,$AD5,RR_Ciclo,cicloCorrente,RR_Prossimita,"&lt;&gt;")*COUNTIFS(RR_ID_Rischio,$AD5,RR_Ciclo,cicloPrecedente,RR_Prossimita,"&lt;&gt;")=0,NA(),SUMIFS(RR_Prossimita,RR_ID_Rischio,$AD5,RR_Ciclo,cicloCorrente)-SUMIFS(RR_Prossimita,RR_ID_Rischio,$AD5,RR_Ciclo,cicloPrecedente)))</f>
        <v>1</v>
      </c>
      <c r="AH5">
        <f t="shared" ref="AH5:AH24" si="3">IF($AD5="",NA(),IF(COUNTIFS(RR_ID_Rischio,$AD5,RR_Ciclo,cicloCorrente,RR_Velocity,"&lt;&gt;")*COUNTIFS(RR_ID_Rischio,$AD5,RR_Ciclo,cicloPrecedente,RR_Velocity,"&lt;&gt;")=0,NA(),SUMIFS(RR_Velocity,RR_ID_Rischio,$AD5,RR_Ciclo,cicloCorrente)-SUMIFS(RR_Velocity,RR_ID_Rischio,$AD5,RR_Ciclo,cicloPrecedente)))</f>
        <v>0</v>
      </c>
      <c r="AI5">
        <f t="shared" ref="AI5:AI24" si="4">IF($AD5="",NA(),IF(COUNTIFS(RR_ID_Rischio,$AD5,RR_Ciclo,cicloCorrente,RR_Score_Composito,"&lt;&gt;")*COUNTIFS(RR_ID_Rischio,$AD5,RR_Ciclo,cicloPrecedente,RR_Score_Composito,"&lt;&gt;")=0,NA(),SUMIFS(RR_Score_Composito,RR_ID_Rischio,$AD5,RR_Ciclo,cicloCorrente)-SUMIFS(RR_Score_Composito,RR_ID_Rischio,$AD5,RR_Ciclo,cicloPrecedente)))</f>
        <v>0.20000000000000018</v>
      </c>
      <c r="AJ5">
        <f>IF($AD5="","",IF(ISNUMBER(AI5),AI5,-9)-1/100000)</f>
        <v>0.19999000000000017</v>
      </c>
      <c r="AK5">
        <f>IFERROR(MATCH(_xlfn.AGGREGATE(14,6,$AJ$5:$AJ$24,1),$AJ$5:$AJ$24,0),"")</f>
        <v>13</v>
      </c>
      <c r="AL5" t="str">
        <f t="shared" ref="AL5:AL24" si="5">IF($AK5="","",INDEX(posID,$AK5)&amp;"  "&amp;LEFT(INDEX(posNome,$AK5),30))</f>
        <v xml:space="preserve">NFR-16  Vertenze e carenza di tecnici </v>
      </c>
      <c r="AM5" s="42">
        <f t="shared" ref="AM5:AM24" si="6">IF($AK5="",NA(),IF(ISNUMBER(INDEX($AI$5:$AI$24,$AK5)),IF(INDEX($AI$5:$AI$24,$AK5)&gt;0,INDEX($AI$5:$AI$24,$AK5),0),NA()))</f>
        <v>0.60999999999999988</v>
      </c>
      <c r="AN5" s="42">
        <f t="shared" ref="AN5:AN24" si="7">IF($AK5="",NA(),IF(ISNUMBER(INDEX($AI$5:$AI$24,$AK5)),IF(INDEX($AI$5:$AI$24,$AK5)&lt;0,INDEX($AI$5:$AI$24,$AK5),0),NA()))</f>
        <v>0</v>
      </c>
      <c r="AO5" s="42" t="e">
        <f t="shared" ref="AO5:AO24" si="8">IF($AK5="",NA(),IF(ISNUMBER(INDEX($AI$5:$AI$24,$AK5)),IF(INDEX($AI$5:$AI$24,$AK5)=0,0,NA()),NA()))</f>
        <v>#N/A</v>
      </c>
    </row>
    <row r="6" spans="1:46" ht="69.75" customHeight="1" x14ac:dyDescent="0.4">
      <c r="K6" s="43" t="str">
        <f>IF($AK$5="","",INDEX(posID,$AK$5))</f>
        <v>NFR-16</v>
      </c>
      <c r="L6" s="44">
        <f>IF($AK$5="","",IFERROR(INDEX($AI$5:$AI$24,$AK$5),"nuovo"))</f>
        <v>0.60999999999999988</v>
      </c>
      <c r="M6" s="183" t="str">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Probabilita 2 → 3: Lo sciopero nazionale del personale bancario di ottobre ha coinvolto i tecnici IT e il piano di successione della Banca copre solo meta' dei ruoli critici: la Banca e' esposta. (2026-11-15)
• Prossimita 1 → 2: La vertenza nazionale e' in corso nel settore dal 6 ottobre 2026, con due giornate di sciopero proclamate: il fenomeno puo' toccare la Banca entro tre anni. (2026-10-06)
• Velocity n.v. → 3: Lo sciopero nazionale del personale bancario documenta che uscite di personale e periodi di vertenza si sviluppano in alcuni mesi: velocity valutata per la prima volta. (2026-10-06)</v>
      </c>
      <c r="N6" s="175"/>
      <c r="O6" s="175"/>
      <c r="P6" s="175"/>
      <c r="Q6" s="175"/>
      <c r="AD6" t="str">
        <f>INDEX(posID,2)&amp;""</f>
        <v>NFR-02</v>
      </c>
      <c r="AE6">
        <f t="shared" si="0"/>
        <v>0</v>
      </c>
      <c r="AF6">
        <f t="shared" si="1"/>
        <v>2</v>
      </c>
      <c r="AG6">
        <f t="shared" si="2"/>
        <v>0</v>
      </c>
      <c r="AH6">
        <f t="shared" si="3"/>
        <v>0</v>
      </c>
      <c r="AI6">
        <f t="shared" si="4"/>
        <v>0.5</v>
      </c>
      <c r="AJ6">
        <f>IF($AD6="","",IF(ISNUMBER(AI6),AI6,-9)-2/100000)</f>
        <v>0.49997999999999998</v>
      </c>
      <c r="AK6">
        <f>IFERROR(MATCH(_xlfn.AGGREGATE(14,6,$AJ$5:$AJ$24,2),$AJ$5:$AJ$24,0),"")</f>
        <v>2</v>
      </c>
      <c r="AL6" t="str">
        <f t="shared" si="5"/>
        <v>NFR-02  Concentrazione su un fornitore</v>
      </c>
      <c r="AM6" s="42">
        <f t="shared" si="6"/>
        <v>0.5</v>
      </c>
      <c r="AN6" s="42">
        <f t="shared" si="7"/>
        <v>0</v>
      </c>
      <c r="AO6" s="42" t="e">
        <f t="shared" si="8"/>
        <v>#N/A</v>
      </c>
    </row>
    <row r="7" spans="1:46" ht="26.6" customHeight="1" x14ac:dyDescent="0.4">
      <c r="K7" s="43" t="str">
        <f>IF($AK$6="","",INDEX(posID,$AK$6))</f>
        <v>NFR-02</v>
      </c>
      <c r="L7" s="44">
        <f>IF($AK$6="","",IFERROR(INDEX($AI$5:$AI$24,$AK$6),"nuovo"))</f>
        <v>0.5</v>
      </c>
      <c r="M7" s="183" t="str">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 Probabilita 2 → 4: Rettifica del validatore: Secondo incidente del fornitore cloud in un mese, con ripristino oltre i tempi contrattuali. (2026-10-08)</v>
      </c>
      <c r="N7" s="175"/>
      <c r="O7" s="175"/>
      <c r="P7" s="175"/>
      <c r="Q7" s="175"/>
      <c r="AD7" t="str">
        <f>INDEX(posID,3)&amp;""</f>
        <v>NFR-03</v>
      </c>
      <c r="AE7">
        <f t="shared" si="0"/>
        <v>0</v>
      </c>
      <c r="AF7">
        <f t="shared" si="1"/>
        <v>0</v>
      </c>
      <c r="AG7">
        <f t="shared" si="2"/>
        <v>0</v>
      </c>
      <c r="AH7">
        <f t="shared" si="3"/>
        <v>0</v>
      </c>
      <c r="AI7">
        <f t="shared" si="4"/>
        <v>0</v>
      </c>
      <c r="AJ7">
        <f>IF($AD7="","",IF(ISNUMBER(AI7),AI7,-9)-3/100000)</f>
        <v>-3.0000000000000001E-5</v>
      </c>
      <c r="AK7">
        <f>IFERROR(MATCH(_xlfn.AGGREGATE(14,6,$AJ$5:$AJ$24,3),$AJ$5:$AJ$24,0),"")</f>
        <v>1</v>
      </c>
      <c r="AL7" t="str">
        <f t="shared" si="5"/>
        <v xml:space="preserve">NFR-01  Frodi su pagamenti istantanei </v>
      </c>
      <c r="AM7" s="42">
        <f t="shared" si="6"/>
        <v>0.20000000000000018</v>
      </c>
      <c r="AN7" s="42">
        <f t="shared" si="7"/>
        <v>0</v>
      </c>
      <c r="AO7" s="42" t="e">
        <f t="shared" si="8"/>
        <v>#N/A</v>
      </c>
    </row>
    <row r="8" spans="1:46" ht="26.6" customHeight="1" x14ac:dyDescent="0.4">
      <c r="K8" s="43" t="str">
        <f>IF($AK$7="","",INDEX(posID,$AK$7))</f>
        <v>NFR-01</v>
      </c>
      <c r="L8" s="44">
        <f>IF($AK$7="","",IFERROR(INDEX($AI$5:$AI$24,$AK$7),"nuovo"))</f>
        <v>0.20000000000000018</v>
      </c>
      <c r="M8" s="183" t="str">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 Prossimita 4 → 5: L'incident report del 20 novembre 2026 documenta due frodi con voce sintetica su clienti corporate della Banca, per bonifici istantanei gia' eseguiti. (2026-11-20)</v>
      </c>
      <c r="N8" s="175"/>
      <c r="O8" s="175"/>
      <c r="P8" s="175"/>
      <c r="Q8" s="175"/>
      <c r="AD8" t="str">
        <f>INDEX(posID,4)&amp;""</f>
        <v>NFR-04</v>
      </c>
      <c r="AE8">
        <f t="shared" si="0"/>
        <v>0</v>
      </c>
      <c r="AF8">
        <f t="shared" si="1"/>
        <v>0</v>
      </c>
      <c r="AG8">
        <f t="shared" si="2"/>
        <v>0</v>
      </c>
      <c r="AH8">
        <f t="shared" si="3"/>
        <v>0</v>
      </c>
      <c r="AI8">
        <f t="shared" si="4"/>
        <v>0</v>
      </c>
      <c r="AJ8">
        <f>IF($AD8="","",IF(ISNUMBER(AI8),AI8,-9)-4/100000)</f>
        <v>-4.0000000000000003E-5</v>
      </c>
      <c r="AK8">
        <f>IFERROR(MATCH(_xlfn.AGGREGATE(14,6,$AJ$5:$AJ$24,4),$AJ$5:$AJ$24,0),"")</f>
        <v>3</v>
      </c>
      <c r="AL8" t="str">
        <f t="shared" si="5"/>
        <v>NFR-03  Greenwashing nella commerciali</v>
      </c>
      <c r="AM8" s="42">
        <f t="shared" si="6"/>
        <v>0</v>
      </c>
      <c r="AN8" s="42">
        <f t="shared" si="7"/>
        <v>0</v>
      </c>
      <c r="AO8" s="42">
        <f t="shared" si="8"/>
        <v>0</v>
      </c>
    </row>
    <row r="9" spans="1:46" ht="16.5" customHeight="1" x14ac:dyDescent="0.4">
      <c r="K9" s="43" t="str">
        <f>IF($AK$8="","",INDEX(posID,$AK$8))</f>
        <v>NFR-03</v>
      </c>
      <c r="L9" s="44">
        <f>IF($AK$8="","",IFERROR(INDEX($AI$5:$AI$24,$AK$8),"nuovo"))</f>
        <v>0</v>
      </c>
      <c r="M9" s="183" t="str">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9" s="175"/>
      <c r="O9" s="175"/>
      <c r="P9" s="175"/>
      <c r="Q9" s="175"/>
      <c r="AD9" t="str">
        <f>INDEX(posID,5)&amp;""</f>
        <v>NFR-05</v>
      </c>
      <c r="AE9">
        <f t="shared" si="0"/>
        <v>0</v>
      </c>
      <c r="AF9">
        <f t="shared" si="1"/>
        <v>0</v>
      </c>
      <c r="AG9">
        <f t="shared" si="2"/>
        <v>0</v>
      </c>
      <c r="AH9">
        <f t="shared" si="3"/>
        <v>0</v>
      </c>
      <c r="AI9">
        <f t="shared" si="4"/>
        <v>0</v>
      </c>
      <c r="AJ9">
        <f>IF($AD9="","",IF(ISNUMBER(AI9),AI9,-9)-5/100000)</f>
        <v>-5.0000000000000002E-5</v>
      </c>
      <c r="AK9">
        <f>IFERROR(MATCH(_xlfn.AGGREGATE(14,6,$AJ$5:$AJ$24,5),$AJ$5:$AJ$24,0),"")</f>
        <v>4</v>
      </c>
      <c r="AL9" t="str">
        <f t="shared" si="5"/>
        <v>NFR-04  Eventi climatici estremi su se</v>
      </c>
      <c r="AM9" s="42">
        <f t="shared" si="6"/>
        <v>0</v>
      </c>
      <c r="AN9" s="42">
        <f t="shared" si="7"/>
        <v>0</v>
      </c>
      <c r="AO9" s="42">
        <f t="shared" si="8"/>
        <v>0</v>
      </c>
    </row>
    <row r="10" spans="1:46" ht="16.5" customHeight="1" x14ac:dyDescent="0.4">
      <c r="K10" s="43" t="str">
        <f>IF($AK$9="","",INDEX(posID,$AK$9))</f>
        <v>NFR-04</v>
      </c>
      <c r="L10" s="44">
        <f>IF($AK$9="","",IFERROR(INDEX($AI$5:$AI$24,$AK$9),"nuovo"))</f>
        <v>0</v>
      </c>
      <c r="M10" s="183" t="str">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0" s="175"/>
      <c r="O10" s="175"/>
      <c r="P10" s="175"/>
      <c r="Q10" s="175"/>
      <c r="AD10" t="str">
        <f>INDEX(posID,6)&amp;""</f>
        <v>NFR-06</v>
      </c>
      <c r="AE10">
        <f t="shared" si="0"/>
        <v>0</v>
      </c>
      <c r="AF10">
        <f t="shared" si="1"/>
        <v>0</v>
      </c>
      <c r="AG10">
        <f t="shared" si="2"/>
        <v>0</v>
      </c>
      <c r="AH10">
        <f t="shared" si="3"/>
        <v>0</v>
      </c>
      <c r="AI10">
        <f t="shared" si="4"/>
        <v>0</v>
      </c>
      <c r="AJ10">
        <f>IF($AD10="","",IF(ISNUMBER(AI10),AI10,-9)-6/100000)</f>
        <v>-6.0000000000000002E-5</v>
      </c>
      <c r="AK10">
        <f>IFERROR(MATCH(_xlfn.AGGREGATE(14,6,$AJ$5:$AJ$24,6),$AJ$5:$AJ$24,0),"")</f>
        <v>5</v>
      </c>
      <c r="AL10" t="str">
        <f t="shared" si="5"/>
        <v>NFR-05  Errori di processo nella migra</v>
      </c>
      <c r="AM10" s="42">
        <f t="shared" si="6"/>
        <v>0</v>
      </c>
      <c r="AN10" s="42">
        <f t="shared" si="7"/>
        <v>0</v>
      </c>
      <c r="AO10" s="42">
        <f t="shared" si="8"/>
        <v>0</v>
      </c>
    </row>
    <row r="11" spans="1:46" ht="16.5" customHeight="1" x14ac:dyDescent="0.4">
      <c r="K11" s="43" t="str">
        <f>IF($AK$10="","",INDEX(posID,$AK$10))</f>
        <v>NFR-05</v>
      </c>
      <c r="L11" s="44">
        <f>IF($AK$10="","",IFERROR(INDEX($AI$5:$AI$24,$AK$10),"nuovo"))</f>
        <v>0</v>
      </c>
      <c r="M11" s="183" t="str">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1" s="175"/>
      <c r="O11" s="175"/>
      <c r="P11" s="175"/>
      <c r="Q11" s="175"/>
      <c r="AD11" t="str">
        <f>INDEX(posID,7)&amp;""</f>
        <v>NFR-07</v>
      </c>
      <c r="AE11">
        <f t="shared" si="0"/>
        <v>0</v>
      </c>
      <c r="AF11">
        <f t="shared" si="1"/>
        <v>0</v>
      </c>
      <c r="AG11">
        <f t="shared" si="2"/>
        <v>0</v>
      </c>
      <c r="AH11">
        <f t="shared" si="3"/>
        <v>0</v>
      </c>
      <c r="AI11">
        <f t="shared" si="4"/>
        <v>0</v>
      </c>
      <c r="AJ11">
        <f>IF($AD11="","",IF(ISNUMBER(AI11),AI11,-9)-7/100000)</f>
        <v>-6.9999999999999994E-5</v>
      </c>
      <c r="AK11">
        <f>IFERROR(MATCH(_xlfn.AGGREGATE(14,6,$AJ$5:$AJ$24,7),$AJ$5:$AJ$24,0),"")</f>
        <v>6</v>
      </c>
      <c r="AL11" t="str">
        <f t="shared" si="5"/>
        <v xml:space="preserve">NFR-06  Esfiltrazione di dati tramite </v>
      </c>
      <c r="AM11" s="42">
        <f t="shared" si="6"/>
        <v>0</v>
      </c>
      <c r="AN11" s="42">
        <f t="shared" si="7"/>
        <v>0</v>
      </c>
      <c r="AO11" s="42">
        <f t="shared" si="8"/>
        <v>0</v>
      </c>
    </row>
    <row r="12" spans="1:46" ht="16.5" customHeight="1" x14ac:dyDescent="0.4">
      <c r="K12" s="43" t="str">
        <f>IF($AK$11="","",INDEX(posID,$AK$11))</f>
        <v>NFR-06</v>
      </c>
      <c r="L12" s="44">
        <f>IF($AK$11="","",IFERROR(INDEX($AI$5:$AI$24,$AK$11),"nuovo"))</f>
        <v>0</v>
      </c>
      <c r="M12" s="183" t="str">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2" s="175"/>
      <c r="O12" s="175"/>
      <c r="P12" s="175"/>
      <c r="Q12" s="175"/>
      <c r="AD12" t="str">
        <f>INDEX(posID,8)&amp;""</f>
        <v>NFR-08</v>
      </c>
      <c r="AE12">
        <f t="shared" si="0"/>
        <v>0</v>
      </c>
      <c r="AF12">
        <f t="shared" si="1"/>
        <v>0</v>
      </c>
      <c r="AG12">
        <f t="shared" si="2"/>
        <v>0</v>
      </c>
      <c r="AH12">
        <f t="shared" si="3"/>
        <v>0</v>
      </c>
      <c r="AI12">
        <f t="shared" si="4"/>
        <v>0</v>
      </c>
      <c r="AJ12">
        <f>IF($AD12="","",IF(ISNUMBER(AI12),AI12,-9)-8/100000)</f>
        <v>-8.0000000000000007E-5</v>
      </c>
      <c r="AK12">
        <f>IFERROR(MATCH(_xlfn.AGGREGATE(14,6,$AJ$5:$AJ$24,8),$AJ$5:$AJ$24,0),"")</f>
        <v>7</v>
      </c>
      <c r="AL12" t="str">
        <f t="shared" si="5"/>
        <v>NFR-07  Ransomware presso un fornitore</v>
      </c>
      <c r="AM12" s="42">
        <f t="shared" si="6"/>
        <v>0</v>
      </c>
      <c r="AN12" s="42">
        <f t="shared" si="7"/>
        <v>0</v>
      </c>
      <c r="AO12" s="42">
        <f t="shared" si="8"/>
        <v>0</v>
      </c>
    </row>
    <row r="13" spans="1:46" ht="16.5" customHeight="1" x14ac:dyDescent="0.4">
      <c r="K13" s="43" t="str">
        <f>IF($AK$12="","",INDEX(posID,$AK$12))</f>
        <v>NFR-07</v>
      </c>
      <c r="L13" s="44">
        <f>IF($AK$12="","",IFERROR(INDEX($AI$5:$AI$24,$AK$12),"nuovo"))</f>
        <v>0</v>
      </c>
      <c r="M13" s="183" t="str">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3" s="175"/>
      <c r="O13" s="175"/>
      <c r="P13" s="175"/>
      <c r="Q13" s="175"/>
      <c r="AD13" t="str">
        <f>INDEX(posID,9)&amp;""</f>
        <v>NFR-09</v>
      </c>
      <c r="AE13">
        <f t="shared" si="0"/>
        <v>0</v>
      </c>
      <c r="AF13">
        <f t="shared" si="1"/>
        <v>0</v>
      </c>
      <c r="AG13">
        <f t="shared" si="2"/>
        <v>0</v>
      </c>
      <c r="AH13">
        <f t="shared" si="3"/>
        <v>0</v>
      </c>
      <c r="AI13">
        <f t="shared" si="4"/>
        <v>0</v>
      </c>
      <c r="AJ13">
        <f>IF($AD13="","",IF(ISNUMBER(AI13),AI13,-9)-9/100000)</f>
        <v>-9.0000000000000006E-5</v>
      </c>
      <c r="AK13">
        <f>IFERROR(MATCH(_xlfn.AGGREGATE(14,6,$AJ$5:$AJ$24,9),$AJ$5:$AJ$24,0),"")</f>
        <v>8</v>
      </c>
      <c r="AL13" t="str">
        <f t="shared" si="5"/>
        <v>NFR-08  Accessi impropri di dipendenti</v>
      </c>
      <c r="AM13" s="42">
        <f t="shared" si="6"/>
        <v>0</v>
      </c>
      <c r="AN13" s="42">
        <f t="shared" si="7"/>
        <v>0</v>
      </c>
      <c r="AO13" s="42">
        <f t="shared" si="8"/>
        <v>0</v>
      </c>
    </row>
    <row r="14" spans="1:46" ht="16.5" customHeight="1" x14ac:dyDescent="0.4">
      <c r="K14" s="43" t="str">
        <f>IF($AK$13="","",INDEX(posID,$AK$13))</f>
        <v>NFR-08</v>
      </c>
      <c r="L14" s="44">
        <f>IF($AK$13="","",IFERROR(INDEX($AI$5:$AI$24,$AK$13),"nuovo"))</f>
        <v>0</v>
      </c>
      <c r="M14" s="183" t="str">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4" s="175"/>
      <c r="O14" s="175"/>
      <c r="P14" s="175"/>
      <c r="Q14" s="175"/>
      <c r="AD14" t="str">
        <f>INDEX(posID,10)&amp;""</f>
        <v>NFR-10</v>
      </c>
      <c r="AE14">
        <f t="shared" si="0"/>
        <v>0</v>
      </c>
      <c r="AF14">
        <f t="shared" si="1"/>
        <v>0</v>
      </c>
      <c r="AG14">
        <f t="shared" si="2"/>
        <v>0</v>
      </c>
      <c r="AH14">
        <f t="shared" si="3"/>
        <v>0</v>
      </c>
      <c r="AI14">
        <f t="shared" si="4"/>
        <v>0</v>
      </c>
      <c r="AJ14">
        <f>IF($AD14="","",IF(ISNUMBER(AI14),AI14,-9)-10/100000)</f>
        <v>-1E-4</v>
      </c>
      <c r="AK14">
        <f>IFERROR(MATCH(_xlfn.AGGREGATE(14,6,$AJ$5:$AJ$24,10),$AJ$5:$AJ$24,0),"")</f>
        <v>9</v>
      </c>
      <c r="AL14" t="str">
        <f t="shared" si="5"/>
        <v>NFR-09  Violazione di sanzioni interna</v>
      </c>
      <c r="AM14" s="42">
        <f t="shared" si="6"/>
        <v>0</v>
      </c>
      <c r="AN14" s="42">
        <f t="shared" si="7"/>
        <v>0</v>
      </c>
      <c r="AO14" s="42">
        <f t="shared" si="8"/>
        <v>0</v>
      </c>
    </row>
    <row r="15" spans="1:46" ht="16.5" customHeight="1" x14ac:dyDescent="0.4">
      <c r="K15" s="43" t="str">
        <f>IF($AK$14="","",INDEX(posID,$AK$14))</f>
        <v>NFR-09</v>
      </c>
      <c r="L15" s="44">
        <f>IF($AK$14="","",IFERROR(INDEX($AI$5:$AI$24,$AK$14),"nuovo"))</f>
        <v>0</v>
      </c>
      <c r="M15" s="183" t="str">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5" s="175"/>
      <c r="O15" s="175"/>
      <c r="P15" s="175"/>
      <c r="Q15" s="175"/>
      <c r="AD15" t="str">
        <f>INDEX(posID,11)&amp;""</f>
        <v>NFR-11</v>
      </c>
      <c r="AE15">
        <f t="shared" si="0"/>
        <v>0</v>
      </c>
      <c r="AF15">
        <f t="shared" si="1"/>
        <v>0</v>
      </c>
      <c r="AG15">
        <f t="shared" si="2"/>
        <v>0</v>
      </c>
      <c r="AH15">
        <f t="shared" si="3"/>
        <v>0</v>
      </c>
      <c r="AI15">
        <f t="shared" si="4"/>
        <v>0</v>
      </c>
      <c r="AJ15">
        <f>IF($AD15="","",IF(ISNUMBER(AI15),AI15,-9)-11/100000)</f>
        <v>-1.1E-4</v>
      </c>
      <c r="AK15">
        <f>IFERROR(MATCH(_xlfn.AGGREGATE(14,6,$AJ$5:$AJ$24,11),$AJ$5:$AJ$24,0),"")</f>
        <v>10</v>
      </c>
      <c r="AL15" t="str">
        <f t="shared" si="5"/>
        <v>NFR-10  Informazioni errate ai clienti</v>
      </c>
      <c r="AM15" s="42">
        <f t="shared" si="6"/>
        <v>0</v>
      </c>
      <c r="AN15" s="42">
        <f t="shared" si="7"/>
        <v>0</v>
      </c>
      <c r="AO15" s="42">
        <f t="shared" si="8"/>
        <v>0</v>
      </c>
    </row>
    <row r="16" spans="1:46" ht="16.5" customHeight="1" x14ac:dyDescent="0.4">
      <c r="K16" s="43" t="str">
        <f>IF($AK$15="","",INDEX(posID,$AK$15))</f>
        <v>NFR-10</v>
      </c>
      <c r="L16" s="44">
        <f>IF($AK$15="","",IFERROR(INDEX($AI$5:$AI$24,$AK$15),"nuovo"))</f>
        <v>0</v>
      </c>
      <c r="M16" s="183" t="str">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6" s="175"/>
      <c r="O16" s="175"/>
      <c r="P16" s="175"/>
      <c r="Q16" s="175"/>
      <c r="AD16" t="str">
        <f>INDEX(posID,12)&amp;""</f>
        <v>NFR-12</v>
      </c>
      <c r="AE16">
        <f t="shared" si="0"/>
        <v>0</v>
      </c>
      <c r="AF16">
        <f t="shared" si="1"/>
        <v>0</v>
      </c>
      <c r="AG16">
        <f t="shared" si="2"/>
        <v>0</v>
      </c>
      <c r="AH16">
        <f t="shared" si="3"/>
        <v>0</v>
      </c>
      <c r="AI16">
        <f t="shared" si="4"/>
        <v>0</v>
      </c>
      <c r="AJ16">
        <f>IF($AD16="","",IF(ISNUMBER(AI16),AI16,-9)-12/100000)</f>
        <v>-1.2E-4</v>
      </c>
      <c r="AK16">
        <f>IFERROR(MATCH(_xlfn.AGGREGATE(14,6,$AJ$5:$AJ$24,12),$AJ$5:$AJ$24,0),"")</f>
        <v>11</v>
      </c>
      <c r="AL16" t="str">
        <f t="shared" si="5"/>
        <v xml:space="preserve">NFR-11  Fine del supporto dei sistemi </v>
      </c>
      <c r="AM16" s="42">
        <f t="shared" si="6"/>
        <v>0</v>
      </c>
      <c r="AN16" s="42">
        <f t="shared" si="7"/>
        <v>0</v>
      </c>
      <c r="AO16" s="42">
        <f t="shared" si="8"/>
        <v>0</v>
      </c>
    </row>
    <row r="17" spans="1:41" ht="16.5" customHeight="1" x14ac:dyDescent="0.4">
      <c r="K17" s="43" t="str">
        <f>IF($AK$16="","",INDEX(posID,$AK$16))</f>
        <v>NFR-11</v>
      </c>
      <c r="L17" s="44">
        <f>IF($AK$16="","",IFERROR(INDEX($AI$5:$AI$24,$AK$16),"nuovo"))</f>
        <v>0</v>
      </c>
      <c r="M17" s="183" t="str">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7" s="175"/>
      <c r="O17" s="175"/>
      <c r="P17" s="175"/>
      <c r="Q17" s="175"/>
      <c r="AD17" t="str">
        <f>INDEX(posID,13)&amp;""</f>
        <v>NFR-16</v>
      </c>
      <c r="AE17">
        <f t="shared" si="0"/>
        <v>0</v>
      </c>
      <c r="AF17">
        <f t="shared" si="1"/>
        <v>1</v>
      </c>
      <c r="AG17">
        <f t="shared" si="2"/>
        <v>1</v>
      </c>
      <c r="AH17" t="e">
        <f t="shared" si="3"/>
        <v>#N/A</v>
      </c>
      <c r="AI17">
        <f t="shared" si="4"/>
        <v>0.60999999999999988</v>
      </c>
      <c r="AJ17">
        <f>IF($AD17="","",IF(ISNUMBER(AI17),AI17,-9)-13/100000)</f>
        <v>0.60986999999999991</v>
      </c>
      <c r="AK17">
        <f>IFERROR(MATCH(_xlfn.AGGREGATE(14,6,$AJ$5:$AJ$24,13),$AJ$5:$AJ$24,0),"")</f>
        <v>12</v>
      </c>
      <c r="AL17" t="str">
        <f t="shared" si="5"/>
        <v>NFR-12  Errori operativi nei pagamenti</v>
      </c>
      <c r="AM17" s="42">
        <f t="shared" si="6"/>
        <v>0</v>
      </c>
      <c r="AN17" s="42">
        <f t="shared" si="7"/>
        <v>0</v>
      </c>
      <c r="AO17" s="42">
        <f t="shared" si="8"/>
        <v>0</v>
      </c>
    </row>
    <row r="18" spans="1:41" ht="16.5" customHeight="1" x14ac:dyDescent="0.4">
      <c r="K18" s="43" t="str">
        <f>IF($AK$17="","",INDEX(posID,$AK$17))</f>
        <v>NFR-12</v>
      </c>
      <c r="L18" s="44">
        <f>IF($AK$17="","",IFERROR(INDEX($AI$5:$AI$24,$AK$17),"nuovo"))</f>
        <v>0</v>
      </c>
      <c r="M18" s="183" t="str">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8" s="175"/>
      <c r="O18" s="175"/>
      <c r="P18" s="175"/>
      <c r="Q18" s="175"/>
      <c r="AD18" t="str">
        <f>INDEX(posID,14)&amp;""</f>
        <v/>
      </c>
      <c r="AE18" t="e">
        <f t="shared" si="0"/>
        <v>#N/A</v>
      </c>
      <c r="AF18" t="e">
        <f t="shared" si="1"/>
        <v>#N/A</v>
      </c>
      <c r="AG18" t="e">
        <f t="shared" si="2"/>
        <v>#N/A</v>
      </c>
      <c r="AH18" t="e">
        <f t="shared" si="3"/>
        <v>#N/A</v>
      </c>
      <c r="AI18" t="e">
        <f t="shared" si="4"/>
        <v>#N/A</v>
      </c>
      <c r="AJ18" t="str">
        <f>IF($AD18="","",IF(ISNUMBER(AI18),AI18,-9)-14/100000)</f>
        <v/>
      </c>
      <c r="AK18" t="str">
        <f>IFERROR(MATCH(_xlfn.AGGREGATE(14,6,$AJ$5:$AJ$24,14),$AJ$5:$AJ$24,0),"")</f>
        <v/>
      </c>
      <c r="AL18" t="str">
        <f t="shared" si="5"/>
        <v/>
      </c>
      <c r="AM18" s="42" t="e">
        <f t="shared" si="6"/>
        <v>#N/A</v>
      </c>
      <c r="AN18" s="42" t="e">
        <f t="shared" si="7"/>
        <v>#N/A</v>
      </c>
      <c r="AO18" s="42" t="e">
        <f t="shared" si="8"/>
        <v>#N/A</v>
      </c>
    </row>
    <row r="19" spans="1:41" ht="3" customHeight="1" x14ac:dyDescent="0.4">
      <c r="K19" s="43" t="str">
        <f>IF($AK$18="","",INDEX(posID,$AK$18))</f>
        <v/>
      </c>
      <c r="L19" s="44" t="str">
        <f>IF($AK$18="","",IFERROR(INDEX($AI$5:$AI$24,$AK$18),"nuovo"))</f>
        <v/>
      </c>
      <c r="M19" s="183" t="str">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175"/>
      <c r="O19" s="175"/>
      <c r="P19" s="175"/>
      <c r="Q19" s="175"/>
      <c r="AD19" t="str">
        <f>INDEX(posID,15)&amp;""</f>
        <v/>
      </c>
      <c r="AE19" t="e">
        <f t="shared" si="0"/>
        <v>#N/A</v>
      </c>
      <c r="AF19" t="e">
        <f t="shared" si="1"/>
        <v>#N/A</v>
      </c>
      <c r="AG19" t="e">
        <f t="shared" si="2"/>
        <v>#N/A</v>
      </c>
      <c r="AH19" t="e">
        <f t="shared" si="3"/>
        <v>#N/A</v>
      </c>
      <c r="AI19" t="e">
        <f t="shared" si="4"/>
        <v>#N/A</v>
      </c>
      <c r="AJ19" t="str">
        <f>IF($AD19="","",IF(ISNUMBER(AI19),AI19,-9)-15/100000)</f>
        <v/>
      </c>
      <c r="AK19" t="str">
        <f>IFERROR(MATCH(_xlfn.AGGREGATE(14,6,$AJ$5:$AJ$24,15),$AJ$5:$AJ$24,0),"")</f>
        <v/>
      </c>
      <c r="AL19" t="str">
        <f t="shared" si="5"/>
        <v/>
      </c>
      <c r="AM19" s="42" t="e">
        <f t="shared" si="6"/>
        <v>#N/A</v>
      </c>
      <c r="AN19" s="42" t="e">
        <f t="shared" si="7"/>
        <v>#N/A</v>
      </c>
      <c r="AO19" s="42" t="e">
        <f t="shared" si="8"/>
        <v>#N/A</v>
      </c>
    </row>
    <row r="20" spans="1:41" ht="3" customHeight="1" x14ac:dyDescent="0.4">
      <c r="K20" s="43" t="str">
        <f>IF($AK$19="","",INDEX(posID,$AK$19))</f>
        <v/>
      </c>
      <c r="L20" s="44" t="str">
        <f>IF($AK$19="","",IFERROR(INDEX($AI$5:$AI$24,$AK$19),"nuovo"))</f>
        <v/>
      </c>
      <c r="M20" s="183" t="str">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175"/>
      <c r="O20" s="175"/>
      <c r="P20" s="175"/>
      <c r="Q20" s="175"/>
      <c r="AD20" t="str">
        <f>INDEX(posID,16)&amp;""</f>
        <v/>
      </c>
      <c r="AE20" t="e">
        <f t="shared" si="0"/>
        <v>#N/A</v>
      </c>
      <c r="AF20" t="e">
        <f t="shared" si="1"/>
        <v>#N/A</v>
      </c>
      <c r="AG20" t="e">
        <f t="shared" si="2"/>
        <v>#N/A</v>
      </c>
      <c r="AH20" t="e">
        <f t="shared" si="3"/>
        <v>#N/A</v>
      </c>
      <c r="AI20" t="e">
        <f t="shared" si="4"/>
        <v>#N/A</v>
      </c>
      <c r="AJ20" t="str">
        <f>IF($AD20="","",IF(ISNUMBER(AI20),AI20,-9)-16/100000)</f>
        <v/>
      </c>
      <c r="AK20" t="str">
        <f>IFERROR(MATCH(_xlfn.AGGREGATE(14,6,$AJ$5:$AJ$24,16),$AJ$5:$AJ$24,0),"")</f>
        <v/>
      </c>
      <c r="AL20" t="str">
        <f t="shared" si="5"/>
        <v/>
      </c>
      <c r="AM20" s="42" t="e">
        <f t="shared" si="6"/>
        <v>#N/A</v>
      </c>
      <c r="AN20" s="42" t="e">
        <f t="shared" si="7"/>
        <v>#N/A</v>
      </c>
      <c r="AO20" s="42" t="e">
        <f t="shared" si="8"/>
        <v>#N/A</v>
      </c>
    </row>
    <row r="21" spans="1:41" ht="3" customHeight="1" x14ac:dyDescent="0.4">
      <c r="K21" s="43" t="str">
        <f>IF($AK$20="","",INDEX(posID,$AK$20))</f>
        <v/>
      </c>
      <c r="L21" s="44" t="str">
        <f>IF($AK$20="","",IFERROR(INDEX($AI$5:$AI$24,$AK$20),"nuovo"))</f>
        <v/>
      </c>
      <c r="M21" s="183" t="str">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175"/>
      <c r="O21" s="175"/>
      <c r="P21" s="175"/>
      <c r="Q21" s="175"/>
      <c r="AD21" t="str">
        <f>INDEX(posID,17)&amp;""</f>
        <v/>
      </c>
      <c r="AE21" t="e">
        <f t="shared" si="0"/>
        <v>#N/A</v>
      </c>
      <c r="AF21" t="e">
        <f t="shared" si="1"/>
        <v>#N/A</v>
      </c>
      <c r="AG21" t="e">
        <f t="shared" si="2"/>
        <v>#N/A</v>
      </c>
      <c r="AH21" t="e">
        <f t="shared" si="3"/>
        <v>#N/A</v>
      </c>
      <c r="AI21" t="e">
        <f t="shared" si="4"/>
        <v>#N/A</v>
      </c>
      <c r="AJ21" t="str">
        <f>IF($AD21="","",IF(ISNUMBER(AI21),AI21,-9)-17/100000)</f>
        <v/>
      </c>
      <c r="AK21" t="str">
        <f>IFERROR(MATCH(_xlfn.AGGREGATE(14,6,$AJ$5:$AJ$24,17),$AJ$5:$AJ$24,0),"")</f>
        <v/>
      </c>
      <c r="AL21" t="str">
        <f t="shared" si="5"/>
        <v/>
      </c>
      <c r="AM21" s="42" t="e">
        <f t="shared" si="6"/>
        <v>#N/A</v>
      </c>
      <c r="AN21" s="42" t="e">
        <f t="shared" si="7"/>
        <v>#N/A</v>
      </c>
      <c r="AO21" s="42" t="e">
        <f t="shared" si="8"/>
        <v>#N/A</v>
      </c>
    </row>
    <row r="22" spans="1:41" ht="3" customHeight="1" x14ac:dyDescent="0.4">
      <c r="K22" s="43" t="str">
        <f>IF($AK$21="","",INDEX(posID,$AK$21))</f>
        <v/>
      </c>
      <c r="L22" s="44" t="str">
        <f>IF($AK$21="","",IFERROR(INDEX($AI$5:$AI$24,$AK$21),"nuovo"))</f>
        <v/>
      </c>
      <c r="M22" s="183" t="str">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175"/>
      <c r="O22" s="175"/>
      <c r="P22" s="175"/>
      <c r="Q22" s="175"/>
      <c r="AD22" t="str">
        <f>INDEX(posID,18)&amp;""</f>
        <v/>
      </c>
      <c r="AE22" t="e">
        <f t="shared" si="0"/>
        <v>#N/A</v>
      </c>
      <c r="AF22" t="e">
        <f t="shared" si="1"/>
        <v>#N/A</v>
      </c>
      <c r="AG22" t="e">
        <f t="shared" si="2"/>
        <v>#N/A</v>
      </c>
      <c r="AH22" t="e">
        <f t="shared" si="3"/>
        <v>#N/A</v>
      </c>
      <c r="AI22" t="e">
        <f t="shared" si="4"/>
        <v>#N/A</v>
      </c>
      <c r="AJ22" t="str">
        <f>IF($AD22="","",IF(ISNUMBER(AI22),AI22,-9)-18/100000)</f>
        <v/>
      </c>
      <c r="AK22" t="str">
        <f>IFERROR(MATCH(_xlfn.AGGREGATE(14,6,$AJ$5:$AJ$24,18),$AJ$5:$AJ$24,0),"")</f>
        <v/>
      </c>
      <c r="AL22" t="str">
        <f t="shared" si="5"/>
        <v/>
      </c>
      <c r="AM22" s="42" t="e">
        <f t="shared" si="6"/>
        <v>#N/A</v>
      </c>
      <c r="AN22" s="42" t="e">
        <f t="shared" si="7"/>
        <v>#N/A</v>
      </c>
      <c r="AO22" s="42" t="e">
        <f t="shared" si="8"/>
        <v>#N/A</v>
      </c>
    </row>
    <row r="23" spans="1:41" ht="3" customHeight="1" x14ac:dyDescent="0.4">
      <c r="K23" s="43" t="str">
        <f>IF($AK$22="","",INDEX(posID,$AK$22))</f>
        <v/>
      </c>
      <c r="L23" s="44" t="str">
        <f>IF($AK$22="","",IFERROR(INDEX($AI$5:$AI$24,$AK$22),"nuovo"))</f>
        <v/>
      </c>
      <c r="M23" s="183" t="str">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175"/>
      <c r="O23" s="175"/>
      <c r="P23" s="175"/>
      <c r="Q23" s="175"/>
      <c r="AD23" t="str">
        <f>INDEX(posID,19)&amp;""</f>
        <v/>
      </c>
      <c r="AE23" t="e">
        <f t="shared" si="0"/>
        <v>#N/A</v>
      </c>
      <c r="AF23" t="e">
        <f t="shared" si="1"/>
        <v>#N/A</v>
      </c>
      <c r="AG23" t="e">
        <f t="shared" si="2"/>
        <v>#N/A</v>
      </c>
      <c r="AH23" t="e">
        <f t="shared" si="3"/>
        <v>#N/A</v>
      </c>
      <c r="AI23" t="e">
        <f t="shared" si="4"/>
        <v>#N/A</v>
      </c>
      <c r="AJ23" t="str">
        <f>IF($AD23="","",IF(ISNUMBER(AI23),AI23,-9)-19/100000)</f>
        <v/>
      </c>
      <c r="AK23" t="str">
        <f>IFERROR(MATCH(_xlfn.AGGREGATE(14,6,$AJ$5:$AJ$24,19),$AJ$5:$AJ$24,0),"")</f>
        <v/>
      </c>
      <c r="AL23" t="str">
        <f t="shared" si="5"/>
        <v/>
      </c>
      <c r="AM23" s="42" t="e">
        <f t="shared" si="6"/>
        <v>#N/A</v>
      </c>
      <c r="AN23" s="42" t="e">
        <f t="shared" si="7"/>
        <v>#N/A</v>
      </c>
      <c r="AO23" s="42" t="e">
        <f t="shared" si="8"/>
        <v>#N/A</v>
      </c>
    </row>
    <row r="24" spans="1:41" ht="3" customHeight="1" x14ac:dyDescent="0.4">
      <c r="K24" s="43" t="str">
        <f>IF($AK$23="","",INDEX(posID,$AK$23))</f>
        <v/>
      </c>
      <c r="L24" s="44" t="str">
        <f>IF($AK$23="","",IFERROR(INDEX($AI$5:$AI$24,$AK$23),"nuovo"))</f>
        <v/>
      </c>
      <c r="M24" s="183" t="str">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175"/>
      <c r="O24" s="175"/>
      <c r="P24" s="175"/>
      <c r="Q24" s="175"/>
      <c r="AD24" t="str">
        <f>INDEX(posID,20)&amp;""</f>
        <v/>
      </c>
      <c r="AE24" t="e">
        <f t="shared" si="0"/>
        <v>#N/A</v>
      </c>
      <c r="AF24" t="e">
        <f t="shared" si="1"/>
        <v>#N/A</v>
      </c>
      <c r="AG24" t="e">
        <f t="shared" si="2"/>
        <v>#N/A</v>
      </c>
      <c r="AH24" t="e">
        <f t="shared" si="3"/>
        <v>#N/A</v>
      </c>
      <c r="AI24" t="e">
        <f t="shared" si="4"/>
        <v>#N/A</v>
      </c>
      <c r="AJ24" t="str">
        <f>IF($AD24="","",IF(ISNUMBER(AI24),AI24,-9)-20/100000)</f>
        <v/>
      </c>
      <c r="AK24" t="str">
        <f>IFERROR(MATCH(_xlfn.AGGREGATE(14,6,$AJ$5:$AJ$24,20),$AJ$5:$AJ$24,0),"")</f>
        <v/>
      </c>
      <c r="AL24" t="str">
        <f t="shared" si="5"/>
        <v/>
      </c>
      <c r="AM24" s="42" t="e">
        <f t="shared" si="6"/>
        <v>#N/A</v>
      </c>
      <c r="AN24" s="42" t="e">
        <f t="shared" si="7"/>
        <v>#N/A</v>
      </c>
      <c r="AO24" s="42" t="e">
        <f t="shared" si="8"/>
        <v>#N/A</v>
      </c>
    </row>
    <row r="25" spans="1:41" ht="3" customHeight="1" x14ac:dyDescent="0.4">
      <c r="K25" s="43" t="str">
        <f>IF($AK$24="","",INDEX(posID,$AK$24))</f>
        <v/>
      </c>
      <c r="L25" s="44" t="str">
        <f>IF($AK$24="","",IFERROR(INDEX($AI$5:$AI$24,$AK$24),"nuovo"))</f>
        <v/>
      </c>
      <c r="M25" s="183" t="str">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175"/>
      <c r="O25" s="175"/>
      <c r="P25" s="175"/>
      <c r="Q25" s="175"/>
    </row>
    <row r="26" spans="1:41" ht="71.900000000000006" customHeight="1" x14ac:dyDescent="0.4"/>
    <row r="27" spans="1:41" ht="56.05" customHeight="1" x14ac:dyDescent="0.4">
      <c r="A27" s="184" t="str">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Come si legge la scala: il Δ e' la variazione dello score composito sul ciclo precedente. Ogni dimensione cambia al massimo di un punto fra due cicli; un punto vale il suo peso diviso per la somma dei pesi delle dimensioni valutate (Parametri). Con la Velocity valutata: Impatto ±0,35, Probabilita ±0,25, Prossimita ±0,20, Velocity ±0,20. Senza Velocity: Impatto ±0,44, Probabilita ±0,31, Prossimita ±0,25. Quando la Velocity entra o esce i pesi si ridistribuiscono: lo score puo' muoversi anche se nessun altro valore cambia. Un Δ oltre la soglia di Parametri (0,30) va guardato.</v>
      </c>
      <c r="B27" s="142"/>
      <c r="C27" s="142"/>
      <c r="D27" s="142"/>
      <c r="E27" s="142"/>
      <c r="F27" s="142"/>
      <c r="G27" s="142"/>
      <c r="H27" s="142"/>
      <c r="I27" s="142"/>
      <c r="J27" s="142"/>
      <c r="K27" s="142"/>
      <c r="L27" s="142"/>
      <c r="M27" s="142"/>
      <c r="N27" s="142"/>
      <c r="O27" s="142"/>
      <c r="P27" s="142"/>
      <c r="Q27" s="142"/>
    </row>
    <row r="29" spans="1:41" ht="15.9" x14ac:dyDescent="0.45">
      <c r="A29" s="149" t="s">
        <v>257</v>
      </c>
      <c r="B29" s="150"/>
      <c r="C29" s="150"/>
      <c r="D29" s="150"/>
      <c r="E29" s="150"/>
      <c r="F29" s="150"/>
      <c r="G29" s="150"/>
      <c r="H29" s="150"/>
      <c r="I29" s="150"/>
      <c r="J29" s="150"/>
    </row>
    <row r="30" spans="1:41" ht="28" customHeight="1" x14ac:dyDescent="0.4">
      <c r="A30" s="45" t="s">
        <v>173</v>
      </c>
      <c r="B30" s="45" t="s">
        <v>174</v>
      </c>
      <c r="C30" s="45" t="s">
        <v>258</v>
      </c>
      <c r="D30" s="45" t="s">
        <v>259</v>
      </c>
      <c r="E30" s="45" t="s">
        <v>260</v>
      </c>
      <c r="F30" s="45" t="s">
        <v>261</v>
      </c>
      <c r="G30" s="45" t="s">
        <v>249</v>
      </c>
      <c r="H30" s="45"/>
      <c r="I30" s="45"/>
      <c r="J30" s="45" t="s">
        <v>262</v>
      </c>
    </row>
    <row r="31" spans="1:41" x14ac:dyDescent="0.4">
      <c r="A31" t="str">
        <f>IF($AK$5="","",INDEX(posID,$AK$5))</f>
        <v>NFR-16</v>
      </c>
      <c r="B31" t="str">
        <f>IF($AK$5="","",INDEX(posNome,$AK$5))</f>
        <v>Vertenze e carenza di tecnici nei ruoli IT critici</v>
      </c>
      <c r="C31" s="46">
        <f>IF($AK$5="",NA(),INDEX($AE$5:$AE$24,$AK$5))</f>
        <v>0</v>
      </c>
      <c r="D31" s="46">
        <f>IF($AK$5="",NA(),INDEX($AF$5:$AF$24,$AK$5))</f>
        <v>1</v>
      </c>
      <c r="E31" s="46">
        <f>IF($AK$5="",NA(),INDEX($AG$5:$AG$24,$AK$5))</f>
        <v>1</v>
      </c>
      <c r="F31" s="46" t="e">
        <f>IF($AK$5="",NA(),INDEX($AH$5:$AH$24,$AK$5))</f>
        <v>#N/A</v>
      </c>
      <c r="G31" s="46">
        <f>IF($AK$5="",NA(),INDEX($AI$5:$AI$24,$AK$5))</f>
        <v>0.60999999999999988</v>
      </c>
      <c r="K31" s="142" t="str">
        <f t="shared" ref="K31:K50" si="9">IF($A31="","",IF(NOT(ISNUMBER(G31)),"Nuovo o non valutato in uno dei due cicli",IF(_xlfn.AGGREGATE(4,6,C31:F31)&gt;1,"Aumento &gt; 1 punto: viola la rubrica",IF(_xlfn.AGGREGATE(5,6,C31:F31)&lt;-1,"Riduzione &gt; 1 punto: viola la rubrica",IF(ISNA(F31),"Velocity non valutata in uno dei due cicli: lo score ridistribuisce i pesi","")))))</f>
        <v>Velocity non valutata in uno dei due cicli: lo score ridistribuisce i pesi</v>
      </c>
      <c r="L31" s="142"/>
      <c r="M31" s="142"/>
      <c r="N31" s="142"/>
      <c r="O31" s="142"/>
      <c r="P31" s="142"/>
      <c r="Q31" s="142"/>
    </row>
    <row r="32" spans="1:41" x14ac:dyDescent="0.4">
      <c r="A32" t="str">
        <f>IF($AK$6="","",INDEX(posID,$AK$6))</f>
        <v>NFR-02</v>
      </c>
      <c r="B32" t="str">
        <f>IF($AK$6="","",INDEX(posNome,$AK$6))</f>
        <v>Concentrazione su un fornitore cloud critico</v>
      </c>
      <c r="C32" s="46">
        <f>IF($AK$6="",NA(),INDEX($AE$5:$AE$24,$AK$6))</f>
        <v>0</v>
      </c>
      <c r="D32" s="46">
        <f>IF($AK$6="",NA(),INDEX($AF$5:$AF$24,$AK$6))</f>
        <v>2</v>
      </c>
      <c r="E32" s="46">
        <f>IF($AK$6="",NA(),INDEX($AG$5:$AG$24,$AK$6))</f>
        <v>0</v>
      </c>
      <c r="F32" s="46">
        <f>IF($AK$6="",NA(),INDEX($AH$5:$AH$24,$AK$6))</f>
        <v>0</v>
      </c>
      <c r="G32" s="46">
        <f>IF($AK$6="",NA(),INDEX($AI$5:$AI$24,$AK$6))</f>
        <v>0.5</v>
      </c>
      <c r="K32" s="142" t="str">
        <f t="shared" si="9"/>
        <v>Aumento &gt; 1 punto: viola la rubrica</v>
      </c>
      <c r="L32" s="142"/>
      <c r="M32" s="142"/>
      <c r="N32" s="142"/>
      <c r="O32" s="142"/>
      <c r="P32" s="142"/>
      <c r="Q32" s="142"/>
    </row>
    <row r="33" spans="1:17" x14ac:dyDescent="0.4">
      <c r="A33" t="str">
        <f>IF($AK$7="","",INDEX(posID,$AK$7))</f>
        <v>NFR-01</v>
      </c>
      <c r="B33" t="str">
        <f>IF($AK$7="","",INDEX(posNome,$AK$7))</f>
        <v>Frodi su pagamenti istantanei abilitate da AI generativa</v>
      </c>
      <c r="C33" s="46">
        <f>IF($AK$7="",NA(),INDEX($AE$5:$AE$24,$AK$7))</f>
        <v>0</v>
      </c>
      <c r="D33" s="46">
        <f>IF($AK$7="",NA(),INDEX($AF$5:$AF$24,$AK$7))</f>
        <v>0</v>
      </c>
      <c r="E33" s="46">
        <f>IF($AK$7="",NA(),INDEX($AG$5:$AG$24,$AK$7))</f>
        <v>1</v>
      </c>
      <c r="F33" s="46">
        <f>IF($AK$7="",NA(),INDEX($AH$5:$AH$24,$AK$7))</f>
        <v>0</v>
      </c>
      <c r="G33" s="46">
        <f>IF($AK$7="",NA(),INDEX($AI$5:$AI$24,$AK$7))</f>
        <v>0.20000000000000018</v>
      </c>
      <c r="K33" s="142" t="str">
        <f t="shared" si="9"/>
        <v/>
      </c>
      <c r="L33" s="142"/>
      <c r="M33" s="142"/>
      <c r="N33" s="142"/>
      <c r="O33" s="142"/>
      <c r="P33" s="142"/>
      <c r="Q33" s="142"/>
    </row>
    <row r="34" spans="1:17" x14ac:dyDescent="0.4">
      <c r="A34" t="str">
        <f>IF($AK$8="","",INDEX(posID,$AK$8))</f>
        <v>NFR-03</v>
      </c>
      <c r="B34" t="str">
        <f>IF($AK$8="","",INDEX(posNome,$AK$8))</f>
        <v>Greenwashing nella commercializzazione di prodotti ESG</v>
      </c>
      <c r="C34" s="46">
        <f>IF($AK$8="",NA(),INDEX($AE$5:$AE$24,$AK$8))</f>
        <v>0</v>
      </c>
      <c r="D34" s="46">
        <f>IF($AK$8="",NA(),INDEX($AF$5:$AF$24,$AK$8))</f>
        <v>0</v>
      </c>
      <c r="E34" s="46">
        <f>IF($AK$8="",NA(),INDEX($AG$5:$AG$24,$AK$8))</f>
        <v>0</v>
      </c>
      <c r="F34" s="46">
        <f>IF($AK$8="",NA(),INDEX($AH$5:$AH$24,$AK$8))</f>
        <v>0</v>
      </c>
      <c r="G34" s="46">
        <f>IF($AK$8="",NA(),INDEX($AI$5:$AI$24,$AK$8))</f>
        <v>0</v>
      </c>
      <c r="K34" s="142" t="str">
        <f t="shared" si="9"/>
        <v/>
      </c>
      <c r="L34" s="142"/>
      <c r="M34" s="142"/>
      <c r="N34" s="142"/>
      <c r="O34" s="142"/>
      <c r="P34" s="142"/>
      <c r="Q34" s="142"/>
    </row>
    <row r="35" spans="1:17" x14ac:dyDescent="0.4">
      <c r="A35" t="str">
        <f>IF($AK$9="","",INDEX(posID,$AK$9))</f>
        <v>NFR-04</v>
      </c>
      <c r="B35" t="str">
        <f>IF($AK$9="","",INDEX(posNome,$AK$9))</f>
        <v>Eventi climatici estremi su sedi e data center</v>
      </c>
      <c r="C35" s="46">
        <f>IF($AK$9="",NA(),INDEX($AE$5:$AE$24,$AK$9))</f>
        <v>0</v>
      </c>
      <c r="D35" s="46">
        <f>IF($AK$9="",NA(),INDEX($AF$5:$AF$24,$AK$9))</f>
        <v>0</v>
      </c>
      <c r="E35" s="46">
        <f>IF($AK$9="",NA(),INDEX($AG$5:$AG$24,$AK$9))</f>
        <v>0</v>
      </c>
      <c r="F35" s="46">
        <f>IF($AK$9="",NA(),INDEX($AH$5:$AH$24,$AK$9))</f>
        <v>0</v>
      </c>
      <c r="G35" s="46">
        <f>IF($AK$9="",NA(),INDEX($AI$5:$AI$24,$AK$9))</f>
        <v>0</v>
      </c>
      <c r="K35" s="142" t="str">
        <f t="shared" si="9"/>
        <v/>
      </c>
      <c r="L35" s="142"/>
      <c r="M35" s="142"/>
      <c r="N35" s="142"/>
      <c r="O35" s="142"/>
      <c r="P35" s="142"/>
      <c r="Q35" s="142"/>
    </row>
    <row r="36" spans="1:17" x14ac:dyDescent="0.4">
      <c r="A36" t="str">
        <f>IF($AK$10="","",INDEX(posID,$AK$10))</f>
        <v>NFR-05</v>
      </c>
      <c r="B36" t="str">
        <f>IF($AK$10="","",INDEX(posNome,$AK$10))</f>
        <v>Errori di processo nella migrazione del core banking</v>
      </c>
      <c r="C36" s="46">
        <f>IF($AK$10="",NA(),INDEX($AE$5:$AE$24,$AK$10))</f>
        <v>0</v>
      </c>
      <c r="D36" s="46">
        <f>IF($AK$10="",NA(),INDEX($AF$5:$AF$24,$AK$10))</f>
        <v>0</v>
      </c>
      <c r="E36" s="46">
        <f>IF($AK$10="",NA(),INDEX($AG$5:$AG$24,$AK$10))</f>
        <v>0</v>
      </c>
      <c r="F36" s="46">
        <f>IF($AK$10="",NA(),INDEX($AH$5:$AH$24,$AK$10))</f>
        <v>0</v>
      </c>
      <c r="G36" s="46">
        <f>IF($AK$10="",NA(),INDEX($AI$5:$AI$24,$AK$10))</f>
        <v>0</v>
      </c>
      <c r="K36" s="142" t="str">
        <f t="shared" si="9"/>
        <v/>
      </c>
      <c r="L36" s="142"/>
      <c r="M36" s="142"/>
      <c r="N36" s="142"/>
      <c r="O36" s="142"/>
      <c r="P36" s="142"/>
      <c r="Q36" s="142"/>
    </row>
    <row r="37" spans="1:17" x14ac:dyDescent="0.4">
      <c r="A37" t="str">
        <f>IF($AK$11="","",INDEX(posID,$AK$11))</f>
        <v>NFR-06</v>
      </c>
      <c r="B37" t="str">
        <f>IF($AK$11="","",INDEX(posNome,$AK$11))</f>
        <v>Esfiltrazione di dati tramite strumenti di AI non autorizzati</v>
      </c>
      <c r="C37" s="46">
        <f>IF($AK$11="",NA(),INDEX($AE$5:$AE$24,$AK$11))</f>
        <v>0</v>
      </c>
      <c r="D37" s="46">
        <f>IF($AK$11="",NA(),INDEX($AF$5:$AF$24,$AK$11))</f>
        <v>0</v>
      </c>
      <c r="E37" s="46">
        <f>IF($AK$11="",NA(),INDEX($AG$5:$AG$24,$AK$11))</f>
        <v>0</v>
      </c>
      <c r="F37" s="46">
        <f>IF($AK$11="",NA(),INDEX($AH$5:$AH$24,$AK$11))</f>
        <v>0</v>
      </c>
      <c r="G37" s="46">
        <f>IF($AK$11="",NA(),INDEX($AI$5:$AI$24,$AK$11))</f>
        <v>0</v>
      </c>
      <c r="K37" s="142" t="str">
        <f t="shared" si="9"/>
        <v/>
      </c>
      <c r="L37" s="142"/>
      <c r="M37" s="142"/>
      <c r="N37" s="142"/>
      <c r="O37" s="142"/>
      <c r="P37" s="142"/>
      <c r="Q37" s="142"/>
    </row>
    <row r="38" spans="1:17" x14ac:dyDescent="0.4">
      <c r="A38" t="str">
        <f>IF($AK$12="","",INDEX(posID,$AK$12))</f>
        <v>NFR-07</v>
      </c>
      <c r="B38" t="str">
        <f>IF($AK$12="","",INDEX(posNome,$AK$12))</f>
        <v>Ransomware presso un fornitore di servizi di pagamento</v>
      </c>
      <c r="C38" s="46">
        <f>IF($AK$12="",NA(),INDEX($AE$5:$AE$24,$AK$12))</f>
        <v>0</v>
      </c>
      <c r="D38" s="46">
        <f>IF($AK$12="",NA(),INDEX($AF$5:$AF$24,$AK$12))</f>
        <v>0</v>
      </c>
      <c r="E38" s="46">
        <f>IF($AK$12="",NA(),INDEX($AG$5:$AG$24,$AK$12))</f>
        <v>0</v>
      </c>
      <c r="F38" s="46">
        <f>IF($AK$12="",NA(),INDEX($AH$5:$AH$24,$AK$12))</f>
        <v>0</v>
      </c>
      <c r="G38" s="46">
        <f>IF($AK$12="",NA(),INDEX($AI$5:$AI$24,$AK$12))</f>
        <v>0</v>
      </c>
      <c r="K38" s="142" t="str">
        <f t="shared" si="9"/>
        <v/>
      </c>
      <c r="L38" s="142"/>
      <c r="M38" s="142"/>
      <c r="N38" s="142"/>
      <c r="O38" s="142"/>
      <c r="P38" s="142"/>
      <c r="Q38" s="142"/>
    </row>
    <row r="39" spans="1:17" x14ac:dyDescent="0.4">
      <c r="A39" t="str">
        <f>IF($AK$13="","",INDEX(posID,$AK$13))</f>
        <v>NFR-08</v>
      </c>
      <c r="B39" t="str">
        <f>IF($AK$13="","",INDEX(posNome,$AK$13))</f>
        <v>Accessi impropri di dipendenti ai dati dei clienti</v>
      </c>
      <c r="C39" s="46">
        <f>IF($AK$13="",NA(),INDEX($AE$5:$AE$24,$AK$13))</f>
        <v>0</v>
      </c>
      <c r="D39" s="46">
        <f>IF($AK$13="",NA(),INDEX($AF$5:$AF$24,$AK$13))</f>
        <v>0</v>
      </c>
      <c r="E39" s="46">
        <f>IF($AK$13="",NA(),INDEX($AG$5:$AG$24,$AK$13))</f>
        <v>0</v>
      </c>
      <c r="F39" s="46">
        <f>IF($AK$13="",NA(),INDEX($AH$5:$AH$24,$AK$13))</f>
        <v>0</v>
      </c>
      <c r="G39" s="46">
        <f>IF($AK$13="",NA(),INDEX($AI$5:$AI$24,$AK$13))</f>
        <v>0</v>
      </c>
      <c r="K39" s="142" t="str">
        <f t="shared" si="9"/>
        <v/>
      </c>
      <c r="L39" s="142"/>
      <c r="M39" s="142"/>
      <c r="N39" s="142"/>
      <c r="O39" s="142"/>
      <c r="P39" s="142"/>
      <c r="Q39" s="142"/>
    </row>
    <row r="40" spans="1:17" x14ac:dyDescent="0.4">
      <c r="A40" t="str">
        <f>IF($AK$14="","",INDEX(posID,$AK$14))</f>
        <v>NFR-09</v>
      </c>
      <c r="B40" t="str">
        <f>IF($AK$14="","",INDEX(posNome,$AK$14))</f>
        <v>Violazione di sanzioni internazionali tramite triangolazioni</v>
      </c>
      <c r="C40" s="46">
        <f>IF($AK$14="",NA(),INDEX($AE$5:$AE$24,$AK$14))</f>
        <v>0</v>
      </c>
      <c r="D40" s="46">
        <f>IF($AK$14="",NA(),INDEX($AF$5:$AF$24,$AK$14))</f>
        <v>0</v>
      </c>
      <c r="E40" s="46">
        <f>IF($AK$14="",NA(),INDEX($AG$5:$AG$24,$AK$14))</f>
        <v>0</v>
      </c>
      <c r="F40" s="46">
        <f>IF($AK$14="",NA(),INDEX($AH$5:$AH$24,$AK$14))</f>
        <v>0</v>
      </c>
      <c r="G40" s="46">
        <f>IF($AK$14="",NA(),INDEX($AI$5:$AI$24,$AK$14))</f>
        <v>0</v>
      </c>
      <c r="K40" s="142" t="str">
        <f t="shared" si="9"/>
        <v/>
      </c>
      <c r="L40" s="142"/>
      <c r="M40" s="142"/>
      <c r="N40" s="142"/>
      <c r="O40" s="142"/>
      <c r="P40" s="142"/>
      <c r="Q40" s="142"/>
    </row>
    <row r="41" spans="1:17" x14ac:dyDescent="0.4">
      <c r="A41" t="str">
        <f>IF($AK$15="","",INDEX(posID,$AK$15))</f>
        <v>NFR-10</v>
      </c>
      <c r="B41" t="str">
        <f>IF($AK$15="","",INDEX(posNome,$AK$15))</f>
        <v>Informazioni errate ai clienti da assistenti di AI generativa</v>
      </c>
      <c r="C41" s="46">
        <f>IF($AK$15="",NA(),INDEX($AE$5:$AE$24,$AK$15))</f>
        <v>0</v>
      </c>
      <c r="D41" s="46">
        <f>IF($AK$15="",NA(),INDEX($AF$5:$AF$24,$AK$15))</f>
        <v>0</v>
      </c>
      <c r="E41" s="46">
        <f>IF($AK$15="",NA(),INDEX($AG$5:$AG$24,$AK$15))</f>
        <v>0</v>
      </c>
      <c r="F41" s="46">
        <f>IF($AK$15="",NA(),INDEX($AH$5:$AH$24,$AK$15))</f>
        <v>0</v>
      </c>
      <c r="G41" s="46">
        <f>IF($AK$15="",NA(),INDEX($AI$5:$AI$24,$AK$15))</f>
        <v>0</v>
      </c>
      <c r="K41" s="142" t="str">
        <f t="shared" si="9"/>
        <v/>
      </c>
      <c r="L41" s="142"/>
      <c r="M41" s="142"/>
      <c r="N41" s="142"/>
      <c r="O41" s="142"/>
      <c r="P41" s="142"/>
      <c r="Q41" s="142"/>
    </row>
    <row r="42" spans="1:17" x14ac:dyDescent="0.4">
      <c r="A42" t="str">
        <f>IF($AK$16="","",INDEX(posID,$AK$16))</f>
        <v>NFR-11</v>
      </c>
      <c r="B42" t="str">
        <f>IF($AK$16="","",INDEX(posNome,$AK$16))</f>
        <v>Fine del supporto dei sistemi di pagamento legacy</v>
      </c>
      <c r="C42" s="46">
        <f>IF($AK$16="",NA(),INDEX($AE$5:$AE$24,$AK$16))</f>
        <v>0</v>
      </c>
      <c r="D42" s="46">
        <f>IF($AK$16="",NA(),INDEX($AF$5:$AF$24,$AK$16))</f>
        <v>0</v>
      </c>
      <c r="E42" s="46">
        <f>IF($AK$16="",NA(),INDEX($AG$5:$AG$24,$AK$16))</f>
        <v>0</v>
      </c>
      <c r="F42" s="46">
        <f>IF($AK$16="",NA(),INDEX($AH$5:$AH$24,$AK$16))</f>
        <v>0</v>
      </c>
      <c r="G42" s="46">
        <f>IF($AK$16="",NA(),INDEX($AI$5:$AI$24,$AK$16))</f>
        <v>0</v>
      </c>
      <c r="K42" s="142" t="str">
        <f t="shared" si="9"/>
        <v/>
      </c>
      <c r="L42" s="142"/>
      <c r="M42" s="142"/>
      <c r="N42" s="142"/>
      <c r="O42" s="142"/>
      <c r="P42" s="142"/>
      <c r="Q42" s="142"/>
    </row>
    <row r="43" spans="1:17" x14ac:dyDescent="0.4">
      <c r="A43" t="str">
        <f>IF($AK$17="","",INDEX(posID,$AK$17))</f>
        <v>NFR-12</v>
      </c>
      <c r="B43" t="str">
        <f>IF($AK$17="","",INDEX(posNome,$AK$17))</f>
        <v>Errori operativi nei pagamenti istantanei obbligatori</v>
      </c>
      <c r="C43" s="46">
        <f>IF($AK$17="",NA(),INDEX($AE$5:$AE$24,$AK$17))</f>
        <v>0</v>
      </c>
      <c r="D43" s="46">
        <f>IF($AK$17="",NA(),INDEX($AF$5:$AF$24,$AK$17))</f>
        <v>0</v>
      </c>
      <c r="E43" s="46">
        <f>IF($AK$17="",NA(),INDEX($AG$5:$AG$24,$AK$17))</f>
        <v>0</v>
      </c>
      <c r="F43" s="46">
        <f>IF($AK$17="",NA(),INDEX($AH$5:$AH$24,$AK$17))</f>
        <v>0</v>
      </c>
      <c r="G43" s="46">
        <f>IF($AK$17="",NA(),INDEX($AI$5:$AI$24,$AK$17))</f>
        <v>0</v>
      </c>
      <c r="K43" s="142" t="str">
        <f t="shared" si="9"/>
        <v/>
      </c>
      <c r="L43" s="142"/>
      <c r="M43" s="142"/>
      <c r="N43" s="142"/>
      <c r="O43" s="142"/>
      <c r="P43" s="142"/>
      <c r="Q43" s="142"/>
    </row>
    <row r="44" spans="1:17" x14ac:dyDescent="0.4">
      <c r="A44" t="str">
        <f>IF($AK$18="","",INDEX(posID,$AK$18))</f>
        <v/>
      </c>
      <c r="B44" t="str">
        <f>IF($AK$18="","",INDEX(posNome,$AK$18))</f>
        <v/>
      </c>
      <c r="C44" s="46" t="e">
        <f>IF($AK$18="",NA(),INDEX($AE$5:$AE$24,$AK$18))</f>
        <v>#N/A</v>
      </c>
      <c r="D44" s="46" t="e">
        <f>IF($AK$18="",NA(),INDEX($AF$5:$AF$24,$AK$18))</f>
        <v>#N/A</v>
      </c>
      <c r="E44" s="46" t="e">
        <f>IF($AK$18="",NA(),INDEX($AG$5:$AG$24,$AK$18))</f>
        <v>#N/A</v>
      </c>
      <c r="F44" s="46" t="e">
        <f>IF($AK$18="",NA(),INDEX($AH$5:$AH$24,$AK$18))</f>
        <v>#N/A</v>
      </c>
      <c r="G44" s="46" t="e">
        <f>IF($AK$18="",NA(),INDEX($AI$5:$AI$24,$AK$18))</f>
        <v>#N/A</v>
      </c>
      <c r="K44" s="142" t="str">
        <f t="shared" si="9"/>
        <v/>
      </c>
      <c r="L44" s="142"/>
      <c r="M44" s="142"/>
      <c r="N44" s="142"/>
      <c r="O44" s="142"/>
      <c r="P44" s="142"/>
      <c r="Q44" s="142"/>
    </row>
    <row r="45" spans="1:17" x14ac:dyDescent="0.4">
      <c r="A45" t="str">
        <f>IF($AK$19="","",INDEX(posID,$AK$19))</f>
        <v/>
      </c>
      <c r="B45" t="str">
        <f>IF($AK$19="","",INDEX(posNome,$AK$19))</f>
        <v/>
      </c>
      <c r="C45" s="46" t="e">
        <f>IF($AK$19="",NA(),INDEX($AE$5:$AE$24,$AK$19))</f>
        <v>#N/A</v>
      </c>
      <c r="D45" s="46" t="e">
        <f>IF($AK$19="",NA(),INDEX($AF$5:$AF$24,$AK$19))</f>
        <v>#N/A</v>
      </c>
      <c r="E45" s="46" t="e">
        <f>IF($AK$19="",NA(),INDEX($AG$5:$AG$24,$AK$19))</f>
        <v>#N/A</v>
      </c>
      <c r="F45" s="46" t="e">
        <f>IF($AK$19="",NA(),INDEX($AH$5:$AH$24,$AK$19))</f>
        <v>#N/A</v>
      </c>
      <c r="G45" s="46" t="e">
        <f>IF($AK$19="",NA(),INDEX($AI$5:$AI$24,$AK$19))</f>
        <v>#N/A</v>
      </c>
      <c r="K45" s="142" t="str">
        <f t="shared" si="9"/>
        <v/>
      </c>
      <c r="L45" s="142"/>
      <c r="M45" s="142"/>
      <c r="N45" s="142"/>
      <c r="O45" s="142"/>
      <c r="P45" s="142"/>
      <c r="Q45" s="142"/>
    </row>
    <row r="46" spans="1:17" x14ac:dyDescent="0.4">
      <c r="A46" t="str">
        <f>IF($AK$20="","",INDEX(posID,$AK$20))</f>
        <v/>
      </c>
      <c r="B46" t="str">
        <f>IF($AK$20="","",INDEX(posNome,$AK$20))</f>
        <v/>
      </c>
      <c r="C46" s="46" t="e">
        <f>IF($AK$20="",NA(),INDEX($AE$5:$AE$24,$AK$20))</f>
        <v>#N/A</v>
      </c>
      <c r="D46" s="46" t="e">
        <f>IF($AK$20="",NA(),INDEX($AF$5:$AF$24,$AK$20))</f>
        <v>#N/A</v>
      </c>
      <c r="E46" s="46" t="e">
        <f>IF($AK$20="",NA(),INDEX($AG$5:$AG$24,$AK$20))</f>
        <v>#N/A</v>
      </c>
      <c r="F46" s="46" t="e">
        <f>IF($AK$20="",NA(),INDEX($AH$5:$AH$24,$AK$20))</f>
        <v>#N/A</v>
      </c>
      <c r="G46" s="46" t="e">
        <f>IF($AK$20="",NA(),INDEX($AI$5:$AI$24,$AK$20))</f>
        <v>#N/A</v>
      </c>
      <c r="K46" s="142" t="str">
        <f t="shared" si="9"/>
        <v/>
      </c>
      <c r="L46" s="142"/>
      <c r="M46" s="142"/>
      <c r="N46" s="142"/>
      <c r="O46" s="142"/>
      <c r="P46" s="142"/>
      <c r="Q46" s="142"/>
    </row>
    <row r="47" spans="1:17" x14ac:dyDescent="0.4">
      <c r="A47" t="str">
        <f>IF($AK$21="","",INDEX(posID,$AK$21))</f>
        <v/>
      </c>
      <c r="B47" t="str">
        <f>IF($AK$21="","",INDEX(posNome,$AK$21))</f>
        <v/>
      </c>
      <c r="C47" s="46" t="e">
        <f>IF($AK$21="",NA(),INDEX($AE$5:$AE$24,$AK$21))</f>
        <v>#N/A</v>
      </c>
      <c r="D47" s="46" t="e">
        <f>IF($AK$21="",NA(),INDEX($AF$5:$AF$24,$AK$21))</f>
        <v>#N/A</v>
      </c>
      <c r="E47" s="46" t="e">
        <f>IF($AK$21="",NA(),INDEX($AG$5:$AG$24,$AK$21))</f>
        <v>#N/A</v>
      </c>
      <c r="F47" s="46" t="e">
        <f>IF($AK$21="",NA(),INDEX($AH$5:$AH$24,$AK$21))</f>
        <v>#N/A</v>
      </c>
      <c r="G47" s="46" t="e">
        <f>IF($AK$21="",NA(),INDEX($AI$5:$AI$24,$AK$21))</f>
        <v>#N/A</v>
      </c>
      <c r="K47" s="142" t="str">
        <f t="shared" si="9"/>
        <v/>
      </c>
      <c r="L47" s="142"/>
      <c r="M47" s="142"/>
      <c r="N47" s="142"/>
      <c r="O47" s="142"/>
      <c r="P47" s="142"/>
      <c r="Q47" s="142"/>
    </row>
    <row r="48" spans="1:17" x14ac:dyDescent="0.4">
      <c r="A48" t="str">
        <f>IF($AK$22="","",INDEX(posID,$AK$22))</f>
        <v/>
      </c>
      <c r="B48" t="str">
        <f>IF($AK$22="","",INDEX(posNome,$AK$22))</f>
        <v/>
      </c>
      <c r="C48" s="46" t="e">
        <f>IF($AK$22="",NA(),INDEX($AE$5:$AE$24,$AK$22))</f>
        <v>#N/A</v>
      </c>
      <c r="D48" s="46" t="e">
        <f>IF($AK$22="",NA(),INDEX($AF$5:$AF$24,$AK$22))</f>
        <v>#N/A</v>
      </c>
      <c r="E48" s="46" t="e">
        <f>IF($AK$22="",NA(),INDEX($AG$5:$AG$24,$AK$22))</f>
        <v>#N/A</v>
      </c>
      <c r="F48" s="46" t="e">
        <f>IF($AK$22="",NA(),INDEX($AH$5:$AH$24,$AK$22))</f>
        <v>#N/A</v>
      </c>
      <c r="G48" s="46" t="e">
        <f>IF($AK$22="",NA(),INDEX($AI$5:$AI$24,$AK$22))</f>
        <v>#N/A</v>
      </c>
      <c r="K48" s="142" t="str">
        <f t="shared" si="9"/>
        <v/>
      </c>
      <c r="L48" s="142"/>
      <c r="M48" s="142"/>
      <c r="N48" s="142"/>
      <c r="O48" s="142"/>
      <c r="P48" s="142"/>
      <c r="Q48" s="142"/>
    </row>
    <row r="49" spans="1:17" x14ac:dyDescent="0.4">
      <c r="A49" t="str">
        <f>IF($AK$23="","",INDEX(posID,$AK$23))</f>
        <v/>
      </c>
      <c r="B49" t="str">
        <f>IF($AK$23="","",INDEX(posNome,$AK$23))</f>
        <v/>
      </c>
      <c r="C49" s="46" t="e">
        <f>IF($AK$23="",NA(),INDEX($AE$5:$AE$24,$AK$23))</f>
        <v>#N/A</v>
      </c>
      <c r="D49" s="46" t="e">
        <f>IF($AK$23="",NA(),INDEX($AF$5:$AF$24,$AK$23))</f>
        <v>#N/A</v>
      </c>
      <c r="E49" s="46" t="e">
        <f>IF($AK$23="",NA(),INDEX($AG$5:$AG$24,$AK$23))</f>
        <v>#N/A</v>
      </c>
      <c r="F49" s="46" t="e">
        <f>IF($AK$23="",NA(),INDEX($AH$5:$AH$24,$AK$23))</f>
        <v>#N/A</v>
      </c>
      <c r="G49" s="46" t="e">
        <f>IF($AK$23="",NA(),INDEX($AI$5:$AI$24,$AK$23))</f>
        <v>#N/A</v>
      </c>
      <c r="K49" s="142" t="str">
        <f t="shared" si="9"/>
        <v/>
      </c>
      <c r="L49" s="142"/>
      <c r="M49" s="142"/>
      <c r="N49" s="142"/>
      <c r="O49" s="142"/>
      <c r="P49" s="142"/>
      <c r="Q49" s="142"/>
    </row>
    <row r="50" spans="1:17" x14ac:dyDescent="0.4">
      <c r="A50" t="str">
        <f>IF($AK$24="","",INDEX(posID,$AK$24))</f>
        <v/>
      </c>
      <c r="B50" t="str">
        <f>IF($AK$24="","",INDEX(posNome,$AK$24))</f>
        <v/>
      </c>
      <c r="C50" s="46" t="e">
        <f>IF($AK$24="",NA(),INDEX($AE$5:$AE$24,$AK$24))</f>
        <v>#N/A</v>
      </c>
      <c r="D50" s="46" t="e">
        <f>IF($AK$24="",NA(),INDEX($AF$5:$AF$24,$AK$24))</f>
        <v>#N/A</v>
      </c>
      <c r="E50" s="46" t="e">
        <f>IF($AK$24="",NA(),INDEX($AG$5:$AG$24,$AK$24))</f>
        <v>#N/A</v>
      </c>
      <c r="F50" s="46" t="e">
        <f>IF($AK$24="",NA(),INDEX($AH$5:$AH$24,$AK$24))</f>
        <v>#N/A</v>
      </c>
      <c r="G50" s="46" t="e">
        <f>IF($AK$24="",NA(),INDEX($AI$5:$AI$24,$AK$24))</f>
        <v>#N/A</v>
      </c>
      <c r="K50" s="142" t="str">
        <f t="shared" si="9"/>
        <v/>
      </c>
      <c r="L50" s="142"/>
      <c r="M50" s="142"/>
      <c r="N50" s="142"/>
      <c r="O50" s="142"/>
      <c r="P50" s="142"/>
      <c r="Q50" s="142"/>
    </row>
    <row r="52" spans="1:17" ht="15" customHeight="1" x14ac:dyDescent="0.4">
      <c r="A52" s="141" t="s">
        <v>263</v>
      </c>
      <c r="B52" s="142"/>
      <c r="C52" s="142"/>
      <c r="D52" s="142"/>
      <c r="E52" s="142"/>
      <c r="F52" s="142"/>
      <c r="G52" s="142"/>
      <c r="H52" s="142"/>
      <c r="I52" s="142"/>
      <c r="J52" s="142"/>
      <c r="K52" s="142"/>
      <c r="L52" s="142"/>
      <c r="M52" s="142"/>
      <c r="N52" s="142"/>
      <c r="O52" s="142"/>
      <c r="P52" s="142"/>
      <c r="Q52" s="142"/>
    </row>
  </sheetData>
  <mergeCells count="47">
    <mergeCell ref="A52:Q52"/>
    <mergeCell ref="K43:Q43"/>
    <mergeCell ref="M19:Q19"/>
    <mergeCell ref="K42:Q42"/>
    <mergeCell ref="A2:Q2"/>
    <mergeCell ref="M18:Q18"/>
    <mergeCell ref="K47:Q47"/>
    <mergeCell ref="K32:Q32"/>
    <mergeCell ref="K50:Q50"/>
    <mergeCell ref="K44:Q44"/>
    <mergeCell ref="M8:Q8"/>
    <mergeCell ref="K41:Q41"/>
    <mergeCell ref="M17:Q17"/>
    <mergeCell ref="K31:Q31"/>
    <mergeCell ref="M24:Q24"/>
    <mergeCell ref="K46:Q46"/>
    <mergeCell ref="M23:Q23"/>
    <mergeCell ref="K45:Q45"/>
    <mergeCell ref="K35:Q35"/>
    <mergeCell ref="M14:Q14"/>
    <mergeCell ref="A1:Q1"/>
    <mergeCell ref="K37:Q37"/>
    <mergeCell ref="M20:Q20"/>
    <mergeCell ref="K4:Q4"/>
    <mergeCell ref="M7:Q7"/>
    <mergeCell ref="M9:Q9"/>
    <mergeCell ref="M5:Q5"/>
    <mergeCell ref="M15:Q15"/>
    <mergeCell ref="M21:Q21"/>
    <mergeCell ref="A29:J29"/>
    <mergeCell ref="M6:Q6"/>
    <mergeCell ref="K49:Q49"/>
    <mergeCell ref="M11:Q11"/>
    <mergeCell ref="M10:Q10"/>
    <mergeCell ref="K34:Q34"/>
    <mergeCell ref="M22:Q22"/>
    <mergeCell ref="M13:Q13"/>
    <mergeCell ref="K33:Q33"/>
    <mergeCell ref="M16:Q16"/>
    <mergeCell ref="M12:Q12"/>
    <mergeCell ref="A27:Q27"/>
    <mergeCell ref="M25:Q25"/>
    <mergeCell ref="K39:Q39"/>
    <mergeCell ref="K48:Q48"/>
    <mergeCell ref="K38:Q38"/>
    <mergeCell ref="K36:Q36"/>
    <mergeCell ref="K40:Q40"/>
  </mergeCells>
  <conditionalFormatting sqref="C31:G50">
    <cfRule type="expression" dxfId="121" priority="4">
      <formula>ISNA(C31)</formula>
    </cfRule>
  </conditionalFormatting>
  <conditionalFormatting sqref="G31:G50">
    <cfRule type="expression" dxfId="120" priority="5">
      <formula>AND(ISNUMBER(G31),G31&gt;=sogliaDelta)</formula>
    </cfRule>
    <cfRule type="expression" dxfId="119" priority="6">
      <formula>AND(ISNUMBER(G31),G31&lt;=-sogliaDelta)</formula>
    </cfRule>
  </conditionalFormatting>
  <conditionalFormatting sqref="K6:Q25">
    <cfRule type="expression" dxfId="118" priority="3">
      <formula>$K6&lt;&gt;""</formula>
    </cfRule>
  </conditionalFormatting>
  <conditionalFormatting sqref="L6:L25">
    <cfRule type="expression" dxfId="117" priority="1">
      <formula>AND(ISNUMBER(L6),L6&gt;0)</formula>
    </cfRule>
    <cfRule type="expression" dxfId="116" priority="2">
      <formula>AND(ISNUMBER(L6),L6&lt;0)</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rowBreaks count="1" manualBreakCount="1">
    <brk id="26"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L37"/>
  <sheetViews>
    <sheetView showGridLines="0" workbookViewId="0"/>
  </sheetViews>
  <sheetFormatPr defaultRowHeight="14.6" x14ac:dyDescent="0.4"/>
  <cols>
    <col min="1" max="1" width="4" customWidth="1"/>
    <col min="2" max="2" width="8" customWidth="1"/>
    <col min="3" max="3" width="30" customWidth="1"/>
    <col min="4" max="4" width="18" customWidth="1"/>
    <col min="5" max="5" width="12" customWidth="1"/>
    <col min="6" max="6" width="7" customWidth="1"/>
    <col min="7" max="7" width="34" customWidth="1"/>
    <col min="8" max="8" width="9" customWidth="1"/>
    <col min="9" max="9" width="38" customWidth="1"/>
    <col min="10" max="10" width="16" customWidth="1"/>
    <col min="11" max="11" width="9" customWidth="1"/>
    <col min="12" max="12" width="13" hidden="1" customWidth="1"/>
  </cols>
  <sheetData>
    <row r="1" spans="1:12" ht="28" customHeight="1" x14ac:dyDescent="0.4">
      <c r="A1" s="161" t="str">
        <f>"Horizon Scan NFR — Rischi in osservazione   ·   "&amp;etichettaCiclo</f>
        <v>Horizon Scan NFR — Rischi in osservazione   ·   Ciclo 2026Q4 · dati al 31/12/2026 · validato · Uso interno</v>
      </c>
      <c r="B1" s="162"/>
      <c r="C1" s="162"/>
      <c r="D1" s="162"/>
      <c r="E1" s="162"/>
      <c r="F1" s="162"/>
      <c r="G1" s="162"/>
      <c r="H1" s="162"/>
      <c r="I1" s="162"/>
      <c r="J1" s="162"/>
      <c r="K1" s="162"/>
    </row>
    <row r="2" spans="1:12" ht="45.55" customHeight="1" x14ac:dyDescent="0.4">
      <c r="A2" s="173" t="s">
        <v>264</v>
      </c>
      <c r="B2" s="142"/>
      <c r="C2" s="142"/>
      <c r="D2" s="142"/>
      <c r="E2" s="142"/>
      <c r="F2" s="142"/>
      <c r="G2" s="142"/>
      <c r="H2" s="142"/>
      <c r="I2" s="142"/>
      <c r="J2" s="142"/>
      <c r="K2" s="142"/>
    </row>
    <row r="4" spans="1:12" ht="20.05" customHeight="1" x14ac:dyDescent="0.4">
      <c r="A4" s="187" t="str">
        <f>IF(cicloCorrente="","","Registro unico: nel radar "&amp;COUNTIF(ANA_ID,"NFR-*")&amp;" rischi (capienza "&amp;capienzaRadar&amp;"), in osservazione "&amp;COUNTIFS(RR_Ciclo,cicloCorrente,RR_Stato,"Osservazione")&amp;" (al massimo 20) · nel ciclo: entrati nel radar "&amp;COUNTIFS(RR_Ciclo,cicloCorrente,RR_Movimento,"Entrato")&amp;", usciti "&amp;COUNTIFS(RR_Ciclo,cicloCorrente,RR_Movimento,"Uscito")&amp;", in uscita "&amp;COUNTIFS(RR_Ciclo,cicloCorrente,RR_Stato,"Radar, in uscita")&amp;".")</f>
        <v>Registro unico: nel radar 13 rischi (capienza 15), in osservazione 3 (al massimo 20) · nel ciclo: entrati nel radar 1, usciti 0, in uscita 0.</v>
      </c>
      <c r="B4" s="142"/>
      <c r="C4" s="142"/>
      <c r="D4" s="142"/>
      <c r="E4" s="142"/>
      <c r="F4" s="142"/>
      <c r="G4" s="142"/>
      <c r="H4" s="142"/>
      <c r="I4" s="142"/>
      <c r="J4" s="142"/>
      <c r="K4" s="142"/>
    </row>
    <row r="6" spans="1:12" ht="28" customHeight="1" x14ac:dyDescent="0.4">
      <c r="A6" s="47" t="s">
        <v>17</v>
      </c>
      <c r="B6" s="47" t="s">
        <v>173</v>
      </c>
      <c r="C6" s="47" t="s">
        <v>18</v>
      </c>
      <c r="D6" s="47" t="s">
        <v>202</v>
      </c>
      <c r="E6" s="47" t="s">
        <v>265</v>
      </c>
      <c r="F6" s="47" t="s">
        <v>19</v>
      </c>
      <c r="G6" s="47" t="s">
        <v>266</v>
      </c>
      <c r="H6" s="47" t="s">
        <v>267</v>
      </c>
      <c r="I6" s="47" t="s">
        <v>268</v>
      </c>
      <c r="J6" s="47" t="s">
        <v>269</v>
      </c>
      <c r="K6" s="47" t="s">
        <v>270</v>
      </c>
    </row>
    <row r="7" spans="1:12" ht="41.5" customHeight="1" x14ac:dyDescent="0.4">
      <c r="A7" s="48">
        <f>IF($L7="","",1)</f>
        <v>1</v>
      </c>
      <c r="B7" s="49" t="str">
        <f>IF($L7="","",INDEX(RiskRegister!$C:$C,$L7)&amp;"")</f>
        <v>NFR-14</v>
      </c>
      <c r="C7" s="50" t="str">
        <f>IF($L7="","",INDEX(RiskRegister!$D:$D,$L7)&amp;"")</f>
        <v>Interruzione di cavi sottomarini per una crisi geopolitica</v>
      </c>
      <c r="D7" s="50" t="str">
        <f>IF($L7="","",INDEX(RiskRegister!$E:$E,$L7)&amp;" "&amp;IFERROR(INDEX(nomiL1,MATCH(INDEX(RiskRegister!$E:$E,$L7),codiciL1,0)),""))</f>
        <v>9.6 Tecnologico</v>
      </c>
      <c r="E7" s="48" t="str">
        <f>IF($L7="","",INDEX(RiskRegister!$G:$G,$L7)&amp;" · "&amp;INDEX(RiskRegister!$K:$K,$L7)&amp;" · "&amp;INDEX(RiskRegister!$I:$I,$L7)&amp;" · "&amp;IF(INDEX(RiskRegister!$H:$H,$L7)="","—",INDEX(RiskRegister!$H:$H,$L7)))</f>
        <v>4 · 3 · 1 · 4</v>
      </c>
      <c r="F7" s="51">
        <f>IF($L7="","",IF(INDEX(RiskRegister!$J:$J,$L7)="","",INDEX(RiskRegister!$J:$J,$L7)))</f>
        <v>3.15</v>
      </c>
      <c r="G7" s="50" t="str">
        <f>IF($L7="","",INDEX(RiskRegister!$AA:$AA,$L7)&amp;"")</f>
        <v>Prossimita 1 sotto la soglia 2</v>
      </c>
      <c r="H7" s="48" t="str">
        <f>IF($L7="","",IF(INDEX(RiskRegister!$AD:$AD,$L7)="","—",INDEX(RiskRegister!$AD:$AD,$L7)&amp;" anni"))</f>
        <v>4 anni</v>
      </c>
      <c r="I7" s="50" t="str">
        <f>IF($L7="","",INDEX(RiskRegister!$AE:$AE,$L7)&amp;"")</f>
        <v>Danneggiamento doloso di un cavo che serve l'Italia, o un'esercitazione delle autorita' sul ripristino della connettivita'.</v>
      </c>
      <c r="J7" s="50" t="str">
        <f>SUBSTITUTE(SUBSTITUTE(SUBSTITUTE(SUBSTITUTE(SUBSTITUTE(SUBSTITUTE(SUBSTITUTE(SUBSTITUTE(IF($L7="","",INDEX(RiskRegister!$F:$F,$L7)&amp;""),INDEX(codiciDriver,1),INDEX(nomiDriver,1)),INDEX(codiciDriver,2),INDEX(nomiDriver,2)),INDEX(codiciDriver,3),INDEX(nomiDriver,3)),INDEX(codiciDriver,4),INDEX(nomiDriver,4)),INDEX(codiciDriver,5),INDEX(nomiDriver,5)),INDEX(codiciDriver,6),INDEX(nomiDriver,6)),INDEX(codiciDriver,7),INDEX(nomiDriver,7)),INDEX(codiciDriver,8),INDEX(nomiDriver,8))</f>
        <v>Geopolitica, Terze parti</v>
      </c>
      <c r="K7" s="48">
        <f>IF($L7="","",COUNTIFS(NW_Rischio_ID,INDEX(RiskRegister!$C:$C,$L7),NW_Settimana,"&gt;="&amp;inizioFinestra4,NW_Settimana,"&lt;="&amp;settimanaCorrente))</f>
        <v>0</v>
      </c>
      <c r="L7">
        <f>IFERROR(MATCH(_xlfn.AGGREGATE(14,6,RR_Ordine_Osservazione,1),RR_Ordine_Osservazione,0)+5,"")</f>
        <v>73</v>
      </c>
    </row>
    <row r="8" spans="1:12" ht="41.5" customHeight="1" x14ac:dyDescent="0.4">
      <c r="A8" s="48">
        <f>IF($L8="","",2)</f>
        <v>2</v>
      </c>
      <c r="B8" s="49" t="str">
        <f>IF($L8="","",INDEX(RiskRegister!$C:$C,$L8)&amp;"")</f>
        <v>NFR-13</v>
      </c>
      <c r="C8" s="50" t="str">
        <f>IF($L8="","",INDEX(RiskRegister!$D:$D,$L8)&amp;"")</f>
        <v>Rottura della crittografia dei pagamenti con il calcolo quantistico</v>
      </c>
      <c r="D8" s="50" t="str">
        <f>IF($L8="","",INDEX(RiskRegister!$E:$E,$L8)&amp;" "&amp;IFERROR(INDEX(nomiL1,MATCH(INDEX(RiskRegister!$E:$E,$L8),codiciL1,0)),""))</f>
        <v>9.7 Sicurezza informatica</v>
      </c>
      <c r="E8" s="48" t="str">
        <f>IF($L8="","",INDEX(RiskRegister!$G:$G,$L8)&amp;" · "&amp;INDEX(RiskRegister!$K:$K,$L8)&amp;" · "&amp;INDEX(RiskRegister!$I:$I,$L8)&amp;" · "&amp;IF(INDEX(RiskRegister!$H:$H,$L8)="","—",INDEX(RiskRegister!$H:$H,$L8)))</f>
        <v>5 · 1 · 1 · —</v>
      </c>
      <c r="F8" s="51">
        <f>IF($L8="","",IF(INDEX(RiskRegister!$J:$J,$L8)="","",INDEX(RiskRegister!$J:$J,$L8)))</f>
        <v>2.75</v>
      </c>
      <c r="G8" s="50" t="str">
        <f>IF($L8="","",INDEX(RiskRegister!$AA:$AA,$L8)&amp;"")</f>
        <v>Prossimita 1 sotto la soglia 2; Probabilita 1 sotto la soglia 2</v>
      </c>
      <c r="H8" s="48" t="str">
        <f>IF($L8="","",IF(INDEX(RiskRegister!$AD:$AD,$L8)="","—",INDEX(RiskRegister!$AD:$AD,$L8)&amp;" anni"))</f>
        <v>8 anni</v>
      </c>
      <c r="I8" s="50" t="str">
        <f>IF($L8="","",INDEX(RiskRegister!$AE:$AE,$L8)&amp;"")</f>
        <v>Annuncio verificato di un calcolatore in grado di rompere RSA-2048, o una scadenza regolamentare per la migrazione post-quantistica dei sistemi di pagamento.</v>
      </c>
      <c r="J8" s="50" t="str">
        <f>SUBSTITUTE(SUBSTITUTE(SUBSTITUTE(SUBSTITUTE(SUBSTITUTE(SUBSTITUTE(SUBSTITUTE(SUBSTITUTE(IF($L8="","",INDEX(RiskRegister!$F:$F,$L8)&amp;""),INDEX(codiciDriver,1),INDEX(nomiDriver,1)),INDEX(codiciDriver,2),INDEX(nomiDriver,2)),INDEX(codiciDriver,3),INDEX(nomiDriver,3)),INDEX(codiciDriver,4),INDEX(nomiDriver,4)),INDEX(codiciDriver,5),INDEX(nomiDriver,5)),INDEX(codiciDriver,6),INDEX(nomiDriver,6)),INDEX(codiciDriver,7),INDEX(nomiDriver,7)),INDEX(codiciDriver,8),INDEX(nomiDriver,8))</f>
        <v>Debito tecnologico, Cyber</v>
      </c>
      <c r="K8" s="48">
        <f>IF($L8="","",COUNTIFS(NW_Rischio_ID,INDEX(RiskRegister!$C:$C,$L8),NW_Settimana,"&gt;="&amp;inizioFinestra4,NW_Settimana,"&lt;="&amp;settimanaCorrente))</f>
        <v>0</v>
      </c>
      <c r="L8">
        <f>IFERROR(MATCH(_xlfn.AGGREGATE(14,6,RR_Ordine_Osservazione,2),RR_Ordine_Osservazione,0)+5,"")</f>
        <v>74</v>
      </c>
    </row>
    <row r="9" spans="1:12" ht="41.5" customHeight="1" x14ac:dyDescent="0.4">
      <c r="A9" s="48">
        <f>IF($L9="","",3)</f>
        <v>3</v>
      </c>
      <c r="B9" s="49" t="str">
        <f>IF($L9="","",INDEX(RiskRegister!$C:$C,$L9)&amp;"")</f>
        <v>NFR-15</v>
      </c>
      <c r="C9" s="50" t="str">
        <f>IF($L9="","",INDEX(RiskRegister!$D:$D,$L9)&amp;"")</f>
        <v>Responsabilita' per decisioni di agenti di IA autonomi verso i clienti</v>
      </c>
      <c r="D9" s="50" t="str">
        <f>IF($L9="","",INDEX(RiskRegister!$E:$E,$L9)&amp;" "&amp;IFERROR(INDEX(nomiL1,MATCH(INDEX(RiskRegister!$E:$E,$L9),codiciL1,0)),""))</f>
        <v>9.4 Legale</v>
      </c>
      <c r="E9" s="48" t="str">
        <f>IF($L9="","",INDEX(RiskRegister!$G:$G,$L9)&amp;" · "&amp;INDEX(RiskRegister!$K:$K,$L9)&amp;" · "&amp;INDEX(RiskRegister!$I:$I,$L9)&amp;" · "&amp;IF(INDEX(RiskRegister!$H:$H,$L9)="","—",INDEX(RiskRegister!$H:$H,$L9)))</f>
        <v>3 · 1 · 2 · —</v>
      </c>
      <c r="F9" s="51">
        <f>IF($L9="","",IF(INDEX(RiskRegister!$J:$J,$L9)="","",INDEX(RiskRegister!$J:$J,$L9)))</f>
        <v>2.13</v>
      </c>
      <c r="G9" s="50" t="str">
        <f>IF($L9="","",INDEX(RiskRegister!$AA:$AA,$L9)&amp;"")</f>
        <v>Probabilita 1 sotto la soglia 2</v>
      </c>
      <c r="H9" s="48" t="str">
        <f>IF($L9="","",IF(INDEX(RiskRegister!$AD:$AD,$L9)="","—",INDEX(RiskRegister!$AD:$AD,$L9)&amp;" anni"))</f>
        <v>4 anni</v>
      </c>
      <c r="I9" s="50" t="str">
        <f>IF($L9="","",INDEX(RiskRegister!$AE:$AE,$L9)&amp;"")</f>
        <v>Primo contenzioso o orientamento di un'autorita' europea su un'operazione bancaria disposta da un agente di IA.</v>
      </c>
      <c r="J9" s="50" t="str">
        <f>SUBSTITUTE(SUBSTITUTE(SUBSTITUTE(SUBSTITUTE(SUBSTITUTE(SUBSTITUTE(SUBSTITUTE(SUBSTITUTE(IF($L9="","",INDEX(RiskRegister!$F:$F,$L9)&amp;""),INDEX(codiciDriver,1),INDEX(nomiDriver,1)),INDEX(codiciDriver,2),INDEX(nomiDriver,2)),INDEX(codiciDriver,3),INDEX(nomiDriver,3)),INDEX(codiciDriver,4),INDEX(nomiDriver,4)),INDEX(codiciDriver,5),INDEX(nomiDriver,5)),INDEX(codiciDriver,6),INDEX(nomiDriver,6)),INDEX(codiciDriver,7),INDEX(nomiDriver,7)),INDEX(codiciDriver,8),INDEX(nomiDriver,8))</f>
        <v>Intelligenza artificiale, Condotta</v>
      </c>
      <c r="K9" s="48">
        <f>IF($L9="","",COUNTIFS(NW_Rischio_ID,INDEX(RiskRegister!$C:$C,$L9),NW_Settimana,"&gt;="&amp;inizioFinestra4,NW_Settimana,"&lt;="&amp;settimanaCorrente))</f>
        <v>0</v>
      </c>
      <c r="L9">
        <f>IFERROR(MATCH(_xlfn.AGGREGATE(14,6,RR_Ordine_Osservazione,3),RR_Ordine_Osservazione,0)+5,"")</f>
        <v>75</v>
      </c>
    </row>
    <row r="10" spans="1:12" ht="3" customHeight="1" x14ac:dyDescent="0.4">
      <c r="A10" s="48" t="str">
        <f>IF($L10="","",4)</f>
        <v/>
      </c>
      <c r="B10" s="49" t="str">
        <f>IF($L10="","",INDEX(RiskRegister!$C:$C,$L10)&amp;"")</f>
        <v/>
      </c>
      <c r="C10" s="50" t="str">
        <f>IF($L10="","",INDEX(RiskRegister!$D:$D,$L10)&amp;"")</f>
        <v/>
      </c>
      <c r="D10" s="50" t="str">
        <f>IF($L10="","",INDEX(RiskRegister!$E:$E,$L10)&amp;" "&amp;IFERROR(INDEX(nomiL1,MATCH(INDEX(RiskRegister!$E:$E,$L10),codiciL1,0)),""))</f>
        <v/>
      </c>
      <c r="E10" s="48" t="str">
        <f>IF($L10="","",INDEX(RiskRegister!$G:$G,$L10)&amp;" · "&amp;INDEX(RiskRegister!$K:$K,$L10)&amp;" · "&amp;INDEX(RiskRegister!$I:$I,$L10)&amp;" · "&amp;IF(INDEX(RiskRegister!$H:$H,$L10)="","—",INDEX(RiskRegister!$H:$H,$L10)))</f>
        <v/>
      </c>
      <c r="F10" s="51" t="str">
        <f>IF($L10="","",IF(INDEX(RiskRegister!$J:$J,$L10)="","",INDEX(RiskRegister!$J:$J,$L10)))</f>
        <v/>
      </c>
      <c r="G10" s="50" t="str">
        <f>IF($L10="","",INDEX(RiskRegister!$AA:$AA,$L10)&amp;"")</f>
        <v/>
      </c>
      <c r="H10" s="48" t="str">
        <f>IF($L10="","",IF(INDEX(RiskRegister!$AD:$AD,$L10)="","—",INDEX(RiskRegister!$AD:$AD,$L10)&amp;" anni"))</f>
        <v/>
      </c>
      <c r="I10" s="50" t="str">
        <f>IF($L10="","",INDEX(RiskRegister!$AE:$AE,$L10)&amp;"")</f>
        <v/>
      </c>
      <c r="J10" s="50" t="str">
        <f>SUBSTITUTE(SUBSTITUTE(SUBSTITUTE(SUBSTITUTE(SUBSTITUTE(SUBSTITUTE(SUBSTITUTE(SUBSTITUTE(IF($L10="","",INDEX(RiskRegister!$F:$F,$L10)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0" s="48" t="str">
        <f>IF($L10="","",COUNTIFS(NW_Rischio_ID,INDEX(RiskRegister!$C:$C,$L10),NW_Settimana,"&gt;="&amp;inizioFinestra4,NW_Settimana,"&lt;="&amp;settimanaCorrente))</f>
        <v/>
      </c>
      <c r="L10" t="str">
        <f>IFERROR(MATCH(_xlfn.AGGREGATE(14,6,RR_Ordine_Osservazione,4),RR_Ordine_Osservazione,0)+5,"")</f>
        <v/>
      </c>
    </row>
    <row r="11" spans="1:12" ht="3" customHeight="1" x14ac:dyDescent="0.4">
      <c r="A11" s="48" t="str">
        <f>IF($L11="","",5)</f>
        <v/>
      </c>
      <c r="B11" s="49" t="str">
        <f>IF($L11="","",INDEX(RiskRegister!$C:$C,$L11)&amp;"")</f>
        <v/>
      </c>
      <c r="C11" s="50" t="str">
        <f>IF($L11="","",INDEX(RiskRegister!$D:$D,$L11)&amp;"")</f>
        <v/>
      </c>
      <c r="D11" s="50" t="str">
        <f>IF($L11="","",INDEX(RiskRegister!$E:$E,$L11)&amp;" "&amp;IFERROR(INDEX(nomiL1,MATCH(INDEX(RiskRegister!$E:$E,$L11),codiciL1,0)),""))</f>
        <v/>
      </c>
      <c r="E11" s="48" t="str">
        <f>IF($L11="","",INDEX(RiskRegister!$G:$G,$L11)&amp;" · "&amp;INDEX(RiskRegister!$K:$K,$L11)&amp;" · "&amp;INDEX(RiskRegister!$I:$I,$L11)&amp;" · "&amp;IF(INDEX(RiskRegister!$H:$H,$L11)="","—",INDEX(RiskRegister!$H:$H,$L11)))</f>
        <v/>
      </c>
      <c r="F11" s="51" t="str">
        <f>IF($L11="","",IF(INDEX(RiskRegister!$J:$J,$L11)="","",INDEX(RiskRegister!$J:$J,$L11)))</f>
        <v/>
      </c>
      <c r="G11" s="50" t="str">
        <f>IF($L11="","",INDEX(RiskRegister!$AA:$AA,$L11)&amp;"")</f>
        <v/>
      </c>
      <c r="H11" s="48" t="str">
        <f>IF($L11="","",IF(INDEX(RiskRegister!$AD:$AD,$L11)="","—",INDEX(RiskRegister!$AD:$AD,$L11)&amp;" anni"))</f>
        <v/>
      </c>
      <c r="I11" s="50" t="str">
        <f>IF($L11="","",INDEX(RiskRegister!$AE:$AE,$L11)&amp;"")</f>
        <v/>
      </c>
      <c r="J11" s="50" t="str">
        <f>SUBSTITUTE(SUBSTITUTE(SUBSTITUTE(SUBSTITUTE(SUBSTITUTE(SUBSTITUTE(SUBSTITUTE(SUBSTITUTE(IF($L11="","",INDEX(RiskRegister!$F:$F,$L11)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1" s="48" t="str">
        <f>IF($L11="","",COUNTIFS(NW_Rischio_ID,INDEX(RiskRegister!$C:$C,$L11),NW_Settimana,"&gt;="&amp;inizioFinestra4,NW_Settimana,"&lt;="&amp;settimanaCorrente))</f>
        <v/>
      </c>
      <c r="L11" t="str">
        <f>IFERROR(MATCH(_xlfn.AGGREGATE(14,6,RR_Ordine_Osservazione,5),RR_Ordine_Osservazione,0)+5,"")</f>
        <v/>
      </c>
    </row>
    <row r="12" spans="1:12" ht="3" customHeight="1" x14ac:dyDescent="0.4">
      <c r="A12" s="48" t="str">
        <f>IF($L12="","",6)</f>
        <v/>
      </c>
      <c r="B12" s="49" t="str">
        <f>IF($L12="","",INDEX(RiskRegister!$C:$C,$L12)&amp;"")</f>
        <v/>
      </c>
      <c r="C12" s="50" t="str">
        <f>IF($L12="","",INDEX(RiskRegister!$D:$D,$L12)&amp;"")</f>
        <v/>
      </c>
      <c r="D12" s="50" t="str">
        <f>IF($L12="","",INDEX(RiskRegister!$E:$E,$L12)&amp;" "&amp;IFERROR(INDEX(nomiL1,MATCH(INDEX(RiskRegister!$E:$E,$L12),codiciL1,0)),""))</f>
        <v/>
      </c>
      <c r="E12" s="48" t="str">
        <f>IF($L12="","",INDEX(RiskRegister!$G:$G,$L12)&amp;" · "&amp;INDEX(RiskRegister!$K:$K,$L12)&amp;" · "&amp;INDEX(RiskRegister!$I:$I,$L12)&amp;" · "&amp;IF(INDEX(RiskRegister!$H:$H,$L12)="","—",INDEX(RiskRegister!$H:$H,$L12)))</f>
        <v/>
      </c>
      <c r="F12" s="51" t="str">
        <f>IF($L12="","",IF(INDEX(RiskRegister!$J:$J,$L12)="","",INDEX(RiskRegister!$J:$J,$L12)))</f>
        <v/>
      </c>
      <c r="G12" s="50" t="str">
        <f>IF($L12="","",INDEX(RiskRegister!$AA:$AA,$L12)&amp;"")</f>
        <v/>
      </c>
      <c r="H12" s="48" t="str">
        <f>IF($L12="","",IF(INDEX(RiskRegister!$AD:$AD,$L12)="","—",INDEX(RiskRegister!$AD:$AD,$L12)&amp;" anni"))</f>
        <v/>
      </c>
      <c r="I12" s="50" t="str">
        <f>IF($L12="","",INDEX(RiskRegister!$AE:$AE,$L12)&amp;"")</f>
        <v/>
      </c>
      <c r="J12" s="50" t="str">
        <f>SUBSTITUTE(SUBSTITUTE(SUBSTITUTE(SUBSTITUTE(SUBSTITUTE(SUBSTITUTE(SUBSTITUTE(SUBSTITUTE(IF($L12="","",INDEX(RiskRegister!$F:$F,$L12)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2" s="48" t="str">
        <f>IF($L12="","",COUNTIFS(NW_Rischio_ID,INDEX(RiskRegister!$C:$C,$L12),NW_Settimana,"&gt;="&amp;inizioFinestra4,NW_Settimana,"&lt;="&amp;settimanaCorrente))</f>
        <v/>
      </c>
      <c r="L12" t="str">
        <f>IFERROR(MATCH(_xlfn.AGGREGATE(14,6,RR_Ordine_Osservazione,6),RR_Ordine_Osservazione,0)+5,"")</f>
        <v/>
      </c>
    </row>
    <row r="13" spans="1:12" ht="3" customHeight="1" x14ac:dyDescent="0.4">
      <c r="A13" s="48" t="str">
        <f>IF($L13="","",7)</f>
        <v/>
      </c>
      <c r="B13" s="49" t="str">
        <f>IF($L13="","",INDEX(RiskRegister!$C:$C,$L13)&amp;"")</f>
        <v/>
      </c>
      <c r="C13" s="50" t="str">
        <f>IF($L13="","",INDEX(RiskRegister!$D:$D,$L13)&amp;"")</f>
        <v/>
      </c>
      <c r="D13" s="50" t="str">
        <f>IF($L13="","",INDEX(RiskRegister!$E:$E,$L13)&amp;" "&amp;IFERROR(INDEX(nomiL1,MATCH(INDEX(RiskRegister!$E:$E,$L13),codiciL1,0)),""))</f>
        <v/>
      </c>
      <c r="E13" s="48" t="str">
        <f>IF($L13="","",INDEX(RiskRegister!$G:$G,$L13)&amp;" · "&amp;INDEX(RiskRegister!$K:$K,$L13)&amp;" · "&amp;INDEX(RiskRegister!$I:$I,$L13)&amp;" · "&amp;IF(INDEX(RiskRegister!$H:$H,$L13)="","—",INDEX(RiskRegister!$H:$H,$L13)))</f>
        <v/>
      </c>
      <c r="F13" s="51" t="str">
        <f>IF($L13="","",IF(INDEX(RiskRegister!$J:$J,$L13)="","",INDEX(RiskRegister!$J:$J,$L13)))</f>
        <v/>
      </c>
      <c r="G13" s="50" t="str">
        <f>IF($L13="","",INDEX(RiskRegister!$AA:$AA,$L13)&amp;"")</f>
        <v/>
      </c>
      <c r="H13" s="48" t="str">
        <f>IF($L13="","",IF(INDEX(RiskRegister!$AD:$AD,$L13)="","—",INDEX(RiskRegister!$AD:$AD,$L13)&amp;" anni"))</f>
        <v/>
      </c>
      <c r="I13" s="50" t="str">
        <f>IF($L13="","",INDEX(RiskRegister!$AE:$AE,$L13)&amp;"")</f>
        <v/>
      </c>
      <c r="J13" s="50" t="str">
        <f>SUBSTITUTE(SUBSTITUTE(SUBSTITUTE(SUBSTITUTE(SUBSTITUTE(SUBSTITUTE(SUBSTITUTE(SUBSTITUTE(IF($L13="","",INDEX(RiskRegister!$F:$F,$L13)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3" s="48" t="str">
        <f>IF($L13="","",COUNTIFS(NW_Rischio_ID,INDEX(RiskRegister!$C:$C,$L13),NW_Settimana,"&gt;="&amp;inizioFinestra4,NW_Settimana,"&lt;="&amp;settimanaCorrente))</f>
        <v/>
      </c>
      <c r="L13" t="str">
        <f>IFERROR(MATCH(_xlfn.AGGREGATE(14,6,RR_Ordine_Osservazione,7),RR_Ordine_Osservazione,0)+5,"")</f>
        <v/>
      </c>
    </row>
    <row r="14" spans="1:12" ht="3" customHeight="1" x14ac:dyDescent="0.4">
      <c r="A14" s="48" t="str">
        <f>IF($L14="","",8)</f>
        <v/>
      </c>
      <c r="B14" s="49" t="str">
        <f>IF($L14="","",INDEX(RiskRegister!$C:$C,$L14)&amp;"")</f>
        <v/>
      </c>
      <c r="C14" s="50" t="str">
        <f>IF($L14="","",INDEX(RiskRegister!$D:$D,$L14)&amp;"")</f>
        <v/>
      </c>
      <c r="D14" s="50" t="str">
        <f>IF($L14="","",INDEX(RiskRegister!$E:$E,$L14)&amp;" "&amp;IFERROR(INDEX(nomiL1,MATCH(INDEX(RiskRegister!$E:$E,$L14),codiciL1,0)),""))</f>
        <v/>
      </c>
      <c r="E14" s="48" t="str">
        <f>IF($L14="","",INDEX(RiskRegister!$G:$G,$L14)&amp;" · "&amp;INDEX(RiskRegister!$K:$K,$L14)&amp;" · "&amp;INDEX(RiskRegister!$I:$I,$L14)&amp;" · "&amp;IF(INDEX(RiskRegister!$H:$H,$L14)="","—",INDEX(RiskRegister!$H:$H,$L14)))</f>
        <v/>
      </c>
      <c r="F14" s="51" t="str">
        <f>IF($L14="","",IF(INDEX(RiskRegister!$J:$J,$L14)="","",INDEX(RiskRegister!$J:$J,$L14)))</f>
        <v/>
      </c>
      <c r="G14" s="50" t="str">
        <f>IF($L14="","",INDEX(RiskRegister!$AA:$AA,$L14)&amp;"")</f>
        <v/>
      </c>
      <c r="H14" s="48" t="str">
        <f>IF($L14="","",IF(INDEX(RiskRegister!$AD:$AD,$L14)="","—",INDEX(RiskRegister!$AD:$AD,$L14)&amp;" anni"))</f>
        <v/>
      </c>
      <c r="I14" s="50" t="str">
        <f>IF($L14="","",INDEX(RiskRegister!$AE:$AE,$L14)&amp;"")</f>
        <v/>
      </c>
      <c r="J14" s="50" t="str">
        <f>SUBSTITUTE(SUBSTITUTE(SUBSTITUTE(SUBSTITUTE(SUBSTITUTE(SUBSTITUTE(SUBSTITUTE(SUBSTITUTE(IF($L14="","",INDEX(RiskRegister!$F:$F,$L14)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4" s="48" t="str">
        <f>IF($L14="","",COUNTIFS(NW_Rischio_ID,INDEX(RiskRegister!$C:$C,$L14),NW_Settimana,"&gt;="&amp;inizioFinestra4,NW_Settimana,"&lt;="&amp;settimanaCorrente))</f>
        <v/>
      </c>
      <c r="L14" t="str">
        <f>IFERROR(MATCH(_xlfn.AGGREGATE(14,6,RR_Ordine_Osservazione,8),RR_Ordine_Osservazione,0)+5,"")</f>
        <v/>
      </c>
    </row>
    <row r="15" spans="1:12" ht="3" customHeight="1" x14ac:dyDescent="0.4">
      <c r="A15" s="48" t="str">
        <f>IF($L15="","",9)</f>
        <v/>
      </c>
      <c r="B15" s="49" t="str">
        <f>IF($L15="","",INDEX(RiskRegister!$C:$C,$L15)&amp;"")</f>
        <v/>
      </c>
      <c r="C15" s="50" t="str">
        <f>IF($L15="","",INDEX(RiskRegister!$D:$D,$L15)&amp;"")</f>
        <v/>
      </c>
      <c r="D15" s="50" t="str">
        <f>IF($L15="","",INDEX(RiskRegister!$E:$E,$L15)&amp;" "&amp;IFERROR(INDEX(nomiL1,MATCH(INDEX(RiskRegister!$E:$E,$L15),codiciL1,0)),""))</f>
        <v/>
      </c>
      <c r="E15" s="48" t="str">
        <f>IF($L15="","",INDEX(RiskRegister!$G:$G,$L15)&amp;" · "&amp;INDEX(RiskRegister!$K:$K,$L15)&amp;" · "&amp;INDEX(RiskRegister!$I:$I,$L15)&amp;" · "&amp;IF(INDEX(RiskRegister!$H:$H,$L15)="","—",INDEX(RiskRegister!$H:$H,$L15)))</f>
        <v/>
      </c>
      <c r="F15" s="51" t="str">
        <f>IF($L15="","",IF(INDEX(RiskRegister!$J:$J,$L15)="","",INDEX(RiskRegister!$J:$J,$L15)))</f>
        <v/>
      </c>
      <c r="G15" s="50" t="str">
        <f>IF($L15="","",INDEX(RiskRegister!$AA:$AA,$L15)&amp;"")</f>
        <v/>
      </c>
      <c r="H15" s="48" t="str">
        <f>IF($L15="","",IF(INDEX(RiskRegister!$AD:$AD,$L15)="","—",INDEX(RiskRegister!$AD:$AD,$L15)&amp;" anni"))</f>
        <v/>
      </c>
      <c r="I15" s="50" t="str">
        <f>IF($L15="","",INDEX(RiskRegister!$AE:$AE,$L15)&amp;"")</f>
        <v/>
      </c>
      <c r="J15" s="50" t="str">
        <f>SUBSTITUTE(SUBSTITUTE(SUBSTITUTE(SUBSTITUTE(SUBSTITUTE(SUBSTITUTE(SUBSTITUTE(SUBSTITUTE(IF($L15="","",INDEX(RiskRegister!$F:$F,$L15)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5" s="48" t="str">
        <f>IF($L15="","",COUNTIFS(NW_Rischio_ID,INDEX(RiskRegister!$C:$C,$L15),NW_Settimana,"&gt;="&amp;inizioFinestra4,NW_Settimana,"&lt;="&amp;settimanaCorrente))</f>
        <v/>
      </c>
      <c r="L15" t="str">
        <f>IFERROR(MATCH(_xlfn.AGGREGATE(14,6,RR_Ordine_Osservazione,9),RR_Ordine_Osservazione,0)+5,"")</f>
        <v/>
      </c>
    </row>
    <row r="16" spans="1:12" ht="3" customHeight="1" x14ac:dyDescent="0.4">
      <c r="A16" s="48" t="str">
        <f>IF($L16="","",10)</f>
        <v/>
      </c>
      <c r="B16" s="49" t="str">
        <f>IF($L16="","",INDEX(RiskRegister!$C:$C,$L16)&amp;"")</f>
        <v/>
      </c>
      <c r="C16" s="50" t="str">
        <f>IF($L16="","",INDEX(RiskRegister!$D:$D,$L16)&amp;"")</f>
        <v/>
      </c>
      <c r="D16" s="50" t="str">
        <f>IF($L16="","",INDEX(RiskRegister!$E:$E,$L16)&amp;" "&amp;IFERROR(INDEX(nomiL1,MATCH(INDEX(RiskRegister!$E:$E,$L16),codiciL1,0)),""))</f>
        <v/>
      </c>
      <c r="E16" s="48" t="str">
        <f>IF($L16="","",INDEX(RiskRegister!$G:$G,$L16)&amp;" · "&amp;INDEX(RiskRegister!$K:$K,$L16)&amp;" · "&amp;INDEX(RiskRegister!$I:$I,$L16)&amp;" · "&amp;IF(INDEX(RiskRegister!$H:$H,$L16)="","—",INDEX(RiskRegister!$H:$H,$L16)))</f>
        <v/>
      </c>
      <c r="F16" s="51" t="str">
        <f>IF($L16="","",IF(INDEX(RiskRegister!$J:$J,$L16)="","",INDEX(RiskRegister!$J:$J,$L16)))</f>
        <v/>
      </c>
      <c r="G16" s="50" t="str">
        <f>IF($L16="","",INDEX(RiskRegister!$AA:$AA,$L16)&amp;"")</f>
        <v/>
      </c>
      <c r="H16" s="48" t="str">
        <f>IF($L16="","",IF(INDEX(RiskRegister!$AD:$AD,$L16)="","—",INDEX(RiskRegister!$AD:$AD,$L16)&amp;" anni"))</f>
        <v/>
      </c>
      <c r="I16" s="50" t="str">
        <f>IF($L16="","",INDEX(RiskRegister!$AE:$AE,$L16)&amp;"")</f>
        <v/>
      </c>
      <c r="J16" s="50" t="str">
        <f>SUBSTITUTE(SUBSTITUTE(SUBSTITUTE(SUBSTITUTE(SUBSTITUTE(SUBSTITUTE(SUBSTITUTE(SUBSTITUTE(IF($L16="","",INDEX(RiskRegister!$F:$F,$L16)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6" s="48" t="str">
        <f>IF($L16="","",COUNTIFS(NW_Rischio_ID,INDEX(RiskRegister!$C:$C,$L16),NW_Settimana,"&gt;="&amp;inizioFinestra4,NW_Settimana,"&lt;="&amp;settimanaCorrente))</f>
        <v/>
      </c>
      <c r="L16" t="str">
        <f>IFERROR(MATCH(_xlfn.AGGREGATE(14,6,RR_Ordine_Osservazione,10),RR_Ordine_Osservazione,0)+5,"")</f>
        <v/>
      </c>
    </row>
    <row r="17" spans="1:12" ht="3" customHeight="1" x14ac:dyDescent="0.4">
      <c r="A17" s="48" t="str">
        <f>IF($L17="","",11)</f>
        <v/>
      </c>
      <c r="B17" s="49" t="str">
        <f>IF($L17="","",INDEX(RiskRegister!$C:$C,$L17)&amp;"")</f>
        <v/>
      </c>
      <c r="C17" s="50" t="str">
        <f>IF($L17="","",INDEX(RiskRegister!$D:$D,$L17)&amp;"")</f>
        <v/>
      </c>
      <c r="D17" s="50" t="str">
        <f>IF($L17="","",INDEX(RiskRegister!$E:$E,$L17)&amp;" "&amp;IFERROR(INDEX(nomiL1,MATCH(INDEX(RiskRegister!$E:$E,$L17),codiciL1,0)),""))</f>
        <v/>
      </c>
      <c r="E17" s="48" t="str">
        <f>IF($L17="","",INDEX(RiskRegister!$G:$G,$L17)&amp;" · "&amp;INDEX(RiskRegister!$K:$K,$L17)&amp;" · "&amp;INDEX(RiskRegister!$I:$I,$L17)&amp;" · "&amp;IF(INDEX(RiskRegister!$H:$H,$L17)="","—",INDEX(RiskRegister!$H:$H,$L17)))</f>
        <v/>
      </c>
      <c r="F17" s="51" t="str">
        <f>IF($L17="","",IF(INDEX(RiskRegister!$J:$J,$L17)="","",INDEX(RiskRegister!$J:$J,$L17)))</f>
        <v/>
      </c>
      <c r="G17" s="50" t="str">
        <f>IF($L17="","",INDEX(RiskRegister!$AA:$AA,$L17)&amp;"")</f>
        <v/>
      </c>
      <c r="H17" s="48" t="str">
        <f>IF($L17="","",IF(INDEX(RiskRegister!$AD:$AD,$L17)="","—",INDEX(RiskRegister!$AD:$AD,$L17)&amp;" anni"))</f>
        <v/>
      </c>
      <c r="I17" s="50" t="str">
        <f>IF($L17="","",INDEX(RiskRegister!$AE:$AE,$L17)&amp;"")</f>
        <v/>
      </c>
      <c r="J17" s="50" t="str">
        <f>SUBSTITUTE(SUBSTITUTE(SUBSTITUTE(SUBSTITUTE(SUBSTITUTE(SUBSTITUTE(SUBSTITUTE(SUBSTITUTE(IF($L17="","",INDEX(RiskRegister!$F:$F,$L17)&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7" s="48" t="str">
        <f>IF($L17="","",COUNTIFS(NW_Rischio_ID,INDEX(RiskRegister!$C:$C,$L17),NW_Settimana,"&gt;="&amp;inizioFinestra4,NW_Settimana,"&lt;="&amp;settimanaCorrente))</f>
        <v/>
      </c>
      <c r="L17" t="str">
        <f>IFERROR(MATCH(_xlfn.AGGREGATE(14,6,RR_Ordine_Osservazione,11),RR_Ordine_Osservazione,0)+5,"")</f>
        <v/>
      </c>
    </row>
    <row r="18" spans="1:12" ht="3" customHeight="1" x14ac:dyDescent="0.4">
      <c r="A18" s="48" t="str">
        <f>IF($L18="","",12)</f>
        <v/>
      </c>
      <c r="B18" s="49" t="str">
        <f>IF($L18="","",INDEX(RiskRegister!$C:$C,$L18)&amp;"")</f>
        <v/>
      </c>
      <c r="C18" s="50" t="str">
        <f>IF($L18="","",INDEX(RiskRegister!$D:$D,$L18)&amp;"")</f>
        <v/>
      </c>
      <c r="D18" s="50" t="str">
        <f>IF($L18="","",INDEX(RiskRegister!$E:$E,$L18)&amp;" "&amp;IFERROR(INDEX(nomiL1,MATCH(INDEX(RiskRegister!$E:$E,$L18),codiciL1,0)),""))</f>
        <v/>
      </c>
      <c r="E18" s="48" t="str">
        <f>IF($L18="","",INDEX(RiskRegister!$G:$G,$L18)&amp;" · "&amp;INDEX(RiskRegister!$K:$K,$L18)&amp;" · "&amp;INDEX(RiskRegister!$I:$I,$L18)&amp;" · "&amp;IF(INDEX(RiskRegister!$H:$H,$L18)="","—",INDEX(RiskRegister!$H:$H,$L18)))</f>
        <v/>
      </c>
      <c r="F18" s="51" t="str">
        <f>IF($L18="","",IF(INDEX(RiskRegister!$J:$J,$L18)="","",INDEX(RiskRegister!$J:$J,$L18)))</f>
        <v/>
      </c>
      <c r="G18" s="50" t="str">
        <f>IF($L18="","",INDEX(RiskRegister!$AA:$AA,$L18)&amp;"")</f>
        <v/>
      </c>
      <c r="H18" s="48" t="str">
        <f>IF($L18="","",IF(INDEX(RiskRegister!$AD:$AD,$L18)="","—",INDEX(RiskRegister!$AD:$AD,$L18)&amp;" anni"))</f>
        <v/>
      </c>
      <c r="I18" s="50" t="str">
        <f>IF($L18="","",INDEX(RiskRegister!$AE:$AE,$L18)&amp;"")</f>
        <v/>
      </c>
      <c r="J18" s="50" t="str">
        <f>SUBSTITUTE(SUBSTITUTE(SUBSTITUTE(SUBSTITUTE(SUBSTITUTE(SUBSTITUTE(SUBSTITUTE(SUBSTITUTE(IF($L18="","",INDEX(RiskRegister!$F:$F,$L18)&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8" s="48" t="str">
        <f>IF($L18="","",COUNTIFS(NW_Rischio_ID,INDEX(RiskRegister!$C:$C,$L18),NW_Settimana,"&gt;="&amp;inizioFinestra4,NW_Settimana,"&lt;="&amp;settimanaCorrente))</f>
        <v/>
      </c>
      <c r="L18" t="str">
        <f>IFERROR(MATCH(_xlfn.AGGREGATE(14,6,RR_Ordine_Osservazione,12),RR_Ordine_Osservazione,0)+5,"")</f>
        <v/>
      </c>
    </row>
    <row r="19" spans="1:12" ht="3" customHeight="1" x14ac:dyDescent="0.4">
      <c r="A19" s="48" t="str">
        <f>IF($L19="","",13)</f>
        <v/>
      </c>
      <c r="B19" s="49" t="str">
        <f>IF($L19="","",INDEX(RiskRegister!$C:$C,$L19)&amp;"")</f>
        <v/>
      </c>
      <c r="C19" s="50" t="str">
        <f>IF($L19="","",INDEX(RiskRegister!$D:$D,$L19)&amp;"")</f>
        <v/>
      </c>
      <c r="D19" s="50" t="str">
        <f>IF($L19="","",INDEX(RiskRegister!$E:$E,$L19)&amp;" "&amp;IFERROR(INDEX(nomiL1,MATCH(INDEX(RiskRegister!$E:$E,$L19),codiciL1,0)),""))</f>
        <v/>
      </c>
      <c r="E19" s="48" t="str">
        <f>IF($L19="","",INDEX(RiskRegister!$G:$G,$L19)&amp;" · "&amp;INDEX(RiskRegister!$K:$K,$L19)&amp;" · "&amp;INDEX(RiskRegister!$I:$I,$L19)&amp;" · "&amp;IF(INDEX(RiskRegister!$H:$H,$L19)="","—",INDEX(RiskRegister!$H:$H,$L19)))</f>
        <v/>
      </c>
      <c r="F19" s="51" t="str">
        <f>IF($L19="","",IF(INDEX(RiskRegister!$J:$J,$L19)="","",INDEX(RiskRegister!$J:$J,$L19)))</f>
        <v/>
      </c>
      <c r="G19" s="50" t="str">
        <f>IF($L19="","",INDEX(RiskRegister!$AA:$AA,$L19)&amp;"")</f>
        <v/>
      </c>
      <c r="H19" s="48" t="str">
        <f>IF($L19="","",IF(INDEX(RiskRegister!$AD:$AD,$L19)="","—",INDEX(RiskRegister!$AD:$AD,$L19)&amp;" anni"))</f>
        <v/>
      </c>
      <c r="I19" s="50" t="str">
        <f>IF($L19="","",INDEX(RiskRegister!$AE:$AE,$L19)&amp;"")</f>
        <v/>
      </c>
      <c r="J19" s="50" t="str">
        <f>SUBSTITUTE(SUBSTITUTE(SUBSTITUTE(SUBSTITUTE(SUBSTITUTE(SUBSTITUTE(SUBSTITUTE(SUBSTITUTE(IF($L19="","",INDEX(RiskRegister!$F:$F,$L19)&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9" s="48" t="str">
        <f>IF($L19="","",COUNTIFS(NW_Rischio_ID,INDEX(RiskRegister!$C:$C,$L19),NW_Settimana,"&gt;="&amp;inizioFinestra4,NW_Settimana,"&lt;="&amp;settimanaCorrente))</f>
        <v/>
      </c>
      <c r="L19" t="str">
        <f>IFERROR(MATCH(_xlfn.AGGREGATE(14,6,RR_Ordine_Osservazione,13),RR_Ordine_Osservazione,0)+5,"")</f>
        <v/>
      </c>
    </row>
    <row r="20" spans="1:12" ht="3" customHeight="1" x14ac:dyDescent="0.4">
      <c r="A20" s="48" t="str">
        <f>IF($L20="","",14)</f>
        <v/>
      </c>
      <c r="B20" s="49" t="str">
        <f>IF($L20="","",INDEX(RiskRegister!$C:$C,$L20)&amp;"")</f>
        <v/>
      </c>
      <c r="C20" s="50" t="str">
        <f>IF($L20="","",INDEX(RiskRegister!$D:$D,$L20)&amp;"")</f>
        <v/>
      </c>
      <c r="D20" s="50" t="str">
        <f>IF($L20="","",INDEX(RiskRegister!$E:$E,$L20)&amp;" "&amp;IFERROR(INDEX(nomiL1,MATCH(INDEX(RiskRegister!$E:$E,$L20),codiciL1,0)),""))</f>
        <v/>
      </c>
      <c r="E20" s="48" t="str">
        <f>IF($L20="","",INDEX(RiskRegister!$G:$G,$L20)&amp;" · "&amp;INDEX(RiskRegister!$K:$K,$L20)&amp;" · "&amp;INDEX(RiskRegister!$I:$I,$L20)&amp;" · "&amp;IF(INDEX(RiskRegister!$H:$H,$L20)="","—",INDEX(RiskRegister!$H:$H,$L20)))</f>
        <v/>
      </c>
      <c r="F20" s="51" t="str">
        <f>IF($L20="","",IF(INDEX(RiskRegister!$J:$J,$L20)="","",INDEX(RiskRegister!$J:$J,$L20)))</f>
        <v/>
      </c>
      <c r="G20" s="50" t="str">
        <f>IF($L20="","",INDEX(RiskRegister!$AA:$AA,$L20)&amp;"")</f>
        <v/>
      </c>
      <c r="H20" s="48" t="str">
        <f>IF($L20="","",IF(INDEX(RiskRegister!$AD:$AD,$L20)="","—",INDEX(RiskRegister!$AD:$AD,$L20)&amp;" anni"))</f>
        <v/>
      </c>
      <c r="I20" s="50" t="str">
        <f>IF($L20="","",INDEX(RiskRegister!$AE:$AE,$L20)&amp;"")</f>
        <v/>
      </c>
      <c r="J20" s="50" t="str">
        <f>SUBSTITUTE(SUBSTITUTE(SUBSTITUTE(SUBSTITUTE(SUBSTITUTE(SUBSTITUTE(SUBSTITUTE(SUBSTITUTE(IF($L20="","",INDEX(RiskRegister!$F:$F,$L20)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0" s="48" t="str">
        <f>IF($L20="","",COUNTIFS(NW_Rischio_ID,INDEX(RiskRegister!$C:$C,$L20),NW_Settimana,"&gt;="&amp;inizioFinestra4,NW_Settimana,"&lt;="&amp;settimanaCorrente))</f>
        <v/>
      </c>
      <c r="L20" t="str">
        <f>IFERROR(MATCH(_xlfn.AGGREGATE(14,6,RR_Ordine_Osservazione,14),RR_Ordine_Osservazione,0)+5,"")</f>
        <v/>
      </c>
    </row>
    <row r="21" spans="1:12" ht="3" customHeight="1" x14ac:dyDescent="0.4">
      <c r="A21" s="48" t="str">
        <f>IF($L21="","",15)</f>
        <v/>
      </c>
      <c r="B21" s="49" t="str">
        <f>IF($L21="","",INDEX(RiskRegister!$C:$C,$L21)&amp;"")</f>
        <v/>
      </c>
      <c r="C21" s="50" t="str">
        <f>IF($L21="","",INDEX(RiskRegister!$D:$D,$L21)&amp;"")</f>
        <v/>
      </c>
      <c r="D21" s="50" t="str">
        <f>IF($L21="","",INDEX(RiskRegister!$E:$E,$L21)&amp;" "&amp;IFERROR(INDEX(nomiL1,MATCH(INDEX(RiskRegister!$E:$E,$L21),codiciL1,0)),""))</f>
        <v/>
      </c>
      <c r="E21" s="48" t="str">
        <f>IF($L21="","",INDEX(RiskRegister!$G:$G,$L21)&amp;" · "&amp;INDEX(RiskRegister!$K:$K,$L21)&amp;" · "&amp;INDEX(RiskRegister!$I:$I,$L21)&amp;" · "&amp;IF(INDEX(RiskRegister!$H:$H,$L21)="","—",INDEX(RiskRegister!$H:$H,$L21)))</f>
        <v/>
      </c>
      <c r="F21" s="51" t="str">
        <f>IF($L21="","",IF(INDEX(RiskRegister!$J:$J,$L21)="","",INDEX(RiskRegister!$J:$J,$L21)))</f>
        <v/>
      </c>
      <c r="G21" s="50" t="str">
        <f>IF($L21="","",INDEX(RiskRegister!$AA:$AA,$L21)&amp;"")</f>
        <v/>
      </c>
      <c r="H21" s="48" t="str">
        <f>IF($L21="","",IF(INDEX(RiskRegister!$AD:$AD,$L21)="","—",INDEX(RiskRegister!$AD:$AD,$L21)&amp;" anni"))</f>
        <v/>
      </c>
      <c r="I21" s="50" t="str">
        <f>IF($L21="","",INDEX(RiskRegister!$AE:$AE,$L21)&amp;"")</f>
        <v/>
      </c>
      <c r="J21" s="50" t="str">
        <f>SUBSTITUTE(SUBSTITUTE(SUBSTITUTE(SUBSTITUTE(SUBSTITUTE(SUBSTITUTE(SUBSTITUTE(SUBSTITUTE(IF($L21="","",INDEX(RiskRegister!$F:$F,$L21)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1" s="48" t="str">
        <f>IF($L21="","",COUNTIFS(NW_Rischio_ID,INDEX(RiskRegister!$C:$C,$L21),NW_Settimana,"&gt;="&amp;inizioFinestra4,NW_Settimana,"&lt;="&amp;settimanaCorrente))</f>
        <v/>
      </c>
      <c r="L21" t="str">
        <f>IFERROR(MATCH(_xlfn.AGGREGATE(14,6,RR_Ordine_Osservazione,15),RR_Ordine_Osservazione,0)+5,"")</f>
        <v/>
      </c>
    </row>
    <row r="22" spans="1:12" ht="3" customHeight="1" x14ac:dyDescent="0.4">
      <c r="A22" s="48" t="str">
        <f>IF($L22="","",16)</f>
        <v/>
      </c>
      <c r="B22" s="49" t="str">
        <f>IF($L22="","",INDEX(RiskRegister!$C:$C,$L22)&amp;"")</f>
        <v/>
      </c>
      <c r="C22" s="50" t="str">
        <f>IF($L22="","",INDEX(RiskRegister!$D:$D,$L22)&amp;"")</f>
        <v/>
      </c>
      <c r="D22" s="50" t="str">
        <f>IF($L22="","",INDEX(RiskRegister!$E:$E,$L22)&amp;" "&amp;IFERROR(INDEX(nomiL1,MATCH(INDEX(RiskRegister!$E:$E,$L22),codiciL1,0)),""))</f>
        <v/>
      </c>
      <c r="E22" s="48" t="str">
        <f>IF($L22="","",INDEX(RiskRegister!$G:$G,$L22)&amp;" · "&amp;INDEX(RiskRegister!$K:$K,$L22)&amp;" · "&amp;INDEX(RiskRegister!$I:$I,$L22)&amp;" · "&amp;IF(INDEX(RiskRegister!$H:$H,$L22)="","—",INDEX(RiskRegister!$H:$H,$L22)))</f>
        <v/>
      </c>
      <c r="F22" s="51" t="str">
        <f>IF($L22="","",IF(INDEX(RiskRegister!$J:$J,$L22)="","",INDEX(RiskRegister!$J:$J,$L22)))</f>
        <v/>
      </c>
      <c r="G22" s="50" t="str">
        <f>IF($L22="","",INDEX(RiskRegister!$AA:$AA,$L22)&amp;"")</f>
        <v/>
      </c>
      <c r="H22" s="48" t="str">
        <f>IF($L22="","",IF(INDEX(RiskRegister!$AD:$AD,$L22)="","—",INDEX(RiskRegister!$AD:$AD,$L22)&amp;" anni"))</f>
        <v/>
      </c>
      <c r="I22" s="50" t="str">
        <f>IF($L22="","",INDEX(RiskRegister!$AE:$AE,$L22)&amp;"")</f>
        <v/>
      </c>
      <c r="J22" s="50" t="str">
        <f>SUBSTITUTE(SUBSTITUTE(SUBSTITUTE(SUBSTITUTE(SUBSTITUTE(SUBSTITUTE(SUBSTITUTE(SUBSTITUTE(IF($L22="","",INDEX(RiskRegister!$F:$F,$L22)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2" s="48" t="str">
        <f>IF($L22="","",COUNTIFS(NW_Rischio_ID,INDEX(RiskRegister!$C:$C,$L22),NW_Settimana,"&gt;="&amp;inizioFinestra4,NW_Settimana,"&lt;="&amp;settimanaCorrente))</f>
        <v/>
      </c>
      <c r="L22" t="str">
        <f>IFERROR(MATCH(_xlfn.AGGREGATE(14,6,RR_Ordine_Osservazione,16),RR_Ordine_Osservazione,0)+5,"")</f>
        <v/>
      </c>
    </row>
    <row r="23" spans="1:12" ht="3" customHeight="1" x14ac:dyDescent="0.4">
      <c r="A23" s="48" t="str">
        <f>IF($L23="","",17)</f>
        <v/>
      </c>
      <c r="B23" s="49" t="str">
        <f>IF($L23="","",INDEX(RiskRegister!$C:$C,$L23)&amp;"")</f>
        <v/>
      </c>
      <c r="C23" s="50" t="str">
        <f>IF($L23="","",INDEX(RiskRegister!$D:$D,$L23)&amp;"")</f>
        <v/>
      </c>
      <c r="D23" s="50" t="str">
        <f>IF($L23="","",INDEX(RiskRegister!$E:$E,$L23)&amp;" "&amp;IFERROR(INDEX(nomiL1,MATCH(INDEX(RiskRegister!$E:$E,$L23),codiciL1,0)),""))</f>
        <v/>
      </c>
      <c r="E23" s="48" t="str">
        <f>IF($L23="","",INDEX(RiskRegister!$G:$G,$L23)&amp;" · "&amp;INDEX(RiskRegister!$K:$K,$L23)&amp;" · "&amp;INDEX(RiskRegister!$I:$I,$L23)&amp;" · "&amp;IF(INDEX(RiskRegister!$H:$H,$L23)="","—",INDEX(RiskRegister!$H:$H,$L23)))</f>
        <v/>
      </c>
      <c r="F23" s="51" t="str">
        <f>IF($L23="","",IF(INDEX(RiskRegister!$J:$J,$L23)="","",INDEX(RiskRegister!$J:$J,$L23)))</f>
        <v/>
      </c>
      <c r="G23" s="50" t="str">
        <f>IF($L23="","",INDEX(RiskRegister!$AA:$AA,$L23)&amp;"")</f>
        <v/>
      </c>
      <c r="H23" s="48" t="str">
        <f>IF($L23="","",IF(INDEX(RiskRegister!$AD:$AD,$L23)="","—",INDEX(RiskRegister!$AD:$AD,$L23)&amp;" anni"))</f>
        <v/>
      </c>
      <c r="I23" s="50" t="str">
        <f>IF($L23="","",INDEX(RiskRegister!$AE:$AE,$L23)&amp;"")</f>
        <v/>
      </c>
      <c r="J23" s="50" t="str">
        <f>SUBSTITUTE(SUBSTITUTE(SUBSTITUTE(SUBSTITUTE(SUBSTITUTE(SUBSTITUTE(SUBSTITUTE(SUBSTITUTE(IF($L23="","",INDEX(RiskRegister!$F:$F,$L23)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3" s="48" t="str">
        <f>IF($L23="","",COUNTIFS(NW_Rischio_ID,INDEX(RiskRegister!$C:$C,$L23),NW_Settimana,"&gt;="&amp;inizioFinestra4,NW_Settimana,"&lt;="&amp;settimanaCorrente))</f>
        <v/>
      </c>
      <c r="L23" t="str">
        <f>IFERROR(MATCH(_xlfn.AGGREGATE(14,6,RR_Ordine_Osservazione,17),RR_Ordine_Osservazione,0)+5,"")</f>
        <v/>
      </c>
    </row>
    <row r="24" spans="1:12" ht="3" customHeight="1" x14ac:dyDescent="0.4">
      <c r="A24" s="48" t="str">
        <f>IF($L24="","",18)</f>
        <v/>
      </c>
      <c r="B24" s="49" t="str">
        <f>IF($L24="","",INDEX(RiskRegister!$C:$C,$L24)&amp;"")</f>
        <v/>
      </c>
      <c r="C24" s="50" t="str">
        <f>IF($L24="","",INDEX(RiskRegister!$D:$D,$L24)&amp;"")</f>
        <v/>
      </c>
      <c r="D24" s="50" t="str">
        <f>IF($L24="","",INDEX(RiskRegister!$E:$E,$L24)&amp;" "&amp;IFERROR(INDEX(nomiL1,MATCH(INDEX(RiskRegister!$E:$E,$L24),codiciL1,0)),""))</f>
        <v/>
      </c>
      <c r="E24" s="48" t="str">
        <f>IF($L24="","",INDEX(RiskRegister!$G:$G,$L24)&amp;" · "&amp;INDEX(RiskRegister!$K:$K,$L24)&amp;" · "&amp;INDEX(RiskRegister!$I:$I,$L24)&amp;" · "&amp;IF(INDEX(RiskRegister!$H:$H,$L24)="","—",INDEX(RiskRegister!$H:$H,$L24)))</f>
        <v/>
      </c>
      <c r="F24" s="51" t="str">
        <f>IF($L24="","",IF(INDEX(RiskRegister!$J:$J,$L24)="","",INDEX(RiskRegister!$J:$J,$L24)))</f>
        <v/>
      </c>
      <c r="G24" s="50" t="str">
        <f>IF($L24="","",INDEX(RiskRegister!$AA:$AA,$L24)&amp;"")</f>
        <v/>
      </c>
      <c r="H24" s="48" t="str">
        <f>IF($L24="","",IF(INDEX(RiskRegister!$AD:$AD,$L24)="","—",INDEX(RiskRegister!$AD:$AD,$L24)&amp;" anni"))</f>
        <v/>
      </c>
      <c r="I24" s="50" t="str">
        <f>IF($L24="","",INDEX(RiskRegister!$AE:$AE,$L24)&amp;"")</f>
        <v/>
      </c>
      <c r="J24" s="50" t="str">
        <f>SUBSTITUTE(SUBSTITUTE(SUBSTITUTE(SUBSTITUTE(SUBSTITUTE(SUBSTITUTE(SUBSTITUTE(SUBSTITUTE(IF($L24="","",INDEX(RiskRegister!$F:$F,$L24)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4" s="48" t="str">
        <f>IF($L24="","",COUNTIFS(NW_Rischio_ID,INDEX(RiskRegister!$C:$C,$L24),NW_Settimana,"&gt;="&amp;inizioFinestra4,NW_Settimana,"&lt;="&amp;settimanaCorrente))</f>
        <v/>
      </c>
      <c r="L24" t="str">
        <f>IFERROR(MATCH(_xlfn.AGGREGATE(14,6,RR_Ordine_Osservazione,18),RR_Ordine_Osservazione,0)+5,"")</f>
        <v/>
      </c>
    </row>
    <row r="25" spans="1:12" ht="3" customHeight="1" x14ac:dyDescent="0.4">
      <c r="A25" s="48" t="str">
        <f>IF($L25="","",19)</f>
        <v/>
      </c>
      <c r="B25" s="49" t="str">
        <f>IF($L25="","",INDEX(RiskRegister!$C:$C,$L25)&amp;"")</f>
        <v/>
      </c>
      <c r="C25" s="50" t="str">
        <f>IF($L25="","",INDEX(RiskRegister!$D:$D,$L25)&amp;"")</f>
        <v/>
      </c>
      <c r="D25" s="50" t="str">
        <f>IF($L25="","",INDEX(RiskRegister!$E:$E,$L25)&amp;" "&amp;IFERROR(INDEX(nomiL1,MATCH(INDEX(RiskRegister!$E:$E,$L25),codiciL1,0)),""))</f>
        <v/>
      </c>
      <c r="E25" s="48" t="str">
        <f>IF($L25="","",INDEX(RiskRegister!$G:$G,$L25)&amp;" · "&amp;INDEX(RiskRegister!$K:$K,$L25)&amp;" · "&amp;INDEX(RiskRegister!$I:$I,$L25)&amp;" · "&amp;IF(INDEX(RiskRegister!$H:$H,$L25)="","—",INDEX(RiskRegister!$H:$H,$L25)))</f>
        <v/>
      </c>
      <c r="F25" s="51" t="str">
        <f>IF($L25="","",IF(INDEX(RiskRegister!$J:$J,$L25)="","",INDEX(RiskRegister!$J:$J,$L25)))</f>
        <v/>
      </c>
      <c r="G25" s="50" t="str">
        <f>IF($L25="","",INDEX(RiskRegister!$AA:$AA,$L25)&amp;"")</f>
        <v/>
      </c>
      <c r="H25" s="48" t="str">
        <f>IF($L25="","",IF(INDEX(RiskRegister!$AD:$AD,$L25)="","—",INDEX(RiskRegister!$AD:$AD,$L25)&amp;" anni"))</f>
        <v/>
      </c>
      <c r="I25" s="50" t="str">
        <f>IF($L25="","",INDEX(RiskRegister!$AE:$AE,$L25)&amp;"")</f>
        <v/>
      </c>
      <c r="J25" s="50" t="str">
        <f>SUBSTITUTE(SUBSTITUTE(SUBSTITUTE(SUBSTITUTE(SUBSTITUTE(SUBSTITUTE(SUBSTITUTE(SUBSTITUTE(IF($L25="","",INDEX(RiskRegister!$F:$F,$L25)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5" s="48" t="str">
        <f>IF($L25="","",COUNTIFS(NW_Rischio_ID,INDEX(RiskRegister!$C:$C,$L25),NW_Settimana,"&gt;="&amp;inizioFinestra4,NW_Settimana,"&lt;="&amp;settimanaCorrente))</f>
        <v/>
      </c>
      <c r="L25" t="str">
        <f>IFERROR(MATCH(_xlfn.AGGREGATE(14,6,RR_Ordine_Osservazione,19),RR_Ordine_Osservazione,0)+5,"")</f>
        <v/>
      </c>
    </row>
    <row r="26" spans="1:12" ht="3" customHeight="1" x14ac:dyDescent="0.4">
      <c r="A26" s="48" t="str">
        <f>IF($L26="","",20)</f>
        <v/>
      </c>
      <c r="B26" s="49" t="str">
        <f>IF($L26="","",INDEX(RiskRegister!$C:$C,$L26)&amp;"")</f>
        <v/>
      </c>
      <c r="C26" s="50" t="str">
        <f>IF($L26="","",INDEX(RiskRegister!$D:$D,$L26)&amp;"")</f>
        <v/>
      </c>
      <c r="D26" s="50" t="str">
        <f>IF($L26="","",INDEX(RiskRegister!$E:$E,$L26)&amp;" "&amp;IFERROR(INDEX(nomiL1,MATCH(INDEX(RiskRegister!$E:$E,$L26),codiciL1,0)),""))</f>
        <v/>
      </c>
      <c r="E26" s="48" t="str">
        <f>IF($L26="","",INDEX(RiskRegister!$G:$G,$L26)&amp;" · "&amp;INDEX(RiskRegister!$K:$K,$L26)&amp;" · "&amp;INDEX(RiskRegister!$I:$I,$L26)&amp;" · "&amp;IF(INDEX(RiskRegister!$H:$H,$L26)="","—",INDEX(RiskRegister!$H:$H,$L26)))</f>
        <v/>
      </c>
      <c r="F26" s="51" t="str">
        <f>IF($L26="","",IF(INDEX(RiskRegister!$J:$J,$L26)="","",INDEX(RiskRegister!$J:$J,$L26)))</f>
        <v/>
      </c>
      <c r="G26" s="50" t="str">
        <f>IF($L26="","",INDEX(RiskRegister!$AA:$AA,$L26)&amp;"")</f>
        <v/>
      </c>
      <c r="H26" s="48" t="str">
        <f>IF($L26="","",IF(INDEX(RiskRegister!$AD:$AD,$L26)="","—",INDEX(RiskRegister!$AD:$AD,$L26)&amp;" anni"))</f>
        <v/>
      </c>
      <c r="I26" s="50" t="str">
        <f>IF($L26="","",INDEX(RiskRegister!$AE:$AE,$L26)&amp;"")</f>
        <v/>
      </c>
      <c r="J26" s="50" t="str">
        <f>SUBSTITUTE(SUBSTITUTE(SUBSTITUTE(SUBSTITUTE(SUBSTITUTE(SUBSTITUTE(SUBSTITUTE(SUBSTITUTE(IF($L26="","",INDEX(RiskRegister!$F:$F,$L26)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6" s="48" t="str">
        <f>IF($L26="","",COUNTIFS(NW_Rischio_ID,INDEX(RiskRegister!$C:$C,$L26),NW_Settimana,"&gt;="&amp;inizioFinestra4,NW_Settimana,"&lt;="&amp;settimanaCorrente))</f>
        <v/>
      </c>
      <c r="L26" t="str">
        <f>IFERROR(MATCH(_xlfn.AGGREGATE(14,6,RR_Ordine_Osservazione,20),RR_Ordine_Osservazione,0)+5,"")</f>
        <v/>
      </c>
    </row>
    <row r="28" spans="1:12" ht="15.9" x14ac:dyDescent="0.45">
      <c r="A28" s="149" t="s">
        <v>271</v>
      </c>
      <c r="B28" s="150"/>
      <c r="C28" s="150"/>
      <c r="D28" s="150"/>
      <c r="E28" s="150"/>
      <c r="F28" s="150"/>
      <c r="G28" s="150"/>
      <c r="H28" s="150"/>
      <c r="I28" s="150"/>
      <c r="J28" s="150"/>
      <c r="K28" s="150"/>
    </row>
    <row r="29" spans="1:12" ht="28" customHeight="1" x14ac:dyDescent="0.4">
      <c r="B29" s="47" t="s">
        <v>173</v>
      </c>
      <c r="C29" s="47" t="s">
        <v>18</v>
      </c>
      <c r="D29" s="47" t="s">
        <v>272</v>
      </c>
      <c r="E29" s="186" t="s">
        <v>273</v>
      </c>
      <c r="F29" s="142"/>
      <c r="G29" s="142"/>
      <c r="H29" s="142"/>
      <c r="I29" s="142"/>
      <c r="J29" s="142"/>
      <c r="K29" s="142"/>
    </row>
    <row r="30" spans="1:12" ht="3" customHeight="1" x14ac:dyDescent="0.4">
      <c r="B30" s="52" t="str">
        <f>IF($L30="","",INDEX(RiskRegister!$C:$C,$L30)&amp;"")</f>
        <v>NFR-16</v>
      </c>
      <c r="C30" s="53" t="str">
        <f>IF($L30="","",INDEX(RiskRegister!$D:$D,$L30)&amp;"")</f>
        <v>Vertenze e carenza di tecnici nei ruoli IT critici</v>
      </c>
      <c r="D30" s="53" t="str">
        <f>IF($L30="","",INDEX(RiskRegister!$AB:$AB,$L30)&amp;"")</f>
        <v>Entrato</v>
      </c>
      <c r="E30" s="185" t="str">
        <f>IF($L30="","",INDEX(RiskRegister!$AA:$AA,$L30)&amp;"")</f>
        <v>Prossimita 2 e Probabilita 3: sopra la soglia</v>
      </c>
      <c r="F30" s="142"/>
      <c r="G30" s="142"/>
      <c r="H30" s="142"/>
      <c r="I30" s="142"/>
      <c r="J30" s="142"/>
      <c r="K30" s="142"/>
      <c r="L30">
        <f>IFERROR(_xlfn.AGGREGATE(15,6,ROW(RR_Ciclo)/((RR_Ciclo=cicloCorrente)*(RR_Movimento&lt;&gt;"")),1),"")</f>
        <v>72</v>
      </c>
    </row>
    <row r="31" spans="1:12" ht="3" customHeight="1" x14ac:dyDescent="0.4">
      <c r="B31" s="52" t="str">
        <f>IF($L31="","",INDEX(RiskRegister!$C:$C,$L31)&amp;"")</f>
        <v/>
      </c>
      <c r="C31" s="53" t="str">
        <f>IF($L31="","",INDEX(RiskRegister!$D:$D,$L31)&amp;"")</f>
        <v/>
      </c>
      <c r="D31" s="53" t="str">
        <f>IF($L31="","",INDEX(RiskRegister!$AB:$AB,$L31)&amp;"")</f>
        <v/>
      </c>
      <c r="E31" s="185" t="str">
        <f>IF($L31="","",INDEX(RiskRegister!$AA:$AA,$L31)&amp;"")</f>
        <v/>
      </c>
      <c r="F31" s="142"/>
      <c r="G31" s="142"/>
      <c r="H31" s="142"/>
      <c r="I31" s="142"/>
      <c r="J31" s="142"/>
      <c r="K31" s="142"/>
      <c r="L31" t="str">
        <f>IFERROR(_xlfn.AGGREGATE(15,6,ROW(RR_Ciclo)/((RR_Ciclo=cicloCorrente)*(RR_Movimento&lt;&gt;"")),2),"")</f>
        <v/>
      </c>
    </row>
    <row r="32" spans="1:12" ht="3" customHeight="1" x14ac:dyDescent="0.4">
      <c r="B32" s="52" t="str">
        <f>IF($L32="","",INDEX(RiskRegister!$C:$C,$L32)&amp;"")</f>
        <v/>
      </c>
      <c r="C32" s="53" t="str">
        <f>IF($L32="","",INDEX(RiskRegister!$D:$D,$L32)&amp;"")</f>
        <v/>
      </c>
      <c r="D32" s="53" t="str">
        <f>IF($L32="","",INDEX(RiskRegister!$AB:$AB,$L32)&amp;"")</f>
        <v/>
      </c>
      <c r="E32" s="185" t="str">
        <f>IF($L32="","",INDEX(RiskRegister!$AA:$AA,$L32)&amp;"")</f>
        <v/>
      </c>
      <c r="F32" s="142"/>
      <c r="G32" s="142"/>
      <c r="H32" s="142"/>
      <c r="I32" s="142"/>
      <c r="J32" s="142"/>
      <c r="K32" s="142"/>
      <c r="L32" t="str">
        <f>IFERROR(_xlfn.AGGREGATE(15,6,ROW(RR_Ciclo)/((RR_Ciclo=cicloCorrente)*(RR_Movimento&lt;&gt;"")),3),"")</f>
        <v/>
      </c>
    </row>
    <row r="33" spans="1:12" ht="3" customHeight="1" x14ac:dyDescent="0.4">
      <c r="B33" s="52" t="str">
        <f>IF($L33="","",INDEX(RiskRegister!$C:$C,$L33)&amp;"")</f>
        <v/>
      </c>
      <c r="C33" s="53" t="str">
        <f>IF($L33="","",INDEX(RiskRegister!$D:$D,$L33)&amp;"")</f>
        <v/>
      </c>
      <c r="D33" s="53" t="str">
        <f>IF($L33="","",INDEX(RiskRegister!$AB:$AB,$L33)&amp;"")</f>
        <v/>
      </c>
      <c r="E33" s="185" t="str">
        <f>IF($L33="","",INDEX(RiskRegister!$AA:$AA,$L33)&amp;"")</f>
        <v/>
      </c>
      <c r="F33" s="142"/>
      <c r="G33" s="142"/>
      <c r="H33" s="142"/>
      <c r="I33" s="142"/>
      <c r="J33" s="142"/>
      <c r="K33" s="142"/>
      <c r="L33" t="str">
        <f>IFERROR(_xlfn.AGGREGATE(15,6,ROW(RR_Ciclo)/((RR_Ciclo=cicloCorrente)*(RR_Movimento&lt;&gt;"")),4),"")</f>
        <v/>
      </c>
    </row>
    <row r="34" spans="1:12" ht="3" customHeight="1" x14ac:dyDescent="0.4">
      <c r="B34" s="52" t="str">
        <f>IF($L34="","",INDEX(RiskRegister!$C:$C,$L34)&amp;"")</f>
        <v/>
      </c>
      <c r="C34" s="53" t="str">
        <f>IF($L34="","",INDEX(RiskRegister!$D:$D,$L34)&amp;"")</f>
        <v/>
      </c>
      <c r="D34" s="53" t="str">
        <f>IF($L34="","",INDEX(RiskRegister!$AB:$AB,$L34)&amp;"")</f>
        <v/>
      </c>
      <c r="E34" s="185" t="str">
        <f>IF($L34="","",INDEX(RiskRegister!$AA:$AA,$L34)&amp;"")</f>
        <v/>
      </c>
      <c r="F34" s="142"/>
      <c r="G34" s="142"/>
      <c r="H34" s="142"/>
      <c r="I34" s="142"/>
      <c r="J34" s="142"/>
      <c r="K34" s="142"/>
      <c r="L34" t="str">
        <f>IFERROR(_xlfn.AGGREGATE(15,6,ROW(RR_Ciclo)/((RR_Ciclo=cicloCorrente)*(RR_Movimento&lt;&gt;"")),5),"")</f>
        <v/>
      </c>
    </row>
    <row r="35" spans="1:12" ht="3" customHeight="1" x14ac:dyDescent="0.4">
      <c r="B35" s="52" t="str">
        <f>IF($L35="","",INDEX(RiskRegister!$C:$C,$L35)&amp;"")</f>
        <v/>
      </c>
      <c r="C35" s="53" t="str">
        <f>IF($L35="","",INDEX(RiskRegister!$D:$D,$L35)&amp;"")</f>
        <v/>
      </c>
      <c r="D35" s="53" t="str">
        <f>IF($L35="","",INDEX(RiskRegister!$AB:$AB,$L35)&amp;"")</f>
        <v/>
      </c>
      <c r="E35" s="185" t="str">
        <f>IF($L35="","",INDEX(RiskRegister!$AA:$AA,$L35)&amp;"")</f>
        <v/>
      </c>
      <c r="F35" s="142"/>
      <c r="G35" s="142"/>
      <c r="H35" s="142"/>
      <c r="I35" s="142"/>
      <c r="J35" s="142"/>
      <c r="K35" s="142"/>
      <c r="L35" t="str">
        <f>IFERROR(_xlfn.AGGREGATE(15,6,ROW(RR_Ciclo)/((RR_Ciclo=cicloCorrente)*(RR_Movimento&lt;&gt;"")),6),"")</f>
        <v/>
      </c>
    </row>
    <row r="37" spans="1:12" ht="37" customHeight="1" x14ac:dyDescent="0.4">
      <c r="A37" s="141" t="s">
        <v>274</v>
      </c>
      <c r="B37" s="142"/>
      <c r="C37" s="142"/>
      <c r="D37" s="142"/>
      <c r="E37" s="142"/>
      <c r="F37" s="142"/>
      <c r="G37" s="142"/>
      <c r="H37" s="142"/>
      <c r="I37" s="142"/>
      <c r="J37" s="142"/>
      <c r="K37" s="142"/>
    </row>
  </sheetData>
  <mergeCells count="12">
    <mergeCell ref="A2:K2"/>
    <mergeCell ref="A28:K28"/>
    <mergeCell ref="E32:K32"/>
    <mergeCell ref="A1:K1"/>
    <mergeCell ref="E33:K33"/>
    <mergeCell ref="E31:K31"/>
    <mergeCell ref="A4:K4"/>
    <mergeCell ref="A37:K37"/>
    <mergeCell ref="E30:K30"/>
    <mergeCell ref="E34:K34"/>
    <mergeCell ref="E29:K29"/>
    <mergeCell ref="E35:K35"/>
  </mergeCells>
  <conditionalFormatting sqref="D30:D35">
    <cfRule type="expression" dxfId="115" priority="1">
      <formula>LEFT(D30,7)="Entrato"</formula>
    </cfRule>
    <cfRule type="expression" dxfId="114" priority="2">
      <formula>LEFT(D30,6)="Uscito"</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A1:B108"/>
  <sheetViews>
    <sheetView showGridLines="0" workbookViewId="0"/>
  </sheetViews>
  <sheetFormatPr defaultRowHeight="14.6" x14ac:dyDescent="0.4"/>
  <cols>
    <col min="1" max="1" width="34" customWidth="1"/>
    <col min="2" max="2" width="120" customWidth="1"/>
  </cols>
  <sheetData>
    <row r="1" spans="1:2" ht="28" customHeight="1" x14ac:dyDescent="0.4">
      <c r="A1" s="161" t="str">
        <f>"Horizon Scan NFR — Metodologia: come si leggono i numeri   ·   "&amp;etichettaCiclo</f>
        <v>Horizon Scan NFR — Metodologia: come si leggono i numeri   ·   Ciclo 2026Q4 · dati al 31/12/2026 · validato · Uso interno</v>
      </c>
      <c r="B1" s="162"/>
    </row>
    <row r="2" spans="1:2" ht="32.049999999999997" customHeight="1" x14ac:dyDescent="0.4">
      <c r="A2" s="188" t="s">
        <v>275</v>
      </c>
      <c r="B2" s="142"/>
    </row>
    <row r="4" spans="1:2" x14ac:dyDescent="0.4">
      <c r="A4" s="4" t="s">
        <v>276</v>
      </c>
      <c r="B4" s="54"/>
    </row>
    <row r="5" spans="1:2" ht="43.75" x14ac:dyDescent="0.4">
      <c r="A5" s="2" t="s">
        <v>277</v>
      </c>
      <c r="B5" s="55" t="s">
        <v>278</v>
      </c>
    </row>
    <row r="6" spans="1:2" x14ac:dyDescent="0.4">
      <c r="A6" s="2" t="s">
        <v>279</v>
      </c>
      <c r="B6" s="55" t="s">
        <v>280</v>
      </c>
    </row>
    <row r="7" spans="1:2" ht="29.15" x14ac:dyDescent="0.4">
      <c r="A7" s="2" t="s">
        <v>281</v>
      </c>
      <c r="B7" s="55" t="s">
        <v>282</v>
      </c>
    </row>
    <row r="8" spans="1:2" ht="29.15" x14ac:dyDescent="0.4">
      <c r="A8" s="2" t="s">
        <v>283</v>
      </c>
      <c r="B8" s="55" t="s">
        <v>284</v>
      </c>
    </row>
    <row r="10" spans="1:2" x14ac:dyDescent="0.4">
      <c r="A10" s="4" t="s">
        <v>285</v>
      </c>
      <c r="B10" s="54"/>
    </row>
    <row r="11" spans="1:2" ht="29.15" x14ac:dyDescent="0.4">
      <c r="A11" s="2" t="s">
        <v>286</v>
      </c>
      <c r="B11" s="55" t="s">
        <v>287</v>
      </c>
    </row>
    <row r="12" spans="1:2" ht="29.15" x14ac:dyDescent="0.4">
      <c r="A12" s="2" t="s">
        <v>288</v>
      </c>
      <c r="B12" s="55" t="s">
        <v>289</v>
      </c>
    </row>
    <row r="13" spans="1:2" ht="29.15" x14ac:dyDescent="0.4">
      <c r="A13" s="2" t="s">
        <v>290</v>
      </c>
      <c r="B13" s="55" t="s">
        <v>291</v>
      </c>
    </row>
    <row r="14" spans="1:2" ht="43.75" x14ac:dyDescent="0.4">
      <c r="A14" s="2" t="s">
        <v>292</v>
      </c>
      <c r="B14" s="55" t="s">
        <v>293</v>
      </c>
    </row>
    <row r="16" spans="1:2" x14ac:dyDescent="0.4">
      <c r="A16" s="4" t="s">
        <v>294</v>
      </c>
      <c r="B16" s="54"/>
    </row>
    <row r="17" spans="1:2" ht="43.75" x14ac:dyDescent="0.4">
      <c r="A17" s="2" t="s">
        <v>295</v>
      </c>
      <c r="B17" s="55" t="s">
        <v>296</v>
      </c>
    </row>
    <row r="18" spans="1:2" x14ac:dyDescent="0.4">
      <c r="A18" s="2" t="s">
        <v>203</v>
      </c>
      <c r="B18" s="55" t="s">
        <v>297</v>
      </c>
    </row>
    <row r="19" spans="1:2" x14ac:dyDescent="0.4">
      <c r="A19" s="2" t="s">
        <v>204</v>
      </c>
      <c r="B19" s="55" t="s">
        <v>298</v>
      </c>
    </row>
    <row r="20" spans="1:2" ht="29.15" x14ac:dyDescent="0.4">
      <c r="A20" s="2" t="s">
        <v>206</v>
      </c>
      <c r="B20" s="55" t="s">
        <v>299</v>
      </c>
    </row>
    <row r="21" spans="1:2" ht="29.15" x14ac:dyDescent="0.4">
      <c r="A21" s="2" t="s">
        <v>300</v>
      </c>
      <c r="B21" s="55" t="s">
        <v>301</v>
      </c>
    </row>
    <row r="22" spans="1:2" ht="29.15" x14ac:dyDescent="0.4">
      <c r="A22" s="2" t="s">
        <v>302</v>
      </c>
      <c r="B22" s="55" t="s">
        <v>303</v>
      </c>
    </row>
    <row r="23" spans="1:2" ht="29.15" x14ac:dyDescent="0.4">
      <c r="A23" s="2" t="s">
        <v>304</v>
      </c>
      <c r="B23" s="55" t="s">
        <v>305</v>
      </c>
    </row>
    <row r="25" spans="1:2" x14ac:dyDescent="0.4">
      <c r="A25" s="56" t="s">
        <v>306</v>
      </c>
      <c r="B25" s="57"/>
    </row>
    <row r="26" spans="1:2" ht="29.15" x14ac:dyDescent="0.4">
      <c r="A26" s="2" t="s">
        <v>307</v>
      </c>
      <c r="B26" s="55" t="s">
        <v>308</v>
      </c>
    </row>
    <row r="27" spans="1:2" x14ac:dyDescent="0.4">
      <c r="A27" s="2" t="s">
        <v>309</v>
      </c>
      <c r="B27" s="58">
        <f>pesoImpatto</f>
        <v>0.35</v>
      </c>
    </row>
    <row r="28" spans="1:2" x14ac:dyDescent="0.4">
      <c r="A28" s="2" t="s">
        <v>310</v>
      </c>
      <c r="B28" s="58">
        <f>pesoProbabilita</f>
        <v>0.25</v>
      </c>
    </row>
    <row r="29" spans="1:2" x14ac:dyDescent="0.4">
      <c r="A29" s="2" t="s">
        <v>311</v>
      </c>
      <c r="B29" s="58">
        <f>pesoProssimita</f>
        <v>0.2</v>
      </c>
    </row>
    <row r="30" spans="1:2" x14ac:dyDescent="0.4">
      <c r="A30" s="2" t="s">
        <v>312</v>
      </c>
      <c r="B30" s="58">
        <f>pesoVelocity</f>
        <v>0.2</v>
      </c>
    </row>
    <row r="31" spans="1:2" x14ac:dyDescent="0.4">
      <c r="A31" s="2" t="s">
        <v>313</v>
      </c>
      <c r="B31" s="55" t="str">
        <f>FIXED(Parametri!B8,2)&amp;" — "&amp;Parametri!C8</f>
        <v>1,00 — OK</v>
      </c>
    </row>
    <row r="33" spans="1:2" x14ac:dyDescent="0.4">
      <c r="A33" s="4" t="s">
        <v>314</v>
      </c>
      <c r="B33" s="54"/>
    </row>
    <row r="34" spans="1:2" ht="29.15" x14ac:dyDescent="0.4">
      <c r="A34" s="7" t="s">
        <v>315</v>
      </c>
    </row>
    <row r="35" spans="1:2" x14ac:dyDescent="0.4">
      <c r="A35" s="2" t="s">
        <v>316</v>
      </c>
      <c r="B35" s="55" t="s">
        <v>317</v>
      </c>
    </row>
    <row r="36" spans="1:2" x14ac:dyDescent="0.4">
      <c r="A36" s="2" t="s">
        <v>318</v>
      </c>
      <c r="B36" s="55" t="s">
        <v>319</v>
      </c>
    </row>
    <row r="37" spans="1:2" x14ac:dyDescent="0.4">
      <c r="A37" s="2" t="s">
        <v>320</v>
      </c>
      <c r="B37" s="55" t="s">
        <v>321</v>
      </c>
    </row>
    <row r="38" spans="1:2" x14ac:dyDescent="0.4">
      <c r="A38" s="2" t="s">
        <v>322</v>
      </c>
      <c r="B38" s="55" t="s">
        <v>323</v>
      </c>
    </row>
    <row r="39" spans="1:2" x14ac:dyDescent="0.4">
      <c r="A39" s="2" t="s">
        <v>324</v>
      </c>
      <c r="B39" s="55" t="s">
        <v>325</v>
      </c>
    </row>
    <row r="40" spans="1:2" x14ac:dyDescent="0.4">
      <c r="A40" s="7" t="s">
        <v>326</v>
      </c>
    </row>
    <row r="41" spans="1:2" x14ac:dyDescent="0.4">
      <c r="A41" s="2" t="s">
        <v>316</v>
      </c>
      <c r="B41" s="55" t="s">
        <v>327</v>
      </c>
    </row>
    <row r="42" spans="1:2" x14ac:dyDescent="0.4">
      <c r="A42" s="2" t="s">
        <v>318</v>
      </c>
      <c r="B42" s="55" t="s">
        <v>328</v>
      </c>
    </row>
    <row r="43" spans="1:2" x14ac:dyDescent="0.4">
      <c r="A43" s="2" t="s">
        <v>320</v>
      </c>
      <c r="B43" s="55" t="s">
        <v>329</v>
      </c>
    </row>
    <row r="44" spans="1:2" x14ac:dyDescent="0.4">
      <c r="A44" s="2" t="s">
        <v>322</v>
      </c>
      <c r="B44" s="55" t="s">
        <v>330</v>
      </c>
    </row>
    <row r="45" spans="1:2" x14ac:dyDescent="0.4">
      <c r="A45" s="2" t="s">
        <v>324</v>
      </c>
      <c r="B45" s="55" t="s">
        <v>331</v>
      </c>
    </row>
    <row r="46" spans="1:2" x14ac:dyDescent="0.4">
      <c r="A46" s="7" t="s">
        <v>332</v>
      </c>
    </row>
    <row r="47" spans="1:2" x14ac:dyDescent="0.4">
      <c r="A47" s="2" t="s">
        <v>316</v>
      </c>
      <c r="B47" s="55" t="s">
        <v>333</v>
      </c>
    </row>
    <row r="48" spans="1:2" x14ac:dyDescent="0.4">
      <c r="A48" s="2" t="s">
        <v>318</v>
      </c>
      <c r="B48" s="55" t="s">
        <v>334</v>
      </c>
    </row>
    <row r="49" spans="1:2" x14ac:dyDescent="0.4">
      <c r="A49" s="2" t="s">
        <v>320</v>
      </c>
      <c r="B49" s="55" t="s">
        <v>335</v>
      </c>
    </row>
    <row r="50" spans="1:2" x14ac:dyDescent="0.4">
      <c r="A50" s="2" t="s">
        <v>322</v>
      </c>
      <c r="B50" s="55" t="s">
        <v>336</v>
      </c>
    </row>
    <row r="51" spans="1:2" x14ac:dyDescent="0.4">
      <c r="A51" s="2" t="s">
        <v>324</v>
      </c>
      <c r="B51" s="55" t="s">
        <v>337</v>
      </c>
    </row>
    <row r="52" spans="1:2" ht="29.15" x14ac:dyDescent="0.4">
      <c r="A52" s="7" t="s">
        <v>338</v>
      </c>
    </row>
    <row r="53" spans="1:2" x14ac:dyDescent="0.4">
      <c r="A53" s="2" t="s">
        <v>316</v>
      </c>
      <c r="B53" s="55" t="s">
        <v>339</v>
      </c>
    </row>
    <row r="54" spans="1:2" x14ac:dyDescent="0.4">
      <c r="A54" s="2" t="s">
        <v>318</v>
      </c>
      <c r="B54" s="55" t="s">
        <v>340</v>
      </c>
    </row>
    <row r="55" spans="1:2" x14ac:dyDescent="0.4">
      <c r="A55" s="2" t="s">
        <v>320</v>
      </c>
      <c r="B55" s="55" t="s">
        <v>341</v>
      </c>
    </row>
    <row r="56" spans="1:2" x14ac:dyDescent="0.4">
      <c r="A56" s="2" t="s">
        <v>322</v>
      </c>
      <c r="B56" s="55" t="s">
        <v>342</v>
      </c>
    </row>
    <row r="57" spans="1:2" x14ac:dyDescent="0.4">
      <c r="A57" s="2" t="s">
        <v>324</v>
      </c>
      <c r="B57" s="55" t="s">
        <v>343</v>
      </c>
    </row>
    <row r="58" spans="1:2" ht="29.15" x14ac:dyDescent="0.4">
      <c r="A58" s="7" t="s">
        <v>344</v>
      </c>
    </row>
    <row r="59" spans="1:2" x14ac:dyDescent="0.4">
      <c r="A59" s="2" t="s">
        <v>316</v>
      </c>
      <c r="B59" s="55" t="s">
        <v>345</v>
      </c>
    </row>
    <row r="60" spans="1:2" x14ac:dyDescent="0.4">
      <c r="A60" s="2" t="s">
        <v>318</v>
      </c>
      <c r="B60" s="55" t="s">
        <v>346</v>
      </c>
    </row>
    <row r="61" spans="1:2" x14ac:dyDescent="0.4">
      <c r="A61" s="2" t="s">
        <v>320</v>
      </c>
      <c r="B61" s="55" t="s">
        <v>347</v>
      </c>
    </row>
    <row r="63" spans="1:2" x14ac:dyDescent="0.4">
      <c r="A63" s="4" t="s">
        <v>348</v>
      </c>
      <c r="B63" s="54"/>
    </row>
    <row r="64" spans="1:2" x14ac:dyDescent="0.4">
      <c r="A64" s="2"/>
      <c r="B64" s="55" t="s">
        <v>349</v>
      </c>
    </row>
    <row r="65" spans="1:2" x14ac:dyDescent="0.4">
      <c r="A65" s="2"/>
      <c r="B65" s="55" t="s">
        <v>350</v>
      </c>
    </row>
    <row r="66" spans="1:2" x14ac:dyDescent="0.4">
      <c r="A66" s="2"/>
      <c r="B66" s="55" t="s">
        <v>351</v>
      </c>
    </row>
    <row r="67" spans="1:2" x14ac:dyDescent="0.4">
      <c r="A67" s="2"/>
      <c r="B67" s="55" t="s">
        <v>352</v>
      </c>
    </row>
    <row r="68" spans="1:2" x14ac:dyDescent="0.4">
      <c r="A68" s="2"/>
      <c r="B68" s="55" t="s">
        <v>353</v>
      </c>
    </row>
    <row r="69" spans="1:2" x14ac:dyDescent="0.4">
      <c r="A69" s="2"/>
      <c r="B69" s="55" t="s">
        <v>354</v>
      </c>
    </row>
    <row r="70" spans="1:2" x14ac:dyDescent="0.4">
      <c r="A70" s="2"/>
      <c r="B70" s="55" t="s">
        <v>355</v>
      </c>
    </row>
    <row r="72" spans="1:2" ht="29.15" x14ac:dyDescent="0.4">
      <c r="A72" s="56" t="s">
        <v>356</v>
      </c>
      <c r="B72" s="57"/>
    </row>
    <row r="73" spans="1:2" ht="29.15" x14ac:dyDescent="0.4">
      <c r="A73" s="2" t="s">
        <v>295</v>
      </c>
      <c r="B73" s="55" t="s">
        <v>357</v>
      </c>
    </row>
    <row r="74" spans="1:2" x14ac:dyDescent="0.4">
      <c r="A74" s="2" t="s">
        <v>358</v>
      </c>
      <c r="B74" s="58">
        <f>moscaX</f>
        <v>0.25</v>
      </c>
    </row>
    <row r="75" spans="1:2" ht="29.15" x14ac:dyDescent="0.4">
      <c r="A75" s="2" t="s">
        <v>359</v>
      </c>
      <c r="B75" s="55" t="s">
        <v>360</v>
      </c>
    </row>
    <row r="76" spans="1:2" x14ac:dyDescent="0.4">
      <c r="A76" s="2" t="s">
        <v>361</v>
      </c>
      <c r="B76" s="58">
        <f>moscaYDefault</f>
        <v>1</v>
      </c>
    </row>
    <row r="77" spans="1:2" ht="29.15" x14ac:dyDescent="0.4">
      <c r="A77" s="2" t="s">
        <v>362</v>
      </c>
      <c r="B77" s="58">
        <f>INDEX(anniProssimita,1)</f>
        <v>3.5</v>
      </c>
    </row>
    <row r="78" spans="1:2" ht="29.15" x14ac:dyDescent="0.4">
      <c r="A78" s="2" t="s">
        <v>363</v>
      </c>
      <c r="B78" s="58">
        <f>INDEX(anniProssimita,2)</f>
        <v>2.5</v>
      </c>
    </row>
    <row r="79" spans="1:2" ht="29.15" x14ac:dyDescent="0.4">
      <c r="A79" s="2" t="s">
        <v>364</v>
      </c>
      <c r="B79" s="58">
        <f>INDEX(anniProssimita,3)</f>
        <v>1.5</v>
      </c>
    </row>
    <row r="80" spans="1:2" ht="29.15" x14ac:dyDescent="0.4">
      <c r="A80" s="2" t="s">
        <v>365</v>
      </c>
      <c r="B80" s="58">
        <f>INDEX(anniProssimita,4)</f>
        <v>0.5</v>
      </c>
    </row>
    <row r="81" spans="1:2" ht="29.15" x14ac:dyDescent="0.4">
      <c r="A81" s="2" t="s">
        <v>366</v>
      </c>
      <c r="B81" s="58">
        <f>INDEX(anniProssimita,5)</f>
        <v>0</v>
      </c>
    </row>
    <row r="82" spans="1:2" x14ac:dyDescent="0.4">
      <c r="A82" s="2" t="s">
        <v>178</v>
      </c>
      <c r="B82" s="55" t="s">
        <v>367</v>
      </c>
    </row>
    <row r="83" spans="1:2" ht="29.15" x14ac:dyDescent="0.4">
      <c r="A83" s="2" t="s">
        <v>368</v>
      </c>
      <c r="B83" s="55" t="s">
        <v>369</v>
      </c>
    </row>
    <row r="85" spans="1:2" x14ac:dyDescent="0.4">
      <c r="A85" s="56" t="s">
        <v>370</v>
      </c>
      <c r="B85" s="57"/>
    </row>
    <row r="86" spans="1:2" ht="43.75" x14ac:dyDescent="0.4">
      <c r="A86" s="2" t="s">
        <v>295</v>
      </c>
      <c r="B86" s="55" t="s">
        <v>371</v>
      </c>
    </row>
    <row r="87" spans="1:2" x14ac:dyDescent="0.4">
      <c r="A87" s="2" t="s">
        <v>372</v>
      </c>
      <c r="B87" s="55" t="str">
        <f>"Almeno "&amp;livelloForti&amp;" segnali forti: al comitato con un piano d'azione."</f>
        <v>Almeno 2 segnali forti: al comitato con un piano d'azione.</v>
      </c>
    </row>
    <row r="88" spans="1:2" ht="29.15" x14ac:dyDescent="0.4">
      <c r="A88" s="2" t="s">
        <v>373</v>
      </c>
      <c r="B88" s="55" t="str">
        <f>"Un segnale forte, oppure margine sotto "&amp;FIXED(livelloMargine,1)&amp;" anni con un aggravante (P x I da "&amp;livelloPxI&amp;", presidio assente, almeno il "&amp;FIXED(livelloQuotaKRI*100,0)&amp;"% dei KRI in ambra o rosso): l'owner verifica azioni e KRI."</f>
        <v>Un segnale forte, oppure margine sotto 1,0 anni con un aggravante (P x I da 12, presidio assente, almeno il 50% dei KRI in ambra o rosso): l'owner verifica azioni e KRI.</v>
      </c>
    </row>
    <row r="89" spans="1:2" x14ac:dyDescent="0.4">
      <c r="A89" s="2" t="s">
        <v>374</v>
      </c>
      <c r="B89" s="55" t="s">
        <v>375</v>
      </c>
    </row>
    <row r="91" spans="1:2" x14ac:dyDescent="0.4">
      <c r="A91" s="4" t="s">
        <v>124</v>
      </c>
      <c r="B91" s="54"/>
    </row>
    <row r="92" spans="1:2" ht="72.900000000000006" x14ac:dyDescent="0.4">
      <c r="A92" s="2" t="s">
        <v>376</v>
      </c>
      <c r="B92" s="55" t="s">
        <v>377</v>
      </c>
    </row>
    <row r="93" spans="1:2" x14ac:dyDescent="0.4">
      <c r="A93" s="2" t="s">
        <v>378</v>
      </c>
      <c r="B93" s="55" t="s">
        <v>379</v>
      </c>
    </row>
    <row r="95" spans="1:2" ht="29.15" x14ac:dyDescent="0.4">
      <c r="A95" s="4" t="s">
        <v>380</v>
      </c>
      <c r="B95" s="54"/>
    </row>
    <row r="96" spans="1:2" ht="43.75" x14ac:dyDescent="0.4">
      <c r="A96" s="2" t="s">
        <v>307</v>
      </c>
      <c r="B96" s="55" t="s">
        <v>381</v>
      </c>
    </row>
    <row r="97" spans="1:2" ht="29.15" x14ac:dyDescent="0.4">
      <c r="A97" s="2" t="s">
        <v>382</v>
      </c>
      <c r="B97" s="55" t="str">
        <f>"Prossimita almeno "&amp;sogliaProssimitaRadar&amp;" e Probabilita almeno "&amp;sogliaProbabilitaRadar&amp;", fino a "&amp;capienzaRadar&amp;" rischi (i più alti per score); sempre dentro, anche oltre la capienza: AGIRE ORA (margine di Mosca negativo), tema del supervisore, decisione Radar del validatore; mai dentro: decisione Osservazione del validatore."</f>
        <v>Prossimita almeno 2 e Probabilita almeno 2, fino a 15 rischi (i più alti per score); sempre dentro, anche oltre la capienza: AGIRE ORA (margine di Mosca negativo), tema del supervisore, decisione Radar del validatore; mai dentro: decisione Osservazione del validatore.</v>
      </c>
    </row>
    <row r="98" spans="1:2" ht="43.75" x14ac:dyDescent="0.4">
      <c r="A98" s="2" t="s">
        <v>383</v>
      </c>
      <c r="B98" s="55" t="str">
        <f>"Lo script ricalcola lo stato a ogni ciclo e a ogni validazione. Un rischio che sale entra subito (KRI e azioni li propone A1); uno che scende resta Radar, in uscita per "&amp;(cicliUscitaRadar-1)&amp;" ciclo ed esce se lo è ancora dopo: i suoi KRI escono di vigore, la storia resta. Al massimo 20 rischi in osservazione. Regola e parametri: foglio Parametri, righe 65-75."</f>
        <v>Lo script ricalcola lo stato a ogni ciclo e a ogni validazione. Un rischio che sale entra subito (KRI e azioni li propone A1); uno che scende resta Radar, in uscita per 1 ciclo ed esce se lo è ancora dopo: i suoi KRI escono di vigore, la storia resta. Al massimo 20 rischi in osservazione. Regola e parametri: foglio Parametri, righe 65-75.</v>
      </c>
    </row>
    <row r="100" spans="1:2" x14ac:dyDescent="0.4">
      <c r="A100" s="56" t="s">
        <v>384</v>
      </c>
      <c r="B100" s="57"/>
    </row>
    <row r="101" spans="1:2" x14ac:dyDescent="0.4">
      <c r="A101" s="2" t="s">
        <v>64</v>
      </c>
      <c r="B101" s="55" t="s">
        <v>385</v>
      </c>
    </row>
    <row r="102" spans="1:2" x14ac:dyDescent="0.4">
      <c r="A102" s="2" t="s">
        <v>386</v>
      </c>
      <c r="B102" s="55" t="s">
        <v>387</v>
      </c>
    </row>
    <row r="103" spans="1:2" ht="43.75" x14ac:dyDescent="0.4">
      <c r="A103" s="2" t="s">
        <v>388</v>
      </c>
      <c r="B103" s="55" t="s">
        <v>389</v>
      </c>
    </row>
    <row r="104" spans="1:2" x14ac:dyDescent="0.4">
      <c r="A104" s="2" t="s">
        <v>73</v>
      </c>
      <c r="B104" s="55" t="s">
        <v>390</v>
      </c>
    </row>
    <row r="105" spans="1:2" ht="43.75" x14ac:dyDescent="0.4">
      <c r="A105" s="2" t="s">
        <v>76</v>
      </c>
      <c r="B105" s="55" t="s">
        <v>391</v>
      </c>
    </row>
    <row r="107" spans="1:2" x14ac:dyDescent="0.4">
      <c r="A107" s="5" t="s">
        <v>392</v>
      </c>
      <c r="B107" s="59"/>
    </row>
    <row r="108" spans="1:2" ht="43.75" x14ac:dyDescent="0.4">
      <c r="A108" s="2"/>
      <c r="B108" s="55" t="s">
        <v>393</v>
      </c>
    </row>
  </sheetData>
  <mergeCells count="2">
    <mergeCell ref="A2:B2"/>
    <mergeCell ref="A1:B1"/>
  </mergeCell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pageSetUpPr fitToPage="1"/>
  </sheetPr>
  <dimension ref="A1:AN30"/>
  <sheetViews>
    <sheetView showGridLines="0" workbookViewId="0">
      <pane xSplit="2" ySplit="8" topLeftCell="C9" activePane="bottomRight" state="frozen"/>
      <selection pane="topRight"/>
      <selection pane="bottomLeft"/>
      <selection pane="bottomRight"/>
    </sheetView>
  </sheetViews>
  <sheetFormatPr defaultRowHeight="14.6" x14ac:dyDescent="0.4"/>
  <cols>
    <col min="1" max="1" width="9" customWidth="1"/>
    <col min="2" max="2" width="38" customWidth="1"/>
    <col min="3" max="3" width="8" customWidth="1"/>
    <col min="4" max="7" width="6" customWidth="1"/>
    <col min="8" max="8" width="8" customWidth="1"/>
    <col min="9" max="10" width="9" customWidth="1"/>
    <col min="11" max="11" width="16" customWidth="1"/>
    <col min="12" max="12" width="8" customWidth="1"/>
    <col min="13" max="16" width="4" customWidth="1"/>
    <col min="17" max="17" width="11" customWidth="1"/>
    <col min="18" max="18" width="13" customWidth="1"/>
    <col min="19" max="19" width="11" customWidth="1"/>
    <col min="20" max="20" width="28" customWidth="1"/>
    <col min="27" max="40" width="13" hidden="1" customWidth="1"/>
  </cols>
  <sheetData>
    <row r="1" spans="1:40" ht="28" customHeight="1" x14ac:dyDescent="0.4">
      <c r="A1" s="161" t="str">
        <f>"Horizon Scan NFR — Registro: il ciclo corrente   ·   "&amp;etichettaCiclo</f>
        <v>Horizon Scan NFR — Registro: il ciclo corrente   ·   Ciclo 2026Q4 · dati al 31/12/2026 · validato · Uso interno</v>
      </c>
      <c r="B1" s="162"/>
      <c r="C1" s="162"/>
      <c r="D1" s="162"/>
      <c r="E1" s="162"/>
      <c r="F1" s="162"/>
      <c r="G1" s="162"/>
      <c r="H1" s="162"/>
      <c r="I1" s="162"/>
      <c r="J1" s="162"/>
      <c r="K1" s="162"/>
      <c r="L1" s="162"/>
      <c r="M1" s="162"/>
      <c r="N1" s="162"/>
      <c r="O1" s="162"/>
      <c r="P1" s="162"/>
      <c r="Q1" s="162"/>
      <c r="R1" s="162"/>
      <c r="S1" s="162"/>
      <c r="T1" s="162"/>
    </row>
    <row r="2" spans="1:40" ht="59.05" customHeight="1" x14ac:dyDescent="0.4">
      <c r="A2" s="194" t="s">
        <v>394</v>
      </c>
      <c r="B2" s="142"/>
      <c r="C2" s="142"/>
      <c r="D2" s="142"/>
      <c r="E2" s="142"/>
      <c r="F2" s="142"/>
      <c r="G2" s="142"/>
      <c r="H2" s="142"/>
      <c r="I2" s="142"/>
      <c r="J2" s="142"/>
      <c r="K2" s="142"/>
      <c r="L2" s="142"/>
      <c r="M2" s="142"/>
      <c r="N2" s="142"/>
      <c r="O2" s="142"/>
      <c r="P2" s="142"/>
      <c r="Q2" s="142"/>
      <c r="R2" s="142"/>
      <c r="S2" s="142"/>
      <c r="T2" s="142"/>
      <c r="U2" s="142"/>
    </row>
    <row r="4" spans="1:40" x14ac:dyDescent="0.4">
      <c r="A4" s="60" t="s">
        <v>395</v>
      </c>
      <c r="B4" t="s">
        <v>396</v>
      </c>
      <c r="D4">
        <f>COUNTIFS(VAL_Periodo,cicloCorrente,VAL_Stato,"Da decidere",VAL_Oggetto,"Rischio",VAL_Campo,"Impatto")+COUNTIFS(VAL_Periodo,cicloCorrente,VAL_Stato,"Da decidere",VAL_Oggetto,"KRI",VAL_Campo,"Valore_Corrente")+COUNTIFS(VAL_Periodo,cicloCorrente,VAL_Stato,"Da decidere",VAL_Oggetto,"Azione",VAL_Campo,"Owner")</f>
        <v>0</v>
      </c>
      <c r="E4" t="s">
        <v>397</v>
      </c>
      <c r="G4">
        <f>COUNTIFS(VAL_Periodo,cicloCorrente,VAL_Decisione,"Rettificato",VAL_Stato,"Applicata")</f>
        <v>0</v>
      </c>
      <c r="H4" s="193" t="str">
        <f>IF(D4&gt;0,"CICLO NON ANCORA VALIDATO — vedi foglio Validazione","Ciclo validato")</f>
        <v>Ciclo validato</v>
      </c>
      <c r="I4" s="142"/>
      <c r="J4" s="142"/>
      <c r="K4" s="142"/>
      <c r="L4" s="142"/>
      <c r="M4" s="142"/>
      <c r="N4" s="142"/>
    </row>
    <row r="5" spans="1:40" x14ac:dyDescent="0.4">
      <c r="A5" s="62" t="s">
        <v>398</v>
      </c>
      <c r="B5" t="s">
        <v>399</v>
      </c>
      <c r="D5">
        <f>COUNTIF(ANA_ID,"NFR-*")</f>
        <v>13</v>
      </c>
      <c r="E5" t="s">
        <v>400</v>
      </c>
      <c r="G5">
        <f>SUMPRODUCT((ANA_ID&lt;&gt;"")*(COUNTIFS(RR_ID_Rischio,ANA_ID,RR_Ciclo,cicloCorrente)&gt;0))</f>
        <v>13</v>
      </c>
      <c r="H5" s="193" t="str">
        <f>IF(D5=G5,"Ciclo completo","CICLO INCOMPLETO — i rischi mancanti non sono valutazioni")</f>
        <v>Ciclo completo</v>
      </c>
      <c r="I5" s="142"/>
      <c r="J5" s="142"/>
      <c r="K5" s="142"/>
      <c r="L5" s="142"/>
      <c r="M5" s="142"/>
      <c r="N5" s="142"/>
    </row>
    <row r="7" spans="1:40" ht="26.05" customHeight="1" x14ac:dyDescent="0.4">
      <c r="A7" s="191" t="s">
        <v>18</v>
      </c>
      <c r="B7" s="192"/>
      <c r="C7" s="192"/>
      <c r="D7" s="189" t="s">
        <v>401</v>
      </c>
      <c r="E7" s="190"/>
      <c r="F7" s="190"/>
      <c r="G7" s="190"/>
      <c r="H7" s="191" t="s">
        <v>402</v>
      </c>
      <c r="I7" s="192"/>
      <c r="J7" s="192"/>
      <c r="K7" s="192"/>
      <c r="L7" s="192"/>
      <c r="M7" s="64" t="s">
        <v>403</v>
      </c>
      <c r="N7" s="189" t="s">
        <v>404</v>
      </c>
      <c r="O7" s="190"/>
      <c r="P7" s="190"/>
      <c r="Q7" s="65" t="s">
        <v>405</v>
      </c>
      <c r="R7" s="64" t="s">
        <v>406</v>
      </c>
      <c r="S7" s="63" t="s">
        <v>407</v>
      </c>
      <c r="T7" s="64" t="s">
        <v>408</v>
      </c>
    </row>
    <row r="8" spans="1:40" ht="28" customHeight="1" x14ac:dyDescent="0.4">
      <c r="A8" s="66" t="s">
        <v>173</v>
      </c>
      <c r="B8" s="66" t="s">
        <v>174</v>
      </c>
      <c r="C8" s="67" t="s">
        <v>202</v>
      </c>
      <c r="D8" s="67" t="s">
        <v>409</v>
      </c>
      <c r="E8" s="67" t="s">
        <v>410</v>
      </c>
      <c r="F8" s="67" t="s">
        <v>411</v>
      </c>
      <c r="G8" s="67" t="s">
        <v>412</v>
      </c>
      <c r="H8" s="67" t="s">
        <v>19</v>
      </c>
      <c r="I8" s="67" t="s">
        <v>413</v>
      </c>
      <c r="J8" s="67" t="s">
        <v>414</v>
      </c>
      <c r="K8" s="67" t="s">
        <v>21</v>
      </c>
      <c r="L8" s="67" t="s">
        <v>415</v>
      </c>
      <c r="M8" s="68" t="s">
        <v>416</v>
      </c>
      <c r="N8" s="67" t="s">
        <v>417</v>
      </c>
      <c r="O8" s="67" t="s">
        <v>418</v>
      </c>
      <c r="P8" s="67" t="s">
        <v>419</v>
      </c>
      <c r="Q8" s="67" t="s">
        <v>420</v>
      </c>
      <c r="R8" s="67" t="s">
        <v>421</v>
      </c>
      <c r="S8" s="67" t="s">
        <v>422</v>
      </c>
      <c r="T8" s="67" t="s">
        <v>181</v>
      </c>
      <c r="AA8" t="s">
        <v>173</v>
      </c>
      <c r="AB8" t="s">
        <v>174</v>
      </c>
      <c r="AC8" t="s">
        <v>203</v>
      </c>
      <c r="AD8" t="s">
        <v>204</v>
      </c>
      <c r="AE8" t="s">
        <v>206</v>
      </c>
      <c r="AF8" t="s">
        <v>300</v>
      </c>
      <c r="AG8" t="s">
        <v>19</v>
      </c>
      <c r="AH8" t="s">
        <v>423</v>
      </c>
      <c r="AI8" t="s">
        <v>424</v>
      </c>
      <c r="AJ8" t="s">
        <v>425</v>
      </c>
      <c r="AK8" t="s">
        <v>426</v>
      </c>
      <c r="AL8" t="s">
        <v>183</v>
      </c>
      <c r="AM8" t="s">
        <v>427</v>
      </c>
      <c r="AN8" t="s">
        <v>46</v>
      </c>
    </row>
    <row r="9" spans="1:40" ht="20.05" customHeight="1" x14ac:dyDescent="0.4">
      <c r="A9" s="69" t="str">
        <f t="shared" ref="A9:A28" si="0">IF($AM9="","",INDEX(posID,$AM9))</f>
        <v>NFR-01</v>
      </c>
      <c r="B9" s="69" t="str">
        <f t="shared" ref="B9:B28" si="1">IF($AM9="","",INDEX(posNome,$AM9))</f>
        <v>Frodi su pagamenti istantanei abilitate da AI generativa</v>
      </c>
      <c r="C9" s="70" t="str">
        <f t="shared" ref="C9:C28" si="2">IF($AM9="","",INDEX(ANA_Event_Type,$AM9)&amp;"")</f>
        <v>9.7</v>
      </c>
      <c r="D9" s="70">
        <f t="shared" ref="D9:D28" si="3">IF($AM9="","",IF(ISNUMBER(INDEX(posImpatto,$AM9)),INDEX(posImpatto,$AM9),NA()))</f>
        <v>4</v>
      </c>
      <c r="E9" s="70">
        <f t="shared" ref="E9:E28" si="4">IF($AM9="","",IF(ISNUMBER(INDEX(posProbabilita,$AM9)),INDEX(posProbabilita,$AM9),NA()))</f>
        <v>4</v>
      </c>
      <c r="F9" s="70">
        <f t="shared" ref="F9:F28" si="5">IF($AM9="","",IF(ISNUMBER(INDEX(posProssimita,$AM9)),INDEX(posProssimita,$AM9),NA()))</f>
        <v>5</v>
      </c>
      <c r="G9" s="70">
        <f t="shared" ref="G9:G28" si="6">IF($AM9="","",IF(ISNUMBER(INDEX(posVelocity,$AM9)),INDEX(posVelocity,$AM9),"n.v."))</f>
        <v>5</v>
      </c>
      <c r="H9" s="71">
        <f t="shared" ref="H9:H28" si="7">IF($AM9="","",IF(ISNUMBER(INDEX(posScore,$AM9)),INDEX(posScore,$AM9),NA()))</f>
        <v>4.4000000000000004</v>
      </c>
      <c r="I9" s="18">
        <f t="shared" ref="I9:I28" si="8">IF($AM9="","",IF(ISNUMBER(INDEX(posScorePrec,$AM9)),IFERROR(H9-INDEX(posScorePrec,$AM9),""),IF(ISNUMBER(H9),"nuovo","")))</f>
        <v>0.20000000000000018</v>
      </c>
      <c r="J9" s="18">
        <f t="shared" ref="J9:J28" si="9">IF($AM9="","",IF(ISNUMBER(INDEX(posScore2,$AM9)),IFERROR(H9-INDEX(posScore2,$AM9),""),IF(ISNUMBER(H9),"nuovo","")))</f>
        <v>0.20000000000000018</v>
      </c>
      <c r="K9" s="70" t="str">
        <f>IF($AM9="","",INDEX(Radar_Mosca!$L$5:$L$24,$AM9)&amp;"")</f>
        <v>AGIRE ORA: X+Y &gt; Z</v>
      </c>
      <c r="L9" s="72">
        <f>IF($AM9="","",IFERROR(INDEX(Radar_Mosca!$K$5:$K$24,$AM9),""))</f>
        <v>-0.5</v>
      </c>
      <c r="M9" s="70" t="str">
        <f t="shared" ref="M9:M28" si="10">IF($AM9="","",IF(INDEX(ANA_Attenzione_Supervisore,$AM9)="Sì","◆",""))</f>
        <v>◆</v>
      </c>
      <c r="N9" s="73">
        <f t="shared" ref="N9:N28" si="11">IF($A9="","",COUNTIFS(KRI_ID_Rischio,$A9,KRI_Ciclo,cicloCorrente,KRI_In_Vigore,"Sì",KRI_Stato,"Rosso"))</f>
        <v>1</v>
      </c>
      <c r="O9" s="73">
        <f t="shared" ref="O9:O28" si="12">IF($A9="","",COUNTIFS(KRI_ID_Rischio,$A9,KRI_Ciclo,cicloCorrente,KRI_In_Vigore,"Sì",KRI_Stato,"Ambra"))</f>
        <v>0</v>
      </c>
      <c r="P9" s="73">
        <f t="shared" ref="P9:P28" si="13">IF($A9="","",COUNTIFS(KRI_ID_Rischio,$A9,KRI_Ciclo,cicloCorrente,KRI_In_Vigore,"Sì",KRI_Stato,"Verde"))</f>
        <v>1</v>
      </c>
      <c r="Q9" s="70" t="str">
        <f t="shared" ref="Q9:Q28" si="14">IF($AM9="","",INDEX(posBadge,$AM9))</f>
        <v>● +1</v>
      </c>
      <c r="R9" s="70" t="str">
        <f t="shared" ref="R9:R28" si="15">IF($AM9="","",INDEX(ANA_Presidio_Controlli,$AM9)&amp;"")</f>
        <v>Parziale</v>
      </c>
      <c r="S9" s="70" t="str">
        <f t="shared" ref="S9:S28" si="16">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70" t="str">
        <f t="shared" ref="T9:T28" si="17">IF($AM9="","",INDEX(ANA_Owner,$AM9)&amp;"")</f>
        <v>Funzione Antifrode</v>
      </c>
      <c r="AA9" t="str">
        <f>IF(Parametri!$H4="","",Parametri!$H4)</f>
        <v>NFR-01</v>
      </c>
      <c r="AB9" t="str">
        <f>IF($AA9="","",Parametri!$I4)</f>
        <v>Frodi su pagamenti istantanei abilitate da AI generativa</v>
      </c>
      <c r="AC9">
        <f t="shared" ref="AC9:AC28" si="18">IF($AA9="",NA(),IF(COUNTIFS(RR_ID_Rischio,$AA9,RR_Ciclo,cicloCorrente,RR_Impatto,"&lt;&gt;")=0,NA(),SUMIFS(RR_Impatto,RR_ID_Rischio,$AA9,RR_Ciclo,cicloCorrente)))</f>
        <v>4</v>
      </c>
      <c r="AD9">
        <f t="shared" ref="AD9:AD28" si="19">IF($AA9="",NA(),IF(COUNTIFS(RR_ID_Rischio,$AA9,RR_Ciclo,cicloCorrente,RR_Probabilita,"&lt;&gt;")=0,NA(),SUMIFS(RR_Probabilita,RR_ID_Rischio,$AA9,RR_Ciclo,cicloCorrente)))</f>
        <v>4</v>
      </c>
      <c r="AE9">
        <f t="shared" ref="AE9:AE28" si="20">IF($AA9="",NA(),IF(COUNTIFS(RR_ID_Rischio,$AA9,RR_Ciclo,cicloCorrente,RR_Prossimita,"&lt;&gt;")=0,NA(),SUMIFS(RR_Prossimita,RR_ID_Rischio,$AA9,RR_Ciclo,cicloCorrente)))</f>
        <v>5</v>
      </c>
      <c r="AF9">
        <f t="shared" ref="AF9:AF28" si="21">IF($AA9="",NA(),IF(COUNTIFS(RR_ID_Rischio,$AA9,RR_Ciclo,cicloCorrente,RR_Velocity,"&lt;&gt;")=0,NA(),SUMIFS(RR_Velocity,RR_ID_Rischio,$AA9,RR_Ciclo,cicloCorrente)))</f>
        <v>5</v>
      </c>
      <c r="AG9">
        <f t="shared" ref="AG9:AG28" si="22">IF($AA9="",NA(),IF(COUNTIFS(RR_ID_Rischio,$AA9,RR_Ciclo,cicloCorrente,RR_Score_Composito,"&lt;&gt;")=0,NA(),SUMIFS(RR_Score_Composito,RR_ID_Rischio,$AA9,RR_Ciclo,cicloCorrente)))</f>
        <v>4.4000000000000004</v>
      </c>
      <c r="AH9">
        <f t="shared" ref="AH9:AH28" si="23">IF($AA9="",NA(),IF(COUNTIFS(RR_ID_Rischio,$AA9,RR_Ciclo,cicloPrecedente,RR_Score_Composito,"&lt;&gt;")=0,NA(),SUMIFS(RR_Score_Composito,RR_ID_Rischio,$AA9,RR_Ciclo,cicloPrecedente)))</f>
        <v>4.2</v>
      </c>
      <c r="AI9">
        <f t="shared" ref="AI9:AI28" si="24">IF($AA9="",NA(),IF(COUNTIFS(RR_ID_Rischio,$AA9,RR_Ciclo,cicloMeno2,RR_Score_Composito,"&lt;&gt;")=0,NA(),SUMIFS(RR_Score_Composito,RR_ID_Rischio,$AA9,RR_Ciclo,cicloMeno2)))</f>
        <v>4.2</v>
      </c>
      <c r="AJ9">
        <f t="shared" ref="AJ9:AJ28" si="25">IF($AA9="","",COUNTIFS(NW_Rischio_ID,$AA9,NW_Segnale,"Peggiorativo",NW_Settimana,"&gt;="&amp;inizioFinestra4,NW_Settimana,"&lt;="&amp;settimanaCorrente)-COUNTIFS(NW_Rischio_ID,$AA9,NW_Segnale,"Migliorativo",NW_Settimana,"&gt;="&amp;inizioFinestra4,NW_Settimana,"&lt;="&amp;settimanaCorrente))</f>
        <v>1</v>
      </c>
      <c r="AK9" t="str">
        <f t="shared" ref="AK9:AK28" si="26">IF($AA9="","",IF(AJ9&gt;=sogliaDirezione,"▲ +"&amp;AJ9,IF(AJ9&lt;=-sogliaDirezione,"▼ "&amp;AJ9,"● "&amp;IF(AJ9&gt;0,"+","")&amp;AJ9)))</f>
        <v>● +1</v>
      </c>
      <c r="AL9">
        <f>IF($AA9="","",IF(ISNUMBER(AG9),AG9,-1)-1/100000)</f>
        <v>4.3999900000000007</v>
      </c>
      <c r="AM9">
        <f>IFERROR(MATCH(_xlfn.AGGREGATE(14,6,$AL$9:$AL$28,1),$AL$9:$AL$28,0),"")</f>
        <v>1</v>
      </c>
      <c r="AN9" t="str">
        <f>IF($AA9="","",Radar_Mosca!$AA$5&amp;"")</f>
        <v>Attivazione</v>
      </c>
    </row>
    <row r="10" spans="1:40" ht="20.05" customHeight="1" x14ac:dyDescent="0.4">
      <c r="A10" s="69" t="str">
        <f t="shared" si="0"/>
        <v>NFR-02</v>
      </c>
      <c r="B10" s="69" t="str">
        <f t="shared" si="1"/>
        <v>Concentrazione su un fornitore cloud critico</v>
      </c>
      <c r="C10" s="70" t="str">
        <f t="shared" si="2"/>
        <v>9.9</v>
      </c>
      <c r="D10" s="70">
        <f t="shared" si="3"/>
        <v>4</v>
      </c>
      <c r="E10" s="70">
        <f t="shared" si="4"/>
        <v>4</v>
      </c>
      <c r="F10" s="70">
        <f t="shared" si="5"/>
        <v>3</v>
      </c>
      <c r="G10" s="70">
        <f t="shared" si="6"/>
        <v>4</v>
      </c>
      <c r="H10" s="71">
        <f t="shared" si="7"/>
        <v>3.8</v>
      </c>
      <c r="I10" s="18">
        <f t="shared" si="8"/>
        <v>0.5</v>
      </c>
      <c r="J10" s="18">
        <f t="shared" si="9"/>
        <v>0.5</v>
      </c>
      <c r="K10" s="70" t="str">
        <f>IF($AM10="","",INDEX(Radar_Mosca!$L$5:$L$24,$AM10)&amp;"")</f>
        <v>Margine 1 anno</v>
      </c>
      <c r="L10" s="72">
        <f>IF($AM10="","",IFERROR(INDEX(Radar_Mosca!$K$5:$K$24,$AM10),""))</f>
        <v>1</v>
      </c>
      <c r="M10" s="70" t="str">
        <f t="shared" si="10"/>
        <v>◆</v>
      </c>
      <c r="N10" s="73">
        <f t="shared" si="11"/>
        <v>1</v>
      </c>
      <c r="O10" s="73">
        <f t="shared" si="12"/>
        <v>0</v>
      </c>
      <c r="P10" s="73">
        <f t="shared" si="13"/>
        <v>1</v>
      </c>
      <c r="Q10" s="70" t="str">
        <f t="shared" si="14"/>
        <v>● 0</v>
      </c>
      <c r="R10" s="70" t="str">
        <f t="shared" si="15"/>
        <v>Parziale</v>
      </c>
      <c r="S10" s="70" t="str">
        <f t="shared" si="16"/>
        <v/>
      </c>
      <c r="T10" s="70" t="str">
        <f t="shared" si="17"/>
        <v>Funzione ICT &amp; Security Risk</v>
      </c>
      <c r="AA10" t="str">
        <f>IF(Parametri!$H5="","",Parametri!$H5)</f>
        <v>NFR-02</v>
      </c>
      <c r="AB10" t="str">
        <f>IF($AA10="","",Parametri!$I5)</f>
        <v>Concentrazione su un fornitore cloud critico</v>
      </c>
      <c r="AC10">
        <f t="shared" si="18"/>
        <v>4</v>
      </c>
      <c r="AD10">
        <f t="shared" si="19"/>
        <v>4</v>
      </c>
      <c r="AE10">
        <f t="shared" si="20"/>
        <v>3</v>
      </c>
      <c r="AF10">
        <f t="shared" si="21"/>
        <v>4</v>
      </c>
      <c r="AG10">
        <f t="shared" si="22"/>
        <v>3.8</v>
      </c>
      <c r="AH10">
        <f t="shared" si="23"/>
        <v>3.3</v>
      </c>
      <c r="AI10">
        <f t="shared" si="24"/>
        <v>3.3</v>
      </c>
      <c r="AJ10">
        <f t="shared" si="25"/>
        <v>0</v>
      </c>
      <c r="AK10" t="str">
        <f t="shared" si="26"/>
        <v>● 0</v>
      </c>
      <c r="AL10">
        <f>IF($AA10="","",IF(ISNUMBER(AG10),AG10,-1)-2/100000)</f>
        <v>3.7999799999999997</v>
      </c>
      <c r="AM10">
        <f>IFERROR(MATCH(_xlfn.AGGREGATE(14,6,$AL$9:$AL$28,2),$AL$9:$AL$28,0),"")</f>
        <v>2</v>
      </c>
      <c r="AN10" t="str">
        <f>IF($AA10="","",Radar_Mosca!$AA$6&amp;"")</f>
        <v>Attenzione</v>
      </c>
    </row>
    <row r="11" spans="1:40" ht="20.05" customHeight="1" x14ac:dyDescent="0.4">
      <c r="A11" s="69" t="str">
        <f t="shared" si="0"/>
        <v>NFR-07</v>
      </c>
      <c r="B11" s="69" t="str">
        <f t="shared" si="1"/>
        <v>Ransomware presso un fornitore di servizi di pagamento</v>
      </c>
      <c r="C11" s="70" t="str">
        <f t="shared" si="2"/>
        <v>9.9</v>
      </c>
      <c r="D11" s="70">
        <f t="shared" si="3"/>
        <v>4</v>
      </c>
      <c r="E11" s="70">
        <f t="shared" si="4"/>
        <v>3</v>
      </c>
      <c r="F11" s="70">
        <f t="shared" si="5"/>
        <v>3</v>
      </c>
      <c r="G11" s="70">
        <f t="shared" si="6"/>
        <v>5</v>
      </c>
      <c r="H11" s="71">
        <f t="shared" si="7"/>
        <v>3.75</v>
      </c>
      <c r="I11" s="18">
        <f t="shared" si="8"/>
        <v>0</v>
      </c>
      <c r="J11" s="18">
        <f t="shared" si="9"/>
        <v>0</v>
      </c>
      <c r="K11" s="70" t="str">
        <f>IF($AM11="","",INDEX(Radar_Mosca!$L$5:$L$24,$AM11)&amp;"")</f>
        <v>Agire entro l'anno</v>
      </c>
      <c r="L11" s="72">
        <f>IF($AM11="","",IFERROR(INDEX(Radar_Mosca!$K$5:$K$24,$AM11),""))</f>
        <v>0.75</v>
      </c>
      <c r="M11" s="70" t="str">
        <f t="shared" si="10"/>
        <v>◆</v>
      </c>
      <c r="N11" s="73">
        <f t="shared" si="11"/>
        <v>0</v>
      </c>
      <c r="O11" s="73">
        <f t="shared" si="12"/>
        <v>1</v>
      </c>
      <c r="P11" s="73">
        <f t="shared" si="13"/>
        <v>1</v>
      </c>
      <c r="Q11" s="70" t="str">
        <f t="shared" si="14"/>
        <v>● 0</v>
      </c>
      <c r="R11" s="70" t="str">
        <f t="shared" si="15"/>
        <v>Parziale</v>
      </c>
      <c r="S11" s="70" t="str">
        <f t="shared" si="16"/>
        <v/>
      </c>
      <c r="T11" s="70" t="str">
        <f t="shared" si="17"/>
        <v>Funzione ICT &amp; Security Risk</v>
      </c>
      <c r="AA11" t="str">
        <f>IF(Parametri!$H6="","",Parametri!$H6)</f>
        <v>NFR-03</v>
      </c>
      <c r="AB11" t="str">
        <f>IF($AA11="","",Parametri!$I6)</f>
        <v>Greenwashing nella commercializzazione di prodotti ESG</v>
      </c>
      <c r="AC11">
        <f t="shared" si="18"/>
        <v>3</v>
      </c>
      <c r="AD11">
        <f t="shared" si="19"/>
        <v>3</v>
      </c>
      <c r="AE11">
        <f t="shared" si="20"/>
        <v>4</v>
      </c>
      <c r="AF11">
        <f t="shared" si="21"/>
        <v>2</v>
      </c>
      <c r="AG11">
        <f t="shared" si="22"/>
        <v>3</v>
      </c>
      <c r="AH11">
        <f t="shared" si="23"/>
        <v>3</v>
      </c>
      <c r="AI11">
        <f t="shared" si="24"/>
        <v>2.8</v>
      </c>
      <c r="AJ11">
        <f t="shared" si="25"/>
        <v>0</v>
      </c>
      <c r="AK11" t="str">
        <f t="shared" si="26"/>
        <v>● 0</v>
      </c>
      <c r="AL11">
        <f>IF($AA11="","",IF(ISNUMBER(AG11),AG11,-1)-3/100000)</f>
        <v>2.9999699999999998</v>
      </c>
      <c r="AM11">
        <f>IFERROR(MATCH(_xlfn.AGGREGATE(14,6,$AL$9:$AL$28,3),$AL$9:$AL$28,0),"")</f>
        <v>7</v>
      </c>
      <c r="AN11" t="str">
        <f>IF($AA11="","",Radar_Mosca!$AA$7&amp;"")</f>
        <v>Attenzione</v>
      </c>
    </row>
    <row r="12" spans="1:40" ht="20.05" customHeight="1" x14ac:dyDescent="0.4">
      <c r="A12" s="69" t="str">
        <f t="shared" si="0"/>
        <v>NFR-12</v>
      </c>
      <c r="B12" s="69" t="str">
        <f t="shared" si="1"/>
        <v>Errori operativi nei pagamenti istantanei obbligatori</v>
      </c>
      <c r="C12" s="70" t="str">
        <f t="shared" si="2"/>
        <v>9.13</v>
      </c>
      <c r="D12" s="70">
        <f t="shared" si="3"/>
        <v>3</v>
      </c>
      <c r="E12" s="70">
        <f t="shared" si="4"/>
        <v>4</v>
      </c>
      <c r="F12" s="70">
        <f t="shared" si="5"/>
        <v>4</v>
      </c>
      <c r="G12" s="70">
        <f t="shared" si="6"/>
        <v>4</v>
      </c>
      <c r="H12" s="71">
        <f t="shared" si="7"/>
        <v>3.65</v>
      </c>
      <c r="I12" s="18">
        <f t="shared" si="8"/>
        <v>0</v>
      </c>
      <c r="J12" s="18">
        <f t="shared" si="9"/>
        <v>0</v>
      </c>
      <c r="K12" s="70" t="str">
        <f>IF($AM12="","",INDEX(Radar_Mosca!$L$5:$L$24,$AM12)&amp;"")</f>
        <v>Agire entro l'anno</v>
      </c>
      <c r="L12" s="72">
        <f>IF($AM12="","",IFERROR(INDEX(Radar_Mosca!$K$5:$K$24,$AM12),""))</f>
        <v>0</v>
      </c>
      <c r="M12" s="70" t="str">
        <f t="shared" si="10"/>
        <v/>
      </c>
      <c r="N12" s="73">
        <f t="shared" si="11"/>
        <v>0</v>
      </c>
      <c r="O12" s="73">
        <f t="shared" si="12"/>
        <v>1</v>
      </c>
      <c r="P12" s="73">
        <f t="shared" si="13"/>
        <v>1</v>
      </c>
      <c r="Q12" s="70" t="str">
        <f t="shared" si="14"/>
        <v>● 0</v>
      </c>
      <c r="R12" s="70" t="str">
        <f t="shared" si="15"/>
        <v>Parziale</v>
      </c>
      <c r="S12" s="70" t="str">
        <f t="shared" si="16"/>
        <v/>
      </c>
      <c r="T12" s="70" t="str">
        <f t="shared" si="17"/>
        <v>Funzione Operations</v>
      </c>
      <c r="AA12" t="str">
        <f>IF(Parametri!$H7="","",Parametri!$H7)</f>
        <v>NFR-04</v>
      </c>
      <c r="AB12" t="str">
        <f>IF($AA12="","",Parametri!$I7)</f>
        <v>Eventi climatici estremi su sedi e data center</v>
      </c>
      <c r="AC12">
        <f t="shared" si="18"/>
        <v>3</v>
      </c>
      <c r="AD12">
        <f t="shared" si="19"/>
        <v>3</v>
      </c>
      <c r="AE12">
        <f t="shared" si="20"/>
        <v>3</v>
      </c>
      <c r="AF12">
        <f t="shared" si="21"/>
        <v>2</v>
      </c>
      <c r="AG12">
        <f t="shared" si="22"/>
        <v>2.8</v>
      </c>
      <c r="AH12">
        <f t="shared" si="23"/>
        <v>2.8</v>
      </c>
      <c r="AI12">
        <f t="shared" si="24"/>
        <v>2.8</v>
      </c>
      <c r="AJ12">
        <f t="shared" si="25"/>
        <v>0</v>
      </c>
      <c r="AK12" t="str">
        <f t="shared" si="26"/>
        <v>● 0</v>
      </c>
      <c r="AL12">
        <f>IF($AA12="","",IF(ISNUMBER(AG12),AG12,-1)-4/100000)</f>
        <v>2.79996</v>
      </c>
      <c r="AM12">
        <f>IFERROR(MATCH(_xlfn.AGGREGATE(14,6,$AL$9:$AL$28,4),$AL$9:$AL$28,0),"")</f>
        <v>12</v>
      </c>
      <c r="AN12" t="str">
        <f>IF($AA12="","",Radar_Mosca!$AA$8&amp;"")</f>
        <v>Attenzione</v>
      </c>
    </row>
    <row r="13" spans="1:40" ht="20.05" customHeight="1" x14ac:dyDescent="0.4">
      <c r="A13" s="69" t="str">
        <f t="shared" si="0"/>
        <v>NFR-03</v>
      </c>
      <c r="B13" s="69" t="str">
        <f t="shared" si="1"/>
        <v>Greenwashing nella commercializzazione di prodotti ESG</v>
      </c>
      <c r="C13" s="70" t="str">
        <f t="shared" si="2"/>
        <v>9.1</v>
      </c>
      <c r="D13" s="70">
        <f t="shared" si="3"/>
        <v>3</v>
      </c>
      <c r="E13" s="70">
        <f t="shared" si="4"/>
        <v>3</v>
      </c>
      <c r="F13" s="70">
        <f t="shared" si="5"/>
        <v>4</v>
      </c>
      <c r="G13" s="70">
        <f t="shared" si="6"/>
        <v>2</v>
      </c>
      <c r="H13" s="71">
        <f t="shared" si="7"/>
        <v>3</v>
      </c>
      <c r="I13" s="18">
        <f t="shared" si="8"/>
        <v>0</v>
      </c>
      <c r="J13" s="18">
        <f t="shared" si="9"/>
        <v>0.20000000000000018</v>
      </c>
      <c r="K13" s="70" t="str">
        <f>IF($AM13="","",INDEX(Radar_Mosca!$L$5:$L$24,$AM13)&amp;"")</f>
        <v>Agire entro l'anno</v>
      </c>
      <c r="L13" s="72">
        <f>IF($AM13="","",IFERROR(INDEX(Radar_Mosca!$K$5:$K$24,$AM13),""))</f>
        <v>0</v>
      </c>
      <c r="M13" s="70" t="str">
        <f t="shared" si="10"/>
        <v/>
      </c>
      <c r="N13" s="73">
        <f t="shared" si="11"/>
        <v>0</v>
      </c>
      <c r="O13" s="73">
        <f t="shared" si="12"/>
        <v>2</v>
      </c>
      <c r="P13" s="73">
        <f t="shared" si="13"/>
        <v>0</v>
      </c>
      <c r="Q13" s="70" t="str">
        <f t="shared" si="14"/>
        <v>● 0</v>
      </c>
      <c r="R13" s="70" t="str">
        <f t="shared" si="15"/>
        <v>Non verificato</v>
      </c>
      <c r="S13" s="70" t="str">
        <f t="shared" si="16"/>
        <v/>
      </c>
      <c r="T13" s="70" t="str">
        <f t="shared" si="17"/>
        <v>Funzione Compliance</v>
      </c>
      <c r="AA13" t="str">
        <f>IF(Parametri!$H8="","",Parametri!$H8)</f>
        <v>NFR-05</v>
      </c>
      <c r="AB13" t="str">
        <f>IF($AA13="","",Parametri!$I8)</f>
        <v>Errori di processo nella migrazione del core banking</v>
      </c>
      <c r="AC13">
        <f t="shared" si="18"/>
        <v>3</v>
      </c>
      <c r="AD13">
        <f t="shared" si="19"/>
        <v>3</v>
      </c>
      <c r="AE13">
        <f t="shared" si="20"/>
        <v>3</v>
      </c>
      <c r="AF13">
        <f t="shared" si="21"/>
        <v>3</v>
      </c>
      <c r="AG13">
        <f t="shared" si="22"/>
        <v>3</v>
      </c>
      <c r="AH13">
        <f t="shared" si="23"/>
        <v>3</v>
      </c>
      <c r="AI13">
        <f t="shared" si="24"/>
        <v>3</v>
      </c>
      <c r="AJ13">
        <f t="shared" si="25"/>
        <v>0</v>
      </c>
      <c r="AK13" t="str">
        <f t="shared" si="26"/>
        <v>● 0</v>
      </c>
      <c r="AL13">
        <f>IF($AA13="","",IF(ISNUMBER(AG13),AG13,-1)-5/100000)</f>
        <v>2.9999500000000001</v>
      </c>
      <c r="AM13">
        <f>IFERROR(MATCH(_xlfn.AGGREGATE(14,6,$AL$9:$AL$28,5),$AL$9:$AL$28,0),"")</f>
        <v>3</v>
      </c>
      <c r="AN13" t="str">
        <f>IF($AA13="","",Radar_Mosca!$AA$9&amp;"")</f>
        <v>Monitoraggio</v>
      </c>
    </row>
    <row r="14" spans="1:40" ht="20.05" customHeight="1" x14ac:dyDescent="0.4">
      <c r="A14" s="69" t="str">
        <f t="shared" si="0"/>
        <v>NFR-05</v>
      </c>
      <c r="B14" s="69" t="str">
        <f t="shared" si="1"/>
        <v>Errori di processo nella migrazione del core banking</v>
      </c>
      <c r="C14" s="70" t="str">
        <f t="shared" si="2"/>
        <v>9.13</v>
      </c>
      <c r="D14" s="70">
        <f t="shared" si="3"/>
        <v>3</v>
      </c>
      <c r="E14" s="70">
        <f t="shared" si="4"/>
        <v>3</v>
      </c>
      <c r="F14" s="70">
        <f t="shared" si="5"/>
        <v>3</v>
      </c>
      <c r="G14" s="70">
        <f t="shared" si="6"/>
        <v>3</v>
      </c>
      <c r="H14" s="71">
        <f t="shared" si="7"/>
        <v>3</v>
      </c>
      <c r="I14" s="18">
        <f t="shared" si="8"/>
        <v>0</v>
      </c>
      <c r="J14" s="18">
        <f t="shared" si="9"/>
        <v>0</v>
      </c>
      <c r="K14" s="70" t="str">
        <f>IF($AM14="","",INDEX(Radar_Mosca!$L$5:$L$24,$AM14)&amp;"")</f>
        <v>Margine 1 anno</v>
      </c>
      <c r="L14" s="72">
        <f>IF($AM14="","",IFERROR(INDEX(Radar_Mosca!$K$5:$K$24,$AM14),""))</f>
        <v>1</v>
      </c>
      <c r="M14" s="70" t="str">
        <f t="shared" si="10"/>
        <v/>
      </c>
      <c r="N14" s="73">
        <f t="shared" si="11"/>
        <v>0</v>
      </c>
      <c r="O14" s="73">
        <f t="shared" si="12"/>
        <v>0</v>
      </c>
      <c r="P14" s="73">
        <f t="shared" si="13"/>
        <v>2</v>
      </c>
      <c r="Q14" s="70" t="str">
        <f t="shared" si="14"/>
        <v>● 0</v>
      </c>
      <c r="R14" s="70" t="str">
        <f t="shared" si="15"/>
        <v>Adeguato</v>
      </c>
      <c r="S14" s="70" t="str">
        <f t="shared" si="16"/>
        <v/>
      </c>
      <c r="T14" s="70" t="str">
        <f t="shared" si="17"/>
        <v>Funzione Operations</v>
      </c>
      <c r="AA14" t="str">
        <f>IF(Parametri!$H9="","",Parametri!$H9)</f>
        <v>NFR-06</v>
      </c>
      <c r="AB14" t="str">
        <f>IF($AA14="","",Parametri!$I9)</f>
        <v>Esfiltrazione di dati tramite strumenti di AI non autorizzati</v>
      </c>
      <c r="AC14">
        <f t="shared" si="18"/>
        <v>3</v>
      </c>
      <c r="AD14">
        <f t="shared" si="19"/>
        <v>3</v>
      </c>
      <c r="AE14">
        <f t="shared" si="20"/>
        <v>3</v>
      </c>
      <c r="AF14">
        <f t="shared" si="21"/>
        <v>3</v>
      </c>
      <c r="AG14">
        <f t="shared" si="22"/>
        <v>3</v>
      </c>
      <c r="AH14">
        <f t="shared" si="23"/>
        <v>3</v>
      </c>
      <c r="AI14">
        <f t="shared" si="24"/>
        <v>3</v>
      </c>
      <c r="AJ14">
        <f t="shared" si="25"/>
        <v>0</v>
      </c>
      <c r="AK14" t="str">
        <f t="shared" si="26"/>
        <v>● 0</v>
      </c>
      <c r="AL14">
        <f>IF($AA14="","",IF(ISNUMBER(AG14),AG14,-1)-6/100000)</f>
        <v>2.9999400000000001</v>
      </c>
      <c r="AM14">
        <f>IFERROR(MATCH(_xlfn.AGGREGATE(14,6,$AL$9:$AL$28,6),$AL$9:$AL$28,0),"")</f>
        <v>5</v>
      </c>
      <c r="AN14" t="str">
        <f>IF($AA14="","",Radar_Mosca!$AA$10&amp;"")</f>
        <v>Attenzione</v>
      </c>
    </row>
    <row r="15" spans="1:40" ht="20.05" customHeight="1" x14ac:dyDescent="0.4">
      <c r="A15" s="69" t="str">
        <f t="shared" si="0"/>
        <v>NFR-06</v>
      </c>
      <c r="B15" s="69" t="str">
        <f t="shared" si="1"/>
        <v>Esfiltrazione di dati tramite strumenti di AI non autorizzati</v>
      </c>
      <c r="C15" s="70" t="str">
        <f t="shared" si="2"/>
        <v>9.7</v>
      </c>
      <c r="D15" s="70">
        <f t="shared" si="3"/>
        <v>3</v>
      </c>
      <c r="E15" s="70">
        <f t="shared" si="4"/>
        <v>3</v>
      </c>
      <c r="F15" s="70">
        <f t="shared" si="5"/>
        <v>3</v>
      </c>
      <c r="G15" s="70">
        <f t="shared" si="6"/>
        <v>3</v>
      </c>
      <c r="H15" s="71">
        <f t="shared" si="7"/>
        <v>3</v>
      </c>
      <c r="I15" s="18">
        <f t="shared" si="8"/>
        <v>0</v>
      </c>
      <c r="J15" s="18">
        <f t="shared" si="9"/>
        <v>0</v>
      </c>
      <c r="K15" s="70" t="str">
        <f>IF($AM15="","",INDEX(Radar_Mosca!$L$5:$L$24,$AM15)&amp;"")</f>
        <v>Agire entro l'anno</v>
      </c>
      <c r="L15" s="72">
        <f>IF($AM15="","",IFERROR(INDEX(Radar_Mosca!$K$5:$K$24,$AM15),""))</f>
        <v>0.25</v>
      </c>
      <c r="M15" s="70" t="str">
        <f t="shared" si="10"/>
        <v/>
      </c>
      <c r="N15" s="73">
        <f t="shared" si="11"/>
        <v>0</v>
      </c>
      <c r="O15" s="73">
        <f t="shared" si="12"/>
        <v>0</v>
      </c>
      <c r="P15" s="73">
        <f t="shared" si="13"/>
        <v>2</v>
      </c>
      <c r="Q15" s="70" t="str">
        <f t="shared" si="14"/>
        <v>● 0</v>
      </c>
      <c r="R15" s="70" t="str">
        <f t="shared" si="15"/>
        <v>Assente</v>
      </c>
      <c r="S15" s="70" t="str">
        <f t="shared" si="16"/>
        <v/>
      </c>
      <c r="T15" s="70" t="str">
        <f t="shared" si="17"/>
        <v>Funzione Sicurezza delle Informazioni</v>
      </c>
      <c r="AA15" t="str">
        <f>IF(Parametri!$H10="","",Parametri!$H10)</f>
        <v>NFR-07</v>
      </c>
      <c r="AB15" t="str">
        <f>IF($AA15="","",Parametri!$I10)</f>
        <v>Ransomware presso un fornitore di servizi di pagamento</v>
      </c>
      <c r="AC15">
        <f t="shared" si="18"/>
        <v>4</v>
      </c>
      <c r="AD15">
        <f t="shared" si="19"/>
        <v>3</v>
      </c>
      <c r="AE15">
        <f t="shared" si="20"/>
        <v>3</v>
      </c>
      <c r="AF15">
        <f t="shared" si="21"/>
        <v>5</v>
      </c>
      <c r="AG15">
        <f t="shared" si="22"/>
        <v>3.75</v>
      </c>
      <c r="AH15">
        <f t="shared" si="23"/>
        <v>3.75</v>
      </c>
      <c r="AI15">
        <f t="shared" si="24"/>
        <v>3.75</v>
      </c>
      <c r="AJ15">
        <f t="shared" si="25"/>
        <v>0</v>
      </c>
      <c r="AK15" t="str">
        <f t="shared" si="26"/>
        <v>● 0</v>
      </c>
      <c r="AL15">
        <f>IF($AA15="","",IF(ISNUMBER(AG15),AG15,-1)-7/100000)</f>
        <v>3.74993</v>
      </c>
      <c r="AM15">
        <f>IFERROR(MATCH(_xlfn.AGGREGATE(14,6,$AL$9:$AL$28,7),$AL$9:$AL$28,0),"")</f>
        <v>6</v>
      </c>
      <c r="AN15" t="str">
        <f>IF($AA15="","",Radar_Mosca!$AA$11&amp;"")</f>
        <v>Attenzione</v>
      </c>
    </row>
    <row r="16" spans="1:40" ht="20.05" customHeight="1" x14ac:dyDescent="0.4">
      <c r="A16" s="69" t="str">
        <f t="shared" si="0"/>
        <v>NFR-10</v>
      </c>
      <c r="B16" s="69" t="str">
        <f t="shared" si="1"/>
        <v>Informazioni errate ai clienti da assistenti di AI generativa</v>
      </c>
      <c r="C16" s="70" t="str">
        <f t="shared" si="2"/>
        <v>9.1</v>
      </c>
      <c r="D16" s="70">
        <f t="shared" si="3"/>
        <v>3</v>
      </c>
      <c r="E16" s="70">
        <f t="shared" si="4"/>
        <v>3</v>
      </c>
      <c r="F16" s="70">
        <f t="shared" si="5"/>
        <v>3</v>
      </c>
      <c r="G16" s="70">
        <f t="shared" si="6"/>
        <v>3</v>
      </c>
      <c r="H16" s="71">
        <f t="shared" si="7"/>
        <v>3</v>
      </c>
      <c r="I16" s="18">
        <f t="shared" si="8"/>
        <v>0</v>
      </c>
      <c r="J16" s="18">
        <f t="shared" si="9"/>
        <v>0</v>
      </c>
      <c r="K16" s="70" t="str">
        <f>IF($AM16="","",INDEX(Radar_Mosca!$L$5:$L$24,$AM16)&amp;"")</f>
        <v>Margine 1 anno</v>
      </c>
      <c r="L16" s="72">
        <f>IF($AM16="","",IFERROR(INDEX(Radar_Mosca!$K$5:$K$24,$AM16),""))</f>
        <v>1</v>
      </c>
      <c r="M16" s="70" t="str">
        <f t="shared" si="10"/>
        <v/>
      </c>
      <c r="N16" s="73">
        <f t="shared" si="11"/>
        <v>0</v>
      </c>
      <c r="O16" s="73">
        <f t="shared" si="12"/>
        <v>2</v>
      </c>
      <c r="P16" s="73">
        <f t="shared" si="13"/>
        <v>0</v>
      </c>
      <c r="Q16" s="70" t="str">
        <f t="shared" si="14"/>
        <v>● 0</v>
      </c>
      <c r="R16" s="70" t="str">
        <f t="shared" si="15"/>
        <v>Non verificato</v>
      </c>
      <c r="S16" s="70" t="str">
        <f t="shared" si="16"/>
        <v/>
      </c>
      <c r="T16" s="70" t="str">
        <f t="shared" si="17"/>
        <v>Funzione Customer Experience</v>
      </c>
      <c r="AA16" t="str">
        <f>IF(Parametri!$H11="","",Parametri!$H11)</f>
        <v>NFR-08</v>
      </c>
      <c r="AB16" t="str">
        <f>IF($AA16="","",Parametri!$I11)</f>
        <v>Accessi impropri di dipendenti ai dati dei clienti</v>
      </c>
      <c r="AC16">
        <f t="shared" si="18"/>
        <v>3</v>
      </c>
      <c r="AD16">
        <f t="shared" si="19"/>
        <v>2</v>
      </c>
      <c r="AE16">
        <f t="shared" si="20"/>
        <v>3</v>
      </c>
      <c r="AF16">
        <f t="shared" si="21"/>
        <v>3</v>
      </c>
      <c r="AG16">
        <f t="shared" si="22"/>
        <v>2.75</v>
      </c>
      <c r="AH16">
        <f t="shared" si="23"/>
        <v>2.75</v>
      </c>
      <c r="AI16">
        <f t="shared" si="24"/>
        <v>2.75</v>
      </c>
      <c r="AJ16">
        <f t="shared" si="25"/>
        <v>0</v>
      </c>
      <c r="AK16" t="str">
        <f t="shared" si="26"/>
        <v>● 0</v>
      </c>
      <c r="AL16">
        <f>IF($AA16="","",IF(ISNUMBER(AG16),AG16,-1)-8/100000)</f>
        <v>2.7499199999999999</v>
      </c>
      <c r="AM16">
        <f>IFERROR(MATCH(_xlfn.AGGREGATE(14,6,$AL$9:$AL$28,8),$AL$9:$AL$28,0),"")</f>
        <v>10</v>
      </c>
      <c r="AN16" t="str">
        <f>IF($AA16="","",Radar_Mosca!$AA$12&amp;"")</f>
        <v>Monitoraggio</v>
      </c>
    </row>
    <row r="17" spans="1:40" ht="20.05" customHeight="1" x14ac:dyDescent="0.4">
      <c r="A17" s="69" t="str">
        <f t="shared" si="0"/>
        <v>NFR-09</v>
      </c>
      <c r="B17" s="69" t="str">
        <f t="shared" si="1"/>
        <v>Violazione di sanzioni internazionali tramite triangolazioni</v>
      </c>
      <c r="C17" s="70" t="str">
        <f t="shared" si="2"/>
        <v>9.4</v>
      </c>
      <c r="D17" s="70">
        <f t="shared" si="3"/>
        <v>4</v>
      </c>
      <c r="E17" s="70">
        <f t="shared" si="4"/>
        <v>2</v>
      </c>
      <c r="F17" s="70">
        <f t="shared" si="5"/>
        <v>2</v>
      </c>
      <c r="G17" s="70">
        <f t="shared" si="6"/>
        <v>3</v>
      </c>
      <c r="H17" s="71">
        <f t="shared" si="7"/>
        <v>2.9</v>
      </c>
      <c r="I17" s="18">
        <f t="shared" si="8"/>
        <v>0</v>
      </c>
      <c r="J17" s="18">
        <f t="shared" si="9"/>
        <v>0</v>
      </c>
      <c r="K17" s="70" t="str">
        <f>IF($AM17="","",INDEX(Radar_Mosca!$L$5:$L$24,$AM17)&amp;"")</f>
        <v>Margine 1,3 anni</v>
      </c>
      <c r="L17" s="72">
        <f>IF($AM17="","",IFERROR(INDEX(Radar_Mosca!$K$5:$K$24,$AM17),""))</f>
        <v>1.25</v>
      </c>
      <c r="M17" s="70" t="str">
        <f t="shared" si="10"/>
        <v>◆</v>
      </c>
      <c r="N17" s="73">
        <f t="shared" si="11"/>
        <v>0</v>
      </c>
      <c r="O17" s="73">
        <f t="shared" si="12"/>
        <v>2</v>
      </c>
      <c r="P17" s="73">
        <f t="shared" si="13"/>
        <v>0</v>
      </c>
      <c r="Q17" s="70" t="str">
        <f t="shared" si="14"/>
        <v>● 0</v>
      </c>
      <c r="R17" s="70" t="str">
        <f t="shared" si="15"/>
        <v>Non verificato</v>
      </c>
      <c r="S17" s="70" t="str">
        <f t="shared" si="16"/>
        <v/>
      </c>
      <c r="T17" s="70" t="str">
        <f t="shared" si="17"/>
        <v>Funzione Compliance</v>
      </c>
      <c r="AA17" t="str">
        <f>IF(Parametri!$H12="","",Parametri!$H12)</f>
        <v>NFR-09</v>
      </c>
      <c r="AB17" t="str">
        <f>IF($AA17="","",Parametri!$I12)</f>
        <v>Violazione di sanzioni internazionali tramite triangolazioni</v>
      </c>
      <c r="AC17">
        <f t="shared" si="18"/>
        <v>4</v>
      </c>
      <c r="AD17">
        <f t="shared" si="19"/>
        <v>2</v>
      </c>
      <c r="AE17">
        <f t="shared" si="20"/>
        <v>2</v>
      </c>
      <c r="AF17">
        <f t="shared" si="21"/>
        <v>3</v>
      </c>
      <c r="AG17">
        <f t="shared" si="22"/>
        <v>2.9</v>
      </c>
      <c r="AH17">
        <f t="shared" si="23"/>
        <v>2.9</v>
      </c>
      <c r="AI17">
        <f t="shared" si="24"/>
        <v>2.9</v>
      </c>
      <c r="AJ17">
        <f t="shared" si="25"/>
        <v>0</v>
      </c>
      <c r="AK17" t="str">
        <f t="shared" si="26"/>
        <v>● 0</v>
      </c>
      <c r="AL17">
        <f>IF($AA17="","",IF(ISNUMBER(AG17),AG17,-1)-9/100000)</f>
        <v>2.8999099999999998</v>
      </c>
      <c r="AM17">
        <f>IFERROR(MATCH(_xlfn.AGGREGATE(14,6,$AL$9:$AL$28,9),$AL$9:$AL$28,0),"")</f>
        <v>9</v>
      </c>
      <c r="AN17" t="str">
        <f>IF($AA17="","",Radar_Mosca!$AA$13&amp;"")</f>
        <v>Monitoraggio</v>
      </c>
    </row>
    <row r="18" spans="1:40" ht="20.05" customHeight="1" x14ac:dyDescent="0.4">
      <c r="A18" s="69" t="str">
        <f t="shared" si="0"/>
        <v>NFR-04</v>
      </c>
      <c r="B18" s="69" t="str">
        <f t="shared" si="1"/>
        <v>Eventi climatici estremi su sedi e data center</v>
      </c>
      <c r="C18" s="70" t="str">
        <f t="shared" si="2"/>
        <v>9.8</v>
      </c>
      <c r="D18" s="70">
        <f t="shared" si="3"/>
        <v>3</v>
      </c>
      <c r="E18" s="70">
        <f t="shared" si="4"/>
        <v>3</v>
      </c>
      <c r="F18" s="70">
        <f t="shared" si="5"/>
        <v>3</v>
      </c>
      <c r="G18" s="70">
        <f t="shared" si="6"/>
        <v>2</v>
      </c>
      <c r="H18" s="71">
        <f t="shared" si="7"/>
        <v>2.8</v>
      </c>
      <c r="I18" s="18">
        <f t="shared" si="8"/>
        <v>0</v>
      </c>
      <c r="J18" s="18">
        <f t="shared" si="9"/>
        <v>0</v>
      </c>
      <c r="K18" s="70" t="str">
        <f>IF($AM18="","",INDEX(Radar_Mosca!$L$5:$L$24,$AM18)&amp;"")</f>
        <v>Agire entro l'anno</v>
      </c>
      <c r="L18" s="72">
        <f>IF($AM18="","",IFERROR(INDEX(Radar_Mosca!$K$5:$K$24,$AM18),""))</f>
        <v>0.75</v>
      </c>
      <c r="M18" s="70" t="str">
        <f t="shared" si="10"/>
        <v/>
      </c>
      <c r="N18" s="73">
        <f t="shared" si="11"/>
        <v>0</v>
      </c>
      <c r="O18" s="73">
        <f t="shared" si="12"/>
        <v>1</v>
      </c>
      <c r="P18" s="73">
        <f t="shared" si="13"/>
        <v>1</v>
      </c>
      <c r="Q18" s="70" t="str">
        <f t="shared" si="14"/>
        <v>● 0</v>
      </c>
      <c r="R18" s="70" t="str">
        <f t="shared" si="15"/>
        <v>Non verificato</v>
      </c>
      <c r="S18" s="70" t="str">
        <f t="shared" si="16"/>
        <v/>
      </c>
      <c r="T18" s="70" t="str">
        <f t="shared" si="17"/>
        <v>Funzione Business Continuity</v>
      </c>
      <c r="AA18" t="str">
        <f>IF(Parametri!$H13="","",Parametri!$H13)</f>
        <v>NFR-10</v>
      </c>
      <c r="AB18" t="str">
        <f>IF($AA18="","",Parametri!$I13)</f>
        <v>Informazioni errate ai clienti da assistenti di AI generativa</v>
      </c>
      <c r="AC18">
        <f t="shared" si="18"/>
        <v>3</v>
      </c>
      <c r="AD18">
        <f t="shared" si="19"/>
        <v>3</v>
      </c>
      <c r="AE18">
        <f t="shared" si="20"/>
        <v>3</v>
      </c>
      <c r="AF18">
        <f t="shared" si="21"/>
        <v>3</v>
      </c>
      <c r="AG18">
        <f t="shared" si="22"/>
        <v>3</v>
      </c>
      <c r="AH18">
        <f t="shared" si="23"/>
        <v>3</v>
      </c>
      <c r="AI18">
        <f t="shared" si="24"/>
        <v>3</v>
      </c>
      <c r="AJ18">
        <f t="shared" si="25"/>
        <v>0</v>
      </c>
      <c r="AK18" t="str">
        <f t="shared" si="26"/>
        <v>● 0</v>
      </c>
      <c r="AL18">
        <f>IF($AA18="","",IF(ISNUMBER(AG18),AG18,-1)-10/100000)</f>
        <v>2.9998999999999998</v>
      </c>
      <c r="AM18">
        <f>IFERROR(MATCH(_xlfn.AGGREGATE(14,6,$AL$9:$AL$28,10),$AL$9:$AL$28,0),"")</f>
        <v>4</v>
      </c>
      <c r="AN18" t="str">
        <f>IF($AA18="","",Radar_Mosca!$AA$14&amp;"")</f>
        <v>Monitoraggio</v>
      </c>
    </row>
    <row r="19" spans="1:40" ht="20.05" customHeight="1" x14ac:dyDescent="0.4">
      <c r="A19" s="69" t="str">
        <f t="shared" si="0"/>
        <v>NFR-11</v>
      </c>
      <c r="B19" s="69" t="str">
        <f t="shared" si="1"/>
        <v>Fine del supporto dei sistemi di pagamento legacy</v>
      </c>
      <c r="C19" s="70" t="str">
        <f t="shared" si="2"/>
        <v>9.6</v>
      </c>
      <c r="D19" s="70">
        <f t="shared" si="3"/>
        <v>3</v>
      </c>
      <c r="E19" s="70">
        <f t="shared" si="4"/>
        <v>3</v>
      </c>
      <c r="F19" s="70">
        <f t="shared" si="5"/>
        <v>3</v>
      </c>
      <c r="G19" s="70">
        <f t="shared" si="6"/>
        <v>2</v>
      </c>
      <c r="H19" s="71">
        <f t="shared" si="7"/>
        <v>2.8</v>
      </c>
      <c r="I19" s="18">
        <f t="shared" si="8"/>
        <v>0</v>
      </c>
      <c r="J19" s="18">
        <f t="shared" si="9"/>
        <v>0</v>
      </c>
      <c r="K19" s="70" t="str">
        <f>IF($AM19="","",INDEX(Radar_Mosca!$L$5:$L$24,$AM19)&amp;"")</f>
        <v>AGIRE ORA: X+Y &gt; Z</v>
      </c>
      <c r="L19" s="72">
        <f>IF($AM19="","",IFERROR(INDEX(Radar_Mosca!$K$5:$K$24,$AM19),""))</f>
        <v>-1.75</v>
      </c>
      <c r="M19" s="70" t="str">
        <f t="shared" si="10"/>
        <v/>
      </c>
      <c r="N19" s="73">
        <f t="shared" si="11"/>
        <v>1</v>
      </c>
      <c r="O19" s="73">
        <f t="shared" si="12"/>
        <v>1</v>
      </c>
      <c r="P19" s="73">
        <f t="shared" si="13"/>
        <v>0</v>
      </c>
      <c r="Q19" s="70" t="str">
        <f t="shared" si="14"/>
        <v>● 0</v>
      </c>
      <c r="R19" s="70" t="str">
        <f t="shared" si="15"/>
        <v>Assente</v>
      </c>
      <c r="S19" s="70" t="str">
        <f t="shared" si="16"/>
        <v/>
      </c>
      <c r="T19" s="70" t="str">
        <f t="shared" si="17"/>
        <v>Funzione IT Operations</v>
      </c>
      <c r="AA19" t="str">
        <f>IF(Parametri!$H14="","",Parametri!$H14)</f>
        <v>NFR-11</v>
      </c>
      <c r="AB19" t="str">
        <f>IF($AA19="","",Parametri!$I14)</f>
        <v>Fine del supporto dei sistemi di pagamento legacy</v>
      </c>
      <c r="AC19">
        <f t="shared" si="18"/>
        <v>3</v>
      </c>
      <c r="AD19">
        <f t="shared" si="19"/>
        <v>3</v>
      </c>
      <c r="AE19">
        <f t="shared" si="20"/>
        <v>3</v>
      </c>
      <c r="AF19">
        <f t="shared" si="21"/>
        <v>2</v>
      </c>
      <c r="AG19">
        <f t="shared" si="22"/>
        <v>2.8</v>
      </c>
      <c r="AH19">
        <f t="shared" si="23"/>
        <v>2.8</v>
      </c>
      <c r="AI19">
        <f t="shared" si="24"/>
        <v>2.8</v>
      </c>
      <c r="AJ19">
        <f t="shared" si="25"/>
        <v>0</v>
      </c>
      <c r="AK19" t="str">
        <f t="shared" si="26"/>
        <v>● 0</v>
      </c>
      <c r="AL19">
        <f>IF($AA19="","",IF(ISNUMBER(AG19),AG19,-1)-11/100000)</f>
        <v>2.79989</v>
      </c>
      <c r="AM19">
        <f>IFERROR(MATCH(_xlfn.AGGREGATE(14,6,$AL$9:$AL$28,11),$AL$9:$AL$28,0),"")</f>
        <v>11</v>
      </c>
      <c r="AN19" t="str">
        <f>IF($AA19="","",Radar_Mosca!$AA$15&amp;"")</f>
        <v>Attivazione</v>
      </c>
    </row>
    <row r="20" spans="1:40" ht="20.05" customHeight="1" x14ac:dyDescent="0.4">
      <c r="A20" s="69" t="str">
        <f t="shared" si="0"/>
        <v>NFR-16</v>
      </c>
      <c r="B20" s="69" t="str">
        <f t="shared" si="1"/>
        <v>Vertenze e carenza di tecnici nei ruoli IT critici</v>
      </c>
      <c r="C20" s="70" t="str">
        <f t="shared" si="2"/>
        <v>9.11</v>
      </c>
      <c r="D20" s="70">
        <f t="shared" si="3"/>
        <v>3</v>
      </c>
      <c r="E20" s="70">
        <f t="shared" si="4"/>
        <v>3</v>
      </c>
      <c r="F20" s="70">
        <f t="shared" si="5"/>
        <v>2</v>
      </c>
      <c r="G20" s="70">
        <f t="shared" si="6"/>
        <v>3</v>
      </c>
      <c r="H20" s="71">
        <f t="shared" si="7"/>
        <v>2.8</v>
      </c>
      <c r="I20" s="18">
        <f t="shared" si="8"/>
        <v>0.60999999999999988</v>
      </c>
      <c r="J20" s="18" t="str">
        <f t="shared" si="9"/>
        <v>nuovo</v>
      </c>
      <c r="K20" s="70" t="str">
        <f>IF($AM20="","",INDEX(Radar_Mosca!$L$5:$L$24,$AM20)&amp;"")</f>
        <v>Margine 1,8 anni</v>
      </c>
      <c r="L20" s="72">
        <f>IF($AM20="","",IFERROR(INDEX(Radar_Mosca!$K$5:$K$24,$AM20),""))</f>
        <v>1.75</v>
      </c>
      <c r="M20" s="70" t="str">
        <f t="shared" si="10"/>
        <v/>
      </c>
      <c r="N20" s="73">
        <f t="shared" si="11"/>
        <v>0</v>
      </c>
      <c r="O20" s="73">
        <f t="shared" si="12"/>
        <v>0</v>
      </c>
      <c r="P20" s="73">
        <f t="shared" si="13"/>
        <v>0</v>
      </c>
      <c r="Q20" s="70" t="str">
        <f t="shared" si="14"/>
        <v>● 0</v>
      </c>
      <c r="R20" s="70" t="str">
        <f t="shared" si="15"/>
        <v>Non verificato</v>
      </c>
      <c r="S20" s="70" t="str">
        <f t="shared" si="16"/>
        <v/>
      </c>
      <c r="T20" s="70" t="str">
        <f t="shared" si="17"/>
        <v>Da assegnare</v>
      </c>
      <c r="AA20" t="str">
        <f>IF(Parametri!$H15="","",Parametri!$H15)</f>
        <v>NFR-12</v>
      </c>
      <c r="AB20" t="str">
        <f>IF($AA20="","",Parametri!$I15)</f>
        <v>Errori operativi nei pagamenti istantanei obbligatori</v>
      </c>
      <c r="AC20">
        <f t="shared" si="18"/>
        <v>3</v>
      </c>
      <c r="AD20">
        <f t="shared" si="19"/>
        <v>4</v>
      </c>
      <c r="AE20">
        <f t="shared" si="20"/>
        <v>4</v>
      </c>
      <c r="AF20">
        <f t="shared" si="21"/>
        <v>4</v>
      </c>
      <c r="AG20">
        <f t="shared" si="22"/>
        <v>3.65</v>
      </c>
      <c r="AH20">
        <f t="shared" si="23"/>
        <v>3.65</v>
      </c>
      <c r="AI20">
        <f t="shared" si="24"/>
        <v>3.65</v>
      </c>
      <c r="AJ20">
        <f t="shared" si="25"/>
        <v>0</v>
      </c>
      <c r="AK20" t="str">
        <f t="shared" si="26"/>
        <v>● 0</v>
      </c>
      <c r="AL20">
        <f>IF($AA20="","",IF(ISNUMBER(AG20),AG20,-1)-12/100000)</f>
        <v>3.64988</v>
      </c>
      <c r="AM20">
        <f>IFERROR(MATCH(_xlfn.AGGREGATE(14,6,$AL$9:$AL$28,12),$AL$9:$AL$28,0),"")</f>
        <v>13</v>
      </c>
      <c r="AN20" t="str">
        <f>IF($AA20="","",Radar_Mosca!$AA$16&amp;"")</f>
        <v>Attenzione</v>
      </c>
    </row>
    <row r="21" spans="1:40" ht="20.05" customHeight="1" x14ac:dyDescent="0.4">
      <c r="A21" s="69" t="str">
        <f t="shared" si="0"/>
        <v>NFR-08</v>
      </c>
      <c r="B21" s="69" t="str">
        <f t="shared" si="1"/>
        <v>Accessi impropri di dipendenti ai dati dei clienti</v>
      </c>
      <c r="C21" s="70" t="str">
        <f t="shared" si="2"/>
        <v>9.7</v>
      </c>
      <c r="D21" s="70">
        <f t="shared" si="3"/>
        <v>3</v>
      </c>
      <c r="E21" s="70">
        <f t="shared" si="4"/>
        <v>2</v>
      </c>
      <c r="F21" s="70">
        <f t="shared" si="5"/>
        <v>3</v>
      </c>
      <c r="G21" s="70">
        <f t="shared" si="6"/>
        <v>3</v>
      </c>
      <c r="H21" s="71">
        <f t="shared" si="7"/>
        <v>2.75</v>
      </c>
      <c r="I21" s="18">
        <f t="shared" si="8"/>
        <v>0</v>
      </c>
      <c r="J21" s="18">
        <f t="shared" si="9"/>
        <v>0</v>
      </c>
      <c r="K21" s="70" t="str">
        <f>IF($AM21="","",INDEX(Radar_Mosca!$L$5:$L$24,$AM21)&amp;"")</f>
        <v>Margine 1 anno</v>
      </c>
      <c r="L21" s="72">
        <f>IF($AM21="","",IFERROR(INDEX(Radar_Mosca!$K$5:$K$24,$AM21),""))</f>
        <v>1</v>
      </c>
      <c r="M21" s="70" t="str">
        <f t="shared" si="10"/>
        <v/>
      </c>
      <c r="N21" s="73">
        <f t="shared" si="11"/>
        <v>0</v>
      </c>
      <c r="O21" s="73">
        <f t="shared" si="12"/>
        <v>0</v>
      </c>
      <c r="P21" s="73">
        <f t="shared" si="13"/>
        <v>2</v>
      </c>
      <c r="Q21" s="70" t="str">
        <f t="shared" si="14"/>
        <v>● 0</v>
      </c>
      <c r="R21" s="70" t="str">
        <f t="shared" si="15"/>
        <v>Non verificato</v>
      </c>
      <c r="S21" s="70" t="str">
        <f t="shared" si="16"/>
        <v/>
      </c>
      <c r="T21" s="70" t="str">
        <f t="shared" si="17"/>
        <v>Funzione Sicurezza delle Informazioni</v>
      </c>
      <c r="AA21" t="str">
        <f>IF(Parametri!$H16="","",Parametri!$H16)</f>
        <v>NFR-16</v>
      </c>
      <c r="AB21" t="str">
        <f>IF($AA21="","",Parametri!$I16)</f>
        <v>Vertenze e carenza di tecnici nei ruoli IT critici</v>
      </c>
      <c r="AC21">
        <f t="shared" si="18"/>
        <v>3</v>
      </c>
      <c r="AD21">
        <f t="shared" si="19"/>
        <v>3</v>
      </c>
      <c r="AE21">
        <f t="shared" si="20"/>
        <v>2</v>
      </c>
      <c r="AF21">
        <f t="shared" si="21"/>
        <v>3</v>
      </c>
      <c r="AG21">
        <f t="shared" si="22"/>
        <v>2.8</v>
      </c>
      <c r="AH21">
        <f t="shared" si="23"/>
        <v>2.19</v>
      </c>
      <c r="AI21" t="e">
        <f t="shared" si="24"/>
        <v>#N/A</v>
      </c>
      <c r="AJ21">
        <f t="shared" si="25"/>
        <v>0</v>
      </c>
      <c r="AK21" t="str">
        <f t="shared" si="26"/>
        <v>● 0</v>
      </c>
      <c r="AL21">
        <f>IF($AA21="","",IF(ISNUMBER(AG21),AG21,-1)-13/100000)</f>
        <v>2.7998699999999999</v>
      </c>
      <c r="AM21">
        <f>IFERROR(MATCH(_xlfn.AGGREGATE(14,6,$AL$9:$AL$28,13),$AL$9:$AL$28,0),"")</f>
        <v>8</v>
      </c>
      <c r="AN21" t="str">
        <f>IF($AA21="","",Radar_Mosca!$AA$17&amp;"")</f>
        <v>Monitoraggio</v>
      </c>
    </row>
    <row r="22" spans="1:40" ht="20.05" customHeight="1" x14ac:dyDescent="0.4">
      <c r="A22" s="69" t="str">
        <f t="shared" si="0"/>
        <v/>
      </c>
      <c r="B22" s="69" t="str">
        <f t="shared" si="1"/>
        <v/>
      </c>
      <c r="C22" s="70" t="str">
        <f t="shared" si="2"/>
        <v/>
      </c>
      <c r="D22" s="70" t="str">
        <f t="shared" si="3"/>
        <v/>
      </c>
      <c r="E22" s="70" t="str">
        <f t="shared" si="4"/>
        <v/>
      </c>
      <c r="F22" s="70" t="str">
        <f t="shared" si="5"/>
        <v/>
      </c>
      <c r="G22" s="70" t="str">
        <f t="shared" si="6"/>
        <v/>
      </c>
      <c r="H22" s="71" t="str">
        <f t="shared" si="7"/>
        <v/>
      </c>
      <c r="I22" s="18" t="str">
        <f t="shared" si="8"/>
        <v/>
      </c>
      <c r="J22" s="18" t="str">
        <f t="shared" si="9"/>
        <v/>
      </c>
      <c r="K22" s="70" t="str">
        <f>IF($AM22="","",INDEX(Radar_Mosca!$L$5:$L$24,$AM22)&amp;"")</f>
        <v/>
      </c>
      <c r="L22" s="72" t="str">
        <f>IF($AM22="","",IFERROR(INDEX(Radar_Mosca!$K$5:$K$24,$AM22),""))</f>
        <v/>
      </c>
      <c r="M22" s="70" t="str">
        <f t="shared" si="10"/>
        <v/>
      </c>
      <c r="N22" s="73" t="str">
        <f t="shared" si="11"/>
        <v/>
      </c>
      <c r="O22" s="73" t="str">
        <f t="shared" si="12"/>
        <v/>
      </c>
      <c r="P22" s="73" t="str">
        <f t="shared" si="13"/>
        <v/>
      </c>
      <c r="Q22" s="70" t="str">
        <f t="shared" si="14"/>
        <v/>
      </c>
      <c r="R22" s="70" t="str">
        <f t="shared" si="15"/>
        <v/>
      </c>
      <c r="S22" s="70" t="str">
        <f t="shared" si="16"/>
        <v/>
      </c>
      <c r="T22" s="70" t="str">
        <f t="shared" si="17"/>
        <v/>
      </c>
      <c r="AA22" t="str">
        <f>IF(Parametri!$H17="","",Parametri!$H17)</f>
        <v/>
      </c>
      <c r="AB22" t="str">
        <f>IF($AA22="","",Parametri!$I17)</f>
        <v/>
      </c>
      <c r="AC22" t="e">
        <f t="shared" si="18"/>
        <v>#N/A</v>
      </c>
      <c r="AD22" t="e">
        <f t="shared" si="19"/>
        <v>#N/A</v>
      </c>
      <c r="AE22" t="e">
        <f t="shared" si="20"/>
        <v>#N/A</v>
      </c>
      <c r="AF22" t="e">
        <f t="shared" si="21"/>
        <v>#N/A</v>
      </c>
      <c r="AG22" t="e">
        <f t="shared" si="22"/>
        <v>#N/A</v>
      </c>
      <c r="AH22" t="e">
        <f t="shared" si="23"/>
        <v>#N/A</v>
      </c>
      <c r="AI22" t="e">
        <f t="shared" si="24"/>
        <v>#N/A</v>
      </c>
      <c r="AJ22" t="str">
        <f t="shared" si="25"/>
        <v/>
      </c>
      <c r="AK22" t="str">
        <f t="shared" si="26"/>
        <v/>
      </c>
      <c r="AL22" t="str">
        <f>IF($AA22="","",IF(ISNUMBER(AG22),AG22,-1)-14/100000)</f>
        <v/>
      </c>
      <c r="AM22" t="str">
        <f>IFERROR(MATCH(_xlfn.AGGREGATE(14,6,$AL$9:$AL$28,14),$AL$9:$AL$28,0),"")</f>
        <v/>
      </c>
      <c r="AN22" t="str">
        <f>IF($AA22="","",Radar_Mosca!$AA$18&amp;"")</f>
        <v/>
      </c>
    </row>
    <row r="23" spans="1:40" ht="20.05" customHeight="1" x14ac:dyDescent="0.4">
      <c r="A23" s="69" t="str">
        <f t="shared" si="0"/>
        <v/>
      </c>
      <c r="B23" s="69" t="str">
        <f t="shared" si="1"/>
        <v/>
      </c>
      <c r="C23" s="70" t="str">
        <f t="shared" si="2"/>
        <v/>
      </c>
      <c r="D23" s="70" t="str">
        <f t="shared" si="3"/>
        <v/>
      </c>
      <c r="E23" s="70" t="str">
        <f t="shared" si="4"/>
        <v/>
      </c>
      <c r="F23" s="70" t="str">
        <f t="shared" si="5"/>
        <v/>
      </c>
      <c r="G23" s="70" t="str">
        <f t="shared" si="6"/>
        <v/>
      </c>
      <c r="H23" s="71" t="str">
        <f t="shared" si="7"/>
        <v/>
      </c>
      <c r="I23" s="18" t="str">
        <f t="shared" si="8"/>
        <v/>
      </c>
      <c r="J23" s="18" t="str">
        <f t="shared" si="9"/>
        <v/>
      </c>
      <c r="K23" s="70" t="str">
        <f>IF($AM23="","",INDEX(Radar_Mosca!$L$5:$L$24,$AM23)&amp;"")</f>
        <v/>
      </c>
      <c r="L23" s="72" t="str">
        <f>IF($AM23="","",IFERROR(INDEX(Radar_Mosca!$K$5:$K$24,$AM23),""))</f>
        <v/>
      </c>
      <c r="M23" s="70" t="str">
        <f t="shared" si="10"/>
        <v/>
      </c>
      <c r="N23" s="73" t="str">
        <f t="shared" si="11"/>
        <v/>
      </c>
      <c r="O23" s="73" t="str">
        <f t="shared" si="12"/>
        <v/>
      </c>
      <c r="P23" s="73" t="str">
        <f t="shared" si="13"/>
        <v/>
      </c>
      <c r="Q23" s="70" t="str">
        <f t="shared" si="14"/>
        <v/>
      </c>
      <c r="R23" s="70" t="str">
        <f t="shared" si="15"/>
        <v/>
      </c>
      <c r="S23" s="70" t="str">
        <f t="shared" si="16"/>
        <v/>
      </c>
      <c r="T23" s="70" t="str">
        <f t="shared" si="17"/>
        <v/>
      </c>
      <c r="AA23" t="str">
        <f>IF(Parametri!$H18="","",Parametri!$H18)</f>
        <v/>
      </c>
      <c r="AB23" t="str">
        <f>IF($AA23="","",Parametri!$I18)</f>
        <v/>
      </c>
      <c r="AC23" t="e">
        <f t="shared" si="18"/>
        <v>#N/A</v>
      </c>
      <c r="AD23" t="e">
        <f t="shared" si="19"/>
        <v>#N/A</v>
      </c>
      <c r="AE23" t="e">
        <f t="shared" si="20"/>
        <v>#N/A</v>
      </c>
      <c r="AF23" t="e">
        <f t="shared" si="21"/>
        <v>#N/A</v>
      </c>
      <c r="AG23" t="e">
        <f t="shared" si="22"/>
        <v>#N/A</v>
      </c>
      <c r="AH23" t="e">
        <f t="shared" si="23"/>
        <v>#N/A</v>
      </c>
      <c r="AI23" t="e">
        <f t="shared" si="24"/>
        <v>#N/A</v>
      </c>
      <c r="AJ23" t="str">
        <f t="shared" si="25"/>
        <v/>
      </c>
      <c r="AK23" t="str">
        <f t="shared" si="26"/>
        <v/>
      </c>
      <c r="AL23" t="str">
        <f>IF($AA23="","",IF(ISNUMBER(AG23),AG23,-1)-15/100000)</f>
        <v/>
      </c>
      <c r="AM23" t="str">
        <f>IFERROR(MATCH(_xlfn.AGGREGATE(14,6,$AL$9:$AL$28,15),$AL$9:$AL$28,0),"")</f>
        <v/>
      </c>
      <c r="AN23" t="str">
        <f>IF($AA23="","",Radar_Mosca!$AA$19&amp;"")</f>
        <v/>
      </c>
    </row>
    <row r="24" spans="1:40" ht="20.05" customHeight="1" x14ac:dyDescent="0.4">
      <c r="A24" s="69" t="str">
        <f t="shared" si="0"/>
        <v/>
      </c>
      <c r="B24" s="69" t="str">
        <f t="shared" si="1"/>
        <v/>
      </c>
      <c r="C24" s="70" t="str">
        <f t="shared" si="2"/>
        <v/>
      </c>
      <c r="D24" s="70" t="str">
        <f t="shared" si="3"/>
        <v/>
      </c>
      <c r="E24" s="70" t="str">
        <f t="shared" si="4"/>
        <v/>
      </c>
      <c r="F24" s="70" t="str">
        <f t="shared" si="5"/>
        <v/>
      </c>
      <c r="G24" s="70" t="str">
        <f t="shared" si="6"/>
        <v/>
      </c>
      <c r="H24" s="71" t="str">
        <f t="shared" si="7"/>
        <v/>
      </c>
      <c r="I24" s="18" t="str">
        <f t="shared" si="8"/>
        <v/>
      </c>
      <c r="J24" s="18" t="str">
        <f t="shared" si="9"/>
        <v/>
      </c>
      <c r="K24" s="70" t="str">
        <f>IF($AM24="","",INDEX(Radar_Mosca!$L$5:$L$24,$AM24)&amp;"")</f>
        <v/>
      </c>
      <c r="L24" s="72" t="str">
        <f>IF($AM24="","",IFERROR(INDEX(Radar_Mosca!$K$5:$K$24,$AM24),""))</f>
        <v/>
      </c>
      <c r="M24" s="70" t="str">
        <f t="shared" si="10"/>
        <v/>
      </c>
      <c r="N24" s="73" t="str">
        <f t="shared" si="11"/>
        <v/>
      </c>
      <c r="O24" s="73" t="str">
        <f t="shared" si="12"/>
        <v/>
      </c>
      <c r="P24" s="73" t="str">
        <f t="shared" si="13"/>
        <v/>
      </c>
      <c r="Q24" s="70" t="str">
        <f t="shared" si="14"/>
        <v/>
      </c>
      <c r="R24" s="70" t="str">
        <f t="shared" si="15"/>
        <v/>
      </c>
      <c r="S24" s="70" t="str">
        <f t="shared" si="16"/>
        <v/>
      </c>
      <c r="T24" s="70" t="str">
        <f t="shared" si="17"/>
        <v/>
      </c>
      <c r="AA24" t="str">
        <f>IF(Parametri!$H19="","",Parametri!$H19)</f>
        <v/>
      </c>
      <c r="AB24" t="str">
        <f>IF($AA24="","",Parametri!$I19)</f>
        <v/>
      </c>
      <c r="AC24" t="e">
        <f t="shared" si="18"/>
        <v>#N/A</v>
      </c>
      <c r="AD24" t="e">
        <f t="shared" si="19"/>
        <v>#N/A</v>
      </c>
      <c r="AE24" t="e">
        <f t="shared" si="20"/>
        <v>#N/A</v>
      </c>
      <c r="AF24" t="e">
        <f t="shared" si="21"/>
        <v>#N/A</v>
      </c>
      <c r="AG24" t="e">
        <f t="shared" si="22"/>
        <v>#N/A</v>
      </c>
      <c r="AH24" t="e">
        <f t="shared" si="23"/>
        <v>#N/A</v>
      </c>
      <c r="AI24" t="e">
        <f t="shared" si="24"/>
        <v>#N/A</v>
      </c>
      <c r="AJ24" t="str">
        <f t="shared" si="25"/>
        <v/>
      </c>
      <c r="AK24" t="str">
        <f t="shared" si="26"/>
        <v/>
      </c>
      <c r="AL24" t="str">
        <f>IF($AA24="","",IF(ISNUMBER(AG24),AG24,-1)-16/100000)</f>
        <v/>
      </c>
      <c r="AM24" t="str">
        <f>IFERROR(MATCH(_xlfn.AGGREGATE(14,6,$AL$9:$AL$28,16),$AL$9:$AL$28,0),"")</f>
        <v/>
      </c>
      <c r="AN24" t="str">
        <f>IF($AA24="","",Radar_Mosca!$AA$20&amp;"")</f>
        <v/>
      </c>
    </row>
    <row r="25" spans="1:40" ht="20.05" customHeight="1" x14ac:dyDescent="0.4">
      <c r="A25" s="69" t="str">
        <f t="shared" si="0"/>
        <v/>
      </c>
      <c r="B25" s="69" t="str">
        <f t="shared" si="1"/>
        <v/>
      </c>
      <c r="C25" s="70" t="str">
        <f t="shared" si="2"/>
        <v/>
      </c>
      <c r="D25" s="70" t="str">
        <f t="shared" si="3"/>
        <v/>
      </c>
      <c r="E25" s="70" t="str">
        <f t="shared" si="4"/>
        <v/>
      </c>
      <c r="F25" s="70" t="str">
        <f t="shared" si="5"/>
        <v/>
      </c>
      <c r="G25" s="70" t="str">
        <f t="shared" si="6"/>
        <v/>
      </c>
      <c r="H25" s="71" t="str">
        <f t="shared" si="7"/>
        <v/>
      </c>
      <c r="I25" s="18" t="str">
        <f t="shared" si="8"/>
        <v/>
      </c>
      <c r="J25" s="18" t="str">
        <f t="shared" si="9"/>
        <v/>
      </c>
      <c r="K25" s="70" t="str">
        <f>IF($AM25="","",INDEX(Radar_Mosca!$L$5:$L$24,$AM25)&amp;"")</f>
        <v/>
      </c>
      <c r="L25" s="72" t="str">
        <f>IF($AM25="","",IFERROR(INDEX(Radar_Mosca!$K$5:$K$24,$AM25),""))</f>
        <v/>
      </c>
      <c r="M25" s="70" t="str">
        <f t="shared" si="10"/>
        <v/>
      </c>
      <c r="N25" s="73" t="str">
        <f t="shared" si="11"/>
        <v/>
      </c>
      <c r="O25" s="73" t="str">
        <f t="shared" si="12"/>
        <v/>
      </c>
      <c r="P25" s="73" t="str">
        <f t="shared" si="13"/>
        <v/>
      </c>
      <c r="Q25" s="70" t="str">
        <f t="shared" si="14"/>
        <v/>
      </c>
      <c r="R25" s="70" t="str">
        <f t="shared" si="15"/>
        <v/>
      </c>
      <c r="S25" s="70" t="str">
        <f t="shared" si="16"/>
        <v/>
      </c>
      <c r="T25" s="70" t="str">
        <f t="shared" si="17"/>
        <v/>
      </c>
      <c r="AA25" t="str">
        <f>IF(Parametri!$H20="","",Parametri!$H20)</f>
        <v/>
      </c>
      <c r="AB25" t="str">
        <f>IF($AA25="","",Parametri!$I20)</f>
        <v/>
      </c>
      <c r="AC25" t="e">
        <f t="shared" si="18"/>
        <v>#N/A</v>
      </c>
      <c r="AD25" t="e">
        <f t="shared" si="19"/>
        <v>#N/A</v>
      </c>
      <c r="AE25" t="e">
        <f t="shared" si="20"/>
        <v>#N/A</v>
      </c>
      <c r="AF25" t="e">
        <f t="shared" si="21"/>
        <v>#N/A</v>
      </c>
      <c r="AG25" t="e">
        <f t="shared" si="22"/>
        <v>#N/A</v>
      </c>
      <c r="AH25" t="e">
        <f t="shared" si="23"/>
        <v>#N/A</v>
      </c>
      <c r="AI25" t="e">
        <f t="shared" si="24"/>
        <v>#N/A</v>
      </c>
      <c r="AJ25" t="str">
        <f t="shared" si="25"/>
        <v/>
      </c>
      <c r="AK25" t="str">
        <f t="shared" si="26"/>
        <v/>
      </c>
      <c r="AL25" t="str">
        <f>IF($AA25="","",IF(ISNUMBER(AG25),AG25,-1)-17/100000)</f>
        <v/>
      </c>
      <c r="AM25" t="str">
        <f>IFERROR(MATCH(_xlfn.AGGREGATE(14,6,$AL$9:$AL$28,17),$AL$9:$AL$28,0),"")</f>
        <v/>
      </c>
      <c r="AN25" t="str">
        <f>IF($AA25="","",Radar_Mosca!$AA$21&amp;"")</f>
        <v/>
      </c>
    </row>
    <row r="26" spans="1:40" ht="20.05" customHeight="1" x14ac:dyDescent="0.4">
      <c r="A26" s="69" t="str">
        <f t="shared" si="0"/>
        <v/>
      </c>
      <c r="B26" s="69" t="str">
        <f t="shared" si="1"/>
        <v/>
      </c>
      <c r="C26" s="70" t="str">
        <f t="shared" si="2"/>
        <v/>
      </c>
      <c r="D26" s="70" t="str">
        <f t="shared" si="3"/>
        <v/>
      </c>
      <c r="E26" s="70" t="str">
        <f t="shared" si="4"/>
        <v/>
      </c>
      <c r="F26" s="70" t="str">
        <f t="shared" si="5"/>
        <v/>
      </c>
      <c r="G26" s="70" t="str">
        <f t="shared" si="6"/>
        <v/>
      </c>
      <c r="H26" s="71" t="str">
        <f t="shared" si="7"/>
        <v/>
      </c>
      <c r="I26" s="18" t="str">
        <f t="shared" si="8"/>
        <v/>
      </c>
      <c r="J26" s="18" t="str">
        <f t="shared" si="9"/>
        <v/>
      </c>
      <c r="K26" s="70" t="str">
        <f>IF($AM26="","",INDEX(Radar_Mosca!$L$5:$L$24,$AM26)&amp;"")</f>
        <v/>
      </c>
      <c r="L26" s="72" t="str">
        <f>IF($AM26="","",IFERROR(INDEX(Radar_Mosca!$K$5:$K$24,$AM26),""))</f>
        <v/>
      </c>
      <c r="M26" s="70" t="str">
        <f t="shared" si="10"/>
        <v/>
      </c>
      <c r="N26" s="73" t="str">
        <f t="shared" si="11"/>
        <v/>
      </c>
      <c r="O26" s="73" t="str">
        <f t="shared" si="12"/>
        <v/>
      </c>
      <c r="P26" s="73" t="str">
        <f t="shared" si="13"/>
        <v/>
      </c>
      <c r="Q26" s="70" t="str">
        <f t="shared" si="14"/>
        <v/>
      </c>
      <c r="R26" s="70" t="str">
        <f t="shared" si="15"/>
        <v/>
      </c>
      <c r="S26" s="70" t="str">
        <f t="shared" si="16"/>
        <v/>
      </c>
      <c r="T26" s="70" t="str">
        <f t="shared" si="17"/>
        <v/>
      </c>
      <c r="AA26" t="str">
        <f>IF(Parametri!$H21="","",Parametri!$H21)</f>
        <v/>
      </c>
      <c r="AB26" t="str">
        <f>IF($AA26="","",Parametri!$I21)</f>
        <v/>
      </c>
      <c r="AC26" t="e">
        <f t="shared" si="18"/>
        <v>#N/A</v>
      </c>
      <c r="AD26" t="e">
        <f t="shared" si="19"/>
        <v>#N/A</v>
      </c>
      <c r="AE26" t="e">
        <f t="shared" si="20"/>
        <v>#N/A</v>
      </c>
      <c r="AF26" t="e">
        <f t="shared" si="21"/>
        <v>#N/A</v>
      </c>
      <c r="AG26" t="e">
        <f t="shared" si="22"/>
        <v>#N/A</v>
      </c>
      <c r="AH26" t="e">
        <f t="shared" si="23"/>
        <v>#N/A</v>
      </c>
      <c r="AI26" t="e">
        <f t="shared" si="24"/>
        <v>#N/A</v>
      </c>
      <c r="AJ26" t="str">
        <f t="shared" si="25"/>
        <v/>
      </c>
      <c r="AK26" t="str">
        <f t="shared" si="26"/>
        <v/>
      </c>
      <c r="AL26" t="str">
        <f>IF($AA26="","",IF(ISNUMBER(AG26),AG26,-1)-18/100000)</f>
        <v/>
      </c>
      <c r="AM26" t="str">
        <f>IFERROR(MATCH(_xlfn.AGGREGATE(14,6,$AL$9:$AL$28,18),$AL$9:$AL$28,0),"")</f>
        <v/>
      </c>
      <c r="AN26" t="str">
        <f>IF($AA26="","",Radar_Mosca!$AA$22&amp;"")</f>
        <v/>
      </c>
    </row>
    <row r="27" spans="1:40" ht="20.05" customHeight="1" x14ac:dyDescent="0.4">
      <c r="A27" s="69" t="str">
        <f t="shared" si="0"/>
        <v/>
      </c>
      <c r="B27" s="69" t="str">
        <f t="shared" si="1"/>
        <v/>
      </c>
      <c r="C27" s="70" t="str">
        <f t="shared" si="2"/>
        <v/>
      </c>
      <c r="D27" s="70" t="str">
        <f t="shared" si="3"/>
        <v/>
      </c>
      <c r="E27" s="70" t="str">
        <f t="shared" si="4"/>
        <v/>
      </c>
      <c r="F27" s="70" t="str">
        <f t="shared" si="5"/>
        <v/>
      </c>
      <c r="G27" s="70" t="str">
        <f t="shared" si="6"/>
        <v/>
      </c>
      <c r="H27" s="71" t="str">
        <f t="shared" si="7"/>
        <v/>
      </c>
      <c r="I27" s="18" t="str">
        <f t="shared" si="8"/>
        <v/>
      </c>
      <c r="J27" s="18" t="str">
        <f t="shared" si="9"/>
        <v/>
      </c>
      <c r="K27" s="70" t="str">
        <f>IF($AM27="","",INDEX(Radar_Mosca!$L$5:$L$24,$AM27)&amp;"")</f>
        <v/>
      </c>
      <c r="L27" s="72" t="str">
        <f>IF($AM27="","",IFERROR(INDEX(Radar_Mosca!$K$5:$K$24,$AM27),""))</f>
        <v/>
      </c>
      <c r="M27" s="70" t="str">
        <f t="shared" si="10"/>
        <v/>
      </c>
      <c r="N27" s="73" t="str">
        <f t="shared" si="11"/>
        <v/>
      </c>
      <c r="O27" s="73" t="str">
        <f t="shared" si="12"/>
        <v/>
      </c>
      <c r="P27" s="73" t="str">
        <f t="shared" si="13"/>
        <v/>
      </c>
      <c r="Q27" s="70" t="str">
        <f t="shared" si="14"/>
        <v/>
      </c>
      <c r="R27" s="70" t="str">
        <f t="shared" si="15"/>
        <v/>
      </c>
      <c r="S27" s="70" t="str">
        <f t="shared" si="16"/>
        <v/>
      </c>
      <c r="T27" s="70" t="str">
        <f t="shared" si="17"/>
        <v/>
      </c>
      <c r="AA27" t="str">
        <f>IF(Parametri!$H22="","",Parametri!$H22)</f>
        <v/>
      </c>
      <c r="AB27" t="str">
        <f>IF($AA27="","",Parametri!$I22)</f>
        <v/>
      </c>
      <c r="AC27" t="e">
        <f t="shared" si="18"/>
        <v>#N/A</v>
      </c>
      <c r="AD27" t="e">
        <f t="shared" si="19"/>
        <v>#N/A</v>
      </c>
      <c r="AE27" t="e">
        <f t="shared" si="20"/>
        <v>#N/A</v>
      </c>
      <c r="AF27" t="e">
        <f t="shared" si="21"/>
        <v>#N/A</v>
      </c>
      <c r="AG27" t="e">
        <f t="shared" si="22"/>
        <v>#N/A</v>
      </c>
      <c r="AH27" t="e">
        <f t="shared" si="23"/>
        <v>#N/A</v>
      </c>
      <c r="AI27" t="e">
        <f t="shared" si="24"/>
        <v>#N/A</v>
      </c>
      <c r="AJ27" t="str">
        <f t="shared" si="25"/>
        <v/>
      </c>
      <c r="AK27" t="str">
        <f t="shared" si="26"/>
        <v/>
      </c>
      <c r="AL27" t="str">
        <f>IF($AA27="","",IF(ISNUMBER(AG27),AG27,-1)-19/100000)</f>
        <v/>
      </c>
      <c r="AM27" t="str">
        <f>IFERROR(MATCH(_xlfn.AGGREGATE(14,6,$AL$9:$AL$28,19),$AL$9:$AL$28,0),"")</f>
        <v/>
      </c>
      <c r="AN27" t="str">
        <f>IF($AA27="","",Radar_Mosca!$AA$23&amp;"")</f>
        <v/>
      </c>
    </row>
    <row r="28" spans="1:40" ht="20.05" customHeight="1" x14ac:dyDescent="0.4">
      <c r="A28" s="69" t="str">
        <f t="shared" si="0"/>
        <v/>
      </c>
      <c r="B28" s="69" t="str">
        <f t="shared" si="1"/>
        <v/>
      </c>
      <c r="C28" s="70" t="str">
        <f t="shared" si="2"/>
        <v/>
      </c>
      <c r="D28" s="70" t="str">
        <f t="shared" si="3"/>
        <v/>
      </c>
      <c r="E28" s="70" t="str">
        <f t="shared" si="4"/>
        <v/>
      </c>
      <c r="F28" s="70" t="str">
        <f t="shared" si="5"/>
        <v/>
      </c>
      <c r="G28" s="70" t="str">
        <f t="shared" si="6"/>
        <v/>
      </c>
      <c r="H28" s="71" t="str">
        <f t="shared" si="7"/>
        <v/>
      </c>
      <c r="I28" s="18" t="str">
        <f t="shared" si="8"/>
        <v/>
      </c>
      <c r="J28" s="18" t="str">
        <f t="shared" si="9"/>
        <v/>
      </c>
      <c r="K28" s="70" t="str">
        <f>IF($AM28="","",INDEX(Radar_Mosca!$L$5:$L$24,$AM28)&amp;"")</f>
        <v/>
      </c>
      <c r="L28" s="72" t="str">
        <f>IF($AM28="","",IFERROR(INDEX(Radar_Mosca!$K$5:$K$24,$AM28),""))</f>
        <v/>
      </c>
      <c r="M28" s="70" t="str">
        <f t="shared" si="10"/>
        <v/>
      </c>
      <c r="N28" s="73" t="str">
        <f t="shared" si="11"/>
        <v/>
      </c>
      <c r="O28" s="73" t="str">
        <f t="shared" si="12"/>
        <v/>
      </c>
      <c r="P28" s="73" t="str">
        <f t="shared" si="13"/>
        <v/>
      </c>
      <c r="Q28" s="70" t="str">
        <f t="shared" si="14"/>
        <v/>
      </c>
      <c r="R28" s="70" t="str">
        <f t="shared" si="15"/>
        <v/>
      </c>
      <c r="S28" s="70" t="str">
        <f t="shared" si="16"/>
        <v/>
      </c>
      <c r="T28" s="70" t="str">
        <f t="shared" si="17"/>
        <v/>
      </c>
      <c r="AA28" t="str">
        <f>IF(Parametri!$H23="","",Parametri!$H23)</f>
        <v/>
      </c>
      <c r="AB28" t="str">
        <f>IF($AA28="","",Parametri!$I23)</f>
        <v/>
      </c>
      <c r="AC28" t="e">
        <f t="shared" si="18"/>
        <v>#N/A</v>
      </c>
      <c r="AD28" t="e">
        <f t="shared" si="19"/>
        <v>#N/A</v>
      </c>
      <c r="AE28" t="e">
        <f t="shared" si="20"/>
        <v>#N/A</v>
      </c>
      <c r="AF28" t="e">
        <f t="shared" si="21"/>
        <v>#N/A</v>
      </c>
      <c r="AG28" t="e">
        <f t="shared" si="22"/>
        <v>#N/A</v>
      </c>
      <c r="AH28" t="e">
        <f t="shared" si="23"/>
        <v>#N/A</v>
      </c>
      <c r="AI28" t="e">
        <f t="shared" si="24"/>
        <v>#N/A</v>
      </c>
      <c r="AJ28" t="str">
        <f t="shared" si="25"/>
        <v/>
      </c>
      <c r="AK28" t="str">
        <f t="shared" si="26"/>
        <v/>
      </c>
      <c r="AL28" t="str">
        <f>IF($AA28="","",IF(ISNUMBER(AG28),AG28,-1)-20/100000)</f>
        <v/>
      </c>
      <c r="AM28" t="str">
        <f>IFERROR(MATCH(_xlfn.AGGREGATE(14,6,$AL$9:$AL$28,20),$AL$9:$AL$28,0),"")</f>
        <v/>
      </c>
      <c r="AN28" t="str">
        <f>IF($AA28="","",Radar_Mosca!$AA$24&amp;"")</f>
        <v/>
      </c>
    </row>
    <row r="30" spans="1:40" ht="48" customHeight="1" x14ac:dyDescent="0.4">
      <c r="A30" s="141" t="s">
        <v>428</v>
      </c>
      <c r="B30" s="142"/>
      <c r="C30" s="142"/>
      <c r="D30" s="142"/>
      <c r="E30" s="142"/>
      <c r="F30" s="142"/>
      <c r="G30" s="142"/>
      <c r="H30" s="142"/>
      <c r="I30" s="142"/>
      <c r="J30" s="142"/>
      <c r="K30" s="142"/>
      <c r="L30" s="142"/>
      <c r="M30" s="142"/>
      <c r="N30" s="142"/>
      <c r="O30" s="142"/>
      <c r="P30" s="142"/>
      <c r="Q30" s="142"/>
      <c r="R30" s="142"/>
      <c r="S30" s="142"/>
      <c r="T30" s="142"/>
    </row>
  </sheetData>
  <mergeCells count="9">
    <mergeCell ref="A30:T30"/>
    <mergeCell ref="D7:G7"/>
    <mergeCell ref="A7:C7"/>
    <mergeCell ref="A1:T1"/>
    <mergeCell ref="H5:N5"/>
    <mergeCell ref="N7:P7"/>
    <mergeCell ref="H4:N4"/>
    <mergeCell ref="A2:U2"/>
    <mergeCell ref="H7:L7"/>
  </mergeCells>
  <conditionalFormatting sqref="A9:A28">
    <cfRule type="expression" dxfId="113" priority="18">
      <formula>IFERROR(INDEX($AN$9:$AN$28,$AM9)="Attivazione",FALSE)</formula>
    </cfRule>
    <cfRule type="expression" dxfId="112" priority="19">
      <formula>IFERROR(INDEX($AN$9:$AN$28,$AM9)="Attenzione",FALSE)</formula>
    </cfRule>
    <cfRule type="expression" dxfId="111" priority="20">
      <formula>IFERROR(INDEX($AN$9:$AN$28,$AM9)="Monitoraggio",FALSE)</formula>
    </cfRule>
  </conditionalFormatting>
  <conditionalFormatting sqref="D9:G28">
    <cfRule type="expression" dxfId="110" priority="5">
      <formula>D9=1</formula>
    </cfRule>
    <cfRule type="expression" dxfId="109" priority="6">
      <formula>D9=2</formula>
    </cfRule>
    <cfRule type="expression" dxfId="108" priority="7">
      <formula>D9=3</formula>
    </cfRule>
    <cfRule type="expression" dxfId="107" priority="8">
      <formula>D9=4</formula>
    </cfRule>
    <cfRule type="expression" dxfId="106" priority="9">
      <formula>D9=5</formula>
    </cfRule>
  </conditionalFormatting>
  <conditionalFormatting sqref="D9:H28">
    <cfRule type="expression" dxfId="105" priority="10">
      <formula>ISNA(D9)</formula>
    </cfRule>
  </conditionalFormatting>
  <conditionalFormatting sqref="G9:G28">
    <cfRule type="expression" dxfId="104" priority="11">
      <formula>G9="n.v."</formula>
    </cfRule>
  </conditionalFormatting>
  <conditionalFormatting sqref="H4">
    <cfRule type="expression" dxfId="103" priority="1">
      <formula>$D$4&gt;0</formula>
    </cfRule>
    <cfRule type="expression" dxfId="102" priority="2">
      <formula>$D$4=0</formula>
    </cfRule>
  </conditionalFormatting>
  <conditionalFormatting sqref="H5">
    <cfRule type="expression" dxfId="101" priority="3">
      <formula>$D$5&lt;&gt;$G$5</formula>
    </cfRule>
    <cfRule type="expression" dxfId="100" priority="4">
      <formula>$D$5=$G$5</formula>
    </cfRule>
  </conditionalFormatting>
  <conditionalFormatting sqref="H9:H28">
    <cfRule type="dataBar" priority="12">
      <dataBar>
        <cfvo type="num" val="0"/>
        <cfvo type="num" val="5"/>
        <color rgb="FF8EA9DB"/>
      </dataBar>
    </cfRule>
  </conditionalFormatting>
  <conditionalFormatting sqref="I9:J28">
    <cfRule type="expression" dxfId="99" priority="13">
      <formula>AND(ISNUMBER(I9),I9&gt;0)</formula>
    </cfRule>
    <cfRule type="expression" dxfId="98" priority="14">
      <formula>AND(ISNUMBER(I9),I9&lt;0)</formula>
    </cfRule>
  </conditionalFormatting>
  <conditionalFormatting sqref="K9:K28">
    <cfRule type="expression" dxfId="97" priority="15">
      <formula>LEFT(K9,9)="AGIRE ORA"</formula>
    </cfRule>
    <cfRule type="expression" dxfId="96" priority="16">
      <formula>OR(LEFT(K9,11)="Agire entro",LEFT(K9,12)="Entro l'anno")</formula>
    </cfRule>
    <cfRule type="expression" dxfId="95" priority="17">
      <formula>LEFT(K9,7)="Margine"</formula>
    </cfRule>
  </conditionalFormatting>
  <conditionalFormatting sqref="N9:N28">
    <cfRule type="expression" dxfId="94" priority="21">
      <formula>AND(ISNUMBER(N9),N9&gt;0)</formula>
    </cfRule>
  </conditionalFormatting>
  <conditionalFormatting sqref="O9:O28">
    <cfRule type="expression" dxfId="93" priority="22">
      <formula>AND(ISNUMBER(O9),O9&gt;0)</formula>
    </cfRule>
  </conditionalFormatting>
  <conditionalFormatting sqref="P9:P28">
    <cfRule type="expression" dxfId="92" priority="23">
      <formula>AND(ISNUMBER(P9),P9&gt;0)</formula>
    </cfRule>
  </conditionalFormatting>
  <conditionalFormatting sqref="Q9:Q28">
    <cfRule type="expression" dxfId="91" priority="24">
      <formula>LEFT(Q9,1)="▲"</formula>
    </cfRule>
    <cfRule type="expression" dxfId="90" priority="25">
      <formula>LEFT(Q9,1)="▼"</formula>
    </cfRule>
  </conditionalFormatting>
  <conditionalFormatting sqref="R9:R28">
    <cfRule type="expression" dxfId="89" priority="26">
      <formula>R9="Assente"</formula>
    </cfRule>
    <cfRule type="expression" dxfId="88" priority="27">
      <formula>R9="Parziale"</formula>
    </cfRule>
    <cfRule type="expression" dxfId="87" priority="28">
      <formula>R9="Adeguato"</formula>
    </cfRule>
    <cfRule type="expression" dxfId="86" priority="29">
      <formula>R9="Non verificato"</formula>
    </cfRule>
  </conditionalFormatting>
  <conditionalFormatting sqref="S9:S28">
    <cfRule type="expression" dxfId="85" priority="30">
      <formula>LEFT(S9,1)="⚑"</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J24"/>
  <sheetViews>
    <sheetView showGridLines="0" workbookViewId="0"/>
  </sheetViews>
  <sheetFormatPr defaultRowHeight="14.6" x14ac:dyDescent="0.4"/>
  <cols>
    <col min="1" max="1" width="10" customWidth="1"/>
    <col min="2" max="2" width="48" customWidth="1"/>
    <col min="3" max="10" width="10" customWidth="1"/>
  </cols>
  <sheetData>
    <row r="1" spans="1:10" ht="28" customHeight="1" x14ac:dyDescent="0.4">
      <c r="A1" s="161" t="str">
        <f>"Horizon Scan NFR — Storico: score composito negli ultimi otto cicli   ·   "&amp;etichettaCiclo</f>
        <v>Horizon Scan NFR — Storico: score composito negli ultimi otto cicli   ·   Ciclo 2026Q4 · dati al 31/12/2026 · validato · Uso interno</v>
      </c>
      <c r="B1" s="162"/>
      <c r="C1" s="162"/>
      <c r="D1" s="162"/>
      <c r="E1" s="162"/>
      <c r="F1" s="162"/>
      <c r="G1" s="162"/>
      <c r="H1" s="162"/>
      <c r="I1" s="162"/>
      <c r="J1" s="162"/>
    </row>
    <row r="2" spans="1:10" ht="32.049999999999997" customHeight="1" x14ac:dyDescent="0.4">
      <c r="A2" s="173" t="s">
        <v>429</v>
      </c>
      <c r="B2" s="142"/>
      <c r="C2" s="142"/>
      <c r="D2" s="142"/>
      <c r="E2" s="142"/>
      <c r="F2" s="142"/>
      <c r="G2" s="142"/>
      <c r="H2" s="142"/>
      <c r="I2" s="142"/>
      <c r="J2" s="142"/>
    </row>
    <row r="4" spans="1:10" x14ac:dyDescent="0.4">
      <c r="A4" s="61" t="s">
        <v>173</v>
      </c>
      <c r="B4" s="61" t="s">
        <v>174</v>
      </c>
      <c r="C4" s="61" t="str">
        <f>Parametri!$B$20</f>
        <v>2025Q1</v>
      </c>
      <c r="D4" s="61" t="str">
        <f>Parametri!$B$21</f>
        <v>2025Q2</v>
      </c>
      <c r="E4" s="61" t="str">
        <f>Parametri!$B$22</f>
        <v>2025Q3</v>
      </c>
      <c r="F4" s="61" t="str">
        <f>Parametri!$B$23</f>
        <v>2025Q4</v>
      </c>
      <c r="G4" s="61" t="str">
        <f>Parametri!$B$24</f>
        <v>2026Q1</v>
      </c>
      <c r="H4" s="61" t="str">
        <f>Parametri!$B$25</f>
        <v>2026Q2</v>
      </c>
      <c r="I4" s="61" t="str">
        <f>Parametri!$B$26</f>
        <v>2026Q3</v>
      </c>
      <c r="J4" s="61" t="str">
        <f>Parametri!$B$27</f>
        <v>2026Q4</v>
      </c>
    </row>
    <row r="5" spans="1:10" x14ac:dyDescent="0.4">
      <c r="A5" t="str">
        <f>INDEX(posID,1)&amp;""</f>
        <v>NFR-01</v>
      </c>
      <c r="B5" t="str">
        <f>INDEX(posNome,1)&amp;""</f>
        <v>Frodi su pagamenti istantanei abilitate da AI generativa</v>
      </c>
      <c r="C5" s="29" t="e">
        <f t="shared" ref="C5:J14" si="0">IF(OR($A5="",C$4=""),NA(),IF(COUNTIFS(RR_ID_Rischio,$A5,RR_Ciclo,C$4)=0,NA(),SUMIFS(RR_Score_Composito,RR_ID_Rischio,$A5,RR_Ciclo,C$4)))</f>
        <v>#N/A</v>
      </c>
      <c r="D5" s="29" t="e">
        <f t="shared" si="0"/>
        <v>#N/A</v>
      </c>
      <c r="E5" s="29" t="e">
        <f t="shared" si="0"/>
        <v>#N/A</v>
      </c>
      <c r="F5" s="29">
        <f t="shared" si="0"/>
        <v>3.45</v>
      </c>
      <c r="G5" s="29">
        <f t="shared" si="0"/>
        <v>3.65</v>
      </c>
      <c r="H5" s="29">
        <f t="shared" si="0"/>
        <v>4.2</v>
      </c>
      <c r="I5" s="29">
        <f t="shared" si="0"/>
        <v>4.2</v>
      </c>
      <c r="J5" s="29">
        <f t="shared" si="0"/>
        <v>4.4000000000000004</v>
      </c>
    </row>
    <row r="6" spans="1:10" x14ac:dyDescent="0.4">
      <c r="A6" t="str">
        <f>INDEX(posID,2)&amp;""</f>
        <v>NFR-02</v>
      </c>
      <c r="B6" t="str">
        <f>INDEX(posNome,2)&amp;""</f>
        <v>Concentrazione su un fornitore cloud critico</v>
      </c>
      <c r="C6" s="29" t="e">
        <f t="shared" si="0"/>
        <v>#N/A</v>
      </c>
      <c r="D6" s="29" t="e">
        <f t="shared" si="0"/>
        <v>#N/A</v>
      </c>
      <c r="E6" s="29" t="e">
        <f t="shared" si="0"/>
        <v>#N/A</v>
      </c>
      <c r="F6" s="29">
        <f t="shared" si="0"/>
        <v>3.3</v>
      </c>
      <c r="G6" s="29">
        <f t="shared" si="0"/>
        <v>3.3</v>
      </c>
      <c r="H6" s="29">
        <f t="shared" si="0"/>
        <v>3.3</v>
      </c>
      <c r="I6" s="29">
        <f t="shared" si="0"/>
        <v>3.3</v>
      </c>
      <c r="J6" s="29">
        <f t="shared" si="0"/>
        <v>3.8</v>
      </c>
    </row>
    <row r="7" spans="1:10" x14ac:dyDescent="0.4">
      <c r="A7" t="str">
        <f>INDEX(posID,3)&amp;""</f>
        <v>NFR-03</v>
      </c>
      <c r="B7" t="str">
        <f>INDEX(posNome,3)&amp;""</f>
        <v>Greenwashing nella commercializzazione di prodotti ESG</v>
      </c>
      <c r="C7" s="29" t="e">
        <f t="shared" si="0"/>
        <v>#N/A</v>
      </c>
      <c r="D7" s="29" t="e">
        <f t="shared" si="0"/>
        <v>#N/A</v>
      </c>
      <c r="E7" s="29" t="e">
        <f t="shared" si="0"/>
        <v>#N/A</v>
      </c>
      <c r="F7" s="29">
        <f t="shared" si="0"/>
        <v>2.8</v>
      </c>
      <c r="G7" s="29">
        <f t="shared" si="0"/>
        <v>2.8</v>
      </c>
      <c r="H7" s="29">
        <f t="shared" si="0"/>
        <v>2.8</v>
      </c>
      <c r="I7" s="29">
        <f t="shared" si="0"/>
        <v>3</v>
      </c>
      <c r="J7" s="29">
        <f t="shared" si="0"/>
        <v>3</v>
      </c>
    </row>
    <row r="8" spans="1:10" x14ac:dyDescent="0.4">
      <c r="A8" t="str">
        <f>INDEX(posID,4)&amp;""</f>
        <v>NFR-04</v>
      </c>
      <c r="B8" t="str">
        <f>INDEX(posNome,4)&amp;""</f>
        <v>Eventi climatici estremi su sedi e data center</v>
      </c>
      <c r="C8" s="29" t="e">
        <f t="shared" si="0"/>
        <v>#N/A</v>
      </c>
      <c r="D8" s="29" t="e">
        <f t="shared" si="0"/>
        <v>#N/A</v>
      </c>
      <c r="E8" s="29" t="e">
        <f t="shared" si="0"/>
        <v>#N/A</v>
      </c>
      <c r="F8" s="29">
        <f t="shared" si="0"/>
        <v>2.6</v>
      </c>
      <c r="G8" s="29">
        <f t="shared" si="0"/>
        <v>2.6</v>
      </c>
      <c r="H8" s="29">
        <f t="shared" si="0"/>
        <v>2.8</v>
      </c>
      <c r="I8" s="29">
        <f t="shared" si="0"/>
        <v>2.8</v>
      </c>
      <c r="J8" s="29">
        <f t="shared" si="0"/>
        <v>2.8</v>
      </c>
    </row>
    <row r="9" spans="1:10" x14ac:dyDescent="0.4">
      <c r="A9" t="str">
        <f>INDEX(posID,5)&amp;""</f>
        <v>NFR-05</v>
      </c>
      <c r="B9" t="str">
        <f>INDEX(posNome,5)&amp;""</f>
        <v>Errori di processo nella migrazione del core banking</v>
      </c>
      <c r="C9" s="29" t="e">
        <f t="shared" si="0"/>
        <v>#N/A</v>
      </c>
      <c r="D9" s="29" t="e">
        <f t="shared" si="0"/>
        <v>#N/A</v>
      </c>
      <c r="E9" s="29" t="e">
        <f t="shared" si="0"/>
        <v>#N/A</v>
      </c>
      <c r="F9" s="29">
        <f t="shared" si="0"/>
        <v>3.2</v>
      </c>
      <c r="G9" s="29">
        <f t="shared" si="0"/>
        <v>3.2</v>
      </c>
      <c r="H9" s="29">
        <f t="shared" si="0"/>
        <v>3</v>
      </c>
      <c r="I9" s="29">
        <f t="shared" si="0"/>
        <v>3</v>
      </c>
      <c r="J9" s="29">
        <f t="shared" si="0"/>
        <v>3</v>
      </c>
    </row>
    <row r="10" spans="1:10" x14ac:dyDescent="0.4">
      <c r="A10" t="str">
        <f>INDEX(posID,6)&amp;""</f>
        <v>NFR-06</v>
      </c>
      <c r="B10" t="str">
        <f>INDEX(posNome,6)&amp;""</f>
        <v>Esfiltrazione di dati tramite strumenti di AI non autorizzati</v>
      </c>
      <c r="C10" s="29" t="e">
        <f t="shared" si="0"/>
        <v>#N/A</v>
      </c>
      <c r="D10" s="29" t="e">
        <f t="shared" si="0"/>
        <v>#N/A</v>
      </c>
      <c r="E10" s="29" t="e">
        <f t="shared" si="0"/>
        <v>#N/A</v>
      </c>
      <c r="F10" s="29" t="e">
        <f t="shared" si="0"/>
        <v>#N/A</v>
      </c>
      <c r="G10" s="29">
        <f t="shared" si="0"/>
        <v>3</v>
      </c>
      <c r="H10" s="29">
        <f t="shared" si="0"/>
        <v>3</v>
      </c>
      <c r="I10" s="29">
        <f t="shared" si="0"/>
        <v>3</v>
      </c>
      <c r="J10" s="29">
        <f t="shared" si="0"/>
        <v>3</v>
      </c>
    </row>
    <row r="11" spans="1:10" x14ac:dyDescent="0.4">
      <c r="A11" t="str">
        <f>INDEX(posID,7)&amp;""</f>
        <v>NFR-07</v>
      </c>
      <c r="B11" t="str">
        <f>INDEX(posNome,7)&amp;""</f>
        <v>Ransomware presso un fornitore di servizi di pagamento</v>
      </c>
      <c r="C11" s="29" t="e">
        <f t="shared" si="0"/>
        <v>#N/A</v>
      </c>
      <c r="D11" s="29" t="e">
        <f t="shared" si="0"/>
        <v>#N/A</v>
      </c>
      <c r="E11" s="29" t="e">
        <f t="shared" si="0"/>
        <v>#N/A</v>
      </c>
      <c r="F11" s="29">
        <f t="shared" si="0"/>
        <v>3.75</v>
      </c>
      <c r="G11" s="29">
        <f t="shared" si="0"/>
        <v>3.75</v>
      </c>
      <c r="H11" s="29">
        <f t="shared" si="0"/>
        <v>3.75</v>
      </c>
      <c r="I11" s="29">
        <f t="shared" si="0"/>
        <v>3.75</v>
      </c>
      <c r="J11" s="29">
        <f t="shared" si="0"/>
        <v>3.75</v>
      </c>
    </row>
    <row r="12" spans="1:10" x14ac:dyDescent="0.4">
      <c r="A12" t="str">
        <f>INDEX(posID,8)&amp;""</f>
        <v>NFR-08</v>
      </c>
      <c r="B12" t="str">
        <f>INDEX(posNome,8)&amp;""</f>
        <v>Accessi impropri di dipendenti ai dati dei clienti</v>
      </c>
      <c r="C12" s="29" t="e">
        <f t="shared" si="0"/>
        <v>#N/A</v>
      </c>
      <c r="D12" s="29" t="e">
        <f t="shared" si="0"/>
        <v>#N/A</v>
      </c>
      <c r="E12" s="29" t="e">
        <f t="shared" si="0"/>
        <v>#N/A</v>
      </c>
      <c r="F12" s="29">
        <f t="shared" si="0"/>
        <v>2.75</v>
      </c>
      <c r="G12" s="29">
        <f t="shared" si="0"/>
        <v>2.75</v>
      </c>
      <c r="H12" s="29">
        <f t="shared" si="0"/>
        <v>2.75</v>
      </c>
      <c r="I12" s="29">
        <f t="shared" si="0"/>
        <v>2.75</v>
      </c>
      <c r="J12" s="29">
        <f t="shared" si="0"/>
        <v>2.75</v>
      </c>
    </row>
    <row r="13" spans="1:10" x14ac:dyDescent="0.4">
      <c r="A13" t="str">
        <f>INDEX(posID,9)&amp;""</f>
        <v>NFR-09</v>
      </c>
      <c r="B13" t="str">
        <f>INDEX(posNome,9)&amp;""</f>
        <v>Violazione di sanzioni internazionali tramite triangolazioni</v>
      </c>
      <c r="C13" s="29" t="e">
        <f t="shared" si="0"/>
        <v>#N/A</v>
      </c>
      <c r="D13" s="29" t="e">
        <f t="shared" si="0"/>
        <v>#N/A</v>
      </c>
      <c r="E13" s="29" t="e">
        <f t="shared" si="0"/>
        <v>#N/A</v>
      </c>
      <c r="F13" s="29" t="e">
        <f t="shared" si="0"/>
        <v>#N/A</v>
      </c>
      <c r="G13" s="29">
        <f t="shared" si="0"/>
        <v>2.9</v>
      </c>
      <c r="H13" s="29">
        <f t="shared" si="0"/>
        <v>2.9</v>
      </c>
      <c r="I13" s="29">
        <f t="shared" si="0"/>
        <v>2.9</v>
      </c>
      <c r="J13" s="29">
        <f t="shared" si="0"/>
        <v>2.9</v>
      </c>
    </row>
    <row r="14" spans="1:10" x14ac:dyDescent="0.4">
      <c r="A14" t="str">
        <f>INDEX(posID,10)&amp;""</f>
        <v>NFR-10</v>
      </c>
      <c r="B14" t="str">
        <f>INDEX(posNome,10)&amp;""</f>
        <v>Informazioni errate ai clienti da assistenti di AI generativa</v>
      </c>
      <c r="C14" s="29" t="e">
        <f t="shared" si="0"/>
        <v>#N/A</v>
      </c>
      <c r="D14" s="29" t="e">
        <f t="shared" si="0"/>
        <v>#N/A</v>
      </c>
      <c r="E14" s="29" t="e">
        <f t="shared" si="0"/>
        <v>#N/A</v>
      </c>
      <c r="F14" s="29" t="e">
        <f t="shared" si="0"/>
        <v>#N/A</v>
      </c>
      <c r="G14" s="29">
        <f t="shared" si="0"/>
        <v>3</v>
      </c>
      <c r="H14" s="29">
        <f t="shared" si="0"/>
        <v>3</v>
      </c>
      <c r="I14" s="29">
        <f t="shared" si="0"/>
        <v>3</v>
      </c>
      <c r="J14" s="29">
        <f t="shared" si="0"/>
        <v>3</v>
      </c>
    </row>
    <row r="15" spans="1:10" x14ac:dyDescent="0.4">
      <c r="A15" t="str">
        <f>INDEX(posID,11)&amp;""</f>
        <v>NFR-11</v>
      </c>
      <c r="B15" t="str">
        <f>INDEX(posNome,11)&amp;""</f>
        <v>Fine del supporto dei sistemi di pagamento legacy</v>
      </c>
      <c r="C15" s="29" t="e">
        <f t="shared" ref="C15:J24" si="1">IF(OR($A15="",C$4=""),NA(),IF(COUNTIFS(RR_ID_Rischio,$A15,RR_Ciclo,C$4)=0,NA(),SUMIFS(RR_Score_Composito,RR_ID_Rischio,$A15,RR_Ciclo,C$4)))</f>
        <v>#N/A</v>
      </c>
      <c r="D15" s="29" t="e">
        <f t="shared" si="1"/>
        <v>#N/A</v>
      </c>
      <c r="E15" s="29" t="e">
        <f t="shared" si="1"/>
        <v>#N/A</v>
      </c>
      <c r="F15" s="29">
        <f t="shared" si="1"/>
        <v>2.8</v>
      </c>
      <c r="G15" s="29">
        <f t="shared" si="1"/>
        <v>2.8</v>
      </c>
      <c r="H15" s="29">
        <f t="shared" si="1"/>
        <v>2.8</v>
      </c>
      <c r="I15" s="29">
        <f t="shared" si="1"/>
        <v>2.8</v>
      </c>
      <c r="J15" s="29">
        <f t="shared" si="1"/>
        <v>2.8</v>
      </c>
    </row>
    <row r="16" spans="1:10" x14ac:dyDescent="0.4">
      <c r="A16" t="str">
        <f>INDEX(posID,12)&amp;""</f>
        <v>NFR-12</v>
      </c>
      <c r="B16" t="str">
        <f>INDEX(posNome,12)&amp;""</f>
        <v>Errori operativi nei pagamenti istantanei obbligatori</v>
      </c>
      <c r="C16" s="29" t="e">
        <f t="shared" si="1"/>
        <v>#N/A</v>
      </c>
      <c r="D16" s="29" t="e">
        <f t="shared" si="1"/>
        <v>#N/A</v>
      </c>
      <c r="E16" s="29" t="e">
        <f t="shared" si="1"/>
        <v>#N/A</v>
      </c>
      <c r="F16" s="29">
        <f t="shared" si="1"/>
        <v>3.45</v>
      </c>
      <c r="G16" s="29">
        <f t="shared" si="1"/>
        <v>3.45</v>
      </c>
      <c r="H16" s="29">
        <f t="shared" si="1"/>
        <v>3.65</v>
      </c>
      <c r="I16" s="29">
        <f t="shared" si="1"/>
        <v>3.65</v>
      </c>
      <c r="J16" s="29">
        <f t="shared" si="1"/>
        <v>3.65</v>
      </c>
    </row>
    <row r="17" spans="1:10" x14ac:dyDescent="0.4">
      <c r="A17" t="str">
        <f>INDEX(posID,13)&amp;""</f>
        <v>NFR-16</v>
      </c>
      <c r="B17" t="str">
        <f>INDEX(posNome,13)&amp;""</f>
        <v>Vertenze e carenza di tecnici nei ruoli IT critici</v>
      </c>
      <c r="C17" s="29" t="e">
        <f t="shared" si="1"/>
        <v>#N/A</v>
      </c>
      <c r="D17" s="29" t="e">
        <f t="shared" si="1"/>
        <v>#N/A</v>
      </c>
      <c r="E17" s="29" t="e">
        <f t="shared" si="1"/>
        <v>#N/A</v>
      </c>
      <c r="F17" s="29" t="e">
        <f t="shared" si="1"/>
        <v>#N/A</v>
      </c>
      <c r="G17" s="29" t="e">
        <f t="shared" si="1"/>
        <v>#N/A</v>
      </c>
      <c r="H17" s="29" t="e">
        <f t="shared" si="1"/>
        <v>#N/A</v>
      </c>
      <c r="I17" s="29">
        <f t="shared" si="1"/>
        <v>2.19</v>
      </c>
      <c r="J17" s="29">
        <f t="shared" si="1"/>
        <v>2.8</v>
      </c>
    </row>
    <row r="18" spans="1:10" x14ac:dyDescent="0.4">
      <c r="A18" t="str">
        <f>INDEX(posID,14)&amp;""</f>
        <v/>
      </c>
      <c r="B18" t="str">
        <f>INDEX(posNome,14)&amp;""</f>
        <v/>
      </c>
      <c r="C18" s="29" t="e">
        <f t="shared" si="1"/>
        <v>#N/A</v>
      </c>
      <c r="D18" s="29" t="e">
        <f t="shared" si="1"/>
        <v>#N/A</v>
      </c>
      <c r="E18" s="29" t="e">
        <f t="shared" si="1"/>
        <v>#N/A</v>
      </c>
      <c r="F18" s="29" t="e">
        <f t="shared" si="1"/>
        <v>#N/A</v>
      </c>
      <c r="G18" s="29" t="e">
        <f t="shared" si="1"/>
        <v>#N/A</v>
      </c>
      <c r="H18" s="29" t="e">
        <f t="shared" si="1"/>
        <v>#N/A</v>
      </c>
      <c r="I18" s="29" t="e">
        <f t="shared" si="1"/>
        <v>#N/A</v>
      </c>
      <c r="J18" s="29" t="e">
        <f t="shared" si="1"/>
        <v>#N/A</v>
      </c>
    </row>
    <row r="19" spans="1:10" x14ac:dyDescent="0.4">
      <c r="A19" t="str">
        <f>INDEX(posID,15)&amp;""</f>
        <v/>
      </c>
      <c r="B19" t="str">
        <f>INDEX(posNome,15)&amp;""</f>
        <v/>
      </c>
      <c r="C19" s="29" t="e">
        <f t="shared" si="1"/>
        <v>#N/A</v>
      </c>
      <c r="D19" s="29" t="e">
        <f t="shared" si="1"/>
        <v>#N/A</v>
      </c>
      <c r="E19" s="29" t="e">
        <f t="shared" si="1"/>
        <v>#N/A</v>
      </c>
      <c r="F19" s="29" t="e">
        <f t="shared" si="1"/>
        <v>#N/A</v>
      </c>
      <c r="G19" s="29" t="e">
        <f t="shared" si="1"/>
        <v>#N/A</v>
      </c>
      <c r="H19" s="29" t="e">
        <f t="shared" si="1"/>
        <v>#N/A</v>
      </c>
      <c r="I19" s="29" t="e">
        <f t="shared" si="1"/>
        <v>#N/A</v>
      </c>
      <c r="J19" s="29" t="e">
        <f t="shared" si="1"/>
        <v>#N/A</v>
      </c>
    </row>
    <row r="20" spans="1:10" x14ac:dyDescent="0.4">
      <c r="A20" t="str">
        <f>INDEX(posID,16)&amp;""</f>
        <v/>
      </c>
      <c r="B20" t="str">
        <f>INDEX(posNome,16)&amp;""</f>
        <v/>
      </c>
      <c r="C20" s="29" t="e">
        <f t="shared" si="1"/>
        <v>#N/A</v>
      </c>
      <c r="D20" s="29" t="e">
        <f t="shared" si="1"/>
        <v>#N/A</v>
      </c>
      <c r="E20" s="29" t="e">
        <f t="shared" si="1"/>
        <v>#N/A</v>
      </c>
      <c r="F20" s="29" t="e">
        <f t="shared" si="1"/>
        <v>#N/A</v>
      </c>
      <c r="G20" s="29" t="e">
        <f t="shared" si="1"/>
        <v>#N/A</v>
      </c>
      <c r="H20" s="29" t="e">
        <f t="shared" si="1"/>
        <v>#N/A</v>
      </c>
      <c r="I20" s="29" t="e">
        <f t="shared" si="1"/>
        <v>#N/A</v>
      </c>
      <c r="J20" s="29" t="e">
        <f t="shared" si="1"/>
        <v>#N/A</v>
      </c>
    </row>
    <row r="21" spans="1:10" x14ac:dyDescent="0.4">
      <c r="A21" t="str">
        <f>INDEX(posID,17)&amp;""</f>
        <v/>
      </c>
      <c r="B21" t="str">
        <f>INDEX(posNome,17)&amp;""</f>
        <v/>
      </c>
      <c r="C21" s="29" t="e">
        <f t="shared" si="1"/>
        <v>#N/A</v>
      </c>
      <c r="D21" s="29" t="e">
        <f t="shared" si="1"/>
        <v>#N/A</v>
      </c>
      <c r="E21" s="29" t="e">
        <f t="shared" si="1"/>
        <v>#N/A</v>
      </c>
      <c r="F21" s="29" t="e">
        <f t="shared" si="1"/>
        <v>#N/A</v>
      </c>
      <c r="G21" s="29" t="e">
        <f t="shared" si="1"/>
        <v>#N/A</v>
      </c>
      <c r="H21" s="29" t="e">
        <f t="shared" si="1"/>
        <v>#N/A</v>
      </c>
      <c r="I21" s="29" t="e">
        <f t="shared" si="1"/>
        <v>#N/A</v>
      </c>
      <c r="J21" s="29" t="e">
        <f t="shared" si="1"/>
        <v>#N/A</v>
      </c>
    </row>
    <row r="22" spans="1:10" x14ac:dyDescent="0.4">
      <c r="A22" t="str">
        <f>INDEX(posID,18)&amp;""</f>
        <v/>
      </c>
      <c r="B22" t="str">
        <f>INDEX(posNome,18)&amp;""</f>
        <v/>
      </c>
      <c r="C22" s="29" t="e">
        <f t="shared" si="1"/>
        <v>#N/A</v>
      </c>
      <c r="D22" s="29" t="e">
        <f t="shared" si="1"/>
        <v>#N/A</v>
      </c>
      <c r="E22" s="29" t="e">
        <f t="shared" si="1"/>
        <v>#N/A</v>
      </c>
      <c r="F22" s="29" t="e">
        <f t="shared" si="1"/>
        <v>#N/A</v>
      </c>
      <c r="G22" s="29" t="e">
        <f t="shared" si="1"/>
        <v>#N/A</v>
      </c>
      <c r="H22" s="29" t="e">
        <f t="shared" si="1"/>
        <v>#N/A</v>
      </c>
      <c r="I22" s="29" t="e">
        <f t="shared" si="1"/>
        <v>#N/A</v>
      </c>
      <c r="J22" s="29" t="e">
        <f t="shared" si="1"/>
        <v>#N/A</v>
      </c>
    </row>
    <row r="23" spans="1:10" x14ac:dyDescent="0.4">
      <c r="A23" t="str">
        <f>INDEX(posID,19)&amp;""</f>
        <v/>
      </c>
      <c r="B23" t="str">
        <f>INDEX(posNome,19)&amp;""</f>
        <v/>
      </c>
      <c r="C23" s="29" t="e">
        <f t="shared" si="1"/>
        <v>#N/A</v>
      </c>
      <c r="D23" s="29" t="e">
        <f t="shared" si="1"/>
        <v>#N/A</v>
      </c>
      <c r="E23" s="29" t="e">
        <f t="shared" si="1"/>
        <v>#N/A</v>
      </c>
      <c r="F23" s="29" t="e">
        <f t="shared" si="1"/>
        <v>#N/A</v>
      </c>
      <c r="G23" s="29" t="e">
        <f t="shared" si="1"/>
        <v>#N/A</v>
      </c>
      <c r="H23" s="29" t="e">
        <f t="shared" si="1"/>
        <v>#N/A</v>
      </c>
      <c r="I23" s="29" t="e">
        <f t="shared" si="1"/>
        <v>#N/A</v>
      </c>
      <c r="J23" s="29" t="e">
        <f t="shared" si="1"/>
        <v>#N/A</v>
      </c>
    </row>
    <row r="24" spans="1:10" x14ac:dyDescent="0.4">
      <c r="A24" t="str">
        <f>INDEX(posID,20)&amp;""</f>
        <v/>
      </c>
      <c r="B24" t="str">
        <f>INDEX(posNome,20)&amp;""</f>
        <v/>
      </c>
      <c r="C24" s="29" t="e">
        <f t="shared" si="1"/>
        <v>#N/A</v>
      </c>
      <c r="D24" s="29" t="e">
        <f t="shared" si="1"/>
        <v>#N/A</v>
      </c>
      <c r="E24" s="29" t="e">
        <f t="shared" si="1"/>
        <v>#N/A</v>
      </c>
      <c r="F24" s="29" t="e">
        <f t="shared" si="1"/>
        <v>#N/A</v>
      </c>
      <c r="G24" s="29" t="e">
        <f t="shared" si="1"/>
        <v>#N/A</v>
      </c>
      <c r="H24" s="29" t="e">
        <f t="shared" si="1"/>
        <v>#N/A</v>
      </c>
      <c r="I24" s="29" t="e">
        <f t="shared" si="1"/>
        <v>#N/A</v>
      </c>
      <c r="J24" s="29" t="e">
        <f t="shared" si="1"/>
        <v>#N/A</v>
      </c>
    </row>
  </sheetData>
  <mergeCells count="2">
    <mergeCell ref="A1:J1"/>
    <mergeCell ref="A2:J2"/>
  </mergeCells>
  <conditionalFormatting sqref="C5:J24">
    <cfRule type="expression" dxfId="84" priority="1">
      <formula>ISNA(C5)</formula>
    </cfRule>
  </conditionalFormatting>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AB161"/>
  <sheetViews>
    <sheetView showGridLines="0" workbookViewId="0">
      <pane ySplit="6" topLeftCell="A7" activePane="bottomLeft" state="frozen"/>
      <selection pane="bottomLeft"/>
    </sheetView>
  </sheetViews>
  <sheetFormatPr defaultRowHeight="14.6" x14ac:dyDescent="0.4"/>
  <cols>
    <col min="1" max="1" width="11" customWidth="1"/>
    <col min="2" max="2" width="9" customWidth="1"/>
    <col min="3" max="3" width="46" customWidth="1"/>
    <col min="4" max="4" width="8" customWidth="1"/>
    <col min="5" max="6" width="10" customWidth="1"/>
    <col min="7" max="7" width="9" customWidth="1"/>
    <col min="8" max="8" width="11" customWidth="1"/>
    <col min="9" max="9" width="13" customWidth="1"/>
    <col min="10" max="10" width="11" customWidth="1"/>
    <col min="11" max="12" width="12" customWidth="1"/>
    <col min="13" max="13" width="16" customWidth="1"/>
    <col min="14" max="14" width="14" customWidth="1"/>
    <col min="15" max="16" width="11" customWidth="1"/>
    <col min="17" max="18" width="12" customWidth="1"/>
    <col min="19" max="19" width="24" customWidth="1"/>
    <col min="20" max="20" width="30" customWidth="1"/>
    <col min="26" max="28" width="13" hidden="1" customWidth="1"/>
  </cols>
  <sheetData>
    <row r="1" spans="1:28" ht="28" customHeight="1" x14ac:dyDescent="0.4">
      <c r="A1" s="161" t="str">
        <f>"Horizon Scan NFR — Indicatori: KRI del ciclo e storia di un KRI   ·   "&amp;etichettaCiclo</f>
        <v>Horizon Scan NFR — Indicatori: KRI del ciclo e storia di un KRI   ·   Ciclo 2026Q4 · dati al 31/12/2026 · validato · Uso interno</v>
      </c>
      <c r="B1" s="162"/>
      <c r="C1" s="162"/>
      <c r="D1" s="162"/>
      <c r="E1" s="162"/>
      <c r="F1" s="162"/>
      <c r="G1" s="162"/>
      <c r="H1" s="162"/>
      <c r="I1" s="162"/>
      <c r="J1" s="162"/>
      <c r="K1" s="162"/>
      <c r="L1" s="162"/>
      <c r="M1" s="162"/>
      <c r="N1" s="162"/>
      <c r="O1" s="162"/>
      <c r="P1" s="162"/>
      <c r="Q1" s="162"/>
      <c r="R1" s="162"/>
      <c r="S1" s="162"/>
      <c r="T1" s="162"/>
      <c r="U1" s="162"/>
    </row>
    <row r="2" spans="1:28" ht="32.049999999999997" customHeight="1" x14ac:dyDescent="0.4">
      <c r="A2" s="173" t="s">
        <v>430</v>
      </c>
      <c r="B2" s="142"/>
      <c r="C2" s="142"/>
      <c r="D2" s="142"/>
      <c r="E2" s="142"/>
      <c r="F2" s="142"/>
      <c r="G2" s="142"/>
      <c r="H2" s="142"/>
      <c r="I2" s="142"/>
      <c r="J2" s="142"/>
      <c r="K2" s="142"/>
      <c r="L2" s="142"/>
      <c r="M2" s="142"/>
      <c r="N2" s="142"/>
      <c r="O2" s="142"/>
      <c r="P2" s="142"/>
      <c r="Q2" s="142"/>
      <c r="R2" s="142"/>
      <c r="S2" s="142"/>
      <c r="T2" s="142"/>
    </row>
    <row r="4" spans="1:28" x14ac:dyDescent="0.4">
      <c r="A4" s="61" t="s">
        <v>431</v>
      </c>
      <c r="B4">
        <f>COUNTIFS(KRI_Ciclo,cicloCorrente,KRI_In_Vigore,"Sì",KRI_Stato,"Verde")</f>
        <v>11</v>
      </c>
      <c r="C4" s="61" t="s">
        <v>432</v>
      </c>
      <c r="D4">
        <f>COUNTIFS(KRI_Ciclo,cicloCorrente,KRI_In_Vigore,"Sì",KRI_Stato,"Ambra")</f>
        <v>10</v>
      </c>
      <c r="E4" s="61" t="s">
        <v>433</v>
      </c>
      <c r="F4">
        <f>COUNTIFS(KRI_Ciclo,cicloCorrente,KRI_In_Vigore,"Sì",KRI_Stato,"Rosso")</f>
        <v>3</v>
      </c>
      <c r="G4" s="61" t="s">
        <v>434</v>
      </c>
      <c r="H4">
        <f>COUNTIFS(KRI_Ciclo,cicloCorrente,KRI_In_Vigore,"Sì",KRI_Stato,"Non rilevato")</f>
        <v>2</v>
      </c>
      <c r="I4" s="61" t="s">
        <v>435</v>
      </c>
      <c r="J4">
        <f>COUNTIFS(KRI_Ciclo,cicloCorrente,KRI_In_Vigore,"Sì",KRI_Stato,"Soglie da definire")</f>
        <v>0</v>
      </c>
      <c r="M4" s="61" t="s">
        <v>436</v>
      </c>
      <c r="N4" s="74" t="s">
        <v>437</v>
      </c>
      <c r="AA4">
        <f>IFERROR(_xlfn.AGGREGATE(14,6,ROW(KRI_KRI_ID)/(KRI_KRI_ID=$N$4),1),"")</f>
        <v>97</v>
      </c>
    </row>
    <row r="5" spans="1:28" x14ac:dyDescent="0.4">
      <c r="M5" t="s">
        <v>174</v>
      </c>
      <c r="N5" t="str">
        <f>IF($AA$4="","KRI non presente nello storico",INDEX(KRI!$D:$D,$AA$4)&amp;IF(INDEX(KRI!$E:$E,$AA$4)="",""," ("&amp;INDEX(KRI!$E:$E,$AA$4)&amp;")"))</f>
        <v>Tentativi di frode APP per 10.000 bonifici istantanei (Evoluzione)</v>
      </c>
    </row>
    <row r="6" spans="1:28" ht="24" x14ac:dyDescent="0.4">
      <c r="A6" s="75" t="s">
        <v>438</v>
      </c>
      <c r="B6" s="75" t="s">
        <v>18</v>
      </c>
      <c r="C6" s="75" t="s">
        <v>174</v>
      </c>
      <c r="D6" s="75" t="s">
        <v>439</v>
      </c>
      <c r="E6" s="75" t="s">
        <v>440</v>
      </c>
      <c r="F6" s="75" t="s">
        <v>441</v>
      </c>
      <c r="G6" s="75" t="s">
        <v>442</v>
      </c>
      <c r="H6" s="75" t="s">
        <v>443</v>
      </c>
      <c r="I6" s="75" t="s">
        <v>444</v>
      </c>
      <c r="J6" s="75" t="s">
        <v>445</v>
      </c>
      <c r="K6" s="75" t="s">
        <v>446</v>
      </c>
      <c r="L6" s="76" t="s">
        <v>447</v>
      </c>
      <c r="M6" t="s">
        <v>18</v>
      </c>
      <c r="N6" t="str">
        <f>IF($AA$4="","",INDEX(KRI!$C:$C,$AA$4)&amp;"")</f>
        <v>NFR-01</v>
      </c>
    </row>
    <row r="7" spans="1:28" x14ac:dyDescent="0.4">
      <c r="A7" t="str">
        <f>IF($Z7="","",INDEX(KRI!$B:$B,$Z7)&amp;"")</f>
        <v>NFR-01-K1</v>
      </c>
      <c r="B7" t="str">
        <f>IF($Z7="","",INDEX(KRI!$C:$C,$Z7)&amp;"")</f>
        <v>NFR-01</v>
      </c>
      <c r="C7" t="str">
        <f>IF($Z7="","",INDEX(KRI!$D:$D,$Z7)&amp;"")</f>
        <v>Tentativi di frode APP per 10.000 bonifici istantanei</v>
      </c>
      <c r="D7" t="str">
        <f>IF($Z7="","",INDEX(KRI!$F:$F,$Z7)&amp;"")</f>
        <v>n/10k</v>
      </c>
      <c r="E7">
        <f>IF($Z7="","",IF(INDEX(KRI!$H:$H,$Z7)="","",INDEX(KRI!$H:$H,$Z7)))</f>
        <v>3</v>
      </c>
      <c r="F7">
        <f>IF($Z7="","",IF(INDEX(KRI!$I:$I,$Z7)="","",INDEX(KRI!$I:$I,$Z7)))</f>
        <v>6</v>
      </c>
      <c r="G7">
        <f>IF($Z7="","",IF(INDEX(KRI!$J:$J,$Z7)="","",INDEX(KRI!$J:$J,$Z7)))</f>
        <v>6.4</v>
      </c>
      <c r="H7" s="77">
        <f>IF($Z7="","",IF(INDEX(KRI!$K:$K,$Z7)="","",INDEX(KRI!$K:$K,$Z7)))</f>
        <v>46387</v>
      </c>
      <c r="I7" t="str">
        <f>IF($Z7="","",INDEX(KRI!$N:$N,$Z7)&amp;"")</f>
        <v>Rosso</v>
      </c>
      <c r="J7">
        <f t="shared" ref="J7:J38" si="0">IF($A7="","",IF(COUNTIFS(KRI_KRI_ID,$A7,KRI_Ciclo,cicloPrecedente,KRI_Valore_Corrente,"&lt;&gt;")=0,"—",SUMIFS(KRI_Valore_Corrente,KRI_KRI_ID,$A7,KRI_Ciclo,cicloPrecedente)))</f>
        <v>5.3</v>
      </c>
      <c r="K7" t="str">
        <f t="shared" ref="K7:K38" si="1">IF(OR(G7="",NOT(ISNUMBER(J7))),"",IF(G7&gt;J7,"▲ peggiora",IF(G7&lt;J7,"▼ migliora","● invariato")))</f>
        <v>▲ peggiora</v>
      </c>
      <c r="L7" s="78" t="str">
        <f>IF($Z7="","",INDEX(KRI!$E:$E,$Z7)&amp;"")</f>
        <v>Evoluzione</v>
      </c>
      <c r="M7" t="s">
        <v>439</v>
      </c>
      <c r="N7" t="str">
        <f>IF($AA$4="","",INDEX(KRI!$F:$F,$AA$4)&amp;"")</f>
        <v>n/10k</v>
      </c>
      <c r="Z7">
        <f>IFERROR(_xlfn.AGGREGATE(15,6,ROW(KRI_Ciclo)/((KRI_Ciclo=cicloCorrente)*(KRI_In_Vigore="Sì")),1),"")</f>
        <v>97</v>
      </c>
    </row>
    <row r="8" spans="1:28" x14ac:dyDescent="0.4">
      <c r="A8" t="str">
        <f>IF($Z8="","",INDEX(KRI!$B:$B,$Z8)&amp;"")</f>
        <v>NFR-01-K3</v>
      </c>
      <c r="B8" t="str">
        <f>IF($Z8="","",INDEX(KRI!$C:$C,$Z8)&amp;"")</f>
        <v>NFR-01</v>
      </c>
      <c r="C8" t="str">
        <f>IF($Z8="","",INDEX(KRI!$D:$D,$Z8)&amp;"")</f>
        <v>Tempo medio di blocco di un beneficiario fraudolento</v>
      </c>
      <c r="D8" t="str">
        <f>IF($Z8="","",INDEX(KRI!$F:$F,$Z8)&amp;"")</f>
        <v>ore</v>
      </c>
      <c r="E8">
        <f>IF($Z8="","",IF(INDEX(KRI!$H:$H,$Z8)="","",INDEX(KRI!$H:$H,$Z8)))</f>
        <v>4</v>
      </c>
      <c r="F8">
        <f>IF($Z8="","",IF(INDEX(KRI!$I:$I,$Z8)="","",INDEX(KRI!$I:$I,$Z8)))</f>
        <v>12</v>
      </c>
      <c r="G8">
        <f>IF($Z8="","",IF(INDEX(KRI!$J:$J,$Z8)="","",INDEX(KRI!$J:$J,$Z8)))</f>
        <v>3.5</v>
      </c>
      <c r="H8" s="77">
        <f>IF($Z8="","",IF(INDEX(KRI!$K:$K,$Z8)="","",INDEX(KRI!$K:$K,$Z8)))</f>
        <v>46387</v>
      </c>
      <c r="I8" t="str">
        <f>IF($Z8="","",INDEX(KRI!$N:$N,$Z8)&amp;"")</f>
        <v>Verde</v>
      </c>
      <c r="J8">
        <f t="shared" si="0"/>
        <v>3</v>
      </c>
      <c r="K8" t="str">
        <f t="shared" si="1"/>
        <v>▲ peggiora</v>
      </c>
      <c r="L8" s="78" t="str">
        <f>IF($Z8="","",INDEX(KRI!$E:$E,$Z8)&amp;"")</f>
        <v>Esposizione</v>
      </c>
      <c r="M8" t="s">
        <v>448</v>
      </c>
      <c r="N8" t="str">
        <f>IF($AA$4="","",INDEX(KRI!$G:$G,$AA$4)&amp;"")</f>
        <v>Sistema antifrode transazionale</v>
      </c>
      <c r="Z8">
        <f>IFERROR(_xlfn.AGGREGATE(15,6,ROW(KRI_Ciclo)/((KRI_Ciclo=cicloCorrente)*(KRI_In_Vigore="Sì")),2),"")</f>
        <v>98</v>
      </c>
    </row>
    <row r="9" spans="1:28" x14ac:dyDescent="0.4">
      <c r="A9" t="str">
        <f>IF($Z9="","",INDEX(KRI!$B:$B,$Z9)&amp;"")</f>
        <v>NFR-02-K1</v>
      </c>
      <c r="B9" t="str">
        <f>IF($Z9="","",INDEX(KRI!$C:$C,$Z9)&amp;"")</f>
        <v>NFR-02</v>
      </c>
      <c r="C9" t="str">
        <f>IF($Z9="","",INDEX(KRI!$D:$D,$Z9)&amp;"")</f>
        <v>Quota di servizi critici sul fornitore cloud principale</v>
      </c>
      <c r="D9" t="str">
        <f>IF($Z9="","",INDEX(KRI!$F:$F,$Z9)&amp;"")</f>
        <v>%</v>
      </c>
      <c r="E9">
        <f>IF($Z9="","",IF(INDEX(KRI!$H:$H,$Z9)="","",INDEX(KRI!$H:$H,$Z9)))</f>
        <v>60</v>
      </c>
      <c r="F9">
        <f>IF($Z9="","",IF(INDEX(KRI!$I:$I,$Z9)="","",INDEX(KRI!$I:$I,$Z9)))</f>
        <v>75</v>
      </c>
      <c r="G9">
        <f>IF($Z9="","",IF(INDEX(KRI!$J:$J,$Z9)="","",INDEX(KRI!$J:$J,$Z9)))</f>
        <v>78</v>
      </c>
      <c r="H9" s="77">
        <f>IF($Z9="","",IF(INDEX(KRI!$K:$K,$Z9)="","",INDEX(KRI!$K:$K,$Z9)))</f>
        <v>46387</v>
      </c>
      <c r="I9" t="str">
        <f>IF($Z9="","",INDEX(KRI!$N:$N,$Z9)&amp;"")</f>
        <v>Rosso</v>
      </c>
      <c r="J9">
        <f t="shared" si="0"/>
        <v>72</v>
      </c>
      <c r="K9" t="str">
        <f t="shared" si="1"/>
        <v>▲ peggiora</v>
      </c>
      <c r="L9" s="78" t="str">
        <f>IF($Z9="","",INDEX(KRI!$E:$E,$Z9)&amp;"")</f>
        <v>Esposizione</v>
      </c>
      <c r="M9" t="s">
        <v>449</v>
      </c>
      <c r="N9" t="str">
        <f>IF($AA$4="","",INDEX(KRI!$P:$P,$AA$4)&amp;"")</f>
        <v>2025Q4</v>
      </c>
      <c r="Z9">
        <f>IFERROR(_xlfn.AGGREGATE(15,6,ROW(KRI_Ciclo)/((KRI_Ciclo=cicloCorrente)*(KRI_In_Vigore="Sì")),3),"")</f>
        <v>99</v>
      </c>
    </row>
    <row r="10" spans="1:28" x14ac:dyDescent="0.4">
      <c r="A10" t="str">
        <f>IF($Z10="","",INDEX(KRI!$B:$B,$Z10)&amp;"")</f>
        <v>NFR-03-K1</v>
      </c>
      <c r="B10" t="str">
        <f>IF($Z10="","",INDEX(KRI!$C:$C,$Z10)&amp;"")</f>
        <v>NFR-03</v>
      </c>
      <c r="C10" t="str">
        <f>IF($Z10="","",INDEX(KRI!$D:$D,$Z10)&amp;"")</f>
        <v>Reclami su prodotti ESG ogni 1.000 contratti</v>
      </c>
      <c r="D10" t="str">
        <f>IF($Z10="","",INDEX(KRI!$F:$F,$Z10)&amp;"")</f>
        <v>n/1000</v>
      </c>
      <c r="E10">
        <f>IF($Z10="","",IF(INDEX(KRI!$H:$H,$Z10)="","",INDEX(KRI!$H:$H,$Z10)))</f>
        <v>1.5</v>
      </c>
      <c r="F10">
        <f>IF($Z10="","",IF(INDEX(KRI!$I:$I,$Z10)="","",INDEX(KRI!$I:$I,$Z10)))</f>
        <v>3</v>
      </c>
      <c r="G10">
        <f>IF($Z10="","",IF(INDEX(KRI!$J:$J,$Z10)="","",INDEX(KRI!$J:$J,$Z10)))</f>
        <v>1.7</v>
      </c>
      <c r="H10" s="77">
        <f>IF($Z10="","",IF(INDEX(KRI!$K:$K,$Z10)="","",INDEX(KRI!$K:$K,$Z10)))</f>
        <v>46387</v>
      </c>
      <c r="I10" t="str">
        <f>IF($Z10="","",INDEX(KRI!$N:$N,$Z10)&amp;"")</f>
        <v>Ambra</v>
      </c>
      <c r="J10">
        <f t="shared" si="0"/>
        <v>1.9</v>
      </c>
      <c r="K10" t="str">
        <f t="shared" si="1"/>
        <v>▼ migliora</v>
      </c>
      <c r="L10" s="78" t="str">
        <f>IF($Z10="","",INDEX(KRI!$E:$E,$Z10)&amp;"")</f>
        <v>Evoluzione</v>
      </c>
      <c r="M10" t="s">
        <v>450</v>
      </c>
      <c r="N10" t="str">
        <f>IF($AA$4="","",INDEX(KRI!$A:$A,$AA$4)&amp;" — in vigore: "&amp;INDEX(KRI!$O:$O,$AA$4))</f>
        <v>2026Q4 — in vigore: Sì</v>
      </c>
      <c r="Z10">
        <f>IFERROR(_xlfn.AGGREGATE(15,6,ROW(KRI_Ciclo)/((KRI_Ciclo=cicloCorrente)*(KRI_In_Vigore="Sì")),4),"")</f>
        <v>100</v>
      </c>
    </row>
    <row r="11" spans="1:28" ht="24" x14ac:dyDescent="0.4">
      <c r="A11" t="str">
        <f>IF($Z11="","",INDEX(KRI!$B:$B,$Z11)&amp;"")</f>
        <v>NFR-03-K2</v>
      </c>
      <c r="B11" t="str">
        <f>IF($Z11="","",INDEX(KRI!$C:$C,$Z11)&amp;"")</f>
        <v>NFR-03</v>
      </c>
      <c r="C11" t="str">
        <f>IF($Z11="","",INDEX(KRI!$D:$D,$Z11)&amp;"")</f>
        <v>Quota di prodotti ESG senza revisione dei claim nell'anno</v>
      </c>
      <c r="D11" t="str">
        <f>IF($Z11="","",INDEX(KRI!$F:$F,$Z11)&amp;"")</f>
        <v>%</v>
      </c>
      <c r="E11">
        <f>IF($Z11="","",IF(INDEX(KRI!$H:$H,$Z11)="","",INDEX(KRI!$H:$H,$Z11)))</f>
        <v>20</v>
      </c>
      <c r="F11">
        <f>IF($Z11="","",IF(INDEX(KRI!$I:$I,$Z11)="","",INDEX(KRI!$I:$I,$Z11)))</f>
        <v>40</v>
      </c>
      <c r="G11">
        <f>IF($Z11="","",IF(INDEX(KRI!$J:$J,$Z11)="","",INDEX(KRI!$J:$J,$Z11)))</f>
        <v>35</v>
      </c>
      <c r="H11" s="77">
        <f>IF($Z11="","",IF(INDEX(KRI!$K:$K,$Z11)="","",INDEX(KRI!$K:$K,$Z11)))</f>
        <v>46387</v>
      </c>
      <c r="I11" t="str">
        <f>IF($Z11="","",INDEX(KRI!$N:$N,$Z11)&amp;"")</f>
        <v>Ambra</v>
      </c>
      <c r="J11" t="str">
        <f t="shared" si="0"/>
        <v>—</v>
      </c>
      <c r="K11" t="str">
        <f t="shared" si="1"/>
        <v/>
      </c>
      <c r="L11" s="78" t="str">
        <f>IF($Z11="","",INDEX(KRI!$E:$E,$Z11)&amp;"")</f>
        <v>Esposizione</v>
      </c>
      <c r="M11" s="75" t="s">
        <v>451</v>
      </c>
      <c r="N11" s="75" t="s">
        <v>442</v>
      </c>
      <c r="O11" s="75" t="s">
        <v>440</v>
      </c>
      <c r="P11" s="75" t="s">
        <v>441</v>
      </c>
      <c r="Q11" s="75" t="s">
        <v>444</v>
      </c>
      <c r="R11" s="75" t="s">
        <v>443</v>
      </c>
      <c r="S11" s="75" t="s">
        <v>452</v>
      </c>
      <c r="T11" s="75" t="s">
        <v>262</v>
      </c>
      <c r="Z11">
        <f>IFERROR(_xlfn.AGGREGATE(15,6,ROW(KRI_Ciclo)/((KRI_Ciclo=cicloCorrente)*(KRI_In_Vigore="Sì")),5),"")</f>
        <v>101</v>
      </c>
    </row>
    <row r="12" spans="1:28" x14ac:dyDescent="0.4">
      <c r="A12" t="str">
        <f>IF($Z12="","",INDEX(KRI!$B:$B,$Z12)&amp;"")</f>
        <v>NFR-04-K1</v>
      </c>
      <c r="B12" t="str">
        <f>IF($Z12="","",INDEX(KRI!$C:$C,$Z12)&amp;"")</f>
        <v>NFR-04</v>
      </c>
      <c r="C12" t="str">
        <f>IF($Z12="","",INDEX(KRI!$D:$D,$Z12)&amp;"")</f>
        <v>Sedi critiche in aree a rischio idrogeologico senza piano specifico</v>
      </c>
      <c r="D12" t="str">
        <f>IF($Z12="","",INDEX(KRI!$F:$F,$Z12)&amp;"")</f>
        <v>n</v>
      </c>
      <c r="E12">
        <f>IF($Z12="","",IF(INDEX(KRI!$H:$H,$Z12)="","",INDEX(KRI!$H:$H,$Z12)))</f>
        <v>1</v>
      </c>
      <c r="F12">
        <f>IF($Z12="","",IF(INDEX(KRI!$I:$I,$Z12)="","",INDEX(KRI!$I:$I,$Z12)))</f>
        <v>3</v>
      </c>
      <c r="G12">
        <f>IF($Z12="","",IF(INDEX(KRI!$J:$J,$Z12)="","",INDEX(KRI!$J:$J,$Z12)))</f>
        <v>2</v>
      </c>
      <c r="H12" s="77">
        <f>IF($Z12="","",IF(INDEX(KRI!$K:$K,$Z12)="","",INDEX(KRI!$K:$K,$Z12)))</f>
        <v>46387</v>
      </c>
      <c r="I12" t="str">
        <f>IF($Z12="","",INDEX(KRI!$N:$N,$Z12)&amp;"")</f>
        <v>Ambra</v>
      </c>
      <c r="J12">
        <f t="shared" si="0"/>
        <v>2</v>
      </c>
      <c r="K12" t="str">
        <f t="shared" si="1"/>
        <v>● invariato</v>
      </c>
      <c r="L12" s="78" t="str">
        <f>IF($Z12="","",INDEX(KRI!$E:$E,$Z12)&amp;"")</f>
        <v>Esposizione</v>
      </c>
      <c r="M12" t="str">
        <f>Parametri!$B$20</f>
        <v>2025Q1</v>
      </c>
      <c r="N12" t="e">
        <f t="shared" ref="N12:N19" si="2">IF($M12="",NA(),IF(COUNTIFS(KRI_KRI_ID,$N$4,KRI_Ciclo,$M12,KRI_Valore_Corrente,"&lt;&gt;")=0,NA(),SUMIFS(KRI_Valore_Corrente,KRI_KRI_ID,$N$4,KRI_Ciclo,$M12)))</f>
        <v>#N/A</v>
      </c>
      <c r="O12" t="e">
        <f t="shared" ref="O12:O19" si="3">IF($M12="",NA(),IF(COUNTIFS(KRI_KRI_ID,$N$4,KRI_Ciclo,$M12,KRI_Soglia_Attenzione,"&lt;&gt;")=0,NA(),SUMIFS(KRI_Soglia_Attenzione,KRI_KRI_ID,$N$4,KRI_Ciclo,$M12)))</f>
        <v>#N/A</v>
      </c>
      <c r="P12" t="e">
        <f t="shared" ref="P12:P19" si="4">IF($M12="",NA(),IF(COUNTIFS(KRI_KRI_ID,$N$4,KRI_Ciclo,$M12,KRI_Soglia_Allerta,"&lt;&gt;")=0,NA(),SUMIFS(KRI_Soglia_Allerta,KRI_KRI_ID,$N$4,KRI_Ciclo,$M12)))</f>
        <v>#N/A</v>
      </c>
      <c r="Q12" t="str">
        <f t="shared" ref="Q12:Q19" si="5">IFERROR(INDEX(KRI_Stato,MATCH($M12&amp;"|"&amp;$N$4,KRI_Chiave,0)),"—")</f>
        <v>—</v>
      </c>
      <c r="R12" s="77" t="str">
        <f t="shared" ref="R12:R19" si="6">IFERROR(IF(INDEX(KRI_Data_Rilevazione,MATCH($M12&amp;"|"&amp;$N$4,KRI_Chiave,0))="","",INDEX(KRI_Data_Rilevazione,MATCH($M12&amp;"|"&amp;$N$4,KRI_Chiave,0))),"")</f>
        <v/>
      </c>
      <c r="S12" t="str">
        <f t="shared" ref="S12:S19" si="7">IFERROR(INDEX(KRI_Fonte_Rilevazione,MATCH($M12&amp;"|"&amp;$N$4,KRI_Chiave,0))&amp;"","")</f>
        <v/>
      </c>
      <c r="T12" t="str">
        <f t="shared" ref="T12:T19" si="8">IFERROR(INDEX(KRI_Nota_Rilevazione,MATCH($M12&amp;"|"&amp;$N$4,KRI_Chiave,0))&amp;"","")</f>
        <v/>
      </c>
      <c r="Z12">
        <f>IFERROR(_xlfn.AGGREGATE(15,6,ROW(KRI_Ciclo)/((KRI_Ciclo=cicloCorrente)*(KRI_In_Vigore="Sì")),6),"")</f>
        <v>102</v>
      </c>
      <c r="AB12" t="str">
        <f>IFERROR(INDEX(KRI_KRI_ID,_xlfn.AGGREGATE(15,6,(ROW(KRI_KRI_ID)-5)/((KRI_Ciclo_Definizione=KRI_Ciclo)*(KRI_KRI_ID&lt;&gt;"")),1)),"")</f>
        <v>NFR-01-K1</v>
      </c>
    </row>
    <row r="13" spans="1:28" x14ac:dyDescent="0.4">
      <c r="A13" t="str">
        <f>IF($Z13="","",INDEX(KRI!$B:$B,$Z13)&amp;"")</f>
        <v>NFR-04-K2</v>
      </c>
      <c r="B13" t="str">
        <f>IF($Z13="","",INDEX(KRI!$C:$C,$Z13)&amp;"")</f>
        <v>NFR-04</v>
      </c>
      <c r="C13" t="str">
        <f>IF($Z13="","",INDEX(KRI!$D:$D,$Z13)&amp;"")</f>
        <v>Giorni di indisponibilita' di sedi per eventi climatici</v>
      </c>
      <c r="D13" t="str">
        <f>IF($Z13="","",INDEX(KRI!$F:$F,$Z13)&amp;"")</f>
        <v>giorni</v>
      </c>
      <c r="E13">
        <f>IF($Z13="","",IF(INDEX(KRI!$H:$H,$Z13)="","",INDEX(KRI!$H:$H,$Z13)))</f>
        <v>2</v>
      </c>
      <c r="F13">
        <f>IF($Z13="","",IF(INDEX(KRI!$I:$I,$Z13)="","",INDEX(KRI!$I:$I,$Z13)))</f>
        <v>5</v>
      </c>
      <c r="G13">
        <f>IF($Z13="","",IF(INDEX(KRI!$J:$J,$Z13)="","",INDEX(KRI!$J:$J,$Z13)))</f>
        <v>0</v>
      </c>
      <c r="H13" s="77">
        <f>IF($Z13="","",IF(INDEX(KRI!$K:$K,$Z13)="","",INDEX(KRI!$K:$K,$Z13)))</f>
        <v>46387</v>
      </c>
      <c r="I13" t="str">
        <f>IF($Z13="","",INDEX(KRI!$N:$N,$Z13)&amp;"")</f>
        <v>Verde</v>
      </c>
      <c r="J13">
        <f t="shared" si="0"/>
        <v>0</v>
      </c>
      <c r="K13" t="str">
        <f t="shared" si="1"/>
        <v>● invariato</v>
      </c>
      <c r="L13" s="78" t="str">
        <f>IF($Z13="","",INDEX(KRI!$E:$E,$Z13)&amp;"")</f>
        <v>Evoluzione</v>
      </c>
      <c r="M13" t="str">
        <f>Parametri!$B$21</f>
        <v>2025Q2</v>
      </c>
      <c r="N13" t="e">
        <f t="shared" si="2"/>
        <v>#N/A</v>
      </c>
      <c r="O13" t="e">
        <f t="shared" si="3"/>
        <v>#N/A</v>
      </c>
      <c r="P13" t="e">
        <f t="shared" si="4"/>
        <v>#N/A</v>
      </c>
      <c r="Q13" t="str">
        <f t="shared" si="5"/>
        <v>—</v>
      </c>
      <c r="R13" s="77" t="str">
        <f t="shared" si="6"/>
        <v/>
      </c>
      <c r="S13" t="str">
        <f t="shared" si="7"/>
        <v/>
      </c>
      <c r="T13" t="str">
        <f t="shared" si="8"/>
        <v/>
      </c>
      <c r="Z13">
        <f>IFERROR(_xlfn.AGGREGATE(15,6,ROW(KRI_Ciclo)/((KRI_Ciclo=cicloCorrente)*(KRI_In_Vigore="Sì")),7),"")</f>
        <v>103</v>
      </c>
      <c r="AB13" t="str">
        <f>IFERROR(INDEX(KRI_KRI_ID,_xlfn.AGGREGATE(15,6,(ROW(KRI_KRI_ID)-5)/((KRI_Ciclo_Definizione=KRI_Ciclo)*(KRI_KRI_ID&lt;&gt;"")),2)),"")</f>
        <v>NFR-01-K3</v>
      </c>
    </row>
    <row r="14" spans="1:28" x14ac:dyDescent="0.4">
      <c r="A14" t="str">
        <f>IF($Z14="","",INDEX(KRI!$B:$B,$Z14)&amp;"")</f>
        <v>NFR-05-K2</v>
      </c>
      <c r="B14" t="str">
        <f>IF($Z14="","",INDEX(KRI!$C:$C,$Z14)&amp;"")</f>
        <v>NFR-05</v>
      </c>
      <c r="C14" t="str">
        <f>IF($Z14="","",INDEX(KRI!$D:$D,$Z14)&amp;"")</f>
        <v>Incidenti di produzione legati alla migrazione</v>
      </c>
      <c r="D14" t="str">
        <f>IF($Z14="","",INDEX(KRI!$F:$F,$Z14)&amp;"")</f>
        <v>n</v>
      </c>
      <c r="E14">
        <f>IF($Z14="","",IF(INDEX(KRI!$H:$H,$Z14)="","",INDEX(KRI!$H:$H,$Z14)))</f>
        <v>3</v>
      </c>
      <c r="F14">
        <f>IF($Z14="","",IF(INDEX(KRI!$I:$I,$Z14)="","",INDEX(KRI!$I:$I,$Z14)))</f>
        <v>6</v>
      </c>
      <c r="G14">
        <f>IF($Z14="","",IF(INDEX(KRI!$J:$J,$Z14)="","",INDEX(KRI!$J:$J,$Z14)))</f>
        <v>2</v>
      </c>
      <c r="H14" s="77">
        <f>IF($Z14="","",IF(INDEX(KRI!$K:$K,$Z14)="","",INDEX(KRI!$K:$K,$Z14)))</f>
        <v>46387</v>
      </c>
      <c r="I14" t="str">
        <f>IF($Z14="","",INDEX(KRI!$N:$N,$Z14)&amp;"")</f>
        <v>Verde</v>
      </c>
      <c r="J14">
        <f t="shared" si="0"/>
        <v>4</v>
      </c>
      <c r="K14" t="str">
        <f t="shared" si="1"/>
        <v>▼ migliora</v>
      </c>
      <c r="L14" s="78" t="str">
        <f>IF($Z14="","",INDEX(KRI!$E:$E,$Z14)&amp;"")</f>
        <v>Evoluzione</v>
      </c>
      <c r="M14" t="str">
        <f>Parametri!$B$22</f>
        <v>2025Q3</v>
      </c>
      <c r="N14" t="e">
        <f t="shared" si="2"/>
        <v>#N/A</v>
      </c>
      <c r="O14" t="e">
        <f t="shared" si="3"/>
        <v>#N/A</v>
      </c>
      <c r="P14" t="e">
        <f t="shared" si="4"/>
        <v>#N/A</v>
      </c>
      <c r="Q14" t="str">
        <f t="shared" si="5"/>
        <v>—</v>
      </c>
      <c r="R14" s="77" t="str">
        <f t="shared" si="6"/>
        <v/>
      </c>
      <c r="S14" t="str">
        <f t="shared" si="7"/>
        <v/>
      </c>
      <c r="T14" t="str">
        <f t="shared" si="8"/>
        <v/>
      </c>
      <c r="Z14">
        <f>IFERROR(_xlfn.AGGREGATE(15,6,ROW(KRI_Ciclo)/((KRI_Ciclo=cicloCorrente)*(KRI_In_Vigore="Sì")),8),"")</f>
        <v>104</v>
      </c>
      <c r="AB14" t="str">
        <f>IFERROR(INDEX(KRI_KRI_ID,_xlfn.AGGREGATE(15,6,(ROW(KRI_KRI_ID)-5)/((KRI_Ciclo_Definizione=KRI_Ciclo)*(KRI_KRI_ID&lt;&gt;"")),3)),"")</f>
        <v>NFR-02-K1</v>
      </c>
    </row>
    <row r="15" spans="1:28" x14ac:dyDescent="0.4">
      <c r="A15" t="str">
        <f>IF($Z15="","",INDEX(KRI!$B:$B,$Z15)&amp;"")</f>
        <v>NFR-05-K3</v>
      </c>
      <c r="B15" t="str">
        <f>IF($Z15="","",INDEX(KRI!$C:$C,$Z15)&amp;"")</f>
        <v>NFR-05</v>
      </c>
      <c r="C15" t="str">
        <f>IF($Z15="","",INDEX(KRI!$D:$D,$Z15)&amp;"")</f>
        <v>Quota di controlli di processo non ridisegnati sul nuovo core</v>
      </c>
      <c r="D15" t="str">
        <f>IF($Z15="","",INDEX(KRI!$F:$F,$Z15)&amp;"")</f>
        <v>%</v>
      </c>
      <c r="E15">
        <f>IF($Z15="","",IF(INDEX(KRI!$H:$H,$Z15)="","",INDEX(KRI!$H:$H,$Z15)))</f>
        <v>30</v>
      </c>
      <c r="F15">
        <f>IF($Z15="","",IF(INDEX(KRI!$I:$I,$Z15)="","",INDEX(KRI!$I:$I,$Z15)))</f>
        <v>60</v>
      </c>
      <c r="G15">
        <f>IF($Z15="","",IF(INDEX(KRI!$J:$J,$Z15)="","",INDEX(KRI!$J:$J,$Z15)))</f>
        <v>12</v>
      </c>
      <c r="H15" s="77">
        <f>IF($Z15="","",IF(INDEX(KRI!$K:$K,$Z15)="","",INDEX(KRI!$K:$K,$Z15)))</f>
        <v>46387</v>
      </c>
      <c r="I15" t="str">
        <f>IF($Z15="","",INDEX(KRI!$N:$N,$Z15)&amp;"")</f>
        <v>Verde</v>
      </c>
      <c r="J15">
        <f t="shared" si="0"/>
        <v>18</v>
      </c>
      <c r="K15" t="str">
        <f t="shared" si="1"/>
        <v>▼ migliora</v>
      </c>
      <c r="L15" s="78" t="str">
        <f>IF($Z15="","",INDEX(KRI!$E:$E,$Z15)&amp;"")</f>
        <v>Esposizione</v>
      </c>
      <c r="M15" t="str">
        <f>Parametri!$B$23</f>
        <v>2025Q4</v>
      </c>
      <c r="N15">
        <f t="shared" si="2"/>
        <v>2.1</v>
      </c>
      <c r="O15">
        <f t="shared" si="3"/>
        <v>3</v>
      </c>
      <c r="P15">
        <f t="shared" si="4"/>
        <v>6</v>
      </c>
      <c r="Q15" t="str">
        <f t="shared" si="5"/>
        <v>Verde</v>
      </c>
      <c r="R15" s="77">
        <f t="shared" si="6"/>
        <v>46022</v>
      </c>
      <c r="S15" t="str">
        <f t="shared" si="7"/>
        <v>Sistema antifrode transazionale</v>
      </c>
      <c r="T15" t="str">
        <f t="shared" si="8"/>
        <v>Rilevazione di fine trimestre.</v>
      </c>
      <c r="Z15">
        <f>IFERROR(_xlfn.AGGREGATE(15,6,ROW(KRI_Ciclo)/((KRI_Ciclo=cicloCorrente)*(KRI_In_Vigore="Sì")),9),"")</f>
        <v>105</v>
      </c>
      <c r="AB15" t="str">
        <f>IFERROR(INDEX(KRI_KRI_ID,_xlfn.AGGREGATE(15,6,(ROW(KRI_KRI_ID)-5)/((KRI_Ciclo_Definizione=KRI_Ciclo)*(KRI_KRI_ID&lt;&gt;"")),4)),"")</f>
        <v>NFR-02-K2</v>
      </c>
    </row>
    <row r="16" spans="1:28" x14ac:dyDescent="0.4">
      <c r="A16" t="str">
        <f>IF($Z16="","",INDEX(KRI!$B:$B,$Z16)&amp;"")</f>
        <v>NFR-06-K1</v>
      </c>
      <c r="B16" t="str">
        <f>IF($Z16="","",INDEX(KRI!$C:$C,$Z16)&amp;"")</f>
        <v>NFR-06</v>
      </c>
      <c r="C16" t="str">
        <f>IF($Z16="","",INDEX(KRI!$D:$D,$Z16)&amp;"")</f>
        <v>Tentativi di caricamento di dati riservati su servizi AI non autorizzati</v>
      </c>
      <c r="D16" t="str">
        <f>IF($Z16="","",INDEX(KRI!$F:$F,$Z16)&amp;"")</f>
        <v>n/mese</v>
      </c>
      <c r="E16">
        <f>IF($Z16="","",IF(INDEX(KRI!$H:$H,$Z16)="","",INDEX(KRI!$H:$H,$Z16)))</f>
        <v>10</v>
      </c>
      <c r="F16">
        <f>IF($Z16="","",IF(INDEX(KRI!$I:$I,$Z16)="","",INDEX(KRI!$I:$I,$Z16)))</f>
        <v>30</v>
      </c>
      <c r="G16">
        <f>IF($Z16="","",IF(INDEX(KRI!$J:$J,$Z16)="","",INDEX(KRI!$J:$J,$Z16)))</f>
        <v>5</v>
      </c>
      <c r="H16" s="77">
        <f>IF($Z16="","",IF(INDEX(KRI!$K:$K,$Z16)="","",INDEX(KRI!$K:$K,$Z16)))</f>
        <v>46387</v>
      </c>
      <c r="I16" t="str">
        <f>IF($Z16="","",INDEX(KRI!$N:$N,$Z16)&amp;"")</f>
        <v>Verde</v>
      </c>
      <c r="J16">
        <f t="shared" si="0"/>
        <v>6</v>
      </c>
      <c r="K16" t="str">
        <f t="shared" si="1"/>
        <v>▼ migliora</v>
      </c>
      <c r="L16" s="78" t="str">
        <f>IF($Z16="","",INDEX(KRI!$E:$E,$Z16)&amp;"")</f>
        <v>Evoluzione</v>
      </c>
      <c r="M16" t="str">
        <f>Parametri!$B$24</f>
        <v>2026Q1</v>
      </c>
      <c r="N16">
        <f t="shared" si="2"/>
        <v>3.4</v>
      </c>
      <c r="O16">
        <f t="shared" si="3"/>
        <v>3</v>
      </c>
      <c r="P16">
        <f t="shared" si="4"/>
        <v>6</v>
      </c>
      <c r="Q16" t="str">
        <f t="shared" si="5"/>
        <v>Ambra</v>
      </c>
      <c r="R16" s="77">
        <f t="shared" si="6"/>
        <v>46112</v>
      </c>
      <c r="S16" t="str">
        <f t="shared" si="7"/>
        <v>Sistema antifrode transazionale</v>
      </c>
      <c r="T16" t="str">
        <f t="shared" si="8"/>
        <v>Rilevazione di fine trimestre.</v>
      </c>
      <c r="Z16">
        <f>IFERROR(_xlfn.AGGREGATE(15,6,ROW(KRI_Ciclo)/((KRI_Ciclo=cicloCorrente)*(KRI_In_Vigore="Sì")),10),"")</f>
        <v>106</v>
      </c>
      <c r="AB16" t="str">
        <f>IFERROR(INDEX(KRI_KRI_ID,_xlfn.AGGREGATE(15,6,(ROW(KRI_KRI_ID)-5)/((KRI_Ciclo_Definizione=KRI_Ciclo)*(KRI_KRI_ID&lt;&gt;"")),5)),"")</f>
        <v>NFR-03-K1</v>
      </c>
    </row>
    <row r="17" spans="1:28" x14ac:dyDescent="0.4">
      <c r="A17" t="str">
        <f>IF($Z17="","",INDEX(KRI!$B:$B,$Z17)&amp;"")</f>
        <v>NFR-06-K2</v>
      </c>
      <c r="B17" t="str">
        <f>IF($Z17="","",INDEX(KRI!$C:$C,$Z17)&amp;"")</f>
        <v>NFR-06</v>
      </c>
      <c r="C17" t="str">
        <f>IF($Z17="","",INDEX(KRI!$D:$D,$Z17)&amp;"")</f>
        <v>Quota di dipendenti senza formazione sull'uso dell'AI</v>
      </c>
      <c r="D17" t="str">
        <f>IF($Z17="","",INDEX(KRI!$F:$F,$Z17)&amp;"")</f>
        <v>%</v>
      </c>
      <c r="E17">
        <f>IF($Z17="","",IF(INDEX(KRI!$H:$H,$Z17)="","",INDEX(KRI!$H:$H,$Z17)))</f>
        <v>20</v>
      </c>
      <c r="F17">
        <f>IF($Z17="","",IF(INDEX(KRI!$I:$I,$Z17)="","",INDEX(KRI!$I:$I,$Z17)))</f>
        <v>40</v>
      </c>
      <c r="G17">
        <f>IF($Z17="","",IF(INDEX(KRI!$J:$J,$Z17)="","",INDEX(KRI!$J:$J,$Z17)))</f>
        <v>12</v>
      </c>
      <c r="H17" s="77">
        <f>IF($Z17="","",IF(INDEX(KRI!$K:$K,$Z17)="","",INDEX(KRI!$K:$K,$Z17)))</f>
        <v>46387</v>
      </c>
      <c r="I17" t="str">
        <f>IF($Z17="","",INDEX(KRI!$N:$N,$Z17)&amp;"")</f>
        <v>Verde</v>
      </c>
      <c r="J17">
        <f t="shared" si="0"/>
        <v>22</v>
      </c>
      <c r="K17" t="str">
        <f t="shared" si="1"/>
        <v>▼ migliora</v>
      </c>
      <c r="L17" s="78" t="str">
        <f>IF($Z17="","",INDEX(KRI!$E:$E,$Z17)&amp;"")</f>
        <v>Esposizione</v>
      </c>
      <c r="M17" t="str">
        <f>Parametri!$B$25</f>
        <v>2026Q2</v>
      </c>
      <c r="N17">
        <f t="shared" si="2"/>
        <v>4.2</v>
      </c>
      <c r="O17">
        <f t="shared" si="3"/>
        <v>3</v>
      </c>
      <c r="P17">
        <f t="shared" si="4"/>
        <v>6</v>
      </c>
      <c r="Q17" t="str">
        <f t="shared" si="5"/>
        <v>Ambra</v>
      </c>
      <c r="R17" s="77">
        <f t="shared" si="6"/>
        <v>46203</v>
      </c>
      <c r="S17" t="str">
        <f t="shared" si="7"/>
        <v>Sistema antifrode transazionale</v>
      </c>
      <c r="T17" t="str">
        <f t="shared" si="8"/>
        <v>Rilevazione di fine trimestre.</v>
      </c>
      <c r="Z17">
        <f>IFERROR(_xlfn.AGGREGATE(15,6,ROW(KRI_Ciclo)/((KRI_Ciclo=cicloCorrente)*(KRI_In_Vigore="Sì")),11),"")</f>
        <v>107</v>
      </c>
      <c r="AB17" t="str">
        <f>IFERROR(INDEX(KRI_KRI_ID,_xlfn.AGGREGATE(15,6,(ROW(KRI_KRI_ID)-5)/((KRI_Ciclo_Definizione=KRI_Ciclo)*(KRI_KRI_ID&lt;&gt;"")),6)),"")</f>
        <v>NFR-03-K2</v>
      </c>
    </row>
    <row r="18" spans="1:28" x14ac:dyDescent="0.4">
      <c r="A18" t="str">
        <f>IF($Z18="","",INDEX(KRI!$B:$B,$Z18)&amp;"")</f>
        <v>NFR-07-K1</v>
      </c>
      <c r="B18" t="str">
        <f>IF($Z18="","",INDEX(KRI!$C:$C,$Z18)&amp;"")</f>
        <v>NFR-07</v>
      </c>
      <c r="C18" t="str">
        <f>IF($Z18="","",INDEX(KRI!$D:$D,$Z18)&amp;"")</f>
        <v>Fornitori di pagamento critici senza test di ripristino da ransomware</v>
      </c>
      <c r="D18" t="str">
        <f>IF($Z18="","",INDEX(KRI!$F:$F,$Z18)&amp;"")</f>
        <v>n</v>
      </c>
      <c r="E18">
        <f>IF($Z18="","",IF(INDEX(KRI!$H:$H,$Z18)="","",INDEX(KRI!$H:$H,$Z18)))</f>
        <v>1</v>
      </c>
      <c r="F18">
        <f>IF($Z18="","",IF(INDEX(KRI!$I:$I,$Z18)="","",INDEX(KRI!$I:$I,$Z18)))</f>
        <v>2</v>
      </c>
      <c r="G18">
        <f>IF($Z18="","",IF(INDEX(KRI!$J:$J,$Z18)="","",INDEX(KRI!$J:$J,$Z18)))</f>
        <v>1</v>
      </c>
      <c r="H18" s="77">
        <f>IF($Z18="","",IF(INDEX(KRI!$K:$K,$Z18)="","",INDEX(KRI!$K:$K,$Z18)))</f>
        <v>46387</v>
      </c>
      <c r="I18" t="str">
        <f>IF($Z18="","",INDEX(KRI!$N:$N,$Z18)&amp;"")</f>
        <v>Ambra</v>
      </c>
      <c r="J18">
        <f t="shared" si="0"/>
        <v>1</v>
      </c>
      <c r="K18" t="str">
        <f t="shared" si="1"/>
        <v>● invariato</v>
      </c>
      <c r="L18" s="78" t="str">
        <f>IF($Z18="","",INDEX(KRI!$E:$E,$Z18)&amp;"")</f>
        <v>Esposizione</v>
      </c>
      <c r="M18" t="str">
        <f>Parametri!$B$26</f>
        <v>2026Q3</v>
      </c>
      <c r="N18">
        <f t="shared" si="2"/>
        <v>5.3</v>
      </c>
      <c r="O18">
        <f t="shared" si="3"/>
        <v>3</v>
      </c>
      <c r="P18">
        <f t="shared" si="4"/>
        <v>6</v>
      </c>
      <c r="Q18" t="str">
        <f t="shared" si="5"/>
        <v>Ambra</v>
      </c>
      <c r="R18" s="77">
        <f t="shared" si="6"/>
        <v>46295</v>
      </c>
      <c r="S18" t="str">
        <f t="shared" si="7"/>
        <v>Sistema antifrode transazionale</v>
      </c>
      <c r="T18" t="str">
        <f t="shared" si="8"/>
        <v>In crescita rispetto al trimestre precedente (4,2).</v>
      </c>
      <c r="Z18">
        <f>IFERROR(_xlfn.AGGREGATE(15,6,ROW(KRI_Ciclo)/((KRI_Ciclo=cicloCorrente)*(KRI_In_Vigore="Sì")),12),"")</f>
        <v>108</v>
      </c>
      <c r="AB18" t="str">
        <f>IFERROR(INDEX(KRI_KRI_ID,_xlfn.AGGREGATE(15,6,(ROW(KRI_KRI_ID)-5)/((KRI_Ciclo_Definizione=KRI_Ciclo)*(KRI_KRI_ID&lt;&gt;"")),7)),"")</f>
        <v>NFR-04-K1</v>
      </c>
    </row>
    <row r="19" spans="1:28" x14ac:dyDescent="0.4">
      <c r="A19" t="str">
        <f>IF($Z19="","",INDEX(KRI!$B:$B,$Z19)&amp;"")</f>
        <v>NFR-07-K2</v>
      </c>
      <c r="B19" t="str">
        <f>IF($Z19="","",INDEX(KRI!$C:$C,$Z19)&amp;"")</f>
        <v>NFR-07</v>
      </c>
      <c r="C19" t="str">
        <f>IF($Z19="","",INDEX(KRI!$D:$D,$Z19)&amp;"")</f>
        <v>Ore di indisponibilita' del gateway di pagamento nel trimestre</v>
      </c>
      <c r="D19" t="str">
        <f>IF($Z19="","",INDEX(KRI!$F:$F,$Z19)&amp;"")</f>
        <v>ore</v>
      </c>
      <c r="E19">
        <f>IF($Z19="","",IF(INDEX(KRI!$H:$H,$Z19)="","",INDEX(KRI!$H:$H,$Z19)))</f>
        <v>4</v>
      </c>
      <c r="F19">
        <f>IF($Z19="","",IF(INDEX(KRI!$I:$I,$Z19)="","",INDEX(KRI!$I:$I,$Z19)))</f>
        <v>12</v>
      </c>
      <c r="G19">
        <f>IF($Z19="","",IF(INDEX(KRI!$J:$J,$Z19)="","",INDEX(KRI!$J:$J,$Z19)))</f>
        <v>0.5</v>
      </c>
      <c r="H19" s="77">
        <f>IF($Z19="","",IF(INDEX(KRI!$K:$K,$Z19)="","",INDEX(KRI!$K:$K,$Z19)))</f>
        <v>46387</v>
      </c>
      <c r="I19" t="str">
        <f>IF($Z19="","",INDEX(KRI!$N:$N,$Z19)&amp;"")</f>
        <v>Verde</v>
      </c>
      <c r="J19">
        <f t="shared" si="0"/>
        <v>2.5</v>
      </c>
      <c r="K19" t="str">
        <f t="shared" si="1"/>
        <v>▼ migliora</v>
      </c>
      <c r="L19" s="78" t="str">
        <f>IF($Z19="","",INDEX(KRI!$E:$E,$Z19)&amp;"")</f>
        <v>Evoluzione</v>
      </c>
      <c r="M19" t="str">
        <f>Parametri!$B$27</f>
        <v>2026Q4</v>
      </c>
      <c r="N19">
        <f t="shared" si="2"/>
        <v>6.4</v>
      </c>
      <c r="O19">
        <f t="shared" si="3"/>
        <v>3</v>
      </c>
      <c r="P19">
        <f t="shared" si="4"/>
        <v>6</v>
      </c>
      <c r="Q19" t="str">
        <f t="shared" si="5"/>
        <v>Rosso</v>
      </c>
      <c r="R19" s="77">
        <f t="shared" si="6"/>
        <v>46387</v>
      </c>
      <c r="S19" t="str">
        <f t="shared" si="7"/>
        <v>Sistema antifrode transazionale</v>
      </c>
      <c r="T19" t="str">
        <f t="shared" si="8"/>
        <v>Sopra la soglia di allerta dopo i casi di novembre.</v>
      </c>
      <c r="Z19">
        <f>IFERROR(_xlfn.AGGREGATE(15,6,ROW(KRI_Ciclo)/((KRI_Ciclo=cicloCorrente)*(KRI_In_Vigore="Sì")),13),"")</f>
        <v>109</v>
      </c>
      <c r="AB19" t="str">
        <f>IFERROR(INDEX(KRI_KRI_ID,_xlfn.AGGREGATE(15,6,(ROW(KRI_KRI_ID)-5)/((KRI_Ciclo_Definizione=KRI_Ciclo)*(KRI_KRI_ID&lt;&gt;"")),8)),"")</f>
        <v>NFR-04-K2</v>
      </c>
    </row>
    <row r="20" spans="1:28" x14ac:dyDescent="0.4">
      <c r="A20" t="str">
        <f>IF($Z20="","",INDEX(KRI!$B:$B,$Z20)&amp;"")</f>
        <v>NFR-08-K1</v>
      </c>
      <c r="B20" t="str">
        <f>IF($Z20="","",INDEX(KRI!$C:$C,$Z20)&amp;"")</f>
        <v>NFR-08</v>
      </c>
      <c r="C20" t="str">
        <f>IF($Z20="","",INDEX(KRI!$D:$D,$Z20)&amp;"")</f>
        <v>Accessi ai dati clienti senza pratica associata</v>
      </c>
      <c r="D20" t="str">
        <f>IF($Z20="","",INDEX(KRI!$F:$F,$Z20)&amp;"")</f>
        <v>n/mese</v>
      </c>
      <c r="E20">
        <f>IF($Z20="","",IF(INDEX(KRI!$H:$H,$Z20)="","",INDEX(KRI!$H:$H,$Z20)))</f>
        <v>20</v>
      </c>
      <c r="F20">
        <f>IF($Z20="","",IF(INDEX(KRI!$I:$I,$Z20)="","",INDEX(KRI!$I:$I,$Z20)))</f>
        <v>50</v>
      </c>
      <c r="G20">
        <f>IF($Z20="","",IF(INDEX(KRI!$J:$J,$Z20)="","",INDEX(KRI!$J:$J,$Z20)))</f>
        <v>19</v>
      </c>
      <c r="H20" s="77">
        <f>IF($Z20="","",IF(INDEX(KRI!$K:$K,$Z20)="","",INDEX(KRI!$K:$K,$Z20)))</f>
        <v>46387</v>
      </c>
      <c r="I20" t="str">
        <f>IF($Z20="","",INDEX(KRI!$N:$N,$Z20)&amp;"")</f>
        <v>Verde</v>
      </c>
      <c r="J20">
        <f t="shared" si="0"/>
        <v>22</v>
      </c>
      <c r="K20" t="str">
        <f t="shared" si="1"/>
        <v>▼ migliora</v>
      </c>
      <c r="L20" s="78" t="str">
        <f>IF($Z20="","",INDEX(KRI!$E:$E,$Z20)&amp;"")</f>
        <v>Evoluzione</v>
      </c>
      <c r="Z20">
        <f>IFERROR(_xlfn.AGGREGATE(15,6,ROW(KRI_Ciclo)/((KRI_Ciclo=cicloCorrente)*(KRI_In_Vigore="Sì")),14),"")</f>
        <v>110</v>
      </c>
      <c r="AB20" t="str">
        <f>IFERROR(INDEX(KRI_KRI_ID,_xlfn.AGGREGATE(15,6,(ROW(KRI_KRI_ID)-5)/((KRI_Ciclo_Definizione=KRI_Ciclo)*(KRI_KRI_ID&lt;&gt;"")),9)),"")</f>
        <v>NFR-05-K2</v>
      </c>
    </row>
    <row r="21" spans="1:28" x14ac:dyDescent="0.4">
      <c r="A21" t="str">
        <f>IF($Z21="","",INDEX(KRI!$B:$B,$Z21)&amp;"")</f>
        <v>NFR-08-K2</v>
      </c>
      <c r="B21" t="str">
        <f>IF($Z21="","",INDEX(KRI!$C:$C,$Z21)&amp;"")</f>
        <v>NFR-08</v>
      </c>
      <c r="C21" t="str">
        <f>IF($Z21="","",INDEX(KRI!$D:$D,$Z21)&amp;"")</f>
        <v>Utenze con profili di accesso non rivisti nell'anno</v>
      </c>
      <c r="D21" t="str">
        <f>IF($Z21="","",INDEX(KRI!$F:$F,$Z21)&amp;"")</f>
        <v>%</v>
      </c>
      <c r="E21">
        <f>IF($Z21="","",IF(INDEX(KRI!$H:$H,$Z21)="","",INDEX(KRI!$H:$H,$Z21)))</f>
        <v>5</v>
      </c>
      <c r="F21">
        <f>IF($Z21="","",IF(INDEX(KRI!$I:$I,$Z21)="","",INDEX(KRI!$I:$I,$Z21)))</f>
        <v>15</v>
      </c>
      <c r="G21">
        <f>IF($Z21="","",IF(INDEX(KRI!$J:$J,$Z21)="","",INDEX(KRI!$J:$J,$Z21)))</f>
        <v>4</v>
      </c>
      <c r="H21" s="77">
        <f>IF($Z21="","",IF(INDEX(KRI!$K:$K,$Z21)="","",INDEX(KRI!$K:$K,$Z21)))</f>
        <v>46387</v>
      </c>
      <c r="I21" t="str">
        <f>IF($Z21="","",INDEX(KRI!$N:$N,$Z21)&amp;"")</f>
        <v>Verde</v>
      </c>
      <c r="J21">
        <f t="shared" si="0"/>
        <v>5</v>
      </c>
      <c r="K21" t="str">
        <f t="shared" si="1"/>
        <v>▼ migliora</v>
      </c>
      <c r="L21" s="78" t="str">
        <f>IF($Z21="","",INDEX(KRI!$E:$E,$Z21)&amp;"")</f>
        <v>Esposizione</v>
      </c>
      <c r="Z21">
        <f>IFERROR(_xlfn.AGGREGATE(15,6,ROW(KRI_Ciclo)/((KRI_Ciclo=cicloCorrente)*(KRI_In_Vigore="Sì")),15),"")</f>
        <v>111</v>
      </c>
      <c r="AB21" t="str">
        <f>IFERROR(INDEX(KRI_KRI_ID,_xlfn.AGGREGATE(15,6,(ROW(KRI_KRI_ID)-5)/((KRI_Ciclo_Definizione=KRI_Ciclo)*(KRI_KRI_ID&lt;&gt;"")),10)),"")</f>
        <v>NFR-05-K3</v>
      </c>
    </row>
    <row r="22" spans="1:28" x14ac:dyDescent="0.4">
      <c r="A22" t="str">
        <f>IF($Z22="","",INDEX(KRI!$B:$B,$Z22)&amp;"")</f>
        <v>NFR-09-K1</v>
      </c>
      <c r="B22" t="str">
        <f>IF($Z22="","",INDEX(KRI!$C:$C,$Z22)&amp;"")</f>
        <v>NFR-09</v>
      </c>
      <c r="C22" t="str">
        <f>IF($Z22="","",INDEX(KRI!$D:$D,$Z22)&amp;"")</f>
        <v>Pagamenti bloccati dal filtro sanzioni ogni 10.000 verso paesi di transito</v>
      </c>
      <c r="D22" t="str">
        <f>IF($Z22="","",INDEX(KRI!$F:$F,$Z22)&amp;"")</f>
        <v>n/10k</v>
      </c>
      <c r="E22">
        <f>IF($Z22="","",IF(INDEX(KRI!$H:$H,$Z22)="","",INDEX(KRI!$H:$H,$Z22)))</f>
        <v>2</v>
      </c>
      <c r="F22">
        <f>IF($Z22="","",IF(INDEX(KRI!$I:$I,$Z22)="","",INDEX(KRI!$I:$I,$Z22)))</f>
        <v>5</v>
      </c>
      <c r="G22">
        <f>IF($Z22="","",IF(INDEX(KRI!$J:$J,$Z22)="","",INDEX(KRI!$J:$J,$Z22)))</f>
        <v>4</v>
      </c>
      <c r="H22" s="77">
        <f>IF($Z22="","",IF(INDEX(KRI!$K:$K,$Z22)="","",INDEX(KRI!$K:$K,$Z22)))</f>
        <v>46387</v>
      </c>
      <c r="I22" t="str">
        <f>IF($Z22="","",INDEX(KRI!$N:$N,$Z22)&amp;"")</f>
        <v>Ambra</v>
      </c>
      <c r="J22">
        <f t="shared" si="0"/>
        <v>4.2</v>
      </c>
      <c r="K22" t="str">
        <f t="shared" si="1"/>
        <v>▼ migliora</v>
      </c>
      <c r="L22" s="78" t="str">
        <f>IF($Z22="","",INDEX(KRI!$E:$E,$Z22)&amp;"")</f>
        <v>Evoluzione</v>
      </c>
      <c r="Z22">
        <f>IFERROR(_xlfn.AGGREGATE(15,6,ROW(KRI_Ciclo)/((KRI_Ciclo=cicloCorrente)*(KRI_In_Vigore="Sì")),16),"")</f>
        <v>112</v>
      </c>
      <c r="AB22" t="str">
        <f>IFERROR(INDEX(KRI_KRI_ID,_xlfn.AGGREGATE(15,6,(ROW(KRI_KRI_ID)-5)/((KRI_Ciclo_Definizione=KRI_Ciclo)*(KRI_KRI_ID&lt;&gt;"")),11)),"")</f>
        <v>NFR-07-K1</v>
      </c>
    </row>
    <row r="23" spans="1:28" x14ac:dyDescent="0.4">
      <c r="A23" t="str">
        <f>IF($Z23="","",INDEX(KRI!$B:$B,$Z23)&amp;"")</f>
        <v>NFR-09-K2</v>
      </c>
      <c r="B23" t="str">
        <f>IF($Z23="","",INDEX(KRI!$C:$C,$Z23)&amp;"")</f>
        <v>NFR-09</v>
      </c>
      <c r="C23" t="str">
        <f>IF($Z23="","",INDEX(KRI!$D:$D,$Z23)&amp;"")</f>
        <v>Clienti corporate ad alto rischio senza due diligence rafforzata aggiornata</v>
      </c>
      <c r="D23" t="str">
        <f>IF($Z23="","",INDEX(KRI!$F:$F,$Z23)&amp;"")</f>
        <v>%</v>
      </c>
      <c r="E23">
        <f>IF($Z23="","",IF(INDEX(KRI!$H:$H,$Z23)="","",INDEX(KRI!$H:$H,$Z23)))</f>
        <v>5</v>
      </c>
      <c r="F23">
        <f>IF($Z23="","",IF(INDEX(KRI!$I:$I,$Z23)="","",INDEX(KRI!$I:$I,$Z23)))</f>
        <v>15</v>
      </c>
      <c r="G23">
        <f>IF($Z23="","",IF(INDEX(KRI!$J:$J,$Z23)="","",INDEX(KRI!$J:$J,$Z23)))</f>
        <v>8</v>
      </c>
      <c r="H23" s="77">
        <f>IF($Z23="","",IF(INDEX(KRI!$K:$K,$Z23)="","",INDEX(KRI!$K:$K,$Z23)))</f>
        <v>46387</v>
      </c>
      <c r="I23" t="str">
        <f>IF($Z23="","",INDEX(KRI!$N:$N,$Z23)&amp;"")</f>
        <v>Ambra</v>
      </c>
      <c r="J23">
        <f t="shared" si="0"/>
        <v>9</v>
      </c>
      <c r="K23" t="str">
        <f t="shared" si="1"/>
        <v>▼ migliora</v>
      </c>
      <c r="L23" s="78" t="str">
        <f>IF($Z23="","",INDEX(KRI!$E:$E,$Z23)&amp;"")</f>
        <v>Esposizione</v>
      </c>
      <c r="Z23">
        <f>IFERROR(_xlfn.AGGREGATE(15,6,ROW(KRI_Ciclo)/((KRI_Ciclo=cicloCorrente)*(KRI_In_Vigore="Sì")),17),"")</f>
        <v>113</v>
      </c>
      <c r="AB23" t="str">
        <f>IFERROR(INDEX(KRI_KRI_ID,_xlfn.AGGREGATE(15,6,(ROW(KRI_KRI_ID)-5)/((KRI_Ciclo_Definizione=KRI_Ciclo)*(KRI_KRI_ID&lt;&gt;"")),12)),"")</f>
        <v>NFR-07-K2</v>
      </c>
    </row>
    <row r="24" spans="1:28" x14ac:dyDescent="0.4">
      <c r="A24" t="str">
        <f>IF($Z24="","",INDEX(KRI!$B:$B,$Z24)&amp;"")</f>
        <v>NFR-10-K1</v>
      </c>
      <c r="B24" t="str">
        <f>IF($Z24="","",INDEX(KRI!$C:$C,$Z24)&amp;"")</f>
        <v>NFR-10</v>
      </c>
      <c r="C24" t="str">
        <f>IF($Z24="","",INDEX(KRI!$D:$D,$Z24)&amp;"")</f>
        <v>Risposte del chatbot contestate ogni 1.000 conversazioni</v>
      </c>
      <c r="D24" t="str">
        <f>IF($Z24="","",INDEX(KRI!$F:$F,$Z24)&amp;"")</f>
        <v>n/1000</v>
      </c>
      <c r="E24">
        <f>IF($Z24="","",IF(INDEX(KRI!$H:$H,$Z24)="","",INDEX(KRI!$H:$H,$Z24)))</f>
        <v>2</v>
      </c>
      <c r="F24">
        <f>IF($Z24="","",IF(INDEX(KRI!$I:$I,$Z24)="","",INDEX(KRI!$I:$I,$Z24)))</f>
        <v>5</v>
      </c>
      <c r="G24">
        <f>IF($Z24="","",IF(INDEX(KRI!$J:$J,$Z24)="","",INDEX(KRI!$J:$J,$Z24)))</f>
        <v>2.2999999999999998</v>
      </c>
      <c r="H24" s="77">
        <f>IF($Z24="","",IF(INDEX(KRI!$K:$K,$Z24)="","",INDEX(KRI!$K:$K,$Z24)))</f>
        <v>46387</v>
      </c>
      <c r="I24" t="str">
        <f>IF($Z24="","",INDEX(KRI!$N:$N,$Z24)&amp;"")</f>
        <v>Ambra</v>
      </c>
      <c r="J24">
        <f t="shared" si="0"/>
        <v>1.9</v>
      </c>
      <c r="K24" t="str">
        <f t="shared" si="1"/>
        <v>▲ peggiora</v>
      </c>
      <c r="L24" s="78" t="str">
        <f>IF($Z24="","",INDEX(KRI!$E:$E,$Z24)&amp;"")</f>
        <v>Evoluzione</v>
      </c>
      <c r="Z24">
        <f>IFERROR(_xlfn.AGGREGATE(15,6,ROW(KRI_Ciclo)/((KRI_Ciclo=cicloCorrente)*(KRI_In_Vigore="Sì")),18),"")</f>
        <v>114</v>
      </c>
      <c r="AB24" t="str">
        <f>IFERROR(INDEX(KRI_KRI_ID,_xlfn.AGGREGATE(15,6,(ROW(KRI_KRI_ID)-5)/((KRI_Ciclo_Definizione=KRI_Ciclo)*(KRI_KRI_ID&lt;&gt;"")),13)),"")</f>
        <v>NFR-08-K1</v>
      </c>
    </row>
    <row r="25" spans="1:28" x14ac:dyDescent="0.4">
      <c r="A25" t="str">
        <f>IF($Z25="","",INDEX(KRI!$B:$B,$Z25)&amp;"")</f>
        <v>NFR-10-K3</v>
      </c>
      <c r="B25" t="str">
        <f>IF($Z25="","",INDEX(KRI!$C:$C,$Z25)&amp;"")</f>
        <v>NFR-10</v>
      </c>
      <c r="C25" t="str">
        <f>IF($Z25="","",INDEX(KRI!$D:$D,$Z25)&amp;"")</f>
        <v>Quota di risposte del chatbot non campionate dal controllo qualita'</v>
      </c>
      <c r="D25" t="str">
        <f>IF($Z25="","",INDEX(KRI!$F:$F,$Z25)&amp;"")</f>
        <v>%</v>
      </c>
      <c r="E25">
        <f>IF($Z25="","",IF(INDEX(KRI!$H:$H,$Z25)="","",INDEX(KRI!$H:$H,$Z25)))</f>
        <v>20</v>
      </c>
      <c r="F25">
        <f>IF($Z25="","",IF(INDEX(KRI!$I:$I,$Z25)="","",INDEX(KRI!$I:$I,$Z25)))</f>
        <v>50</v>
      </c>
      <c r="G25">
        <f>IF($Z25="","",IF(INDEX(KRI!$J:$J,$Z25)="","",INDEX(KRI!$J:$J,$Z25)))</f>
        <v>40</v>
      </c>
      <c r="H25" s="77">
        <f>IF($Z25="","",IF(INDEX(KRI!$K:$K,$Z25)="","",INDEX(KRI!$K:$K,$Z25)))</f>
        <v>46387</v>
      </c>
      <c r="I25" t="str">
        <f>IF($Z25="","",INDEX(KRI!$N:$N,$Z25)&amp;"")</f>
        <v>Ambra</v>
      </c>
      <c r="J25">
        <f t="shared" si="0"/>
        <v>45</v>
      </c>
      <c r="K25" t="str">
        <f t="shared" si="1"/>
        <v>▼ migliora</v>
      </c>
      <c r="L25" s="78" t="str">
        <f>IF($Z25="","",INDEX(KRI!$E:$E,$Z25)&amp;"")</f>
        <v>Esposizione</v>
      </c>
      <c r="Z25">
        <f>IFERROR(_xlfn.AGGREGATE(15,6,ROW(KRI_Ciclo)/((KRI_Ciclo=cicloCorrente)*(KRI_In_Vigore="Sì")),19),"")</f>
        <v>115</v>
      </c>
      <c r="AB25" t="str">
        <f>IFERROR(INDEX(KRI_KRI_ID,_xlfn.AGGREGATE(15,6,(ROW(KRI_KRI_ID)-5)/((KRI_Ciclo_Definizione=KRI_Ciclo)*(KRI_KRI_ID&lt;&gt;"")),14)),"")</f>
        <v>NFR-08-K2</v>
      </c>
    </row>
    <row r="26" spans="1:28" x14ac:dyDescent="0.4">
      <c r="A26" t="str">
        <f>IF($Z26="","",INDEX(KRI!$B:$B,$Z26)&amp;"")</f>
        <v>NFR-11-K1</v>
      </c>
      <c r="B26" t="str">
        <f>IF($Z26="","",INDEX(KRI!$C:$C,$Z26)&amp;"")</f>
        <v>NFR-11</v>
      </c>
      <c r="C26" t="str">
        <f>IF($Z26="","",INDEX(KRI!$D:$D,$Z26)&amp;"")</f>
        <v>Componenti del sistema di pagamento fuori supporto</v>
      </c>
      <c r="D26" t="str">
        <f>IF($Z26="","",INDEX(KRI!$F:$F,$Z26)&amp;"")</f>
        <v>n</v>
      </c>
      <c r="E26">
        <f>IF($Z26="","",IF(INDEX(KRI!$H:$H,$Z26)="","",INDEX(KRI!$H:$H,$Z26)))</f>
        <v>3</v>
      </c>
      <c r="F26">
        <f>IF($Z26="","",IF(INDEX(KRI!$I:$I,$Z26)="","",INDEX(KRI!$I:$I,$Z26)))</f>
        <v>8</v>
      </c>
      <c r="G26">
        <f>IF($Z26="","",IF(INDEX(KRI!$J:$J,$Z26)="","",INDEX(KRI!$J:$J,$Z26)))</f>
        <v>6</v>
      </c>
      <c r="H26" s="77">
        <f>IF($Z26="","",IF(INDEX(KRI!$K:$K,$Z26)="","",INDEX(KRI!$K:$K,$Z26)))</f>
        <v>46387</v>
      </c>
      <c r="I26" t="str">
        <f>IF($Z26="","",INDEX(KRI!$N:$N,$Z26)&amp;"")</f>
        <v>Ambra</v>
      </c>
      <c r="J26">
        <f t="shared" si="0"/>
        <v>6</v>
      </c>
      <c r="K26" t="str">
        <f t="shared" si="1"/>
        <v>● invariato</v>
      </c>
      <c r="L26" s="78" t="str">
        <f>IF($Z26="","",INDEX(KRI!$E:$E,$Z26)&amp;"")</f>
        <v>Esposizione</v>
      </c>
      <c r="Z26">
        <f>IFERROR(_xlfn.AGGREGATE(15,6,ROW(KRI_Ciclo)/((KRI_Ciclo=cicloCorrente)*(KRI_In_Vigore="Sì")),20),"")</f>
        <v>116</v>
      </c>
      <c r="AB26" t="str">
        <f>IFERROR(INDEX(KRI_KRI_ID,_xlfn.AGGREGATE(15,6,(ROW(KRI_KRI_ID)-5)/((KRI_Ciclo_Definizione=KRI_Ciclo)*(KRI_KRI_ID&lt;&gt;"")),15)),"")</f>
        <v>NFR-11-K1</v>
      </c>
    </row>
    <row r="27" spans="1:28" x14ac:dyDescent="0.4">
      <c r="A27" t="str">
        <f>IF($Z27="","",INDEX(KRI!$B:$B,$Z27)&amp;"")</f>
        <v>NFR-11-K2</v>
      </c>
      <c r="B27" t="str">
        <f>IF($Z27="","",INDEX(KRI!$C:$C,$Z27)&amp;"")</f>
        <v>NFR-11</v>
      </c>
      <c r="C27" t="str">
        <f>IF($Z27="","",INDEX(KRI!$D:$D,$Z27)&amp;"")</f>
        <v>Vulnerabilita' senza patch disponibile sui sistemi legacy</v>
      </c>
      <c r="D27" t="str">
        <f>IF($Z27="","",INDEX(KRI!$F:$F,$Z27)&amp;"")</f>
        <v>n</v>
      </c>
      <c r="E27">
        <f>IF($Z27="","",IF(INDEX(KRI!$H:$H,$Z27)="","",INDEX(KRI!$H:$H,$Z27)))</f>
        <v>2</v>
      </c>
      <c r="F27">
        <f>IF($Z27="","",IF(INDEX(KRI!$I:$I,$Z27)="","",INDEX(KRI!$I:$I,$Z27)))</f>
        <v>6</v>
      </c>
      <c r="G27">
        <f>IF($Z27="","",IF(INDEX(KRI!$J:$J,$Z27)="","",INDEX(KRI!$J:$J,$Z27)))</f>
        <v>6</v>
      </c>
      <c r="H27" s="77">
        <f>IF($Z27="","",IF(INDEX(KRI!$K:$K,$Z27)="","",INDEX(KRI!$K:$K,$Z27)))</f>
        <v>46387</v>
      </c>
      <c r="I27" t="str">
        <f>IF($Z27="","",INDEX(KRI!$N:$N,$Z27)&amp;"")</f>
        <v>Rosso</v>
      </c>
      <c r="J27">
        <f t="shared" si="0"/>
        <v>5</v>
      </c>
      <c r="K27" t="str">
        <f t="shared" si="1"/>
        <v>▲ peggiora</v>
      </c>
      <c r="L27" s="78" t="str">
        <f>IF($Z27="","",INDEX(KRI!$E:$E,$Z27)&amp;"")</f>
        <v>Evoluzione</v>
      </c>
      <c r="Z27">
        <f>IFERROR(_xlfn.AGGREGATE(15,6,ROW(KRI_Ciclo)/((KRI_Ciclo=cicloCorrente)*(KRI_In_Vigore="Sì")),21),"")</f>
        <v>117</v>
      </c>
      <c r="AB27" t="str">
        <f>IFERROR(INDEX(KRI_KRI_ID,_xlfn.AGGREGATE(15,6,(ROW(KRI_KRI_ID)-5)/((KRI_Ciclo_Definizione=KRI_Ciclo)*(KRI_KRI_ID&lt;&gt;"")),16)),"")</f>
        <v>NFR-11-K2</v>
      </c>
    </row>
    <row r="28" spans="1:28" x14ac:dyDescent="0.4">
      <c r="A28" t="str">
        <f>IF($Z28="","",INDEX(KRI!$B:$B,$Z28)&amp;"")</f>
        <v>NFR-12-K1</v>
      </c>
      <c r="B28" t="str">
        <f>IF($Z28="","",INDEX(KRI!$C:$C,$Z28)&amp;"")</f>
        <v>NFR-12</v>
      </c>
      <c r="C28" t="str">
        <f>IF($Z28="","",INDEX(KRI!$D:$D,$Z28)&amp;"")</f>
        <v>Differenze di riconciliazione sui bonifici istantanei aperte oltre 1 giorno</v>
      </c>
      <c r="D28" t="str">
        <f>IF($Z28="","",INDEX(KRI!$F:$F,$Z28)&amp;"")</f>
        <v>n</v>
      </c>
      <c r="E28">
        <f>IF($Z28="","",IF(INDEX(KRI!$H:$H,$Z28)="","",INDEX(KRI!$H:$H,$Z28)))</f>
        <v>10</v>
      </c>
      <c r="F28">
        <f>IF($Z28="","",IF(INDEX(KRI!$I:$I,$Z28)="","",INDEX(KRI!$I:$I,$Z28)))</f>
        <v>30</v>
      </c>
      <c r="G28">
        <f>IF($Z28="","",IF(INDEX(KRI!$J:$J,$Z28)="","",INDEX(KRI!$J:$J,$Z28)))</f>
        <v>9</v>
      </c>
      <c r="H28" s="77">
        <f>IF($Z28="","",IF(INDEX(KRI!$K:$K,$Z28)="","",INDEX(KRI!$K:$K,$Z28)))</f>
        <v>46387</v>
      </c>
      <c r="I28" t="str">
        <f>IF($Z28="","",INDEX(KRI!$N:$N,$Z28)&amp;"")</f>
        <v>Verde</v>
      </c>
      <c r="J28">
        <f t="shared" si="0"/>
        <v>12</v>
      </c>
      <c r="K28" t="str">
        <f t="shared" si="1"/>
        <v>▼ migliora</v>
      </c>
      <c r="L28" s="78" t="str">
        <f>IF($Z28="","",INDEX(KRI!$E:$E,$Z28)&amp;"")</f>
        <v>Evoluzione</v>
      </c>
      <c r="Z28">
        <f>IFERROR(_xlfn.AGGREGATE(15,6,ROW(KRI_Ciclo)/((KRI_Ciclo=cicloCorrente)*(KRI_In_Vigore="Sì")),22),"")</f>
        <v>118</v>
      </c>
      <c r="AB28" t="str">
        <f>IFERROR(INDEX(KRI_KRI_ID,_xlfn.AGGREGATE(15,6,(ROW(KRI_KRI_ID)-5)/((KRI_Ciclo_Definizione=KRI_Ciclo)*(KRI_KRI_ID&lt;&gt;"")),17)),"")</f>
        <v>NFR-12-K1</v>
      </c>
    </row>
    <row r="29" spans="1:28" x14ac:dyDescent="0.4">
      <c r="A29" t="str">
        <f>IF($Z29="","",INDEX(KRI!$B:$B,$Z29)&amp;"")</f>
        <v>NFR-12-K3</v>
      </c>
      <c r="B29" t="str">
        <f>IF($Z29="","",INDEX(KRI!$C:$C,$Z29)&amp;"")</f>
        <v>NFR-12</v>
      </c>
      <c r="C29" t="str">
        <f>IF($Z29="","",INDEX(KRI!$D:$D,$Z29)&amp;"")</f>
        <v>Tempo medio di risoluzione delle eccezioni sui pagamenti istantanei</v>
      </c>
      <c r="D29" t="str">
        <f>IF($Z29="","",INDEX(KRI!$F:$F,$Z29)&amp;"")</f>
        <v>ore</v>
      </c>
      <c r="E29">
        <f>IF($Z29="","",IF(INDEX(KRI!$H:$H,$Z29)="","",INDEX(KRI!$H:$H,$Z29)))</f>
        <v>4</v>
      </c>
      <c r="F29">
        <f>IF($Z29="","",IF(INDEX(KRI!$I:$I,$Z29)="","",INDEX(KRI!$I:$I,$Z29)))</f>
        <v>12</v>
      </c>
      <c r="G29">
        <f>IF($Z29="","",IF(INDEX(KRI!$J:$J,$Z29)="","",INDEX(KRI!$J:$J,$Z29)))</f>
        <v>4</v>
      </c>
      <c r="H29" s="77">
        <f>IF($Z29="","",IF(INDEX(KRI!$K:$K,$Z29)="","",INDEX(KRI!$K:$K,$Z29)))</f>
        <v>46387</v>
      </c>
      <c r="I29" t="str">
        <f>IF($Z29="","",INDEX(KRI!$N:$N,$Z29)&amp;"")</f>
        <v>Ambra</v>
      </c>
      <c r="J29">
        <f t="shared" si="0"/>
        <v>4.5</v>
      </c>
      <c r="K29" t="str">
        <f t="shared" si="1"/>
        <v>▼ migliora</v>
      </c>
      <c r="L29" s="78" t="str">
        <f>IF($Z29="","",INDEX(KRI!$E:$E,$Z29)&amp;"")</f>
        <v>Esposizione</v>
      </c>
      <c r="Z29">
        <f>IFERROR(_xlfn.AGGREGATE(15,6,ROW(KRI_Ciclo)/((KRI_Ciclo=cicloCorrente)*(KRI_In_Vigore="Sì")),23),"")</f>
        <v>119</v>
      </c>
      <c r="AB29" t="str">
        <f>IFERROR(INDEX(KRI_KRI_ID,_xlfn.AGGREGATE(15,6,(ROW(KRI_KRI_ID)-5)/((KRI_Ciclo_Definizione=KRI_Ciclo)*(KRI_KRI_ID&lt;&gt;"")),18)),"")</f>
        <v>NFR-12-K3</v>
      </c>
    </row>
    <row r="30" spans="1:28" x14ac:dyDescent="0.4">
      <c r="A30" t="str">
        <f>IF($Z30="","",INDEX(KRI!$B:$B,$Z30)&amp;"")</f>
        <v>NFR-02-K3</v>
      </c>
      <c r="B30" t="str">
        <f>IF($Z30="","",INDEX(KRI!$C:$C,$Z30)&amp;"")</f>
        <v>NFR-02</v>
      </c>
      <c r="C30" t="str">
        <f>IF($Z30="","",INDEX(KRI!$D:$D,$Z30)&amp;"")</f>
        <v>Interruzioni di servizi critici presso il fornitore cloud principale nel trimestre</v>
      </c>
      <c r="D30" t="str">
        <f>IF($Z30="","",INDEX(KRI!$F:$F,$Z30)&amp;"")</f>
        <v>n</v>
      </c>
      <c r="E30">
        <f>IF($Z30="","",IF(INDEX(KRI!$H:$H,$Z30)="","",INDEX(KRI!$H:$H,$Z30)))</f>
        <v>1</v>
      </c>
      <c r="F30">
        <f>IF($Z30="","",IF(INDEX(KRI!$I:$I,$Z30)="","",INDEX(KRI!$I:$I,$Z30)))</f>
        <v>3</v>
      </c>
      <c r="G30">
        <f>IF($Z30="","",IF(INDEX(KRI!$J:$J,$Z30)="","",INDEX(KRI!$J:$J,$Z30)))</f>
        <v>0</v>
      </c>
      <c r="H30" s="77">
        <f>IF($Z30="","",IF(INDEX(KRI!$K:$K,$Z30)="","",INDEX(KRI!$K:$K,$Z30)))</f>
        <v>46387</v>
      </c>
      <c r="I30" t="str">
        <f>IF($Z30="","",INDEX(KRI!$N:$N,$Z30)&amp;"")</f>
        <v>Verde</v>
      </c>
      <c r="J30" t="str">
        <f t="shared" si="0"/>
        <v>—</v>
      </c>
      <c r="K30" t="str">
        <f t="shared" si="1"/>
        <v/>
      </c>
      <c r="L30" s="78" t="str">
        <f>IF($Z30="","",INDEX(KRI!$E:$E,$Z30)&amp;"")</f>
        <v>Evoluzione</v>
      </c>
      <c r="Z30">
        <f>IFERROR(_xlfn.AGGREGATE(15,6,ROW(KRI_Ciclo)/((KRI_Ciclo=cicloCorrente)*(KRI_In_Vigore="Sì")),24),"")</f>
        <v>120</v>
      </c>
      <c r="AB30" t="str">
        <f>IFERROR(INDEX(KRI_KRI_ID,_xlfn.AGGREGATE(15,6,(ROW(KRI_KRI_ID)-5)/((KRI_Ciclo_Definizione=KRI_Ciclo)*(KRI_KRI_ID&lt;&gt;"")),19)),"")</f>
        <v>NFR-06-K1</v>
      </c>
    </row>
    <row r="31" spans="1:28" x14ac:dyDescent="0.4">
      <c r="A31" t="str">
        <f>IF($Z31="","",INDEX(KRI!$B:$B,$Z31)&amp;"")</f>
        <v>NFR-16-K1</v>
      </c>
      <c r="B31" t="str">
        <f>IF($Z31="","",INDEX(KRI!$C:$C,$Z31)&amp;"")</f>
        <v>NFR-16</v>
      </c>
      <c r="C31" t="str">
        <f>IF($Z31="","",INDEX(KRI!$D:$D,$Z31)&amp;"")</f>
        <v>Ruoli IT critici senza sostituto formato</v>
      </c>
      <c r="D31" t="str">
        <f>IF($Z31="","",INDEX(KRI!$F:$F,$Z31)&amp;"")</f>
        <v>n</v>
      </c>
      <c r="E31">
        <f>IF($Z31="","",IF(INDEX(KRI!$H:$H,$Z31)="","",INDEX(KRI!$H:$H,$Z31)))</f>
        <v>3</v>
      </c>
      <c r="F31">
        <f>IF($Z31="","",IF(INDEX(KRI!$I:$I,$Z31)="","",INDEX(KRI!$I:$I,$Z31)))</f>
        <v>6</v>
      </c>
      <c r="G31" t="str">
        <f>IF($Z31="","",IF(INDEX(KRI!$J:$J,$Z31)="","",INDEX(KRI!$J:$J,$Z31)))</f>
        <v/>
      </c>
      <c r="H31" s="77" t="str">
        <f>IF($Z31="","",IF(INDEX(KRI!$K:$K,$Z31)="","",INDEX(KRI!$K:$K,$Z31)))</f>
        <v/>
      </c>
      <c r="I31" t="str">
        <f>IF($Z31="","",INDEX(KRI!$N:$N,$Z31)&amp;"")</f>
        <v>Non rilevato</v>
      </c>
      <c r="J31" t="str">
        <f t="shared" si="0"/>
        <v>—</v>
      </c>
      <c r="K31" t="str">
        <f t="shared" si="1"/>
        <v/>
      </c>
      <c r="L31" s="78" t="str">
        <f>IF($Z31="","",INDEX(KRI!$E:$E,$Z31)&amp;"")</f>
        <v>Esposizione</v>
      </c>
      <c r="Z31">
        <f>IFERROR(_xlfn.AGGREGATE(15,6,ROW(KRI_Ciclo)/((KRI_Ciclo=cicloCorrente)*(KRI_In_Vigore="Sì")),25),"")</f>
        <v>121</v>
      </c>
      <c r="AB31" t="str">
        <f>IFERROR(INDEX(KRI_KRI_ID,_xlfn.AGGREGATE(15,6,(ROW(KRI_KRI_ID)-5)/((KRI_Ciclo_Definizione=KRI_Ciclo)*(KRI_KRI_ID&lt;&gt;"")),20)),"")</f>
        <v>NFR-06-K2</v>
      </c>
    </row>
    <row r="32" spans="1:28" x14ac:dyDescent="0.4">
      <c r="A32" t="str">
        <f>IF($Z32="","",INDEX(KRI!$B:$B,$Z32)&amp;"")</f>
        <v>NFR-16-K2</v>
      </c>
      <c r="B32" t="str">
        <f>IF($Z32="","",INDEX(KRI!$C:$C,$Z32)&amp;"")</f>
        <v>NFR-16</v>
      </c>
      <c r="C32" t="str">
        <f>IF($Z32="","",INDEX(KRI!$D:$D,$Z32)&amp;"")</f>
        <v>Turnover volontario annualizzato del personale IT</v>
      </c>
      <c r="D32" t="str">
        <f>IF($Z32="","",INDEX(KRI!$F:$F,$Z32)&amp;"")</f>
        <v>%</v>
      </c>
      <c r="E32">
        <f>IF($Z32="","",IF(INDEX(KRI!$H:$H,$Z32)="","",INDEX(KRI!$H:$H,$Z32)))</f>
        <v>8</v>
      </c>
      <c r="F32">
        <f>IF($Z32="","",IF(INDEX(KRI!$I:$I,$Z32)="","",INDEX(KRI!$I:$I,$Z32)))</f>
        <v>12</v>
      </c>
      <c r="G32" t="str">
        <f>IF($Z32="","",IF(INDEX(KRI!$J:$J,$Z32)="","",INDEX(KRI!$J:$J,$Z32)))</f>
        <v/>
      </c>
      <c r="H32" s="77" t="str">
        <f>IF($Z32="","",IF(INDEX(KRI!$K:$K,$Z32)="","",INDEX(KRI!$K:$K,$Z32)))</f>
        <v/>
      </c>
      <c r="I32" t="str">
        <f>IF($Z32="","",INDEX(KRI!$N:$N,$Z32)&amp;"")</f>
        <v>Non rilevato</v>
      </c>
      <c r="J32" t="str">
        <f t="shared" si="0"/>
        <v>—</v>
      </c>
      <c r="K32" t="str">
        <f t="shared" si="1"/>
        <v/>
      </c>
      <c r="L32" s="78" t="str">
        <f>IF($Z32="","",INDEX(KRI!$E:$E,$Z32)&amp;"")</f>
        <v>Evoluzione</v>
      </c>
      <c r="Z32">
        <f>IFERROR(_xlfn.AGGREGATE(15,6,ROW(KRI_Ciclo)/((KRI_Ciclo=cicloCorrente)*(KRI_In_Vigore="Sì")),26),"")</f>
        <v>122</v>
      </c>
      <c r="AB32" t="str">
        <f>IFERROR(INDEX(KRI_KRI_ID,_xlfn.AGGREGATE(15,6,(ROW(KRI_KRI_ID)-5)/((KRI_Ciclo_Definizione=KRI_Ciclo)*(KRI_KRI_ID&lt;&gt;"")),21)),"")</f>
        <v>NFR-09-K1</v>
      </c>
    </row>
    <row r="33" spans="1:28" x14ac:dyDescent="0.4">
      <c r="A33" t="str">
        <f>IF($Z33="","",INDEX(KRI!$B:$B,$Z33)&amp;"")</f>
        <v/>
      </c>
      <c r="B33" t="str">
        <f>IF($Z33="","",INDEX(KRI!$C:$C,$Z33)&amp;"")</f>
        <v/>
      </c>
      <c r="C33" t="str">
        <f>IF($Z33="","",INDEX(KRI!$D:$D,$Z33)&amp;"")</f>
        <v/>
      </c>
      <c r="D33" t="str">
        <f>IF($Z33="","",INDEX(KRI!$F:$F,$Z33)&amp;"")</f>
        <v/>
      </c>
      <c r="E33" t="str">
        <f>IF($Z33="","",IF(INDEX(KRI!$H:$H,$Z33)="","",INDEX(KRI!$H:$H,$Z33)))</f>
        <v/>
      </c>
      <c r="F33" t="str">
        <f>IF($Z33="","",IF(INDEX(KRI!$I:$I,$Z33)="","",INDEX(KRI!$I:$I,$Z33)))</f>
        <v/>
      </c>
      <c r="G33" t="str">
        <f>IF($Z33="","",IF(INDEX(KRI!$J:$J,$Z33)="","",INDEX(KRI!$J:$J,$Z33)))</f>
        <v/>
      </c>
      <c r="H33" s="77" t="str">
        <f>IF($Z33="","",IF(INDEX(KRI!$K:$K,$Z33)="","",INDEX(KRI!$K:$K,$Z33)))</f>
        <v/>
      </c>
      <c r="I33" t="str">
        <f>IF($Z33="","",INDEX(KRI!$N:$N,$Z33)&amp;"")</f>
        <v/>
      </c>
      <c r="J33" t="str">
        <f t="shared" si="0"/>
        <v/>
      </c>
      <c r="K33" t="str">
        <f t="shared" si="1"/>
        <v/>
      </c>
      <c r="L33" s="78" t="str">
        <f>IF($Z33="","",INDEX(KRI!$E:$E,$Z33)&amp;"")</f>
        <v/>
      </c>
      <c r="Z33" t="str">
        <f>IFERROR(_xlfn.AGGREGATE(15,6,ROW(KRI_Ciclo)/((KRI_Ciclo=cicloCorrente)*(KRI_In_Vigore="Sì")),27),"")</f>
        <v/>
      </c>
      <c r="AB33" t="str">
        <f>IFERROR(INDEX(KRI_KRI_ID,_xlfn.AGGREGATE(15,6,(ROW(KRI_KRI_ID)-5)/((KRI_Ciclo_Definizione=KRI_Ciclo)*(KRI_KRI_ID&lt;&gt;"")),22)),"")</f>
        <v>NFR-09-K2</v>
      </c>
    </row>
    <row r="34" spans="1:28" x14ac:dyDescent="0.4">
      <c r="A34" t="str">
        <f>IF($Z34="","",INDEX(KRI!$B:$B,$Z34)&amp;"")</f>
        <v/>
      </c>
      <c r="B34" t="str">
        <f>IF($Z34="","",INDEX(KRI!$C:$C,$Z34)&amp;"")</f>
        <v/>
      </c>
      <c r="C34" t="str">
        <f>IF($Z34="","",INDEX(KRI!$D:$D,$Z34)&amp;"")</f>
        <v/>
      </c>
      <c r="D34" t="str">
        <f>IF($Z34="","",INDEX(KRI!$F:$F,$Z34)&amp;"")</f>
        <v/>
      </c>
      <c r="E34" t="str">
        <f>IF($Z34="","",IF(INDEX(KRI!$H:$H,$Z34)="","",INDEX(KRI!$H:$H,$Z34)))</f>
        <v/>
      </c>
      <c r="F34" t="str">
        <f>IF($Z34="","",IF(INDEX(KRI!$I:$I,$Z34)="","",INDEX(KRI!$I:$I,$Z34)))</f>
        <v/>
      </c>
      <c r="G34" t="str">
        <f>IF($Z34="","",IF(INDEX(KRI!$J:$J,$Z34)="","",INDEX(KRI!$J:$J,$Z34)))</f>
        <v/>
      </c>
      <c r="H34" s="77" t="str">
        <f>IF($Z34="","",IF(INDEX(KRI!$K:$K,$Z34)="","",INDEX(KRI!$K:$K,$Z34)))</f>
        <v/>
      </c>
      <c r="I34" t="str">
        <f>IF($Z34="","",INDEX(KRI!$N:$N,$Z34)&amp;"")</f>
        <v/>
      </c>
      <c r="J34" t="str">
        <f t="shared" si="0"/>
        <v/>
      </c>
      <c r="K34" t="str">
        <f t="shared" si="1"/>
        <v/>
      </c>
      <c r="L34" s="78" t="str">
        <f>IF($Z34="","",INDEX(KRI!$E:$E,$Z34)&amp;"")</f>
        <v/>
      </c>
      <c r="Z34" t="str">
        <f>IFERROR(_xlfn.AGGREGATE(15,6,ROW(KRI_Ciclo)/((KRI_Ciclo=cicloCorrente)*(KRI_In_Vigore="Sì")),28),"")</f>
        <v/>
      </c>
      <c r="AB34" t="str">
        <f>IFERROR(INDEX(KRI_KRI_ID,_xlfn.AGGREGATE(15,6,(ROW(KRI_KRI_ID)-5)/((KRI_Ciclo_Definizione=KRI_Ciclo)*(KRI_KRI_ID&lt;&gt;"")),23)),"")</f>
        <v>NFR-10-K1</v>
      </c>
    </row>
    <row r="35" spans="1:28" x14ac:dyDescent="0.4">
      <c r="A35" t="str">
        <f>IF($Z35="","",INDEX(KRI!$B:$B,$Z35)&amp;"")</f>
        <v/>
      </c>
      <c r="B35" t="str">
        <f>IF($Z35="","",INDEX(KRI!$C:$C,$Z35)&amp;"")</f>
        <v/>
      </c>
      <c r="C35" t="str">
        <f>IF($Z35="","",INDEX(KRI!$D:$D,$Z35)&amp;"")</f>
        <v/>
      </c>
      <c r="D35" t="str">
        <f>IF($Z35="","",INDEX(KRI!$F:$F,$Z35)&amp;"")</f>
        <v/>
      </c>
      <c r="E35" t="str">
        <f>IF($Z35="","",IF(INDEX(KRI!$H:$H,$Z35)="","",INDEX(KRI!$H:$H,$Z35)))</f>
        <v/>
      </c>
      <c r="F35" t="str">
        <f>IF($Z35="","",IF(INDEX(KRI!$I:$I,$Z35)="","",INDEX(KRI!$I:$I,$Z35)))</f>
        <v/>
      </c>
      <c r="G35" t="str">
        <f>IF($Z35="","",IF(INDEX(KRI!$J:$J,$Z35)="","",INDEX(KRI!$J:$J,$Z35)))</f>
        <v/>
      </c>
      <c r="H35" s="77" t="str">
        <f>IF($Z35="","",IF(INDEX(KRI!$K:$K,$Z35)="","",INDEX(KRI!$K:$K,$Z35)))</f>
        <v/>
      </c>
      <c r="I35" t="str">
        <f>IF($Z35="","",INDEX(KRI!$N:$N,$Z35)&amp;"")</f>
        <v/>
      </c>
      <c r="J35" t="str">
        <f t="shared" si="0"/>
        <v/>
      </c>
      <c r="K35" t="str">
        <f t="shared" si="1"/>
        <v/>
      </c>
      <c r="L35" s="78" t="str">
        <f>IF($Z35="","",INDEX(KRI!$E:$E,$Z35)&amp;"")</f>
        <v/>
      </c>
      <c r="Z35" t="str">
        <f>IFERROR(_xlfn.AGGREGATE(15,6,ROW(KRI_Ciclo)/((KRI_Ciclo=cicloCorrente)*(KRI_In_Vigore="Sì")),29),"")</f>
        <v/>
      </c>
      <c r="AB35" t="str">
        <f>IFERROR(INDEX(KRI_KRI_ID,_xlfn.AGGREGATE(15,6,(ROW(KRI_KRI_ID)-5)/((KRI_Ciclo_Definizione=KRI_Ciclo)*(KRI_KRI_ID&lt;&gt;"")),24)),"")</f>
        <v>NFR-10-K3</v>
      </c>
    </row>
    <row r="36" spans="1:28" x14ac:dyDescent="0.4">
      <c r="A36" t="str">
        <f>IF($Z36="","",INDEX(KRI!$B:$B,$Z36)&amp;"")</f>
        <v/>
      </c>
      <c r="B36" t="str">
        <f>IF($Z36="","",INDEX(KRI!$C:$C,$Z36)&amp;"")</f>
        <v/>
      </c>
      <c r="C36" t="str">
        <f>IF($Z36="","",INDEX(KRI!$D:$D,$Z36)&amp;"")</f>
        <v/>
      </c>
      <c r="D36" t="str">
        <f>IF($Z36="","",INDEX(KRI!$F:$F,$Z36)&amp;"")</f>
        <v/>
      </c>
      <c r="E36" t="str">
        <f>IF($Z36="","",IF(INDEX(KRI!$H:$H,$Z36)="","",INDEX(KRI!$H:$H,$Z36)))</f>
        <v/>
      </c>
      <c r="F36" t="str">
        <f>IF($Z36="","",IF(INDEX(KRI!$I:$I,$Z36)="","",INDEX(KRI!$I:$I,$Z36)))</f>
        <v/>
      </c>
      <c r="G36" t="str">
        <f>IF($Z36="","",IF(INDEX(KRI!$J:$J,$Z36)="","",INDEX(KRI!$J:$J,$Z36)))</f>
        <v/>
      </c>
      <c r="H36" s="77" t="str">
        <f>IF($Z36="","",IF(INDEX(KRI!$K:$K,$Z36)="","",INDEX(KRI!$K:$K,$Z36)))</f>
        <v/>
      </c>
      <c r="I36" t="str">
        <f>IF($Z36="","",INDEX(KRI!$N:$N,$Z36)&amp;"")</f>
        <v/>
      </c>
      <c r="J36" t="str">
        <f t="shared" si="0"/>
        <v/>
      </c>
      <c r="K36" t="str">
        <f t="shared" si="1"/>
        <v/>
      </c>
      <c r="L36" s="78" t="str">
        <f>IF($Z36="","",INDEX(KRI!$E:$E,$Z36)&amp;"")</f>
        <v/>
      </c>
      <c r="Z36" t="str">
        <f>IFERROR(_xlfn.AGGREGATE(15,6,ROW(KRI_Ciclo)/((KRI_Ciclo=cicloCorrente)*(KRI_In_Vigore="Sì")),30),"")</f>
        <v/>
      </c>
      <c r="AB36" t="str">
        <f>IFERROR(INDEX(KRI_KRI_ID,_xlfn.AGGREGATE(15,6,(ROW(KRI_KRI_ID)-5)/((KRI_Ciclo_Definizione=KRI_Ciclo)*(KRI_KRI_ID&lt;&gt;"")),25)),"")</f>
        <v>NFR-02-K3</v>
      </c>
    </row>
    <row r="37" spans="1:28" x14ac:dyDescent="0.4">
      <c r="A37" t="str">
        <f>IF($Z37="","",INDEX(KRI!$B:$B,$Z37)&amp;"")</f>
        <v/>
      </c>
      <c r="B37" t="str">
        <f>IF($Z37="","",INDEX(KRI!$C:$C,$Z37)&amp;"")</f>
        <v/>
      </c>
      <c r="C37" t="str">
        <f>IF($Z37="","",INDEX(KRI!$D:$D,$Z37)&amp;"")</f>
        <v/>
      </c>
      <c r="D37" t="str">
        <f>IF($Z37="","",INDEX(KRI!$F:$F,$Z37)&amp;"")</f>
        <v/>
      </c>
      <c r="E37" t="str">
        <f>IF($Z37="","",IF(INDEX(KRI!$H:$H,$Z37)="","",INDEX(KRI!$H:$H,$Z37)))</f>
        <v/>
      </c>
      <c r="F37" t="str">
        <f>IF($Z37="","",IF(INDEX(KRI!$I:$I,$Z37)="","",INDEX(KRI!$I:$I,$Z37)))</f>
        <v/>
      </c>
      <c r="G37" t="str">
        <f>IF($Z37="","",IF(INDEX(KRI!$J:$J,$Z37)="","",INDEX(KRI!$J:$J,$Z37)))</f>
        <v/>
      </c>
      <c r="H37" s="77" t="str">
        <f>IF($Z37="","",IF(INDEX(KRI!$K:$K,$Z37)="","",INDEX(KRI!$K:$K,$Z37)))</f>
        <v/>
      </c>
      <c r="I37" t="str">
        <f>IF($Z37="","",INDEX(KRI!$N:$N,$Z37)&amp;"")</f>
        <v/>
      </c>
      <c r="J37" t="str">
        <f t="shared" si="0"/>
        <v/>
      </c>
      <c r="K37" t="str">
        <f t="shared" si="1"/>
        <v/>
      </c>
      <c r="L37" s="78" t="str">
        <f>IF($Z37="","",INDEX(KRI!$E:$E,$Z37)&amp;"")</f>
        <v/>
      </c>
      <c r="Z37" t="str">
        <f>IFERROR(_xlfn.AGGREGATE(15,6,ROW(KRI_Ciclo)/((KRI_Ciclo=cicloCorrente)*(KRI_In_Vigore="Sì")),31),"")</f>
        <v/>
      </c>
      <c r="AB37" t="str">
        <f>IFERROR(INDEX(KRI_KRI_ID,_xlfn.AGGREGATE(15,6,(ROW(KRI_KRI_ID)-5)/((KRI_Ciclo_Definizione=KRI_Ciclo)*(KRI_KRI_ID&lt;&gt;"")),26)),"")</f>
        <v>NFR-16-K1</v>
      </c>
    </row>
    <row r="38" spans="1:28" x14ac:dyDescent="0.4">
      <c r="A38" t="str">
        <f>IF($Z38="","",INDEX(KRI!$B:$B,$Z38)&amp;"")</f>
        <v/>
      </c>
      <c r="B38" t="str">
        <f>IF($Z38="","",INDEX(KRI!$C:$C,$Z38)&amp;"")</f>
        <v/>
      </c>
      <c r="C38" t="str">
        <f>IF($Z38="","",INDEX(KRI!$D:$D,$Z38)&amp;"")</f>
        <v/>
      </c>
      <c r="D38" t="str">
        <f>IF($Z38="","",INDEX(KRI!$F:$F,$Z38)&amp;"")</f>
        <v/>
      </c>
      <c r="E38" t="str">
        <f>IF($Z38="","",IF(INDEX(KRI!$H:$H,$Z38)="","",INDEX(KRI!$H:$H,$Z38)))</f>
        <v/>
      </c>
      <c r="F38" t="str">
        <f>IF($Z38="","",IF(INDEX(KRI!$I:$I,$Z38)="","",INDEX(KRI!$I:$I,$Z38)))</f>
        <v/>
      </c>
      <c r="G38" t="str">
        <f>IF($Z38="","",IF(INDEX(KRI!$J:$J,$Z38)="","",INDEX(KRI!$J:$J,$Z38)))</f>
        <v/>
      </c>
      <c r="H38" s="77" t="str">
        <f>IF($Z38="","",IF(INDEX(KRI!$K:$K,$Z38)="","",INDEX(KRI!$K:$K,$Z38)))</f>
        <v/>
      </c>
      <c r="I38" t="str">
        <f>IF($Z38="","",INDEX(KRI!$N:$N,$Z38)&amp;"")</f>
        <v/>
      </c>
      <c r="J38" t="str">
        <f t="shared" si="0"/>
        <v/>
      </c>
      <c r="K38" t="str">
        <f t="shared" si="1"/>
        <v/>
      </c>
      <c r="L38" s="78" t="str">
        <f>IF($Z38="","",INDEX(KRI!$E:$E,$Z38)&amp;"")</f>
        <v/>
      </c>
      <c r="Z38" t="str">
        <f>IFERROR(_xlfn.AGGREGATE(15,6,ROW(KRI_Ciclo)/((KRI_Ciclo=cicloCorrente)*(KRI_In_Vigore="Sì")),32),"")</f>
        <v/>
      </c>
      <c r="AB38" t="str">
        <f>IFERROR(INDEX(KRI_KRI_ID,_xlfn.AGGREGATE(15,6,(ROW(KRI_KRI_ID)-5)/((KRI_Ciclo_Definizione=KRI_Ciclo)*(KRI_KRI_ID&lt;&gt;"")),27)),"")</f>
        <v>NFR-16-K2</v>
      </c>
    </row>
    <row r="39" spans="1:28" x14ac:dyDescent="0.4">
      <c r="A39" t="str">
        <f>IF($Z39="","",INDEX(KRI!$B:$B,$Z39)&amp;"")</f>
        <v/>
      </c>
      <c r="B39" t="str">
        <f>IF($Z39="","",INDEX(KRI!$C:$C,$Z39)&amp;"")</f>
        <v/>
      </c>
      <c r="C39" t="str">
        <f>IF($Z39="","",INDEX(KRI!$D:$D,$Z39)&amp;"")</f>
        <v/>
      </c>
      <c r="D39" t="str">
        <f>IF($Z39="","",INDEX(KRI!$F:$F,$Z39)&amp;"")</f>
        <v/>
      </c>
      <c r="E39" t="str">
        <f>IF($Z39="","",IF(INDEX(KRI!$H:$H,$Z39)="","",INDEX(KRI!$H:$H,$Z39)))</f>
        <v/>
      </c>
      <c r="F39" t="str">
        <f>IF($Z39="","",IF(INDEX(KRI!$I:$I,$Z39)="","",INDEX(KRI!$I:$I,$Z39)))</f>
        <v/>
      </c>
      <c r="G39" t="str">
        <f>IF($Z39="","",IF(INDEX(KRI!$J:$J,$Z39)="","",INDEX(KRI!$J:$J,$Z39)))</f>
        <v/>
      </c>
      <c r="H39" s="77" t="str">
        <f>IF($Z39="","",IF(INDEX(KRI!$K:$K,$Z39)="","",INDEX(KRI!$K:$K,$Z39)))</f>
        <v/>
      </c>
      <c r="I39" t="str">
        <f>IF($Z39="","",INDEX(KRI!$N:$N,$Z39)&amp;"")</f>
        <v/>
      </c>
      <c r="J39" t="str">
        <f t="shared" ref="J39:J66" si="9">IF($A39="","",IF(COUNTIFS(KRI_KRI_ID,$A39,KRI_Ciclo,cicloPrecedente,KRI_Valore_Corrente,"&lt;&gt;")=0,"—",SUMIFS(KRI_Valore_Corrente,KRI_KRI_ID,$A39,KRI_Ciclo,cicloPrecedente)))</f>
        <v/>
      </c>
      <c r="K39" t="str">
        <f t="shared" ref="K39:K66" si="10">IF(OR(G39="",NOT(ISNUMBER(J39))),"",IF(G39&gt;J39,"▲ peggiora",IF(G39&lt;J39,"▼ migliora","● invariato")))</f>
        <v/>
      </c>
      <c r="L39" s="78" t="str">
        <f>IF($Z39="","",INDEX(KRI!$E:$E,$Z39)&amp;"")</f>
        <v/>
      </c>
      <c r="Z39" t="str">
        <f>IFERROR(_xlfn.AGGREGATE(15,6,ROW(KRI_Ciclo)/((KRI_Ciclo=cicloCorrente)*(KRI_In_Vigore="Sì")),33),"")</f>
        <v/>
      </c>
      <c r="AB39" t="str">
        <f>IFERROR(INDEX(KRI_KRI_ID,_xlfn.AGGREGATE(15,6,(ROW(KRI_KRI_ID)-5)/((KRI_Ciclo_Definizione=KRI_Ciclo)*(KRI_KRI_ID&lt;&gt;"")),28)),"")</f>
        <v/>
      </c>
    </row>
    <row r="40" spans="1:28" x14ac:dyDescent="0.4">
      <c r="A40" t="str">
        <f>IF($Z40="","",INDEX(KRI!$B:$B,$Z40)&amp;"")</f>
        <v/>
      </c>
      <c r="B40" t="str">
        <f>IF($Z40="","",INDEX(KRI!$C:$C,$Z40)&amp;"")</f>
        <v/>
      </c>
      <c r="C40" t="str">
        <f>IF($Z40="","",INDEX(KRI!$D:$D,$Z40)&amp;"")</f>
        <v/>
      </c>
      <c r="D40" t="str">
        <f>IF($Z40="","",INDEX(KRI!$F:$F,$Z40)&amp;"")</f>
        <v/>
      </c>
      <c r="E40" t="str">
        <f>IF($Z40="","",IF(INDEX(KRI!$H:$H,$Z40)="","",INDEX(KRI!$H:$H,$Z40)))</f>
        <v/>
      </c>
      <c r="F40" t="str">
        <f>IF($Z40="","",IF(INDEX(KRI!$I:$I,$Z40)="","",INDEX(KRI!$I:$I,$Z40)))</f>
        <v/>
      </c>
      <c r="G40" t="str">
        <f>IF($Z40="","",IF(INDEX(KRI!$J:$J,$Z40)="","",INDEX(KRI!$J:$J,$Z40)))</f>
        <v/>
      </c>
      <c r="H40" s="77" t="str">
        <f>IF($Z40="","",IF(INDEX(KRI!$K:$K,$Z40)="","",INDEX(KRI!$K:$K,$Z40)))</f>
        <v/>
      </c>
      <c r="I40" t="str">
        <f>IF($Z40="","",INDEX(KRI!$N:$N,$Z40)&amp;"")</f>
        <v/>
      </c>
      <c r="J40" t="str">
        <f t="shared" si="9"/>
        <v/>
      </c>
      <c r="K40" t="str">
        <f t="shared" si="10"/>
        <v/>
      </c>
      <c r="L40" s="78" t="str">
        <f>IF($Z40="","",INDEX(KRI!$E:$E,$Z40)&amp;"")</f>
        <v/>
      </c>
      <c r="Z40" t="str">
        <f>IFERROR(_xlfn.AGGREGATE(15,6,ROW(KRI_Ciclo)/((KRI_Ciclo=cicloCorrente)*(KRI_In_Vigore="Sì")),34),"")</f>
        <v/>
      </c>
      <c r="AB40" t="str">
        <f>IFERROR(INDEX(KRI_KRI_ID,_xlfn.AGGREGATE(15,6,(ROW(KRI_KRI_ID)-5)/((KRI_Ciclo_Definizione=KRI_Ciclo)*(KRI_KRI_ID&lt;&gt;"")),29)),"")</f>
        <v/>
      </c>
    </row>
    <row r="41" spans="1:28" x14ac:dyDescent="0.4">
      <c r="A41" t="str">
        <f>IF($Z41="","",INDEX(KRI!$B:$B,$Z41)&amp;"")</f>
        <v/>
      </c>
      <c r="B41" t="str">
        <f>IF($Z41="","",INDEX(KRI!$C:$C,$Z41)&amp;"")</f>
        <v/>
      </c>
      <c r="C41" t="str">
        <f>IF($Z41="","",INDEX(KRI!$D:$D,$Z41)&amp;"")</f>
        <v/>
      </c>
      <c r="D41" t="str">
        <f>IF($Z41="","",INDEX(KRI!$F:$F,$Z41)&amp;"")</f>
        <v/>
      </c>
      <c r="E41" t="str">
        <f>IF($Z41="","",IF(INDEX(KRI!$H:$H,$Z41)="","",INDEX(KRI!$H:$H,$Z41)))</f>
        <v/>
      </c>
      <c r="F41" t="str">
        <f>IF($Z41="","",IF(INDEX(KRI!$I:$I,$Z41)="","",INDEX(KRI!$I:$I,$Z41)))</f>
        <v/>
      </c>
      <c r="G41" t="str">
        <f>IF($Z41="","",IF(INDEX(KRI!$J:$J,$Z41)="","",INDEX(KRI!$J:$J,$Z41)))</f>
        <v/>
      </c>
      <c r="H41" s="77" t="str">
        <f>IF($Z41="","",IF(INDEX(KRI!$K:$K,$Z41)="","",INDEX(KRI!$K:$K,$Z41)))</f>
        <v/>
      </c>
      <c r="I41" t="str">
        <f>IF($Z41="","",INDEX(KRI!$N:$N,$Z41)&amp;"")</f>
        <v/>
      </c>
      <c r="J41" t="str">
        <f t="shared" si="9"/>
        <v/>
      </c>
      <c r="K41" t="str">
        <f t="shared" si="10"/>
        <v/>
      </c>
      <c r="L41" s="78" t="str">
        <f>IF($Z41="","",INDEX(KRI!$E:$E,$Z41)&amp;"")</f>
        <v/>
      </c>
      <c r="Z41" t="str">
        <f>IFERROR(_xlfn.AGGREGATE(15,6,ROW(KRI_Ciclo)/((KRI_Ciclo=cicloCorrente)*(KRI_In_Vigore="Sì")),35),"")</f>
        <v/>
      </c>
      <c r="AB41" t="str">
        <f>IFERROR(INDEX(KRI_KRI_ID,_xlfn.AGGREGATE(15,6,(ROW(KRI_KRI_ID)-5)/((KRI_Ciclo_Definizione=KRI_Ciclo)*(KRI_KRI_ID&lt;&gt;"")),30)),"")</f>
        <v/>
      </c>
    </row>
    <row r="42" spans="1:28" x14ac:dyDescent="0.4">
      <c r="A42" t="str">
        <f>IF($Z42="","",INDEX(KRI!$B:$B,$Z42)&amp;"")</f>
        <v/>
      </c>
      <c r="B42" t="str">
        <f>IF($Z42="","",INDEX(KRI!$C:$C,$Z42)&amp;"")</f>
        <v/>
      </c>
      <c r="C42" t="str">
        <f>IF($Z42="","",INDEX(KRI!$D:$D,$Z42)&amp;"")</f>
        <v/>
      </c>
      <c r="D42" t="str">
        <f>IF($Z42="","",INDEX(KRI!$F:$F,$Z42)&amp;"")</f>
        <v/>
      </c>
      <c r="E42" t="str">
        <f>IF($Z42="","",IF(INDEX(KRI!$H:$H,$Z42)="","",INDEX(KRI!$H:$H,$Z42)))</f>
        <v/>
      </c>
      <c r="F42" t="str">
        <f>IF($Z42="","",IF(INDEX(KRI!$I:$I,$Z42)="","",INDEX(KRI!$I:$I,$Z42)))</f>
        <v/>
      </c>
      <c r="G42" t="str">
        <f>IF($Z42="","",IF(INDEX(KRI!$J:$J,$Z42)="","",INDEX(KRI!$J:$J,$Z42)))</f>
        <v/>
      </c>
      <c r="H42" s="77" t="str">
        <f>IF($Z42="","",IF(INDEX(KRI!$K:$K,$Z42)="","",INDEX(KRI!$K:$K,$Z42)))</f>
        <v/>
      </c>
      <c r="I42" t="str">
        <f>IF($Z42="","",INDEX(KRI!$N:$N,$Z42)&amp;"")</f>
        <v/>
      </c>
      <c r="J42" t="str">
        <f t="shared" si="9"/>
        <v/>
      </c>
      <c r="K42" t="str">
        <f t="shared" si="10"/>
        <v/>
      </c>
      <c r="L42" s="78" t="str">
        <f>IF($Z42="","",INDEX(KRI!$E:$E,$Z42)&amp;"")</f>
        <v/>
      </c>
      <c r="Z42" t="str">
        <f>IFERROR(_xlfn.AGGREGATE(15,6,ROW(KRI_Ciclo)/((KRI_Ciclo=cicloCorrente)*(KRI_In_Vigore="Sì")),36),"")</f>
        <v/>
      </c>
      <c r="AB42" t="str">
        <f>IFERROR(INDEX(KRI_KRI_ID,_xlfn.AGGREGATE(15,6,(ROW(KRI_KRI_ID)-5)/((KRI_Ciclo_Definizione=KRI_Ciclo)*(KRI_KRI_ID&lt;&gt;"")),31)),"")</f>
        <v/>
      </c>
    </row>
    <row r="43" spans="1:28" x14ac:dyDescent="0.4">
      <c r="A43" t="str">
        <f>IF($Z43="","",INDEX(KRI!$B:$B,$Z43)&amp;"")</f>
        <v/>
      </c>
      <c r="B43" t="str">
        <f>IF($Z43="","",INDEX(KRI!$C:$C,$Z43)&amp;"")</f>
        <v/>
      </c>
      <c r="C43" t="str">
        <f>IF($Z43="","",INDEX(KRI!$D:$D,$Z43)&amp;"")</f>
        <v/>
      </c>
      <c r="D43" t="str">
        <f>IF($Z43="","",INDEX(KRI!$F:$F,$Z43)&amp;"")</f>
        <v/>
      </c>
      <c r="E43" t="str">
        <f>IF($Z43="","",IF(INDEX(KRI!$H:$H,$Z43)="","",INDEX(KRI!$H:$H,$Z43)))</f>
        <v/>
      </c>
      <c r="F43" t="str">
        <f>IF($Z43="","",IF(INDEX(KRI!$I:$I,$Z43)="","",INDEX(KRI!$I:$I,$Z43)))</f>
        <v/>
      </c>
      <c r="G43" t="str">
        <f>IF($Z43="","",IF(INDEX(KRI!$J:$J,$Z43)="","",INDEX(KRI!$J:$J,$Z43)))</f>
        <v/>
      </c>
      <c r="H43" s="77" t="str">
        <f>IF($Z43="","",IF(INDEX(KRI!$K:$K,$Z43)="","",INDEX(KRI!$K:$K,$Z43)))</f>
        <v/>
      </c>
      <c r="I43" t="str">
        <f>IF($Z43="","",INDEX(KRI!$N:$N,$Z43)&amp;"")</f>
        <v/>
      </c>
      <c r="J43" t="str">
        <f t="shared" si="9"/>
        <v/>
      </c>
      <c r="K43" t="str">
        <f t="shared" si="10"/>
        <v/>
      </c>
      <c r="L43" s="78" t="str">
        <f>IF($Z43="","",INDEX(KRI!$E:$E,$Z43)&amp;"")</f>
        <v/>
      </c>
      <c r="Z43" t="str">
        <f>IFERROR(_xlfn.AGGREGATE(15,6,ROW(KRI_Ciclo)/((KRI_Ciclo=cicloCorrente)*(KRI_In_Vigore="Sì")),37),"")</f>
        <v/>
      </c>
      <c r="AB43" t="str">
        <f>IFERROR(INDEX(KRI_KRI_ID,_xlfn.AGGREGATE(15,6,(ROW(KRI_KRI_ID)-5)/((KRI_Ciclo_Definizione=KRI_Ciclo)*(KRI_KRI_ID&lt;&gt;"")),32)),"")</f>
        <v/>
      </c>
    </row>
    <row r="44" spans="1:28" x14ac:dyDescent="0.4">
      <c r="A44" t="str">
        <f>IF($Z44="","",INDEX(KRI!$B:$B,$Z44)&amp;"")</f>
        <v/>
      </c>
      <c r="B44" t="str">
        <f>IF($Z44="","",INDEX(KRI!$C:$C,$Z44)&amp;"")</f>
        <v/>
      </c>
      <c r="C44" t="str">
        <f>IF($Z44="","",INDEX(KRI!$D:$D,$Z44)&amp;"")</f>
        <v/>
      </c>
      <c r="D44" t="str">
        <f>IF($Z44="","",INDEX(KRI!$F:$F,$Z44)&amp;"")</f>
        <v/>
      </c>
      <c r="E44" t="str">
        <f>IF($Z44="","",IF(INDEX(KRI!$H:$H,$Z44)="","",INDEX(KRI!$H:$H,$Z44)))</f>
        <v/>
      </c>
      <c r="F44" t="str">
        <f>IF($Z44="","",IF(INDEX(KRI!$I:$I,$Z44)="","",INDEX(KRI!$I:$I,$Z44)))</f>
        <v/>
      </c>
      <c r="G44" t="str">
        <f>IF($Z44="","",IF(INDEX(KRI!$J:$J,$Z44)="","",INDEX(KRI!$J:$J,$Z44)))</f>
        <v/>
      </c>
      <c r="H44" s="77" t="str">
        <f>IF($Z44="","",IF(INDEX(KRI!$K:$K,$Z44)="","",INDEX(KRI!$K:$K,$Z44)))</f>
        <v/>
      </c>
      <c r="I44" t="str">
        <f>IF($Z44="","",INDEX(KRI!$N:$N,$Z44)&amp;"")</f>
        <v/>
      </c>
      <c r="J44" t="str">
        <f t="shared" si="9"/>
        <v/>
      </c>
      <c r="K44" t="str">
        <f t="shared" si="10"/>
        <v/>
      </c>
      <c r="L44" s="78" t="str">
        <f>IF($Z44="","",INDEX(KRI!$E:$E,$Z44)&amp;"")</f>
        <v/>
      </c>
      <c r="Z44" t="str">
        <f>IFERROR(_xlfn.AGGREGATE(15,6,ROW(KRI_Ciclo)/((KRI_Ciclo=cicloCorrente)*(KRI_In_Vigore="Sì")),38),"")</f>
        <v/>
      </c>
      <c r="AB44" t="str">
        <f>IFERROR(INDEX(KRI_KRI_ID,_xlfn.AGGREGATE(15,6,(ROW(KRI_KRI_ID)-5)/((KRI_Ciclo_Definizione=KRI_Ciclo)*(KRI_KRI_ID&lt;&gt;"")),33)),"")</f>
        <v/>
      </c>
    </row>
    <row r="45" spans="1:28" x14ac:dyDescent="0.4">
      <c r="A45" t="str">
        <f>IF($Z45="","",INDEX(KRI!$B:$B,$Z45)&amp;"")</f>
        <v/>
      </c>
      <c r="B45" t="str">
        <f>IF($Z45="","",INDEX(KRI!$C:$C,$Z45)&amp;"")</f>
        <v/>
      </c>
      <c r="C45" t="str">
        <f>IF($Z45="","",INDEX(KRI!$D:$D,$Z45)&amp;"")</f>
        <v/>
      </c>
      <c r="D45" t="str">
        <f>IF($Z45="","",INDEX(KRI!$F:$F,$Z45)&amp;"")</f>
        <v/>
      </c>
      <c r="E45" t="str">
        <f>IF($Z45="","",IF(INDEX(KRI!$H:$H,$Z45)="","",INDEX(KRI!$H:$H,$Z45)))</f>
        <v/>
      </c>
      <c r="F45" t="str">
        <f>IF($Z45="","",IF(INDEX(KRI!$I:$I,$Z45)="","",INDEX(KRI!$I:$I,$Z45)))</f>
        <v/>
      </c>
      <c r="G45" t="str">
        <f>IF($Z45="","",IF(INDEX(KRI!$J:$J,$Z45)="","",INDEX(KRI!$J:$J,$Z45)))</f>
        <v/>
      </c>
      <c r="H45" s="77" t="str">
        <f>IF($Z45="","",IF(INDEX(KRI!$K:$K,$Z45)="","",INDEX(KRI!$K:$K,$Z45)))</f>
        <v/>
      </c>
      <c r="I45" t="str">
        <f>IF($Z45="","",INDEX(KRI!$N:$N,$Z45)&amp;"")</f>
        <v/>
      </c>
      <c r="J45" t="str">
        <f t="shared" si="9"/>
        <v/>
      </c>
      <c r="K45" t="str">
        <f t="shared" si="10"/>
        <v/>
      </c>
      <c r="L45" s="78" t="str">
        <f>IF($Z45="","",INDEX(KRI!$E:$E,$Z45)&amp;"")</f>
        <v/>
      </c>
      <c r="Z45" t="str">
        <f>IFERROR(_xlfn.AGGREGATE(15,6,ROW(KRI_Ciclo)/((KRI_Ciclo=cicloCorrente)*(KRI_In_Vigore="Sì")),39),"")</f>
        <v/>
      </c>
      <c r="AB45" t="str">
        <f>IFERROR(INDEX(KRI_KRI_ID,_xlfn.AGGREGATE(15,6,(ROW(KRI_KRI_ID)-5)/((KRI_Ciclo_Definizione=KRI_Ciclo)*(KRI_KRI_ID&lt;&gt;"")),34)),"")</f>
        <v/>
      </c>
    </row>
    <row r="46" spans="1:28" x14ac:dyDescent="0.4">
      <c r="A46" t="str">
        <f>IF($Z46="","",INDEX(KRI!$B:$B,$Z46)&amp;"")</f>
        <v/>
      </c>
      <c r="B46" t="str">
        <f>IF($Z46="","",INDEX(KRI!$C:$C,$Z46)&amp;"")</f>
        <v/>
      </c>
      <c r="C46" t="str">
        <f>IF($Z46="","",INDEX(KRI!$D:$D,$Z46)&amp;"")</f>
        <v/>
      </c>
      <c r="D46" t="str">
        <f>IF($Z46="","",INDEX(KRI!$F:$F,$Z46)&amp;"")</f>
        <v/>
      </c>
      <c r="E46" t="str">
        <f>IF($Z46="","",IF(INDEX(KRI!$H:$H,$Z46)="","",INDEX(KRI!$H:$H,$Z46)))</f>
        <v/>
      </c>
      <c r="F46" t="str">
        <f>IF($Z46="","",IF(INDEX(KRI!$I:$I,$Z46)="","",INDEX(KRI!$I:$I,$Z46)))</f>
        <v/>
      </c>
      <c r="G46" t="str">
        <f>IF($Z46="","",IF(INDEX(KRI!$J:$J,$Z46)="","",INDEX(KRI!$J:$J,$Z46)))</f>
        <v/>
      </c>
      <c r="H46" s="77" t="str">
        <f>IF($Z46="","",IF(INDEX(KRI!$K:$K,$Z46)="","",INDEX(KRI!$K:$K,$Z46)))</f>
        <v/>
      </c>
      <c r="I46" t="str">
        <f>IF($Z46="","",INDEX(KRI!$N:$N,$Z46)&amp;"")</f>
        <v/>
      </c>
      <c r="J46" t="str">
        <f t="shared" si="9"/>
        <v/>
      </c>
      <c r="K46" t="str">
        <f t="shared" si="10"/>
        <v/>
      </c>
      <c r="L46" s="78" t="str">
        <f>IF($Z46="","",INDEX(KRI!$E:$E,$Z46)&amp;"")</f>
        <v/>
      </c>
      <c r="Z46" t="str">
        <f>IFERROR(_xlfn.AGGREGATE(15,6,ROW(KRI_Ciclo)/((KRI_Ciclo=cicloCorrente)*(KRI_In_Vigore="Sì")),40),"")</f>
        <v/>
      </c>
      <c r="AB46" t="str">
        <f>IFERROR(INDEX(KRI_KRI_ID,_xlfn.AGGREGATE(15,6,(ROW(KRI_KRI_ID)-5)/((KRI_Ciclo_Definizione=KRI_Ciclo)*(KRI_KRI_ID&lt;&gt;"")),35)),"")</f>
        <v/>
      </c>
    </row>
    <row r="47" spans="1:28" x14ac:dyDescent="0.4">
      <c r="A47" t="str">
        <f>IF($Z47="","",INDEX(KRI!$B:$B,$Z47)&amp;"")</f>
        <v/>
      </c>
      <c r="B47" t="str">
        <f>IF($Z47="","",INDEX(KRI!$C:$C,$Z47)&amp;"")</f>
        <v/>
      </c>
      <c r="C47" t="str">
        <f>IF($Z47="","",INDEX(KRI!$D:$D,$Z47)&amp;"")</f>
        <v/>
      </c>
      <c r="D47" t="str">
        <f>IF($Z47="","",INDEX(KRI!$F:$F,$Z47)&amp;"")</f>
        <v/>
      </c>
      <c r="E47" t="str">
        <f>IF($Z47="","",IF(INDEX(KRI!$H:$H,$Z47)="","",INDEX(KRI!$H:$H,$Z47)))</f>
        <v/>
      </c>
      <c r="F47" t="str">
        <f>IF($Z47="","",IF(INDEX(KRI!$I:$I,$Z47)="","",INDEX(KRI!$I:$I,$Z47)))</f>
        <v/>
      </c>
      <c r="G47" t="str">
        <f>IF($Z47="","",IF(INDEX(KRI!$J:$J,$Z47)="","",INDEX(KRI!$J:$J,$Z47)))</f>
        <v/>
      </c>
      <c r="H47" s="77" t="str">
        <f>IF($Z47="","",IF(INDEX(KRI!$K:$K,$Z47)="","",INDEX(KRI!$K:$K,$Z47)))</f>
        <v/>
      </c>
      <c r="I47" t="str">
        <f>IF($Z47="","",INDEX(KRI!$N:$N,$Z47)&amp;"")</f>
        <v/>
      </c>
      <c r="J47" t="str">
        <f t="shared" si="9"/>
        <v/>
      </c>
      <c r="K47" t="str">
        <f t="shared" si="10"/>
        <v/>
      </c>
      <c r="L47" s="78" t="str">
        <f>IF($Z47="","",INDEX(KRI!$E:$E,$Z47)&amp;"")</f>
        <v/>
      </c>
      <c r="Z47" t="str">
        <f>IFERROR(_xlfn.AGGREGATE(15,6,ROW(KRI_Ciclo)/((KRI_Ciclo=cicloCorrente)*(KRI_In_Vigore="Sì")),41),"")</f>
        <v/>
      </c>
      <c r="AB47" t="str">
        <f>IFERROR(INDEX(KRI_KRI_ID,_xlfn.AGGREGATE(15,6,(ROW(KRI_KRI_ID)-5)/((KRI_Ciclo_Definizione=KRI_Ciclo)*(KRI_KRI_ID&lt;&gt;"")),36)),"")</f>
        <v/>
      </c>
    </row>
    <row r="48" spans="1:28" x14ac:dyDescent="0.4">
      <c r="A48" t="str">
        <f>IF($Z48="","",INDEX(KRI!$B:$B,$Z48)&amp;"")</f>
        <v/>
      </c>
      <c r="B48" t="str">
        <f>IF($Z48="","",INDEX(KRI!$C:$C,$Z48)&amp;"")</f>
        <v/>
      </c>
      <c r="C48" t="str">
        <f>IF($Z48="","",INDEX(KRI!$D:$D,$Z48)&amp;"")</f>
        <v/>
      </c>
      <c r="D48" t="str">
        <f>IF($Z48="","",INDEX(KRI!$F:$F,$Z48)&amp;"")</f>
        <v/>
      </c>
      <c r="E48" t="str">
        <f>IF($Z48="","",IF(INDEX(KRI!$H:$H,$Z48)="","",INDEX(KRI!$H:$H,$Z48)))</f>
        <v/>
      </c>
      <c r="F48" t="str">
        <f>IF($Z48="","",IF(INDEX(KRI!$I:$I,$Z48)="","",INDEX(KRI!$I:$I,$Z48)))</f>
        <v/>
      </c>
      <c r="G48" t="str">
        <f>IF($Z48="","",IF(INDEX(KRI!$J:$J,$Z48)="","",INDEX(KRI!$J:$J,$Z48)))</f>
        <v/>
      </c>
      <c r="H48" s="77" t="str">
        <f>IF($Z48="","",IF(INDEX(KRI!$K:$K,$Z48)="","",INDEX(KRI!$K:$K,$Z48)))</f>
        <v/>
      </c>
      <c r="I48" t="str">
        <f>IF($Z48="","",INDEX(KRI!$N:$N,$Z48)&amp;"")</f>
        <v/>
      </c>
      <c r="J48" t="str">
        <f t="shared" si="9"/>
        <v/>
      </c>
      <c r="K48" t="str">
        <f t="shared" si="10"/>
        <v/>
      </c>
      <c r="L48" s="78" t="str">
        <f>IF($Z48="","",INDEX(KRI!$E:$E,$Z48)&amp;"")</f>
        <v/>
      </c>
      <c r="Z48" t="str">
        <f>IFERROR(_xlfn.AGGREGATE(15,6,ROW(KRI_Ciclo)/((KRI_Ciclo=cicloCorrente)*(KRI_In_Vigore="Sì")),42),"")</f>
        <v/>
      </c>
      <c r="AB48" t="str">
        <f>IFERROR(INDEX(KRI_KRI_ID,_xlfn.AGGREGATE(15,6,(ROW(KRI_KRI_ID)-5)/((KRI_Ciclo_Definizione=KRI_Ciclo)*(KRI_KRI_ID&lt;&gt;"")),37)),"")</f>
        <v/>
      </c>
    </row>
    <row r="49" spans="1:28" x14ac:dyDescent="0.4">
      <c r="A49" t="str">
        <f>IF($Z49="","",INDEX(KRI!$B:$B,$Z49)&amp;"")</f>
        <v/>
      </c>
      <c r="B49" t="str">
        <f>IF($Z49="","",INDEX(KRI!$C:$C,$Z49)&amp;"")</f>
        <v/>
      </c>
      <c r="C49" t="str">
        <f>IF($Z49="","",INDEX(KRI!$D:$D,$Z49)&amp;"")</f>
        <v/>
      </c>
      <c r="D49" t="str">
        <f>IF($Z49="","",INDEX(KRI!$F:$F,$Z49)&amp;"")</f>
        <v/>
      </c>
      <c r="E49" t="str">
        <f>IF($Z49="","",IF(INDEX(KRI!$H:$H,$Z49)="","",INDEX(KRI!$H:$H,$Z49)))</f>
        <v/>
      </c>
      <c r="F49" t="str">
        <f>IF($Z49="","",IF(INDEX(KRI!$I:$I,$Z49)="","",INDEX(KRI!$I:$I,$Z49)))</f>
        <v/>
      </c>
      <c r="G49" t="str">
        <f>IF($Z49="","",IF(INDEX(KRI!$J:$J,$Z49)="","",INDEX(KRI!$J:$J,$Z49)))</f>
        <v/>
      </c>
      <c r="H49" s="77" t="str">
        <f>IF($Z49="","",IF(INDEX(KRI!$K:$K,$Z49)="","",INDEX(KRI!$K:$K,$Z49)))</f>
        <v/>
      </c>
      <c r="I49" t="str">
        <f>IF($Z49="","",INDEX(KRI!$N:$N,$Z49)&amp;"")</f>
        <v/>
      </c>
      <c r="J49" t="str">
        <f t="shared" si="9"/>
        <v/>
      </c>
      <c r="K49" t="str">
        <f t="shared" si="10"/>
        <v/>
      </c>
      <c r="L49" s="78" t="str">
        <f>IF($Z49="","",INDEX(KRI!$E:$E,$Z49)&amp;"")</f>
        <v/>
      </c>
      <c r="Z49" t="str">
        <f>IFERROR(_xlfn.AGGREGATE(15,6,ROW(KRI_Ciclo)/((KRI_Ciclo=cicloCorrente)*(KRI_In_Vigore="Sì")),43),"")</f>
        <v/>
      </c>
      <c r="AB49" t="str">
        <f>IFERROR(INDEX(KRI_KRI_ID,_xlfn.AGGREGATE(15,6,(ROW(KRI_KRI_ID)-5)/((KRI_Ciclo_Definizione=KRI_Ciclo)*(KRI_KRI_ID&lt;&gt;"")),38)),"")</f>
        <v/>
      </c>
    </row>
    <row r="50" spans="1:28" x14ac:dyDescent="0.4">
      <c r="A50" t="str">
        <f>IF($Z50="","",INDEX(KRI!$B:$B,$Z50)&amp;"")</f>
        <v/>
      </c>
      <c r="B50" t="str">
        <f>IF($Z50="","",INDEX(KRI!$C:$C,$Z50)&amp;"")</f>
        <v/>
      </c>
      <c r="C50" t="str">
        <f>IF($Z50="","",INDEX(KRI!$D:$D,$Z50)&amp;"")</f>
        <v/>
      </c>
      <c r="D50" t="str">
        <f>IF($Z50="","",INDEX(KRI!$F:$F,$Z50)&amp;"")</f>
        <v/>
      </c>
      <c r="E50" t="str">
        <f>IF($Z50="","",IF(INDEX(KRI!$H:$H,$Z50)="","",INDEX(KRI!$H:$H,$Z50)))</f>
        <v/>
      </c>
      <c r="F50" t="str">
        <f>IF($Z50="","",IF(INDEX(KRI!$I:$I,$Z50)="","",INDEX(KRI!$I:$I,$Z50)))</f>
        <v/>
      </c>
      <c r="G50" t="str">
        <f>IF($Z50="","",IF(INDEX(KRI!$J:$J,$Z50)="","",INDEX(KRI!$J:$J,$Z50)))</f>
        <v/>
      </c>
      <c r="H50" s="77" t="str">
        <f>IF($Z50="","",IF(INDEX(KRI!$K:$K,$Z50)="","",INDEX(KRI!$K:$K,$Z50)))</f>
        <v/>
      </c>
      <c r="I50" t="str">
        <f>IF($Z50="","",INDEX(KRI!$N:$N,$Z50)&amp;"")</f>
        <v/>
      </c>
      <c r="J50" t="str">
        <f t="shared" si="9"/>
        <v/>
      </c>
      <c r="K50" t="str">
        <f t="shared" si="10"/>
        <v/>
      </c>
      <c r="L50" s="78" t="str">
        <f>IF($Z50="","",INDEX(KRI!$E:$E,$Z50)&amp;"")</f>
        <v/>
      </c>
      <c r="Z50" t="str">
        <f>IFERROR(_xlfn.AGGREGATE(15,6,ROW(KRI_Ciclo)/((KRI_Ciclo=cicloCorrente)*(KRI_In_Vigore="Sì")),44),"")</f>
        <v/>
      </c>
      <c r="AB50" t="str">
        <f>IFERROR(INDEX(KRI_KRI_ID,_xlfn.AGGREGATE(15,6,(ROW(KRI_KRI_ID)-5)/((KRI_Ciclo_Definizione=KRI_Ciclo)*(KRI_KRI_ID&lt;&gt;"")),39)),"")</f>
        <v/>
      </c>
    </row>
    <row r="51" spans="1:28" x14ac:dyDescent="0.4">
      <c r="A51" t="str">
        <f>IF($Z51="","",INDEX(KRI!$B:$B,$Z51)&amp;"")</f>
        <v/>
      </c>
      <c r="B51" t="str">
        <f>IF($Z51="","",INDEX(KRI!$C:$C,$Z51)&amp;"")</f>
        <v/>
      </c>
      <c r="C51" t="str">
        <f>IF($Z51="","",INDEX(KRI!$D:$D,$Z51)&amp;"")</f>
        <v/>
      </c>
      <c r="D51" t="str">
        <f>IF($Z51="","",INDEX(KRI!$F:$F,$Z51)&amp;"")</f>
        <v/>
      </c>
      <c r="E51" t="str">
        <f>IF($Z51="","",IF(INDEX(KRI!$H:$H,$Z51)="","",INDEX(KRI!$H:$H,$Z51)))</f>
        <v/>
      </c>
      <c r="F51" t="str">
        <f>IF($Z51="","",IF(INDEX(KRI!$I:$I,$Z51)="","",INDEX(KRI!$I:$I,$Z51)))</f>
        <v/>
      </c>
      <c r="G51" t="str">
        <f>IF($Z51="","",IF(INDEX(KRI!$J:$J,$Z51)="","",INDEX(KRI!$J:$J,$Z51)))</f>
        <v/>
      </c>
      <c r="H51" s="77" t="str">
        <f>IF($Z51="","",IF(INDEX(KRI!$K:$K,$Z51)="","",INDEX(KRI!$K:$K,$Z51)))</f>
        <v/>
      </c>
      <c r="I51" t="str">
        <f>IF($Z51="","",INDEX(KRI!$N:$N,$Z51)&amp;"")</f>
        <v/>
      </c>
      <c r="J51" t="str">
        <f t="shared" si="9"/>
        <v/>
      </c>
      <c r="K51" t="str">
        <f t="shared" si="10"/>
        <v/>
      </c>
      <c r="L51" s="78" t="str">
        <f>IF($Z51="","",INDEX(KRI!$E:$E,$Z51)&amp;"")</f>
        <v/>
      </c>
      <c r="Z51" t="str">
        <f>IFERROR(_xlfn.AGGREGATE(15,6,ROW(KRI_Ciclo)/((KRI_Ciclo=cicloCorrente)*(KRI_In_Vigore="Sì")),45),"")</f>
        <v/>
      </c>
      <c r="AB51" t="str">
        <f>IFERROR(INDEX(KRI_KRI_ID,_xlfn.AGGREGATE(15,6,(ROW(KRI_KRI_ID)-5)/((KRI_Ciclo_Definizione=KRI_Ciclo)*(KRI_KRI_ID&lt;&gt;"")),40)),"")</f>
        <v/>
      </c>
    </row>
    <row r="52" spans="1:28" x14ac:dyDescent="0.4">
      <c r="A52" t="str">
        <f>IF($Z52="","",INDEX(KRI!$B:$B,$Z52)&amp;"")</f>
        <v/>
      </c>
      <c r="B52" t="str">
        <f>IF($Z52="","",INDEX(KRI!$C:$C,$Z52)&amp;"")</f>
        <v/>
      </c>
      <c r="C52" t="str">
        <f>IF($Z52="","",INDEX(KRI!$D:$D,$Z52)&amp;"")</f>
        <v/>
      </c>
      <c r="D52" t="str">
        <f>IF($Z52="","",INDEX(KRI!$F:$F,$Z52)&amp;"")</f>
        <v/>
      </c>
      <c r="E52" t="str">
        <f>IF($Z52="","",IF(INDEX(KRI!$H:$H,$Z52)="","",INDEX(KRI!$H:$H,$Z52)))</f>
        <v/>
      </c>
      <c r="F52" t="str">
        <f>IF($Z52="","",IF(INDEX(KRI!$I:$I,$Z52)="","",INDEX(KRI!$I:$I,$Z52)))</f>
        <v/>
      </c>
      <c r="G52" t="str">
        <f>IF($Z52="","",IF(INDEX(KRI!$J:$J,$Z52)="","",INDEX(KRI!$J:$J,$Z52)))</f>
        <v/>
      </c>
      <c r="H52" s="77" t="str">
        <f>IF($Z52="","",IF(INDEX(KRI!$K:$K,$Z52)="","",INDEX(KRI!$K:$K,$Z52)))</f>
        <v/>
      </c>
      <c r="I52" t="str">
        <f>IF($Z52="","",INDEX(KRI!$N:$N,$Z52)&amp;"")</f>
        <v/>
      </c>
      <c r="J52" t="str">
        <f t="shared" si="9"/>
        <v/>
      </c>
      <c r="K52" t="str">
        <f t="shared" si="10"/>
        <v/>
      </c>
      <c r="L52" s="78" t="str">
        <f>IF($Z52="","",INDEX(KRI!$E:$E,$Z52)&amp;"")</f>
        <v/>
      </c>
      <c r="Z52" t="str">
        <f>IFERROR(_xlfn.AGGREGATE(15,6,ROW(KRI_Ciclo)/((KRI_Ciclo=cicloCorrente)*(KRI_In_Vigore="Sì")),46),"")</f>
        <v/>
      </c>
      <c r="AB52" t="str">
        <f>IFERROR(INDEX(KRI_KRI_ID,_xlfn.AGGREGATE(15,6,(ROW(KRI_KRI_ID)-5)/((KRI_Ciclo_Definizione=KRI_Ciclo)*(KRI_KRI_ID&lt;&gt;"")),41)),"")</f>
        <v/>
      </c>
    </row>
    <row r="53" spans="1:28" x14ac:dyDescent="0.4">
      <c r="A53" t="str">
        <f>IF($Z53="","",INDEX(KRI!$B:$B,$Z53)&amp;"")</f>
        <v/>
      </c>
      <c r="B53" t="str">
        <f>IF($Z53="","",INDEX(KRI!$C:$C,$Z53)&amp;"")</f>
        <v/>
      </c>
      <c r="C53" t="str">
        <f>IF($Z53="","",INDEX(KRI!$D:$D,$Z53)&amp;"")</f>
        <v/>
      </c>
      <c r="D53" t="str">
        <f>IF($Z53="","",INDEX(KRI!$F:$F,$Z53)&amp;"")</f>
        <v/>
      </c>
      <c r="E53" t="str">
        <f>IF($Z53="","",IF(INDEX(KRI!$H:$H,$Z53)="","",INDEX(KRI!$H:$H,$Z53)))</f>
        <v/>
      </c>
      <c r="F53" t="str">
        <f>IF($Z53="","",IF(INDEX(KRI!$I:$I,$Z53)="","",INDEX(KRI!$I:$I,$Z53)))</f>
        <v/>
      </c>
      <c r="G53" t="str">
        <f>IF($Z53="","",IF(INDEX(KRI!$J:$J,$Z53)="","",INDEX(KRI!$J:$J,$Z53)))</f>
        <v/>
      </c>
      <c r="H53" s="77" t="str">
        <f>IF($Z53="","",IF(INDEX(KRI!$K:$K,$Z53)="","",INDEX(KRI!$K:$K,$Z53)))</f>
        <v/>
      </c>
      <c r="I53" t="str">
        <f>IF($Z53="","",INDEX(KRI!$N:$N,$Z53)&amp;"")</f>
        <v/>
      </c>
      <c r="J53" t="str">
        <f t="shared" si="9"/>
        <v/>
      </c>
      <c r="K53" t="str">
        <f t="shared" si="10"/>
        <v/>
      </c>
      <c r="L53" s="78" t="str">
        <f>IF($Z53="","",INDEX(KRI!$E:$E,$Z53)&amp;"")</f>
        <v/>
      </c>
      <c r="Z53" t="str">
        <f>IFERROR(_xlfn.AGGREGATE(15,6,ROW(KRI_Ciclo)/((KRI_Ciclo=cicloCorrente)*(KRI_In_Vigore="Sì")),47),"")</f>
        <v/>
      </c>
      <c r="AB53" t="str">
        <f>IFERROR(INDEX(KRI_KRI_ID,_xlfn.AGGREGATE(15,6,(ROW(KRI_KRI_ID)-5)/((KRI_Ciclo_Definizione=KRI_Ciclo)*(KRI_KRI_ID&lt;&gt;"")),42)),"")</f>
        <v/>
      </c>
    </row>
    <row r="54" spans="1:28" x14ac:dyDescent="0.4">
      <c r="A54" t="str">
        <f>IF($Z54="","",INDEX(KRI!$B:$B,$Z54)&amp;"")</f>
        <v/>
      </c>
      <c r="B54" t="str">
        <f>IF($Z54="","",INDEX(KRI!$C:$C,$Z54)&amp;"")</f>
        <v/>
      </c>
      <c r="C54" t="str">
        <f>IF($Z54="","",INDEX(KRI!$D:$D,$Z54)&amp;"")</f>
        <v/>
      </c>
      <c r="D54" t="str">
        <f>IF($Z54="","",INDEX(KRI!$F:$F,$Z54)&amp;"")</f>
        <v/>
      </c>
      <c r="E54" t="str">
        <f>IF($Z54="","",IF(INDEX(KRI!$H:$H,$Z54)="","",INDEX(KRI!$H:$H,$Z54)))</f>
        <v/>
      </c>
      <c r="F54" t="str">
        <f>IF($Z54="","",IF(INDEX(KRI!$I:$I,$Z54)="","",INDEX(KRI!$I:$I,$Z54)))</f>
        <v/>
      </c>
      <c r="G54" t="str">
        <f>IF($Z54="","",IF(INDEX(KRI!$J:$J,$Z54)="","",INDEX(KRI!$J:$J,$Z54)))</f>
        <v/>
      </c>
      <c r="H54" s="77" t="str">
        <f>IF($Z54="","",IF(INDEX(KRI!$K:$K,$Z54)="","",INDEX(KRI!$K:$K,$Z54)))</f>
        <v/>
      </c>
      <c r="I54" t="str">
        <f>IF($Z54="","",INDEX(KRI!$N:$N,$Z54)&amp;"")</f>
        <v/>
      </c>
      <c r="J54" t="str">
        <f t="shared" si="9"/>
        <v/>
      </c>
      <c r="K54" t="str">
        <f t="shared" si="10"/>
        <v/>
      </c>
      <c r="L54" s="78" t="str">
        <f>IF($Z54="","",INDEX(KRI!$E:$E,$Z54)&amp;"")</f>
        <v/>
      </c>
      <c r="Z54" t="str">
        <f>IFERROR(_xlfn.AGGREGATE(15,6,ROW(KRI_Ciclo)/((KRI_Ciclo=cicloCorrente)*(KRI_In_Vigore="Sì")),48),"")</f>
        <v/>
      </c>
      <c r="AB54" t="str">
        <f>IFERROR(INDEX(KRI_KRI_ID,_xlfn.AGGREGATE(15,6,(ROW(KRI_KRI_ID)-5)/((KRI_Ciclo_Definizione=KRI_Ciclo)*(KRI_KRI_ID&lt;&gt;"")),43)),"")</f>
        <v/>
      </c>
    </row>
    <row r="55" spans="1:28" x14ac:dyDescent="0.4">
      <c r="A55" t="str">
        <f>IF($Z55="","",INDEX(KRI!$B:$B,$Z55)&amp;"")</f>
        <v/>
      </c>
      <c r="B55" t="str">
        <f>IF($Z55="","",INDEX(KRI!$C:$C,$Z55)&amp;"")</f>
        <v/>
      </c>
      <c r="C55" t="str">
        <f>IF($Z55="","",INDEX(KRI!$D:$D,$Z55)&amp;"")</f>
        <v/>
      </c>
      <c r="D55" t="str">
        <f>IF($Z55="","",INDEX(KRI!$F:$F,$Z55)&amp;"")</f>
        <v/>
      </c>
      <c r="E55" t="str">
        <f>IF($Z55="","",IF(INDEX(KRI!$H:$H,$Z55)="","",INDEX(KRI!$H:$H,$Z55)))</f>
        <v/>
      </c>
      <c r="F55" t="str">
        <f>IF($Z55="","",IF(INDEX(KRI!$I:$I,$Z55)="","",INDEX(KRI!$I:$I,$Z55)))</f>
        <v/>
      </c>
      <c r="G55" t="str">
        <f>IF($Z55="","",IF(INDEX(KRI!$J:$J,$Z55)="","",INDEX(KRI!$J:$J,$Z55)))</f>
        <v/>
      </c>
      <c r="H55" s="77" t="str">
        <f>IF($Z55="","",IF(INDEX(KRI!$K:$K,$Z55)="","",INDEX(KRI!$K:$K,$Z55)))</f>
        <v/>
      </c>
      <c r="I55" t="str">
        <f>IF($Z55="","",INDEX(KRI!$N:$N,$Z55)&amp;"")</f>
        <v/>
      </c>
      <c r="J55" t="str">
        <f t="shared" si="9"/>
        <v/>
      </c>
      <c r="K55" t="str">
        <f t="shared" si="10"/>
        <v/>
      </c>
      <c r="L55" s="78" t="str">
        <f>IF($Z55="","",INDEX(KRI!$E:$E,$Z55)&amp;"")</f>
        <v/>
      </c>
      <c r="Z55" t="str">
        <f>IFERROR(_xlfn.AGGREGATE(15,6,ROW(KRI_Ciclo)/((KRI_Ciclo=cicloCorrente)*(KRI_In_Vigore="Sì")),49),"")</f>
        <v/>
      </c>
      <c r="AB55" t="str">
        <f>IFERROR(INDEX(KRI_KRI_ID,_xlfn.AGGREGATE(15,6,(ROW(KRI_KRI_ID)-5)/((KRI_Ciclo_Definizione=KRI_Ciclo)*(KRI_KRI_ID&lt;&gt;"")),44)),"")</f>
        <v/>
      </c>
    </row>
    <row r="56" spans="1:28" x14ac:dyDescent="0.4">
      <c r="A56" t="str">
        <f>IF($Z56="","",INDEX(KRI!$B:$B,$Z56)&amp;"")</f>
        <v/>
      </c>
      <c r="B56" t="str">
        <f>IF($Z56="","",INDEX(KRI!$C:$C,$Z56)&amp;"")</f>
        <v/>
      </c>
      <c r="C56" t="str">
        <f>IF($Z56="","",INDEX(KRI!$D:$D,$Z56)&amp;"")</f>
        <v/>
      </c>
      <c r="D56" t="str">
        <f>IF($Z56="","",INDEX(KRI!$F:$F,$Z56)&amp;"")</f>
        <v/>
      </c>
      <c r="E56" t="str">
        <f>IF($Z56="","",IF(INDEX(KRI!$H:$H,$Z56)="","",INDEX(KRI!$H:$H,$Z56)))</f>
        <v/>
      </c>
      <c r="F56" t="str">
        <f>IF($Z56="","",IF(INDEX(KRI!$I:$I,$Z56)="","",INDEX(KRI!$I:$I,$Z56)))</f>
        <v/>
      </c>
      <c r="G56" t="str">
        <f>IF($Z56="","",IF(INDEX(KRI!$J:$J,$Z56)="","",INDEX(KRI!$J:$J,$Z56)))</f>
        <v/>
      </c>
      <c r="H56" s="77" t="str">
        <f>IF($Z56="","",IF(INDEX(KRI!$K:$K,$Z56)="","",INDEX(KRI!$K:$K,$Z56)))</f>
        <v/>
      </c>
      <c r="I56" t="str">
        <f>IF($Z56="","",INDEX(KRI!$N:$N,$Z56)&amp;"")</f>
        <v/>
      </c>
      <c r="J56" t="str">
        <f t="shared" si="9"/>
        <v/>
      </c>
      <c r="K56" t="str">
        <f t="shared" si="10"/>
        <v/>
      </c>
      <c r="L56" s="78" t="str">
        <f>IF($Z56="","",INDEX(KRI!$E:$E,$Z56)&amp;"")</f>
        <v/>
      </c>
      <c r="Z56" t="str">
        <f>IFERROR(_xlfn.AGGREGATE(15,6,ROW(KRI_Ciclo)/((KRI_Ciclo=cicloCorrente)*(KRI_In_Vigore="Sì")),50),"")</f>
        <v/>
      </c>
      <c r="AB56" t="str">
        <f>IFERROR(INDEX(KRI_KRI_ID,_xlfn.AGGREGATE(15,6,(ROW(KRI_KRI_ID)-5)/((KRI_Ciclo_Definizione=KRI_Ciclo)*(KRI_KRI_ID&lt;&gt;"")),45)),"")</f>
        <v/>
      </c>
    </row>
    <row r="57" spans="1:28" x14ac:dyDescent="0.4">
      <c r="A57" t="str">
        <f>IF($Z57="","",INDEX(KRI!$B:$B,$Z57)&amp;"")</f>
        <v/>
      </c>
      <c r="B57" t="str">
        <f>IF($Z57="","",INDEX(KRI!$C:$C,$Z57)&amp;"")</f>
        <v/>
      </c>
      <c r="C57" t="str">
        <f>IF($Z57="","",INDEX(KRI!$D:$D,$Z57)&amp;"")</f>
        <v/>
      </c>
      <c r="D57" t="str">
        <f>IF($Z57="","",INDEX(KRI!$F:$F,$Z57)&amp;"")</f>
        <v/>
      </c>
      <c r="E57" t="str">
        <f>IF($Z57="","",IF(INDEX(KRI!$H:$H,$Z57)="","",INDEX(KRI!$H:$H,$Z57)))</f>
        <v/>
      </c>
      <c r="F57" t="str">
        <f>IF($Z57="","",IF(INDEX(KRI!$I:$I,$Z57)="","",INDEX(KRI!$I:$I,$Z57)))</f>
        <v/>
      </c>
      <c r="G57" t="str">
        <f>IF($Z57="","",IF(INDEX(KRI!$J:$J,$Z57)="","",INDEX(KRI!$J:$J,$Z57)))</f>
        <v/>
      </c>
      <c r="H57" s="77" t="str">
        <f>IF($Z57="","",IF(INDEX(KRI!$K:$K,$Z57)="","",INDEX(KRI!$K:$K,$Z57)))</f>
        <v/>
      </c>
      <c r="I57" t="str">
        <f>IF($Z57="","",INDEX(KRI!$N:$N,$Z57)&amp;"")</f>
        <v/>
      </c>
      <c r="J57" t="str">
        <f t="shared" si="9"/>
        <v/>
      </c>
      <c r="K57" t="str">
        <f t="shared" si="10"/>
        <v/>
      </c>
      <c r="L57" s="78" t="str">
        <f>IF($Z57="","",INDEX(KRI!$E:$E,$Z57)&amp;"")</f>
        <v/>
      </c>
      <c r="Z57" t="str">
        <f>IFERROR(_xlfn.AGGREGATE(15,6,ROW(KRI_Ciclo)/((KRI_Ciclo=cicloCorrente)*(KRI_In_Vigore="Sì")),51),"")</f>
        <v/>
      </c>
      <c r="AB57" t="str">
        <f>IFERROR(INDEX(KRI_KRI_ID,_xlfn.AGGREGATE(15,6,(ROW(KRI_KRI_ID)-5)/((KRI_Ciclo_Definizione=KRI_Ciclo)*(KRI_KRI_ID&lt;&gt;"")),46)),"")</f>
        <v/>
      </c>
    </row>
    <row r="58" spans="1:28" x14ac:dyDescent="0.4">
      <c r="A58" t="str">
        <f>IF($Z58="","",INDEX(KRI!$B:$B,$Z58)&amp;"")</f>
        <v/>
      </c>
      <c r="B58" t="str">
        <f>IF($Z58="","",INDEX(KRI!$C:$C,$Z58)&amp;"")</f>
        <v/>
      </c>
      <c r="C58" t="str">
        <f>IF($Z58="","",INDEX(KRI!$D:$D,$Z58)&amp;"")</f>
        <v/>
      </c>
      <c r="D58" t="str">
        <f>IF($Z58="","",INDEX(KRI!$F:$F,$Z58)&amp;"")</f>
        <v/>
      </c>
      <c r="E58" t="str">
        <f>IF($Z58="","",IF(INDEX(KRI!$H:$H,$Z58)="","",INDEX(KRI!$H:$H,$Z58)))</f>
        <v/>
      </c>
      <c r="F58" t="str">
        <f>IF($Z58="","",IF(INDEX(KRI!$I:$I,$Z58)="","",INDEX(KRI!$I:$I,$Z58)))</f>
        <v/>
      </c>
      <c r="G58" t="str">
        <f>IF($Z58="","",IF(INDEX(KRI!$J:$J,$Z58)="","",INDEX(KRI!$J:$J,$Z58)))</f>
        <v/>
      </c>
      <c r="H58" s="77" t="str">
        <f>IF($Z58="","",IF(INDEX(KRI!$K:$K,$Z58)="","",INDEX(KRI!$K:$K,$Z58)))</f>
        <v/>
      </c>
      <c r="I58" t="str">
        <f>IF($Z58="","",INDEX(KRI!$N:$N,$Z58)&amp;"")</f>
        <v/>
      </c>
      <c r="J58" t="str">
        <f t="shared" si="9"/>
        <v/>
      </c>
      <c r="K58" t="str">
        <f t="shared" si="10"/>
        <v/>
      </c>
      <c r="L58" s="78" t="str">
        <f>IF($Z58="","",INDEX(KRI!$E:$E,$Z58)&amp;"")</f>
        <v/>
      </c>
      <c r="Z58" t="str">
        <f>IFERROR(_xlfn.AGGREGATE(15,6,ROW(KRI_Ciclo)/((KRI_Ciclo=cicloCorrente)*(KRI_In_Vigore="Sì")),52),"")</f>
        <v/>
      </c>
      <c r="AB58" t="str">
        <f>IFERROR(INDEX(KRI_KRI_ID,_xlfn.AGGREGATE(15,6,(ROW(KRI_KRI_ID)-5)/((KRI_Ciclo_Definizione=KRI_Ciclo)*(KRI_KRI_ID&lt;&gt;"")),47)),"")</f>
        <v/>
      </c>
    </row>
    <row r="59" spans="1:28" x14ac:dyDescent="0.4">
      <c r="A59" t="str">
        <f>IF($Z59="","",INDEX(KRI!$B:$B,$Z59)&amp;"")</f>
        <v/>
      </c>
      <c r="B59" t="str">
        <f>IF($Z59="","",INDEX(KRI!$C:$C,$Z59)&amp;"")</f>
        <v/>
      </c>
      <c r="C59" t="str">
        <f>IF($Z59="","",INDEX(KRI!$D:$D,$Z59)&amp;"")</f>
        <v/>
      </c>
      <c r="D59" t="str">
        <f>IF($Z59="","",INDEX(KRI!$F:$F,$Z59)&amp;"")</f>
        <v/>
      </c>
      <c r="E59" t="str">
        <f>IF($Z59="","",IF(INDEX(KRI!$H:$H,$Z59)="","",INDEX(KRI!$H:$H,$Z59)))</f>
        <v/>
      </c>
      <c r="F59" t="str">
        <f>IF($Z59="","",IF(INDEX(KRI!$I:$I,$Z59)="","",INDEX(KRI!$I:$I,$Z59)))</f>
        <v/>
      </c>
      <c r="G59" t="str">
        <f>IF($Z59="","",IF(INDEX(KRI!$J:$J,$Z59)="","",INDEX(KRI!$J:$J,$Z59)))</f>
        <v/>
      </c>
      <c r="H59" s="77" t="str">
        <f>IF($Z59="","",IF(INDEX(KRI!$K:$K,$Z59)="","",INDEX(KRI!$K:$K,$Z59)))</f>
        <v/>
      </c>
      <c r="I59" t="str">
        <f>IF($Z59="","",INDEX(KRI!$N:$N,$Z59)&amp;"")</f>
        <v/>
      </c>
      <c r="J59" t="str">
        <f t="shared" si="9"/>
        <v/>
      </c>
      <c r="K59" t="str">
        <f t="shared" si="10"/>
        <v/>
      </c>
      <c r="L59" s="78" t="str">
        <f>IF($Z59="","",INDEX(KRI!$E:$E,$Z59)&amp;"")</f>
        <v/>
      </c>
      <c r="Z59" t="str">
        <f>IFERROR(_xlfn.AGGREGATE(15,6,ROW(KRI_Ciclo)/((KRI_Ciclo=cicloCorrente)*(KRI_In_Vigore="Sì")),53),"")</f>
        <v/>
      </c>
      <c r="AB59" t="str">
        <f>IFERROR(INDEX(KRI_KRI_ID,_xlfn.AGGREGATE(15,6,(ROW(KRI_KRI_ID)-5)/((KRI_Ciclo_Definizione=KRI_Ciclo)*(KRI_KRI_ID&lt;&gt;"")),48)),"")</f>
        <v/>
      </c>
    </row>
    <row r="60" spans="1:28" x14ac:dyDescent="0.4">
      <c r="A60" t="str">
        <f>IF($Z60="","",INDEX(KRI!$B:$B,$Z60)&amp;"")</f>
        <v/>
      </c>
      <c r="B60" t="str">
        <f>IF($Z60="","",INDEX(KRI!$C:$C,$Z60)&amp;"")</f>
        <v/>
      </c>
      <c r="C60" t="str">
        <f>IF($Z60="","",INDEX(KRI!$D:$D,$Z60)&amp;"")</f>
        <v/>
      </c>
      <c r="D60" t="str">
        <f>IF($Z60="","",INDEX(KRI!$F:$F,$Z60)&amp;"")</f>
        <v/>
      </c>
      <c r="E60" t="str">
        <f>IF($Z60="","",IF(INDEX(KRI!$H:$H,$Z60)="","",INDEX(KRI!$H:$H,$Z60)))</f>
        <v/>
      </c>
      <c r="F60" t="str">
        <f>IF($Z60="","",IF(INDEX(KRI!$I:$I,$Z60)="","",INDEX(KRI!$I:$I,$Z60)))</f>
        <v/>
      </c>
      <c r="G60" t="str">
        <f>IF($Z60="","",IF(INDEX(KRI!$J:$J,$Z60)="","",INDEX(KRI!$J:$J,$Z60)))</f>
        <v/>
      </c>
      <c r="H60" s="77" t="str">
        <f>IF($Z60="","",IF(INDEX(KRI!$K:$K,$Z60)="","",INDEX(KRI!$K:$K,$Z60)))</f>
        <v/>
      </c>
      <c r="I60" t="str">
        <f>IF($Z60="","",INDEX(KRI!$N:$N,$Z60)&amp;"")</f>
        <v/>
      </c>
      <c r="J60" t="str">
        <f t="shared" si="9"/>
        <v/>
      </c>
      <c r="K60" t="str">
        <f t="shared" si="10"/>
        <v/>
      </c>
      <c r="L60" s="78" t="str">
        <f>IF($Z60="","",INDEX(KRI!$E:$E,$Z60)&amp;"")</f>
        <v/>
      </c>
      <c r="Z60" t="str">
        <f>IFERROR(_xlfn.AGGREGATE(15,6,ROW(KRI_Ciclo)/((KRI_Ciclo=cicloCorrente)*(KRI_In_Vigore="Sì")),54),"")</f>
        <v/>
      </c>
      <c r="AB60" t="str">
        <f>IFERROR(INDEX(KRI_KRI_ID,_xlfn.AGGREGATE(15,6,(ROW(KRI_KRI_ID)-5)/((KRI_Ciclo_Definizione=KRI_Ciclo)*(KRI_KRI_ID&lt;&gt;"")),49)),"")</f>
        <v/>
      </c>
    </row>
    <row r="61" spans="1:28" x14ac:dyDescent="0.4">
      <c r="A61" t="str">
        <f>IF($Z61="","",INDEX(KRI!$B:$B,$Z61)&amp;"")</f>
        <v/>
      </c>
      <c r="B61" t="str">
        <f>IF($Z61="","",INDEX(KRI!$C:$C,$Z61)&amp;"")</f>
        <v/>
      </c>
      <c r="C61" t="str">
        <f>IF($Z61="","",INDEX(KRI!$D:$D,$Z61)&amp;"")</f>
        <v/>
      </c>
      <c r="D61" t="str">
        <f>IF($Z61="","",INDEX(KRI!$F:$F,$Z61)&amp;"")</f>
        <v/>
      </c>
      <c r="E61" t="str">
        <f>IF($Z61="","",IF(INDEX(KRI!$H:$H,$Z61)="","",INDEX(KRI!$H:$H,$Z61)))</f>
        <v/>
      </c>
      <c r="F61" t="str">
        <f>IF($Z61="","",IF(INDEX(KRI!$I:$I,$Z61)="","",INDEX(KRI!$I:$I,$Z61)))</f>
        <v/>
      </c>
      <c r="G61" t="str">
        <f>IF($Z61="","",IF(INDEX(KRI!$J:$J,$Z61)="","",INDEX(KRI!$J:$J,$Z61)))</f>
        <v/>
      </c>
      <c r="H61" s="77" t="str">
        <f>IF($Z61="","",IF(INDEX(KRI!$K:$K,$Z61)="","",INDEX(KRI!$K:$K,$Z61)))</f>
        <v/>
      </c>
      <c r="I61" t="str">
        <f>IF($Z61="","",INDEX(KRI!$N:$N,$Z61)&amp;"")</f>
        <v/>
      </c>
      <c r="J61" t="str">
        <f t="shared" si="9"/>
        <v/>
      </c>
      <c r="K61" t="str">
        <f t="shared" si="10"/>
        <v/>
      </c>
      <c r="L61" s="78" t="str">
        <f>IF($Z61="","",INDEX(KRI!$E:$E,$Z61)&amp;"")</f>
        <v/>
      </c>
      <c r="Z61" t="str">
        <f>IFERROR(_xlfn.AGGREGATE(15,6,ROW(KRI_Ciclo)/((KRI_Ciclo=cicloCorrente)*(KRI_In_Vigore="Sì")),55),"")</f>
        <v/>
      </c>
      <c r="AB61" t="str">
        <f>IFERROR(INDEX(KRI_KRI_ID,_xlfn.AGGREGATE(15,6,(ROW(KRI_KRI_ID)-5)/((KRI_Ciclo_Definizione=KRI_Ciclo)*(KRI_KRI_ID&lt;&gt;"")),50)),"")</f>
        <v/>
      </c>
    </row>
    <row r="62" spans="1:28" x14ac:dyDescent="0.4">
      <c r="A62" t="str">
        <f>IF($Z62="","",INDEX(KRI!$B:$B,$Z62)&amp;"")</f>
        <v/>
      </c>
      <c r="B62" t="str">
        <f>IF($Z62="","",INDEX(KRI!$C:$C,$Z62)&amp;"")</f>
        <v/>
      </c>
      <c r="C62" t="str">
        <f>IF($Z62="","",INDEX(KRI!$D:$D,$Z62)&amp;"")</f>
        <v/>
      </c>
      <c r="D62" t="str">
        <f>IF($Z62="","",INDEX(KRI!$F:$F,$Z62)&amp;"")</f>
        <v/>
      </c>
      <c r="E62" t="str">
        <f>IF($Z62="","",IF(INDEX(KRI!$H:$H,$Z62)="","",INDEX(KRI!$H:$H,$Z62)))</f>
        <v/>
      </c>
      <c r="F62" t="str">
        <f>IF($Z62="","",IF(INDEX(KRI!$I:$I,$Z62)="","",INDEX(KRI!$I:$I,$Z62)))</f>
        <v/>
      </c>
      <c r="G62" t="str">
        <f>IF($Z62="","",IF(INDEX(KRI!$J:$J,$Z62)="","",INDEX(KRI!$J:$J,$Z62)))</f>
        <v/>
      </c>
      <c r="H62" s="77" t="str">
        <f>IF($Z62="","",IF(INDEX(KRI!$K:$K,$Z62)="","",INDEX(KRI!$K:$K,$Z62)))</f>
        <v/>
      </c>
      <c r="I62" t="str">
        <f>IF($Z62="","",INDEX(KRI!$N:$N,$Z62)&amp;"")</f>
        <v/>
      </c>
      <c r="J62" t="str">
        <f t="shared" si="9"/>
        <v/>
      </c>
      <c r="K62" t="str">
        <f t="shared" si="10"/>
        <v/>
      </c>
      <c r="L62" s="78" t="str">
        <f>IF($Z62="","",INDEX(KRI!$E:$E,$Z62)&amp;"")</f>
        <v/>
      </c>
      <c r="Z62" t="str">
        <f>IFERROR(_xlfn.AGGREGATE(15,6,ROW(KRI_Ciclo)/((KRI_Ciclo=cicloCorrente)*(KRI_In_Vigore="Sì")),56),"")</f>
        <v/>
      </c>
      <c r="AB62" t="str">
        <f>IFERROR(INDEX(KRI_KRI_ID,_xlfn.AGGREGATE(15,6,(ROW(KRI_KRI_ID)-5)/((KRI_Ciclo_Definizione=KRI_Ciclo)*(KRI_KRI_ID&lt;&gt;"")),51)),"")</f>
        <v/>
      </c>
    </row>
    <row r="63" spans="1:28" x14ac:dyDescent="0.4">
      <c r="A63" t="str">
        <f>IF($Z63="","",INDEX(KRI!$B:$B,$Z63)&amp;"")</f>
        <v/>
      </c>
      <c r="B63" t="str">
        <f>IF($Z63="","",INDEX(KRI!$C:$C,$Z63)&amp;"")</f>
        <v/>
      </c>
      <c r="C63" t="str">
        <f>IF($Z63="","",INDEX(KRI!$D:$D,$Z63)&amp;"")</f>
        <v/>
      </c>
      <c r="D63" t="str">
        <f>IF($Z63="","",INDEX(KRI!$F:$F,$Z63)&amp;"")</f>
        <v/>
      </c>
      <c r="E63" t="str">
        <f>IF($Z63="","",IF(INDEX(KRI!$H:$H,$Z63)="","",INDEX(KRI!$H:$H,$Z63)))</f>
        <v/>
      </c>
      <c r="F63" t="str">
        <f>IF($Z63="","",IF(INDEX(KRI!$I:$I,$Z63)="","",INDEX(KRI!$I:$I,$Z63)))</f>
        <v/>
      </c>
      <c r="G63" t="str">
        <f>IF($Z63="","",IF(INDEX(KRI!$J:$J,$Z63)="","",INDEX(KRI!$J:$J,$Z63)))</f>
        <v/>
      </c>
      <c r="H63" s="77" t="str">
        <f>IF($Z63="","",IF(INDEX(KRI!$K:$K,$Z63)="","",INDEX(KRI!$K:$K,$Z63)))</f>
        <v/>
      </c>
      <c r="I63" t="str">
        <f>IF($Z63="","",INDEX(KRI!$N:$N,$Z63)&amp;"")</f>
        <v/>
      </c>
      <c r="J63" t="str">
        <f t="shared" si="9"/>
        <v/>
      </c>
      <c r="K63" t="str">
        <f t="shared" si="10"/>
        <v/>
      </c>
      <c r="L63" s="78" t="str">
        <f>IF($Z63="","",INDEX(KRI!$E:$E,$Z63)&amp;"")</f>
        <v/>
      </c>
      <c r="Z63" t="str">
        <f>IFERROR(_xlfn.AGGREGATE(15,6,ROW(KRI_Ciclo)/((KRI_Ciclo=cicloCorrente)*(KRI_In_Vigore="Sì")),57),"")</f>
        <v/>
      </c>
      <c r="AB63" t="str">
        <f>IFERROR(INDEX(KRI_KRI_ID,_xlfn.AGGREGATE(15,6,(ROW(KRI_KRI_ID)-5)/((KRI_Ciclo_Definizione=KRI_Ciclo)*(KRI_KRI_ID&lt;&gt;"")),52)),"")</f>
        <v/>
      </c>
    </row>
    <row r="64" spans="1:28" x14ac:dyDescent="0.4">
      <c r="A64" t="str">
        <f>IF($Z64="","",INDEX(KRI!$B:$B,$Z64)&amp;"")</f>
        <v/>
      </c>
      <c r="B64" t="str">
        <f>IF($Z64="","",INDEX(KRI!$C:$C,$Z64)&amp;"")</f>
        <v/>
      </c>
      <c r="C64" t="str">
        <f>IF($Z64="","",INDEX(KRI!$D:$D,$Z64)&amp;"")</f>
        <v/>
      </c>
      <c r="D64" t="str">
        <f>IF($Z64="","",INDEX(KRI!$F:$F,$Z64)&amp;"")</f>
        <v/>
      </c>
      <c r="E64" t="str">
        <f>IF($Z64="","",IF(INDEX(KRI!$H:$H,$Z64)="","",INDEX(KRI!$H:$H,$Z64)))</f>
        <v/>
      </c>
      <c r="F64" t="str">
        <f>IF($Z64="","",IF(INDEX(KRI!$I:$I,$Z64)="","",INDEX(KRI!$I:$I,$Z64)))</f>
        <v/>
      </c>
      <c r="G64" t="str">
        <f>IF($Z64="","",IF(INDEX(KRI!$J:$J,$Z64)="","",INDEX(KRI!$J:$J,$Z64)))</f>
        <v/>
      </c>
      <c r="H64" s="77" t="str">
        <f>IF($Z64="","",IF(INDEX(KRI!$K:$K,$Z64)="","",INDEX(KRI!$K:$K,$Z64)))</f>
        <v/>
      </c>
      <c r="I64" t="str">
        <f>IF($Z64="","",INDEX(KRI!$N:$N,$Z64)&amp;"")</f>
        <v/>
      </c>
      <c r="J64" t="str">
        <f t="shared" si="9"/>
        <v/>
      </c>
      <c r="K64" t="str">
        <f t="shared" si="10"/>
        <v/>
      </c>
      <c r="L64" s="78" t="str">
        <f>IF($Z64="","",INDEX(KRI!$E:$E,$Z64)&amp;"")</f>
        <v/>
      </c>
      <c r="Z64" t="str">
        <f>IFERROR(_xlfn.AGGREGATE(15,6,ROW(KRI_Ciclo)/((KRI_Ciclo=cicloCorrente)*(KRI_In_Vigore="Sì")),58),"")</f>
        <v/>
      </c>
      <c r="AB64" t="str">
        <f>IFERROR(INDEX(KRI_KRI_ID,_xlfn.AGGREGATE(15,6,(ROW(KRI_KRI_ID)-5)/((KRI_Ciclo_Definizione=KRI_Ciclo)*(KRI_KRI_ID&lt;&gt;"")),53)),"")</f>
        <v/>
      </c>
    </row>
    <row r="65" spans="1:28" x14ac:dyDescent="0.4">
      <c r="A65" t="str">
        <f>IF($Z65="","",INDEX(KRI!$B:$B,$Z65)&amp;"")</f>
        <v/>
      </c>
      <c r="B65" t="str">
        <f>IF($Z65="","",INDEX(KRI!$C:$C,$Z65)&amp;"")</f>
        <v/>
      </c>
      <c r="C65" t="str">
        <f>IF($Z65="","",INDEX(KRI!$D:$D,$Z65)&amp;"")</f>
        <v/>
      </c>
      <c r="D65" t="str">
        <f>IF($Z65="","",INDEX(KRI!$F:$F,$Z65)&amp;"")</f>
        <v/>
      </c>
      <c r="E65" t="str">
        <f>IF($Z65="","",IF(INDEX(KRI!$H:$H,$Z65)="","",INDEX(KRI!$H:$H,$Z65)))</f>
        <v/>
      </c>
      <c r="F65" t="str">
        <f>IF($Z65="","",IF(INDEX(KRI!$I:$I,$Z65)="","",INDEX(KRI!$I:$I,$Z65)))</f>
        <v/>
      </c>
      <c r="G65" t="str">
        <f>IF($Z65="","",IF(INDEX(KRI!$J:$J,$Z65)="","",INDEX(KRI!$J:$J,$Z65)))</f>
        <v/>
      </c>
      <c r="H65" s="77" t="str">
        <f>IF($Z65="","",IF(INDEX(KRI!$K:$K,$Z65)="","",INDEX(KRI!$K:$K,$Z65)))</f>
        <v/>
      </c>
      <c r="I65" t="str">
        <f>IF($Z65="","",INDEX(KRI!$N:$N,$Z65)&amp;"")</f>
        <v/>
      </c>
      <c r="J65" t="str">
        <f t="shared" si="9"/>
        <v/>
      </c>
      <c r="K65" t="str">
        <f t="shared" si="10"/>
        <v/>
      </c>
      <c r="L65" s="78" t="str">
        <f>IF($Z65="","",INDEX(KRI!$E:$E,$Z65)&amp;"")</f>
        <v/>
      </c>
      <c r="Z65" t="str">
        <f>IFERROR(_xlfn.AGGREGATE(15,6,ROW(KRI_Ciclo)/((KRI_Ciclo=cicloCorrente)*(KRI_In_Vigore="Sì")),59),"")</f>
        <v/>
      </c>
      <c r="AB65" t="str">
        <f>IFERROR(INDEX(KRI_KRI_ID,_xlfn.AGGREGATE(15,6,(ROW(KRI_KRI_ID)-5)/((KRI_Ciclo_Definizione=KRI_Ciclo)*(KRI_KRI_ID&lt;&gt;"")),54)),"")</f>
        <v/>
      </c>
    </row>
    <row r="66" spans="1:28" x14ac:dyDescent="0.4">
      <c r="A66" t="str">
        <f>IF($Z66="","",INDEX(KRI!$B:$B,$Z66)&amp;"")</f>
        <v/>
      </c>
      <c r="B66" t="str">
        <f>IF($Z66="","",INDEX(KRI!$C:$C,$Z66)&amp;"")</f>
        <v/>
      </c>
      <c r="C66" t="str">
        <f>IF($Z66="","",INDEX(KRI!$D:$D,$Z66)&amp;"")</f>
        <v/>
      </c>
      <c r="D66" t="str">
        <f>IF($Z66="","",INDEX(KRI!$F:$F,$Z66)&amp;"")</f>
        <v/>
      </c>
      <c r="E66" t="str">
        <f>IF($Z66="","",IF(INDEX(KRI!$H:$H,$Z66)="","",INDEX(KRI!$H:$H,$Z66)))</f>
        <v/>
      </c>
      <c r="F66" t="str">
        <f>IF($Z66="","",IF(INDEX(KRI!$I:$I,$Z66)="","",INDEX(KRI!$I:$I,$Z66)))</f>
        <v/>
      </c>
      <c r="G66" t="str">
        <f>IF($Z66="","",IF(INDEX(KRI!$J:$J,$Z66)="","",INDEX(KRI!$J:$J,$Z66)))</f>
        <v/>
      </c>
      <c r="H66" s="77" t="str">
        <f>IF($Z66="","",IF(INDEX(KRI!$K:$K,$Z66)="","",INDEX(KRI!$K:$K,$Z66)))</f>
        <v/>
      </c>
      <c r="I66" t="str">
        <f>IF($Z66="","",INDEX(KRI!$N:$N,$Z66)&amp;"")</f>
        <v/>
      </c>
      <c r="J66" t="str">
        <f t="shared" si="9"/>
        <v/>
      </c>
      <c r="K66" t="str">
        <f t="shared" si="10"/>
        <v/>
      </c>
      <c r="L66" s="78" t="str">
        <f>IF($Z66="","",INDEX(KRI!$E:$E,$Z66)&amp;"")</f>
        <v/>
      </c>
      <c r="Z66" t="str">
        <f>IFERROR(_xlfn.AGGREGATE(15,6,ROW(KRI_Ciclo)/((KRI_Ciclo=cicloCorrente)*(KRI_In_Vigore="Sì")),60),"")</f>
        <v/>
      </c>
      <c r="AB66" t="str">
        <f>IFERROR(INDEX(KRI_KRI_ID,_xlfn.AGGREGATE(15,6,(ROW(KRI_KRI_ID)-5)/((KRI_Ciclo_Definizione=KRI_Ciclo)*(KRI_KRI_ID&lt;&gt;"")),55)),"")</f>
        <v/>
      </c>
    </row>
    <row r="67" spans="1:28" x14ac:dyDescent="0.4">
      <c r="AB67" t="str">
        <f>IFERROR(INDEX(KRI_KRI_ID,_xlfn.AGGREGATE(15,6,(ROW(KRI_KRI_ID)-5)/((KRI_Ciclo_Definizione=KRI_Ciclo)*(KRI_KRI_ID&lt;&gt;"")),56)),"")</f>
        <v/>
      </c>
    </row>
    <row r="68" spans="1:28" x14ac:dyDescent="0.4">
      <c r="AB68" t="str">
        <f>IFERROR(INDEX(KRI_KRI_ID,_xlfn.AGGREGATE(15,6,(ROW(KRI_KRI_ID)-5)/((KRI_Ciclo_Definizione=KRI_Ciclo)*(KRI_KRI_ID&lt;&gt;"")),57)),"")</f>
        <v/>
      </c>
    </row>
    <row r="69" spans="1:28" x14ac:dyDescent="0.4">
      <c r="AB69" t="str">
        <f>IFERROR(INDEX(KRI_KRI_ID,_xlfn.AGGREGATE(15,6,(ROW(KRI_KRI_ID)-5)/((KRI_Ciclo_Definizione=KRI_Ciclo)*(KRI_KRI_ID&lt;&gt;"")),58)),"")</f>
        <v/>
      </c>
    </row>
    <row r="70" spans="1:28" x14ac:dyDescent="0.4">
      <c r="AB70" t="str">
        <f>IFERROR(INDEX(KRI_KRI_ID,_xlfn.AGGREGATE(15,6,(ROW(KRI_KRI_ID)-5)/((KRI_Ciclo_Definizione=KRI_Ciclo)*(KRI_KRI_ID&lt;&gt;"")),59)),"")</f>
        <v/>
      </c>
    </row>
    <row r="71" spans="1:28" x14ac:dyDescent="0.4">
      <c r="AB71" t="str">
        <f>IFERROR(INDEX(KRI_KRI_ID,_xlfn.AGGREGATE(15,6,(ROW(KRI_KRI_ID)-5)/((KRI_Ciclo_Definizione=KRI_Ciclo)*(KRI_KRI_ID&lt;&gt;"")),60)),"")</f>
        <v/>
      </c>
    </row>
    <row r="72" spans="1:28" x14ac:dyDescent="0.4">
      <c r="AB72" t="str">
        <f>IFERROR(INDEX(KRI_KRI_ID,_xlfn.AGGREGATE(15,6,(ROW(KRI_KRI_ID)-5)/((KRI_Ciclo_Definizione=KRI_Ciclo)*(KRI_KRI_ID&lt;&gt;"")),61)),"")</f>
        <v/>
      </c>
    </row>
    <row r="73" spans="1:28" x14ac:dyDescent="0.4">
      <c r="AB73" t="str">
        <f>IFERROR(INDEX(KRI_KRI_ID,_xlfn.AGGREGATE(15,6,(ROW(KRI_KRI_ID)-5)/((KRI_Ciclo_Definizione=KRI_Ciclo)*(KRI_KRI_ID&lt;&gt;"")),62)),"")</f>
        <v/>
      </c>
    </row>
    <row r="74" spans="1:28" x14ac:dyDescent="0.4">
      <c r="AB74" t="str">
        <f>IFERROR(INDEX(KRI_KRI_ID,_xlfn.AGGREGATE(15,6,(ROW(KRI_KRI_ID)-5)/((KRI_Ciclo_Definizione=KRI_Ciclo)*(KRI_KRI_ID&lt;&gt;"")),63)),"")</f>
        <v/>
      </c>
    </row>
    <row r="75" spans="1:28" x14ac:dyDescent="0.4">
      <c r="AB75" t="str">
        <f>IFERROR(INDEX(KRI_KRI_ID,_xlfn.AGGREGATE(15,6,(ROW(KRI_KRI_ID)-5)/((KRI_Ciclo_Definizione=KRI_Ciclo)*(KRI_KRI_ID&lt;&gt;"")),64)),"")</f>
        <v/>
      </c>
    </row>
    <row r="76" spans="1:28" x14ac:dyDescent="0.4">
      <c r="AB76" t="str">
        <f>IFERROR(INDEX(KRI_KRI_ID,_xlfn.AGGREGATE(15,6,(ROW(KRI_KRI_ID)-5)/((KRI_Ciclo_Definizione=KRI_Ciclo)*(KRI_KRI_ID&lt;&gt;"")),65)),"")</f>
        <v/>
      </c>
    </row>
    <row r="77" spans="1:28" x14ac:dyDescent="0.4">
      <c r="AB77" t="str">
        <f>IFERROR(INDEX(KRI_KRI_ID,_xlfn.AGGREGATE(15,6,(ROW(KRI_KRI_ID)-5)/((KRI_Ciclo_Definizione=KRI_Ciclo)*(KRI_KRI_ID&lt;&gt;"")),66)),"")</f>
        <v/>
      </c>
    </row>
    <row r="78" spans="1:28" x14ac:dyDescent="0.4">
      <c r="AB78" t="str">
        <f>IFERROR(INDEX(KRI_KRI_ID,_xlfn.AGGREGATE(15,6,(ROW(KRI_KRI_ID)-5)/((KRI_Ciclo_Definizione=KRI_Ciclo)*(KRI_KRI_ID&lt;&gt;"")),67)),"")</f>
        <v/>
      </c>
    </row>
    <row r="79" spans="1:28" x14ac:dyDescent="0.4">
      <c r="AB79" t="str">
        <f>IFERROR(INDEX(KRI_KRI_ID,_xlfn.AGGREGATE(15,6,(ROW(KRI_KRI_ID)-5)/((KRI_Ciclo_Definizione=KRI_Ciclo)*(KRI_KRI_ID&lt;&gt;"")),68)),"")</f>
        <v/>
      </c>
    </row>
    <row r="80" spans="1:28" x14ac:dyDescent="0.4">
      <c r="AB80" t="str">
        <f>IFERROR(INDEX(KRI_KRI_ID,_xlfn.AGGREGATE(15,6,(ROW(KRI_KRI_ID)-5)/((KRI_Ciclo_Definizione=KRI_Ciclo)*(KRI_KRI_ID&lt;&gt;"")),69)),"")</f>
        <v/>
      </c>
    </row>
    <row r="81" spans="28:28" x14ac:dyDescent="0.4">
      <c r="AB81" t="str">
        <f>IFERROR(INDEX(KRI_KRI_ID,_xlfn.AGGREGATE(15,6,(ROW(KRI_KRI_ID)-5)/((KRI_Ciclo_Definizione=KRI_Ciclo)*(KRI_KRI_ID&lt;&gt;"")),70)),"")</f>
        <v/>
      </c>
    </row>
    <row r="82" spans="28:28" x14ac:dyDescent="0.4">
      <c r="AB82" t="str">
        <f>IFERROR(INDEX(KRI_KRI_ID,_xlfn.AGGREGATE(15,6,(ROW(KRI_KRI_ID)-5)/((KRI_Ciclo_Definizione=KRI_Ciclo)*(KRI_KRI_ID&lt;&gt;"")),71)),"")</f>
        <v/>
      </c>
    </row>
    <row r="83" spans="28:28" x14ac:dyDescent="0.4">
      <c r="AB83" t="str">
        <f>IFERROR(INDEX(KRI_KRI_ID,_xlfn.AGGREGATE(15,6,(ROW(KRI_KRI_ID)-5)/((KRI_Ciclo_Definizione=KRI_Ciclo)*(KRI_KRI_ID&lt;&gt;"")),72)),"")</f>
        <v/>
      </c>
    </row>
    <row r="84" spans="28:28" x14ac:dyDescent="0.4">
      <c r="AB84" t="str">
        <f>IFERROR(INDEX(KRI_KRI_ID,_xlfn.AGGREGATE(15,6,(ROW(KRI_KRI_ID)-5)/((KRI_Ciclo_Definizione=KRI_Ciclo)*(KRI_KRI_ID&lt;&gt;"")),73)),"")</f>
        <v/>
      </c>
    </row>
    <row r="85" spans="28:28" x14ac:dyDescent="0.4">
      <c r="AB85" t="str">
        <f>IFERROR(INDEX(KRI_KRI_ID,_xlfn.AGGREGATE(15,6,(ROW(KRI_KRI_ID)-5)/((KRI_Ciclo_Definizione=KRI_Ciclo)*(KRI_KRI_ID&lt;&gt;"")),74)),"")</f>
        <v/>
      </c>
    </row>
    <row r="86" spans="28:28" x14ac:dyDescent="0.4">
      <c r="AB86" t="str">
        <f>IFERROR(INDEX(KRI_KRI_ID,_xlfn.AGGREGATE(15,6,(ROW(KRI_KRI_ID)-5)/((KRI_Ciclo_Definizione=KRI_Ciclo)*(KRI_KRI_ID&lt;&gt;"")),75)),"")</f>
        <v/>
      </c>
    </row>
    <row r="87" spans="28:28" x14ac:dyDescent="0.4">
      <c r="AB87" t="str">
        <f>IFERROR(INDEX(KRI_KRI_ID,_xlfn.AGGREGATE(15,6,(ROW(KRI_KRI_ID)-5)/((KRI_Ciclo_Definizione=KRI_Ciclo)*(KRI_KRI_ID&lt;&gt;"")),76)),"")</f>
        <v/>
      </c>
    </row>
    <row r="88" spans="28:28" x14ac:dyDescent="0.4">
      <c r="AB88" t="str">
        <f>IFERROR(INDEX(KRI_KRI_ID,_xlfn.AGGREGATE(15,6,(ROW(KRI_KRI_ID)-5)/((KRI_Ciclo_Definizione=KRI_Ciclo)*(KRI_KRI_ID&lt;&gt;"")),77)),"")</f>
        <v/>
      </c>
    </row>
    <row r="89" spans="28:28" x14ac:dyDescent="0.4">
      <c r="AB89" t="str">
        <f>IFERROR(INDEX(KRI_KRI_ID,_xlfn.AGGREGATE(15,6,(ROW(KRI_KRI_ID)-5)/((KRI_Ciclo_Definizione=KRI_Ciclo)*(KRI_KRI_ID&lt;&gt;"")),78)),"")</f>
        <v/>
      </c>
    </row>
    <row r="90" spans="28:28" x14ac:dyDescent="0.4">
      <c r="AB90" t="str">
        <f>IFERROR(INDEX(KRI_KRI_ID,_xlfn.AGGREGATE(15,6,(ROW(KRI_KRI_ID)-5)/((KRI_Ciclo_Definizione=KRI_Ciclo)*(KRI_KRI_ID&lt;&gt;"")),79)),"")</f>
        <v/>
      </c>
    </row>
    <row r="91" spans="28:28" x14ac:dyDescent="0.4">
      <c r="AB91" t="str">
        <f>IFERROR(INDEX(KRI_KRI_ID,_xlfn.AGGREGATE(15,6,(ROW(KRI_KRI_ID)-5)/((KRI_Ciclo_Definizione=KRI_Ciclo)*(KRI_KRI_ID&lt;&gt;"")),80)),"")</f>
        <v/>
      </c>
    </row>
    <row r="92" spans="28:28" x14ac:dyDescent="0.4">
      <c r="AB92" t="str">
        <f>IFERROR(INDEX(KRI_KRI_ID,_xlfn.AGGREGATE(15,6,(ROW(KRI_KRI_ID)-5)/((KRI_Ciclo_Definizione=KRI_Ciclo)*(KRI_KRI_ID&lt;&gt;"")),81)),"")</f>
        <v/>
      </c>
    </row>
    <row r="93" spans="28:28" x14ac:dyDescent="0.4">
      <c r="AB93" t="str">
        <f>IFERROR(INDEX(KRI_KRI_ID,_xlfn.AGGREGATE(15,6,(ROW(KRI_KRI_ID)-5)/((KRI_Ciclo_Definizione=KRI_Ciclo)*(KRI_KRI_ID&lt;&gt;"")),82)),"")</f>
        <v/>
      </c>
    </row>
    <row r="94" spans="28:28" x14ac:dyDescent="0.4">
      <c r="AB94" t="str">
        <f>IFERROR(INDEX(KRI_KRI_ID,_xlfn.AGGREGATE(15,6,(ROW(KRI_KRI_ID)-5)/((KRI_Ciclo_Definizione=KRI_Ciclo)*(KRI_KRI_ID&lt;&gt;"")),83)),"")</f>
        <v/>
      </c>
    </row>
    <row r="95" spans="28:28" x14ac:dyDescent="0.4">
      <c r="AB95" t="str">
        <f>IFERROR(INDEX(KRI_KRI_ID,_xlfn.AGGREGATE(15,6,(ROW(KRI_KRI_ID)-5)/((KRI_Ciclo_Definizione=KRI_Ciclo)*(KRI_KRI_ID&lt;&gt;"")),84)),"")</f>
        <v/>
      </c>
    </row>
    <row r="96" spans="28:28" x14ac:dyDescent="0.4">
      <c r="AB96" t="str">
        <f>IFERROR(INDEX(KRI_KRI_ID,_xlfn.AGGREGATE(15,6,(ROW(KRI_KRI_ID)-5)/((KRI_Ciclo_Definizione=KRI_Ciclo)*(KRI_KRI_ID&lt;&gt;"")),85)),"")</f>
        <v/>
      </c>
    </row>
    <row r="97" spans="28:28" x14ac:dyDescent="0.4">
      <c r="AB97" t="str">
        <f>IFERROR(INDEX(KRI_KRI_ID,_xlfn.AGGREGATE(15,6,(ROW(KRI_KRI_ID)-5)/((KRI_Ciclo_Definizione=KRI_Ciclo)*(KRI_KRI_ID&lt;&gt;"")),86)),"")</f>
        <v/>
      </c>
    </row>
    <row r="98" spans="28:28" x14ac:dyDescent="0.4">
      <c r="AB98" t="str">
        <f>IFERROR(INDEX(KRI_KRI_ID,_xlfn.AGGREGATE(15,6,(ROW(KRI_KRI_ID)-5)/((KRI_Ciclo_Definizione=KRI_Ciclo)*(KRI_KRI_ID&lt;&gt;"")),87)),"")</f>
        <v/>
      </c>
    </row>
    <row r="99" spans="28:28" x14ac:dyDescent="0.4">
      <c r="AB99" t="str">
        <f>IFERROR(INDEX(KRI_KRI_ID,_xlfn.AGGREGATE(15,6,(ROW(KRI_KRI_ID)-5)/((KRI_Ciclo_Definizione=KRI_Ciclo)*(KRI_KRI_ID&lt;&gt;"")),88)),"")</f>
        <v/>
      </c>
    </row>
    <row r="100" spans="28:28" x14ac:dyDescent="0.4">
      <c r="AB100" t="str">
        <f>IFERROR(INDEX(KRI_KRI_ID,_xlfn.AGGREGATE(15,6,(ROW(KRI_KRI_ID)-5)/((KRI_Ciclo_Definizione=KRI_Ciclo)*(KRI_KRI_ID&lt;&gt;"")),89)),"")</f>
        <v/>
      </c>
    </row>
    <row r="101" spans="28:28" x14ac:dyDescent="0.4">
      <c r="AB101" t="str">
        <f>IFERROR(INDEX(KRI_KRI_ID,_xlfn.AGGREGATE(15,6,(ROW(KRI_KRI_ID)-5)/((KRI_Ciclo_Definizione=KRI_Ciclo)*(KRI_KRI_ID&lt;&gt;"")),90)),"")</f>
        <v/>
      </c>
    </row>
    <row r="102" spans="28:28" x14ac:dyDescent="0.4">
      <c r="AB102" t="str">
        <f>IFERROR(INDEX(KRI_KRI_ID,_xlfn.AGGREGATE(15,6,(ROW(KRI_KRI_ID)-5)/((KRI_Ciclo_Definizione=KRI_Ciclo)*(KRI_KRI_ID&lt;&gt;"")),91)),"")</f>
        <v/>
      </c>
    </row>
    <row r="103" spans="28:28" x14ac:dyDescent="0.4">
      <c r="AB103" t="str">
        <f>IFERROR(INDEX(KRI_KRI_ID,_xlfn.AGGREGATE(15,6,(ROW(KRI_KRI_ID)-5)/((KRI_Ciclo_Definizione=KRI_Ciclo)*(KRI_KRI_ID&lt;&gt;"")),92)),"")</f>
        <v/>
      </c>
    </row>
    <row r="104" spans="28:28" x14ac:dyDescent="0.4">
      <c r="AB104" t="str">
        <f>IFERROR(INDEX(KRI_KRI_ID,_xlfn.AGGREGATE(15,6,(ROW(KRI_KRI_ID)-5)/((KRI_Ciclo_Definizione=KRI_Ciclo)*(KRI_KRI_ID&lt;&gt;"")),93)),"")</f>
        <v/>
      </c>
    </row>
    <row r="105" spans="28:28" x14ac:dyDescent="0.4">
      <c r="AB105" t="str">
        <f>IFERROR(INDEX(KRI_KRI_ID,_xlfn.AGGREGATE(15,6,(ROW(KRI_KRI_ID)-5)/((KRI_Ciclo_Definizione=KRI_Ciclo)*(KRI_KRI_ID&lt;&gt;"")),94)),"")</f>
        <v/>
      </c>
    </row>
    <row r="106" spans="28:28" x14ac:dyDescent="0.4">
      <c r="AB106" t="str">
        <f>IFERROR(INDEX(KRI_KRI_ID,_xlfn.AGGREGATE(15,6,(ROW(KRI_KRI_ID)-5)/((KRI_Ciclo_Definizione=KRI_Ciclo)*(KRI_KRI_ID&lt;&gt;"")),95)),"")</f>
        <v/>
      </c>
    </row>
    <row r="107" spans="28:28" x14ac:dyDescent="0.4">
      <c r="AB107" t="str">
        <f>IFERROR(INDEX(KRI_KRI_ID,_xlfn.AGGREGATE(15,6,(ROW(KRI_KRI_ID)-5)/((KRI_Ciclo_Definizione=KRI_Ciclo)*(KRI_KRI_ID&lt;&gt;"")),96)),"")</f>
        <v/>
      </c>
    </row>
    <row r="108" spans="28:28" x14ac:dyDescent="0.4">
      <c r="AB108" t="str">
        <f>IFERROR(INDEX(KRI_KRI_ID,_xlfn.AGGREGATE(15,6,(ROW(KRI_KRI_ID)-5)/((KRI_Ciclo_Definizione=KRI_Ciclo)*(KRI_KRI_ID&lt;&gt;"")),97)),"")</f>
        <v/>
      </c>
    </row>
    <row r="109" spans="28:28" x14ac:dyDescent="0.4">
      <c r="AB109" t="str">
        <f>IFERROR(INDEX(KRI_KRI_ID,_xlfn.AGGREGATE(15,6,(ROW(KRI_KRI_ID)-5)/((KRI_Ciclo_Definizione=KRI_Ciclo)*(KRI_KRI_ID&lt;&gt;"")),98)),"")</f>
        <v/>
      </c>
    </row>
    <row r="110" spans="28:28" x14ac:dyDescent="0.4">
      <c r="AB110" t="str">
        <f>IFERROR(INDEX(KRI_KRI_ID,_xlfn.AGGREGATE(15,6,(ROW(KRI_KRI_ID)-5)/((KRI_Ciclo_Definizione=KRI_Ciclo)*(KRI_KRI_ID&lt;&gt;"")),99)),"")</f>
        <v/>
      </c>
    </row>
    <row r="111" spans="28:28" x14ac:dyDescent="0.4">
      <c r="AB111" t="str">
        <f>IFERROR(INDEX(KRI_KRI_ID,_xlfn.AGGREGATE(15,6,(ROW(KRI_KRI_ID)-5)/((KRI_Ciclo_Definizione=KRI_Ciclo)*(KRI_KRI_ID&lt;&gt;"")),100)),"")</f>
        <v/>
      </c>
    </row>
    <row r="112" spans="28:28" x14ac:dyDescent="0.4">
      <c r="AB112" t="str">
        <f>IFERROR(INDEX(KRI_KRI_ID,_xlfn.AGGREGATE(15,6,(ROW(KRI_KRI_ID)-5)/((KRI_Ciclo_Definizione=KRI_Ciclo)*(KRI_KRI_ID&lt;&gt;"")),101)),"")</f>
        <v/>
      </c>
    </row>
    <row r="113" spans="28:28" x14ac:dyDescent="0.4">
      <c r="AB113" t="str">
        <f>IFERROR(INDEX(KRI_KRI_ID,_xlfn.AGGREGATE(15,6,(ROW(KRI_KRI_ID)-5)/((KRI_Ciclo_Definizione=KRI_Ciclo)*(KRI_KRI_ID&lt;&gt;"")),102)),"")</f>
        <v/>
      </c>
    </row>
    <row r="114" spans="28:28" x14ac:dyDescent="0.4">
      <c r="AB114" t="str">
        <f>IFERROR(INDEX(KRI_KRI_ID,_xlfn.AGGREGATE(15,6,(ROW(KRI_KRI_ID)-5)/((KRI_Ciclo_Definizione=KRI_Ciclo)*(KRI_KRI_ID&lt;&gt;"")),103)),"")</f>
        <v/>
      </c>
    </row>
    <row r="115" spans="28:28" x14ac:dyDescent="0.4">
      <c r="AB115" t="str">
        <f>IFERROR(INDEX(KRI_KRI_ID,_xlfn.AGGREGATE(15,6,(ROW(KRI_KRI_ID)-5)/((KRI_Ciclo_Definizione=KRI_Ciclo)*(KRI_KRI_ID&lt;&gt;"")),104)),"")</f>
        <v/>
      </c>
    </row>
    <row r="116" spans="28:28" x14ac:dyDescent="0.4">
      <c r="AB116" t="str">
        <f>IFERROR(INDEX(KRI_KRI_ID,_xlfn.AGGREGATE(15,6,(ROW(KRI_KRI_ID)-5)/((KRI_Ciclo_Definizione=KRI_Ciclo)*(KRI_KRI_ID&lt;&gt;"")),105)),"")</f>
        <v/>
      </c>
    </row>
    <row r="117" spans="28:28" x14ac:dyDescent="0.4">
      <c r="AB117" t="str">
        <f>IFERROR(INDEX(KRI_KRI_ID,_xlfn.AGGREGATE(15,6,(ROW(KRI_KRI_ID)-5)/((KRI_Ciclo_Definizione=KRI_Ciclo)*(KRI_KRI_ID&lt;&gt;"")),106)),"")</f>
        <v/>
      </c>
    </row>
    <row r="118" spans="28:28" x14ac:dyDescent="0.4">
      <c r="AB118" t="str">
        <f>IFERROR(INDEX(KRI_KRI_ID,_xlfn.AGGREGATE(15,6,(ROW(KRI_KRI_ID)-5)/((KRI_Ciclo_Definizione=KRI_Ciclo)*(KRI_KRI_ID&lt;&gt;"")),107)),"")</f>
        <v/>
      </c>
    </row>
    <row r="119" spans="28:28" x14ac:dyDescent="0.4">
      <c r="AB119" t="str">
        <f>IFERROR(INDEX(KRI_KRI_ID,_xlfn.AGGREGATE(15,6,(ROW(KRI_KRI_ID)-5)/((KRI_Ciclo_Definizione=KRI_Ciclo)*(KRI_KRI_ID&lt;&gt;"")),108)),"")</f>
        <v/>
      </c>
    </row>
    <row r="120" spans="28:28" x14ac:dyDescent="0.4">
      <c r="AB120" t="str">
        <f>IFERROR(INDEX(KRI_KRI_ID,_xlfn.AGGREGATE(15,6,(ROW(KRI_KRI_ID)-5)/((KRI_Ciclo_Definizione=KRI_Ciclo)*(KRI_KRI_ID&lt;&gt;"")),109)),"")</f>
        <v/>
      </c>
    </row>
    <row r="121" spans="28:28" x14ac:dyDescent="0.4">
      <c r="AB121" t="str">
        <f>IFERROR(INDEX(KRI_KRI_ID,_xlfn.AGGREGATE(15,6,(ROW(KRI_KRI_ID)-5)/((KRI_Ciclo_Definizione=KRI_Ciclo)*(KRI_KRI_ID&lt;&gt;"")),110)),"")</f>
        <v/>
      </c>
    </row>
    <row r="122" spans="28:28" x14ac:dyDescent="0.4">
      <c r="AB122" t="str">
        <f>IFERROR(INDEX(KRI_KRI_ID,_xlfn.AGGREGATE(15,6,(ROW(KRI_KRI_ID)-5)/((KRI_Ciclo_Definizione=KRI_Ciclo)*(KRI_KRI_ID&lt;&gt;"")),111)),"")</f>
        <v/>
      </c>
    </row>
    <row r="123" spans="28:28" x14ac:dyDescent="0.4">
      <c r="AB123" t="str">
        <f>IFERROR(INDEX(KRI_KRI_ID,_xlfn.AGGREGATE(15,6,(ROW(KRI_KRI_ID)-5)/((KRI_Ciclo_Definizione=KRI_Ciclo)*(KRI_KRI_ID&lt;&gt;"")),112)),"")</f>
        <v/>
      </c>
    </row>
    <row r="124" spans="28:28" x14ac:dyDescent="0.4">
      <c r="AB124" t="str">
        <f>IFERROR(INDEX(KRI_KRI_ID,_xlfn.AGGREGATE(15,6,(ROW(KRI_KRI_ID)-5)/((KRI_Ciclo_Definizione=KRI_Ciclo)*(KRI_KRI_ID&lt;&gt;"")),113)),"")</f>
        <v/>
      </c>
    </row>
    <row r="125" spans="28:28" x14ac:dyDescent="0.4">
      <c r="AB125" t="str">
        <f>IFERROR(INDEX(KRI_KRI_ID,_xlfn.AGGREGATE(15,6,(ROW(KRI_KRI_ID)-5)/((KRI_Ciclo_Definizione=KRI_Ciclo)*(KRI_KRI_ID&lt;&gt;"")),114)),"")</f>
        <v/>
      </c>
    </row>
    <row r="126" spans="28:28" x14ac:dyDescent="0.4">
      <c r="AB126" t="str">
        <f>IFERROR(INDEX(KRI_KRI_ID,_xlfn.AGGREGATE(15,6,(ROW(KRI_KRI_ID)-5)/((KRI_Ciclo_Definizione=KRI_Ciclo)*(KRI_KRI_ID&lt;&gt;"")),115)),"")</f>
        <v/>
      </c>
    </row>
    <row r="127" spans="28:28" x14ac:dyDescent="0.4">
      <c r="AB127" t="str">
        <f>IFERROR(INDEX(KRI_KRI_ID,_xlfn.AGGREGATE(15,6,(ROW(KRI_KRI_ID)-5)/((KRI_Ciclo_Definizione=KRI_Ciclo)*(KRI_KRI_ID&lt;&gt;"")),116)),"")</f>
        <v/>
      </c>
    </row>
    <row r="128" spans="28:28" x14ac:dyDescent="0.4">
      <c r="AB128" t="str">
        <f>IFERROR(INDEX(KRI_KRI_ID,_xlfn.AGGREGATE(15,6,(ROW(KRI_KRI_ID)-5)/((KRI_Ciclo_Definizione=KRI_Ciclo)*(KRI_KRI_ID&lt;&gt;"")),117)),"")</f>
        <v/>
      </c>
    </row>
    <row r="129" spans="28:28" x14ac:dyDescent="0.4">
      <c r="AB129" t="str">
        <f>IFERROR(INDEX(KRI_KRI_ID,_xlfn.AGGREGATE(15,6,(ROW(KRI_KRI_ID)-5)/((KRI_Ciclo_Definizione=KRI_Ciclo)*(KRI_KRI_ID&lt;&gt;"")),118)),"")</f>
        <v/>
      </c>
    </row>
    <row r="130" spans="28:28" x14ac:dyDescent="0.4">
      <c r="AB130" t="str">
        <f>IFERROR(INDEX(KRI_KRI_ID,_xlfn.AGGREGATE(15,6,(ROW(KRI_KRI_ID)-5)/((KRI_Ciclo_Definizione=KRI_Ciclo)*(KRI_KRI_ID&lt;&gt;"")),119)),"")</f>
        <v/>
      </c>
    </row>
    <row r="131" spans="28:28" x14ac:dyDescent="0.4">
      <c r="AB131" t="str">
        <f>IFERROR(INDEX(KRI_KRI_ID,_xlfn.AGGREGATE(15,6,(ROW(KRI_KRI_ID)-5)/((KRI_Ciclo_Definizione=KRI_Ciclo)*(KRI_KRI_ID&lt;&gt;"")),120)),"")</f>
        <v/>
      </c>
    </row>
    <row r="132" spans="28:28" x14ac:dyDescent="0.4">
      <c r="AB132" t="str">
        <f>IFERROR(INDEX(KRI_KRI_ID,_xlfn.AGGREGATE(15,6,(ROW(KRI_KRI_ID)-5)/((KRI_Ciclo_Definizione=KRI_Ciclo)*(KRI_KRI_ID&lt;&gt;"")),121)),"")</f>
        <v/>
      </c>
    </row>
    <row r="133" spans="28:28" x14ac:dyDescent="0.4">
      <c r="AB133" t="str">
        <f>IFERROR(INDEX(KRI_KRI_ID,_xlfn.AGGREGATE(15,6,(ROW(KRI_KRI_ID)-5)/((KRI_Ciclo_Definizione=KRI_Ciclo)*(KRI_KRI_ID&lt;&gt;"")),122)),"")</f>
        <v/>
      </c>
    </row>
    <row r="134" spans="28:28" x14ac:dyDescent="0.4">
      <c r="AB134" t="str">
        <f>IFERROR(INDEX(KRI_KRI_ID,_xlfn.AGGREGATE(15,6,(ROW(KRI_KRI_ID)-5)/((KRI_Ciclo_Definizione=KRI_Ciclo)*(KRI_KRI_ID&lt;&gt;"")),123)),"")</f>
        <v/>
      </c>
    </row>
    <row r="135" spans="28:28" x14ac:dyDescent="0.4">
      <c r="AB135" t="str">
        <f>IFERROR(INDEX(KRI_KRI_ID,_xlfn.AGGREGATE(15,6,(ROW(KRI_KRI_ID)-5)/((KRI_Ciclo_Definizione=KRI_Ciclo)*(KRI_KRI_ID&lt;&gt;"")),124)),"")</f>
        <v/>
      </c>
    </row>
    <row r="136" spans="28:28" x14ac:dyDescent="0.4">
      <c r="AB136" t="str">
        <f>IFERROR(INDEX(KRI_KRI_ID,_xlfn.AGGREGATE(15,6,(ROW(KRI_KRI_ID)-5)/((KRI_Ciclo_Definizione=KRI_Ciclo)*(KRI_KRI_ID&lt;&gt;"")),125)),"")</f>
        <v/>
      </c>
    </row>
    <row r="137" spans="28:28" x14ac:dyDescent="0.4">
      <c r="AB137" t="str">
        <f>IFERROR(INDEX(KRI_KRI_ID,_xlfn.AGGREGATE(15,6,(ROW(KRI_KRI_ID)-5)/((KRI_Ciclo_Definizione=KRI_Ciclo)*(KRI_KRI_ID&lt;&gt;"")),126)),"")</f>
        <v/>
      </c>
    </row>
    <row r="138" spans="28:28" x14ac:dyDescent="0.4">
      <c r="AB138" t="str">
        <f>IFERROR(INDEX(KRI_KRI_ID,_xlfn.AGGREGATE(15,6,(ROW(KRI_KRI_ID)-5)/((KRI_Ciclo_Definizione=KRI_Ciclo)*(KRI_KRI_ID&lt;&gt;"")),127)),"")</f>
        <v/>
      </c>
    </row>
    <row r="139" spans="28:28" x14ac:dyDescent="0.4">
      <c r="AB139" t="str">
        <f>IFERROR(INDEX(KRI_KRI_ID,_xlfn.AGGREGATE(15,6,(ROW(KRI_KRI_ID)-5)/((KRI_Ciclo_Definizione=KRI_Ciclo)*(KRI_KRI_ID&lt;&gt;"")),128)),"")</f>
        <v/>
      </c>
    </row>
    <row r="140" spans="28:28" x14ac:dyDescent="0.4">
      <c r="AB140" t="str">
        <f>IFERROR(INDEX(KRI_KRI_ID,_xlfn.AGGREGATE(15,6,(ROW(KRI_KRI_ID)-5)/((KRI_Ciclo_Definizione=KRI_Ciclo)*(KRI_KRI_ID&lt;&gt;"")),129)),"")</f>
        <v/>
      </c>
    </row>
    <row r="141" spans="28:28" x14ac:dyDescent="0.4">
      <c r="AB141" t="str">
        <f>IFERROR(INDEX(KRI_KRI_ID,_xlfn.AGGREGATE(15,6,(ROW(KRI_KRI_ID)-5)/((KRI_Ciclo_Definizione=KRI_Ciclo)*(KRI_KRI_ID&lt;&gt;"")),130)),"")</f>
        <v/>
      </c>
    </row>
    <row r="142" spans="28:28" x14ac:dyDescent="0.4">
      <c r="AB142" t="str">
        <f>IFERROR(INDEX(KRI_KRI_ID,_xlfn.AGGREGATE(15,6,(ROW(KRI_KRI_ID)-5)/((KRI_Ciclo_Definizione=KRI_Ciclo)*(KRI_KRI_ID&lt;&gt;"")),131)),"")</f>
        <v/>
      </c>
    </row>
    <row r="143" spans="28:28" x14ac:dyDescent="0.4">
      <c r="AB143" t="str">
        <f>IFERROR(INDEX(KRI_KRI_ID,_xlfn.AGGREGATE(15,6,(ROW(KRI_KRI_ID)-5)/((KRI_Ciclo_Definizione=KRI_Ciclo)*(KRI_KRI_ID&lt;&gt;"")),132)),"")</f>
        <v/>
      </c>
    </row>
    <row r="144" spans="28:28" x14ac:dyDescent="0.4">
      <c r="AB144" t="str">
        <f>IFERROR(INDEX(KRI_KRI_ID,_xlfn.AGGREGATE(15,6,(ROW(KRI_KRI_ID)-5)/((KRI_Ciclo_Definizione=KRI_Ciclo)*(KRI_KRI_ID&lt;&gt;"")),133)),"")</f>
        <v/>
      </c>
    </row>
    <row r="145" spans="28:28" x14ac:dyDescent="0.4">
      <c r="AB145" t="str">
        <f>IFERROR(INDEX(KRI_KRI_ID,_xlfn.AGGREGATE(15,6,(ROW(KRI_KRI_ID)-5)/((KRI_Ciclo_Definizione=KRI_Ciclo)*(KRI_KRI_ID&lt;&gt;"")),134)),"")</f>
        <v/>
      </c>
    </row>
    <row r="146" spans="28:28" x14ac:dyDescent="0.4">
      <c r="AB146" t="str">
        <f>IFERROR(INDEX(KRI_KRI_ID,_xlfn.AGGREGATE(15,6,(ROW(KRI_KRI_ID)-5)/((KRI_Ciclo_Definizione=KRI_Ciclo)*(KRI_KRI_ID&lt;&gt;"")),135)),"")</f>
        <v/>
      </c>
    </row>
    <row r="147" spans="28:28" x14ac:dyDescent="0.4">
      <c r="AB147" t="str">
        <f>IFERROR(INDEX(KRI_KRI_ID,_xlfn.AGGREGATE(15,6,(ROW(KRI_KRI_ID)-5)/((KRI_Ciclo_Definizione=KRI_Ciclo)*(KRI_KRI_ID&lt;&gt;"")),136)),"")</f>
        <v/>
      </c>
    </row>
    <row r="148" spans="28:28" x14ac:dyDescent="0.4">
      <c r="AB148" t="str">
        <f>IFERROR(INDEX(KRI_KRI_ID,_xlfn.AGGREGATE(15,6,(ROW(KRI_KRI_ID)-5)/((KRI_Ciclo_Definizione=KRI_Ciclo)*(KRI_KRI_ID&lt;&gt;"")),137)),"")</f>
        <v/>
      </c>
    </row>
    <row r="149" spans="28:28" x14ac:dyDescent="0.4">
      <c r="AB149" t="str">
        <f>IFERROR(INDEX(KRI_KRI_ID,_xlfn.AGGREGATE(15,6,(ROW(KRI_KRI_ID)-5)/((KRI_Ciclo_Definizione=KRI_Ciclo)*(KRI_KRI_ID&lt;&gt;"")),138)),"")</f>
        <v/>
      </c>
    </row>
    <row r="150" spans="28:28" x14ac:dyDescent="0.4">
      <c r="AB150" t="str">
        <f>IFERROR(INDEX(KRI_KRI_ID,_xlfn.AGGREGATE(15,6,(ROW(KRI_KRI_ID)-5)/((KRI_Ciclo_Definizione=KRI_Ciclo)*(KRI_KRI_ID&lt;&gt;"")),139)),"")</f>
        <v/>
      </c>
    </row>
    <row r="151" spans="28:28" x14ac:dyDescent="0.4">
      <c r="AB151" t="str">
        <f>IFERROR(INDEX(KRI_KRI_ID,_xlfn.AGGREGATE(15,6,(ROW(KRI_KRI_ID)-5)/((KRI_Ciclo_Definizione=KRI_Ciclo)*(KRI_KRI_ID&lt;&gt;"")),140)),"")</f>
        <v/>
      </c>
    </row>
    <row r="152" spans="28:28" x14ac:dyDescent="0.4">
      <c r="AB152" t="str">
        <f>IFERROR(INDEX(KRI_KRI_ID,_xlfn.AGGREGATE(15,6,(ROW(KRI_KRI_ID)-5)/((KRI_Ciclo_Definizione=KRI_Ciclo)*(KRI_KRI_ID&lt;&gt;"")),141)),"")</f>
        <v/>
      </c>
    </row>
    <row r="153" spans="28:28" x14ac:dyDescent="0.4">
      <c r="AB153" t="str">
        <f>IFERROR(INDEX(KRI_KRI_ID,_xlfn.AGGREGATE(15,6,(ROW(KRI_KRI_ID)-5)/((KRI_Ciclo_Definizione=KRI_Ciclo)*(KRI_KRI_ID&lt;&gt;"")),142)),"")</f>
        <v/>
      </c>
    </row>
    <row r="154" spans="28:28" x14ac:dyDescent="0.4">
      <c r="AB154" t="str">
        <f>IFERROR(INDEX(KRI_KRI_ID,_xlfn.AGGREGATE(15,6,(ROW(KRI_KRI_ID)-5)/((KRI_Ciclo_Definizione=KRI_Ciclo)*(KRI_KRI_ID&lt;&gt;"")),143)),"")</f>
        <v/>
      </c>
    </row>
    <row r="155" spans="28:28" x14ac:dyDescent="0.4">
      <c r="AB155" t="str">
        <f>IFERROR(INDEX(KRI_KRI_ID,_xlfn.AGGREGATE(15,6,(ROW(KRI_KRI_ID)-5)/((KRI_Ciclo_Definizione=KRI_Ciclo)*(KRI_KRI_ID&lt;&gt;"")),144)),"")</f>
        <v/>
      </c>
    </row>
    <row r="156" spans="28:28" x14ac:dyDescent="0.4">
      <c r="AB156" t="str">
        <f>IFERROR(INDEX(KRI_KRI_ID,_xlfn.AGGREGATE(15,6,(ROW(KRI_KRI_ID)-5)/((KRI_Ciclo_Definizione=KRI_Ciclo)*(KRI_KRI_ID&lt;&gt;"")),145)),"")</f>
        <v/>
      </c>
    </row>
    <row r="157" spans="28:28" x14ac:dyDescent="0.4">
      <c r="AB157" t="str">
        <f>IFERROR(INDEX(KRI_KRI_ID,_xlfn.AGGREGATE(15,6,(ROW(KRI_KRI_ID)-5)/((KRI_Ciclo_Definizione=KRI_Ciclo)*(KRI_KRI_ID&lt;&gt;"")),146)),"")</f>
        <v/>
      </c>
    </row>
    <row r="158" spans="28:28" x14ac:dyDescent="0.4">
      <c r="AB158" t="str">
        <f>IFERROR(INDEX(KRI_KRI_ID,_xlfn.AGGREGATE(15,6,(ROW(KRI_KRI_ID)-5)/((KRI_Ciclo_Definizione=KRI_Ciclo)*(KRI_KRI_ID&lt;&gt;"")),147)),"")</f>
        <v/>
      </c>
    </row>
    <row r="159" spans="28:28" x14ac:dyDescent="0.4">
      <c r="AB159" t="str">
        <f>IFERROR(INDEX(KRI_KRI_ID,_xlfn.AGGREGATE(15,6,(ROW(KRI_KRI_ID)-5)/((KRI_Ciclo_Definizione=KRI_Ciclo)*(KRI_KRI_ID&lt;&gt;"")),148)),"")</f>
        <v/>
      </c>
    </row>
    <row r="160" spans="28:28" x14ac:dyDescent="0.4">
      <c r="AB160" t="str">
        <f>IFERROR(INDEX(KRI_KRI_ID,_xlfn.AGGREGATE(15,6,(ROW(KRI_KRI_ID)-5)/((KRI_Ciclo_Definizione=KRI_Ciclo)*(KRI_KRI_ID&lt;&gt;"")),149)),"")</f>
        <v/>
      </c>
    </row>
    <row r="161" spans="28:28" x14ac:dyDescent="0.4">
      <c r="AB161" t="str">
        <f>IFERROR(INDEX(KRI_KRI_ID,_xlfn.AGGREGATE(15,6,(ROW(KRI_KRI_ID)-5)/((KRI_Ciclo_Definizione=KRI_Ciclo)*(KRI_KRI_ID&lt;&gt;"")),150)),"")</f>
        <v/>
      </c>
    </row>
  </sheetData>
  <mergeCells count="2">
    <mergeCell ref="A1:U1"/>
    <mergeCell ref="A2:T2"/>
  </mergeCells>
  <conditionalFormatting sqref="I7:I66">
    <cfRule type="expression" dxfId="83" priority="1">
      <formula>I7="Rosso"</formula>
    </cfRule>
    <cfRule type="expression" dxfId="82" priority="2">
      <formula>I7="Ambra"</formula>
    </cfRule>
    <cfRule type="expression" dxfId="81" priority="3">
      <formula>I7="Verde"</formula>
    </cfRule>
    <cfRule type="expression" dxfId="80" priority="4">
      <formula>I7="SOGLIE INVERTITE — correggere"</formula>
    </cfRule>
    <cfRule type="expression" dxfId="79" priority="5">
      <formula>I7="Soglie da definire"</formula>
    </cfRule>
  </conditionalFormatting>
  <conditionalFormatting sqref="K7:K66">
    <cfRule type="expression" dxfId="78" priority="6">
      <formula>LEFT(K7,1)="▲"</formula>
    </cfRule>
    <cfRule type="expression" dxfId="77" priority="7">
      <formula>LEFT(K7,1)="▼"</formula>
    </cfRule>
  </conditionalFormatting>
  <conditionalFormatting sqref="N12:P19">
    <cfRule type="expression" dxfId="76" priority="8">
      <formula>ISNA(N12)</formula>
    </cfRule>
  </conditionalFormatting>
  <conditionalFormatting sqref="Q12:Q19">
    <cfRule type="expression" dxfId="75" priority="9">
      <formula>Q12="Rosso"</formula>
    </cfRule>
    <cfRule type="expression" dxfId="74" priority="10">
      <formula>Q12="Ambra"</formula>
    </cfRule>
    <cfRule type="expression" dxfId="73" priority="11">
      <formula>Q12="Verde"</formula>
    </cfRule>
    <cfRule type="expression" dxfId="72" priority="12">
      <formula>Q12="SOGLIE INVERTITE — correggere"</formula>
    </cfRule>
    <cfRule type="expression" dxfId="71" priority="13">
      <formula>Q12="Soglie da definire"</formula>
    </cfRule>
  </conditionalFormatting>
  <dataValidations count="1">
    <dataValidation type="list" allowBlank="1" sqref="N4" xr:uid="{00000000-0002-0000-0A00-000000000000}">
      <formula1>elencoKRI</formula1>
    </dataValidation>
  </dataValidation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S32"/>
  <sheetViews>
    <sheetView showGridLines="0" workbookViewId="0"/>
  </sheetViews>
  <sheetFormatPr defaultRowHeight="14.6" x14ac:dyDescent="0.4"/>
  <cols>
    <col min="1" max="1" width="12" customWidth="1"/>
    <col min="2" max="2" width="50" customWidth="1"/>
    <col min="3" max="4" width="16" customWidth="1"/>
    <col min="5" max="5" width="14" customWidth="1"/>
    <col min="6" max="6" width="24" customWidth="1"/>
    <col min="7" max="9" width="12" customWidth="1"/>
    <col min="10" max="10" width="40" customWidth="1"/>
    <col min="12" max="19" width="12" customWidth="1"/>
  </cols>
  <sheetData>
    <row r="1" spans="1:19" ht="28" customHeight="1" x14ac:dyDescent="0.4">
      <c r="A1" s="161" t="str">
        <f>"Horizon Scan NFR — Notizie: pressione sulle categorie di rischio   ·   "&amp;etichettaCiclo</f>
        <v>Horizon Scan NFR — Notizie: pressione sulle categorie di rischio   ·   Ciclo 2026Q4 · dati al 31/12/2026 · validato · Uso interno</v>
      </c>
      <c r="B1" s="162"/>
      <c r="C1" s="162"/>
      <c r="D1" s="162"/>
      <c r="E1" s="162"/>
      <c r="F1" s="162"/>
      <c r="G1" s="162"/>
      <c r="H1" s="162"/>
      <c r="I1" s="162"/>
      <c r="J1" s="162"/>
    </row>
    <row r="2" spans="1:19" ht="59.05" customHeight="1" x14ac:dyDescent="0.4">
      <c r="A2" s="197" t="s">
        <v>453</v>
      </c>
      <c r="B2" s="142"/>
      <c r="C2" s="142"/>
      <c r="D2" s="142"/>
      <c r="E2" s="142"/>
      <c r="F2" s="142"/>
      <c r="G2" s="142"/>
      <c r="H2" s="142"/>
      <c r="I2" s="142"/>
      <c r="J2" s="142"/>
    </row>
    <row r="4" spans="1:19" ht="30" customHeight="1" x14ac:dyDescent="0.4">
      <c r="A4" s="28" t="s">
        <v>454</v>
      </c>
      <c r="B4" s="28" t="s">
        <v>202</v>
      </c>
      <c r="C4" s="28" t="s">
        <v>455</v>
      </c>
      <c r="D4" s="28" t="s">
        <v>456</v>
      </c>
      <c r="E4" s="28" t="s">
        <v>399</v>
      </c>
      <c r="F4" s="28" t="s">
        <v>421</v>
      </c>
      <c r="G4" s="28" t="s">
        <v>457</v>
      </c>
      <c r="H4" s="28" t="s">
        <v>458</v>
      </c>
      <c r="I4" s="28" t="s">
        <v>459</v>
      </c>
      <c r="J4" s="28" t="s">
        <v>182</v>
      </c>
      <c r="L4" s="61" t="s">
        <v>460</v>
      </c>
    </row>
    <row r="5" spans="1:19" x14ac:dyDescent="0.4">
      <c r="A5" t="s">
        <v>461</v>
      </c>
      <c r="B5" t="s">
        <v>462</v>
      </c>
      <c r="C5">
        <f>_xlfn.MAXIFS(NW_Imp_9_1,NW_Settimana,"&gt;="&amp;inizioFinestra4,NW_Settimana,"&lt;="&amp;settimanaCorrente)</f>
        <v>1</v>
      </c>
      <c r="D5">
        <f>COUNTIFS(NW_Imp_9_1,"&gt;=2",NW_Settimana,"&gt;="&amp;inizioFinestra4,NW_Settimana,"&lt;="&amp;settimanaCorrente)</f>
        <v>0</v>
      </c>
      <c r="E5">
        <f t="shared" ref="E5:E13" si="0">COUNTIF(ANA_Event_Type,A5)</f>
        <v>2</v>
      </c>
      <c r="F5" t="str">
        <f t="shared" ref="F5:F13" si="1">IF(E5&gt;0,"Presidiata",IF(COUNTIFS(RR_Ciclo,cicloCorrente,RR_Stato,"Osservazione",RR_Event_Type,A5)&gt;0,"In osservazione",IF(D5&gt;0,"AREA NON PRESIDIATA","Nessun rischio censito")))</f>
        <v>Presidiata</v>
      </c>
      <c r="G5">
        <f>COUNTIFS(NW_Imp_9_1,1,NW_Settimana,"&gt;="&amp;inizioFinestra4,NW_Settimana,"&lt;="&amp;settimanaCorrente)</f>
        <v>1</v>
      </c>
      <c r="H5">
        <f>COUNTIFS(NW_Imp_9_1,2,NW_Settimana,"&gt;="&amp;inizioFinestra4,NW_Settimana,"&lt;="&amp;settimanaCorrente)</f>
        <v>0</v>
      </c>
      <c r="I5">
        <f>COUNTIFS(NW_Imp_9_1,3,NW_Settimana,"&gt;="&amp;inizioFinestra4,NW_Settimana,"&lt;="&amp;settimanaCorrente)</f>
        <v>0</v>
      </c>
      <c r="J5" t="str">
        <f t="shared" ref="J5:J13" si="2">IF(F5="AREA NON PRESIDIATA","NON PRESIDIATA ► ","")&amp;A5&amp;" "&amp;B5</f>
        <v>9.1 Condotta</v>
      </c>
      <c r="L5" s="195" t="str">
        <f>IFERROR(INDEX(SE_Sintesi_A3,MATCH(settimanaCorrente,SE_Settimana,0))&amp;"","Nessuna sintesi di A3 per la settimana corrente.")</f>
        <v>Una sola notizia, critica: il primo caso in Italia di frode con voce clonata ai danni del cliente corporate di una banca comparabile. Proposta di ciclo straordinario su NFR-01.</v>
      </c>
      <c r="M5" s="142"/>
      <c r="N5" s="142"/>
      <c r="O5" s="142"/>
      <c r="P5" s="142"/>
      <c r="Q5" s="142"/>
      <c r="R5" s="142"/>
      <c r="S5" s="142"/>
    </row>
    <row r="6" spans="1:19" x14ac:dyDescent="0.4">
      <c r="A6" t="s">
        <v>463</v>
      </c>
      <c r="B6" t="s">
        <v>464</v>
      </c>
      <c r="C6">
        <f>_xlfn.MAXIFS(NW_Imp_9_4,NW_Settimana,"&gt;="&amp;inizioFinestra4,NW_Settimana,"&lt;="&amp;settimanaCorrente)</f>
        <v>0</v>
      </c>
      <c r="D6">
        <f>COUNTIFS(NW_Imp_9_4,"&gt;=2",NW_Settimana,"&gt;="&amp;inizioFinestra4,NW_Settimana,"&lt;="&amp;settimanaCorrente)</f>
        <v>0</v>
      </c>
      <c r="E6">
        <f t="shared" si="0"/>
        <v>1</v>
      </c>
      <c r="F6" t="str">
        <f t="shared" si="1"/>
        <v>Presidiata</v>
      </c>
      <c r="G6">
        <f>COUNTIFS(NW_Imp_9_4,1,NW_Settimana,"&gt;="&amp;inizioFinestra4,NW_Settimana,"&lt;="&amp;settimanaCorrente)</f>
        <v>0</v>
      </c>
      <c r="H6">
        <f>COUNTIFS(NW_Imp_9_4,2,NW_Settimana,"&gt;="&amp;inizioFinestra4,NW_Settimana,"&lt;="&amp;settimanaCorrente)</f>
        <v>0</v>
      </c>
      <c r="I6">
        <f>COUNTIFS(NW_Imp_9_4,3,NW_Settimana,"&gt;="&amp;inizioFinestra4,NW_Settimana,"&lt;="&amp;settimanaCorrente)</f>
        <v>0</v>
      </c>
      <c r="J6" t="str">
        <f t="shared" si="2"/>
        <v>9.4 Legale</v>
      </c>
      <c r="L6" s="142"/>
      <c r="M6" s="142"/>
      <c r="N6" s="142"/>
      <c r="O6" s="142"/>
      <c r="P6" s="142"/>
      <c r="Q6" s="142"/>
      <c r="R6" s="142"/>
      <c r="S6" s="142"/>
    </row>
    <row r="7" spans="1:19" x14ac:dyDescent="0.4">
      <c r="A7" t="s">
        <v>465</v>
      </c>
      <c r="B7" t="s">
        <v>466</v>
      </c>
      <c r="C7">
        <f>_xlfn.MAXIFS(NW_Imp_9_5,NW_Settimana,"&gt;="&amp;inizioFinestra4,NW_Settimana,"&lt;="&amp;settimanaCorrente)</f>
        <v>0</v>
      </c>
      <c r="D7">
        <f>COUNTIFS(NW_Imp_9_5,"&gt;=2",NW_Settimana,"&gt;="&amp;inizioFinestra4,NW_Settimana,"&lt;="&amp;settimanaCorrente)</f>
        <v>0</v>
      </c>
      <c r="E7">
        <f t="shared" si="0"/>
        <v>0</v>
      </c>
      <c r="F7" t="str">
        <f t="shared" si="1"/>
        <v>Nessun rischio censito</v>
      </c>
      <c r="G7">
        <f>COUNTIFS(NW_Imp_9_5,1,NW_Settimana,"&gt;="&amp;inizioFinestra4,NW_Settimana,"&lt;="&amp;settimanaCorrente)</f>
        <v>0</v>
      </c>
      <c r="H7">
        <f>COUNTIFS(NW_Imp_9_5,2,NW_Settimana,"&gt;="&amp;inizioFinestra4,NW_Settimana,"&lt;="&amp;settimanaCorrente)</f>
        <v>0</v>
      </c>
      <c r="I7">
        <f>COUNTIFS(NW_Imp_9_5,3,NW_Settimana,"&gt;="&amp;inizioFinestra4,NW_Settimana,"&lt;="&amp;settimanaCorrente)</f>
        <v>0</v>
      </c>
      <c r="J7" t="str">
        <f t="shared" si="2"/>
        <v>9.5 Fiscale</v>
      </c>
      <c r="L7" s="142"/>
      <c r="M7" s="142"/>
      <c r="N7" s="142"/>
      <c r="O7" s="142"/>
      <c r="P7" s="142"/>
      <c r="Q7" s="142"/>
      <c r="R7" s="142"/>
      <c r="S7" s="142"/>
    </row>
    <row r="8" spans="1:19" x14ac:dyDescent="0.4">
      <c r="A8" t="s">
        <v>467</v>
      </c>
      <c r="B8" t="s">
        <v>468</v>
      </c>
      <c r="C8">
        <f>_xlfn.MAXIFS(NW_Imp_9_6,NW_Settimana,"&gt;="&amp;inizioFinestra4,NW_Settimana,"&lt;="&amp;settimanaCorrente)</f>
        <v>0</v>
      </c>
      <c r="D8">
        <f>COUNTIFS(NW_Imp_9_6,"&gt;=2",NW_Settimana,"&gt;="&amp;inizioFinestra4,NW_Settimana,"&lt;="&amp;settimanaCorrente)</f>
        <v>0</v>
      </c>
      <c r="E8">
        <f t="shared" si="0"/>
        <v>1</v>
      </c>
      <c r="F8" t="str">
        <f t="shared" si="1"/>
        <v>Presidiata</v>
      </c>
      <c r="G8">
        <f>COUNTIFS(NW_Imp_9_6,1,NW_Settimana,"&gt;="&amp;inizioFinestra4,NW_Settimana,"&lt;="&amp;settimanaCorrente)</f>
        <v>0</v>
      </c>
      <c r="H8">
        <f>COUNTIFS(NW_Imp_9_6,2,NW_Settimana,"&gt;="&amp;inizioFinestra4,NW_Settimana,"&lt;="&amp;settimanaCorrente)</f>
        <v>0</v>
      </c>
      <c r="I8">
        <f>COUNTIFS(NW_Imp_9_6,3,NW_Settimana,"&gt;="&amp;inizioFinestra4,NW_Settimana,"&lt;="&amp;settimanaCorrente)</f>
        <v>0</v>
      </c>
      <c r="J8" t="str">
        <f t="shared" si="2"/>
        <v>9.6 Tecnologico</v>
      </c>
      <c r="L8" s="142"/>
      <c r="M8" s="142"/>
      <c r="N8" s="142"/>
      <c r="O8" s="142"/>
      <c r="P8" s="142"/>
      <c r="Q8" s="142"/>
      <c r="R8" s="142"/>
      <c r="S8" s="142"/>
    </row>
    <row r="9" spans="1:19" x14ac:dyDescent="0.4">
      <c r="A9" t="s">
        <v>469</v>
      </c>
      <c r="B9" t="s">
        <v>470</v>
      </c>
      <c r="C9">
        <f>_xlfn.MAXIFS(NW_Imp_9_7,NW_Settimana,"&gt;="&amp;inizioFinestra4,NW_Settimana,"&lt;="&amp;settimanaCorrente)</f>
        <v>3</v>
      </c>
      <c r="D9">
        <f>COUNTIFS(NW_Imp_9_7,"&gt;=2",NW_Settimana,"&gt;="&amp;inizioFinestra4,NW_Settimana,"&lt;="&amp;settimanaCorrente)</f>
        <v>1</v>
      </c>
      <c r="E9">
        <f t="shared" si="0"/>
        <v>3</v>
      </c>
      <c r="F9" t="str">
        <f t="shared" si="1"/>
        <v>Presidiata</v>
      </c>
      <c r="G9">
        <f>COUNTIFS(NW_Imp_9_7,1,NW_Settimana,"&gt;="&amp;inizioFinestra4,NW_Settimana,"&lt;="&amp;settimanaCorrente)</f>
        <v>0</v>
      </c>
      <c r="H9">
        <f>COUNTIFS(NW_Imp_9_7,2,NW_Settimana,"&gt;="&amp;inizioFinestra4,NW_Settimana,"&lt;="&amp;settimanaCorrente)</f>
        <v>0</v>
      </c>
      <c r="I9">
        <f>COUNTIFS(NW_Imp_9_7,3,NW_Settimana,"&gt;="&amp;inizioFinestra4,NW_Settimana,"&lt;="&amp;settimanaCorrente)</f>
        <v>1</v>
      </c>
      <c r="J9" t="str">
        <f t="shared" si="2"/>
        <v>9.7 Sicurezza informatica</v>
      </c>
      <c r="L9" s="142"/>
      <c r="M9" s="142"/>
      <c r="N9" s="142"/>
      <c r="O9" s="142"/>
      <c r="P9" s="142"/>
      <c r="Q9" s="142"/>
      <c r="R9" s="142"/>
      <c r="S9" s="142"/>
    </row>
    <row r="10" spans="1:19" x14ac:dyDescent="0.4">
      <c r="A10" t="s">
        <v>471</v>
      </c>
      <c r="B10" t="s">
        <v>472</v>
      </c>
      <c r="C10">
        <f>_xlfn.MAXIFS(NW_Imp_9_8,NW_Settimana,"&gt;="&amp;inizioFinestra4,NW_Settimana,"&lt;="&amp;settimanaCorrente)</f>
        <v>0</v>
      </c>
      <c r="D10">
        <f>COUNTIFS(NW_Imp_9_8,"&gt;=2",NW_Settimana,"&gt;="&amp;inizioFinestra4,NW_Settimana,"&lt;="&amp;settimanaCorrente)</f>
        <v>0</v>
      </c>
      <c r="E10">
        <f t="shared" si="0"/>
        <v>1</v>
      </c>
      <c r="F10" t="str">
        <f t="shared" si="1"/>
        <v>Presidiata</v>
      </c>
      <c r="G10">
        <f>COUNTIFS(NW_Imp_9_8,1,NW_Settimana,"&gt;="&amp;inizioFinestra4,NW_Settimana,"&lt;="&amp;settimanaCorrente)</f>
        <v>0</v>
      </c>
      <c r="H10">
        <f>COUNTIFS(NW_Imp_9_8,2,NW_Settimana,"&gt;="&amp;inizioFinestra4,NW_Settimana,"&lt;="&amp;settimanaCorrente)</f>
        <v>0</v>
      </c>
      <c r="I10">
        <f>COUNTIFS(NW_Imp_9_8,3,NW_Settimana,"&gt;="&amp;inizioFinestra4,NW_Settimana,"&lt;="&amp;settimanaCorrente)</f>
        <v>0</v>
      </c>
      <c r="J10" t="str">
        <f t="shared" si="2"/>
        <v>9.8 Sicurezza fisica</v>
      </c>
      <c r="L10" s="61" t="s">
        <v>473</v>
      </c>
    </row>
    <row r="11" spans="1:19" x14ac:dyDescent="0.4">
      <c r="A11" t="s">
        <v>474</v>
      </c>
      <c r="B11" t="s">
        <v>475</v>
      </c>
      <c r="C11">
        <f>_xlfn.MAXIFS(NW_Imp_9_9,NW_Settimana,"&gt;="&amp;inizioFinestra4,NW_Settimana,"&lt;="&amp;settimanaCorrente)</f>
        <v>0</v>
      </c>
      <c r="D11">
        <f>COUNTIFS(NW_Imp_9_9,"&gt;=2",NW_Settimana,"&gt;="&amp;inizioFinestra4,NW_Settimana,"&lt;="&amp;settimanaCorrente)</f>
        <v>0</v>
      </c>
      <c r="E11">
        <f t="shared" si="0"/>
        <v>2</v>
      </c>
      <c r="F11" t="str">
        <f t="shared" si="1"/>
        <v>Presidiata</v>
      </c>
      <c r="G11">
        <f>COUNTIFS(NW_Imp_9_9,1,NW_Settimana,"&gt;="&amp;inizioFinestra4,NW_Settimana,"&lt;="&amp;settimanaCorrente)</f>
        <v>0</v>
      </c>
      <c r="H11">
        <f>COUNTIFS(NW_Imp_9_9,2,NW_Settimana,"&gt;="&amp;inizioFinestra4,NW_Settimana,"&lt;="&amp;settimanaCorrente)</f>
        <v>0</v>
      </c>
      <c r="I11">
        <f>COUNTIFS(NW_Imp_9_9,3,NW_Settimana,"&gt;="&amp;inizioFinestra4,NW_Settimana,"&lt;="&amp;settimanaCorrente)</f>
        <v>0</v>
      </c>
      <c r="J11" t="str">
        <f t="shared" si="2"/>
        <v>9.9 Terze parti</v>
      </c>
      <c r="L11" s="195" t="str">
        <f>IFERROR(INDEX(SE_Flag_Proposti,MATCH(settimanaCorrente,SE_Settimana,0))&amp;"","—")</f>
        <v>Nessun flag proposto</v>
      </c>
      <c r="M11" s="142"/>
      <c r="N11" s="142"/>
      <c r="O11" s="142"/>
      <c r="P11" s="142"/>
      <c r="Q11" s="142"/>
      <c r="R11" s="142"/>
      <c r="S11" s="142"/>
    </row>
    <row r="12" spans="1:19" x14ac:dyDescent="0.4">
      <c r="A12" t="s">
        <v>476</v>
      </c>
      <c r="B12" t="s">
        <v>477</v>
      </c>
      <c r="C12">
        <f>_xlfn.MAXIFS(NW_Imp_9_11,NW_Settimana,"&gt;="&amp;inizioFinestra4,NW_Settimana,"&lt;="&amp;settimanaCorrente)</f>
        <v>0</v>
      </c>
      <c r="D12">
        <f>COUNTIFS(NW_Imp_9_11,"&gt;=2",NW_Settimana,"&gt;="&amp;inizioFinestra4,NW_Settimana,"&lt;="&amp;settimanaCorrente)</f>
        <v>0</v>
      </c>
      <c r="E12">
        <f t="shared" si="0"/>
        <v>1</v>
      </c>
      <c r="F12" t="str">
        <f t="shared" si="1"/>
        <v>Presidiata</v>
      </c>
      <c r="G12">
        <f>COUNTIFS(NW_Imp_9_11,1,NW_Settimana,"&gt;="&amp;inizioFinestra4,NW_Settimana,"&lt;="&amp;settimanaCorrente)</f>
        <v>0</v>
      </c>
      <c r="H12">
        <f>COUNTIFS(NW_Imp_9_11,2,NW_Settimana,"&gt;="&amp;inizioFinestra4,NW_Settimana,"&lt;="&amp;settimanaCorrente)</f>
        <v>0</v>
      </c>
      <c r="I12">
        <f>COUNTIFS(NW_Imp_9_11,3,NW_Settimana,"&gt;="&amp;inizioFinestra4,NW_Settimana,"&lt;="&amp;settimanaCorrente)</f>
        <v>0</v>
      </c>
      <c r="J12" t="str">
        <f t="shared" si="2"/>
        <v>9.11 Employer</v>
      </c>
      <c r="L12" s="142"/>
      <c r="M12" s="142"/>
      <c r="N12" s="142"/>
      <c r="O12" s="142"/>
      <c r="P12" s="142"/>
      <c r="Q12" s="142"/>
      <c r="R12" s="142"/>
      <c r="S12" s="142"/>
    </row>
    <row r="13" spans="1:19" x14ac:dyDescent="0.4">
      <c r="A13" t="s">
        <v>478</v>
      </c>
      <c r="B13" t="s">
        <v>479</v>
      </c>
      <c r="C13">
        <f>_xlfn.MAXIFS(NW_Imp_9_13,NW_Settimana,"&gt;="&amp;inizioFinestra4,NW_Settimana,"&lt;="&amp;settimanaCorrente)</f>
        <v>0</v>
      </c>
      <c r="D13">
        <f>COUNTIFS(NW_Imp_9_13,"&gt;=2",NW_Settimana,"&gt;="&amp;inizioFinestra4,NW_Settimana,"&lt;="&amp;settimanaCorrente)</f>
        <v>0</v>
      </c>
      <c r="E13">
        <f t="shared" si="0"/>
        <v>2</v>
      </c>
      <c r="F13" t="str">
        <f t="shared" si="1"/>
        <v>Presidiata</v>
      </c>
      <c r="G13">
        <f>COUNTIFS(NW_Imp_9_13,1,NW_Settimana,"&gt;="&amp;inizioFinestra4,NW_Settimana,"&lt;="&amp;settimanaCorrente)</f>
        <v>0</v>
      </c>
      <c r="H13">
        <f>COUNTIFS(NW_Imp_9_13,2,NW_Settimana,"&gt;="&amp;inizioFinestra4,NW_Settimana,"&lt;="&amp;settimanaCorrente)</f>
        <v>0</v>
      </c>
      <c r="I13">
        <f>COUNTIFS(NW_Imp_9_13,3,NW_Settimana,"&gt;="&amp;inizioFinestra4,NW_Settimana,"&lt;="&amp;settimanaCorrente)</f>
        <v>0</v>
      </c>
      <c r="J13" t="str">
        <f t="shared" si="2"/>
        <v>9.13 Processo</v>
      </c>
      <c r="L13" s="142"/>
      <c r="M13" s="142"/>
      <c r="N13" s="142"/>
      <c r="O13" s="142"/>
      <c r="P13" s="142"/>
      <c r="Q13" s="142"/>
      <c r="R13" s="142"/>
      <c r="S13" s="142"/>
    </row>
    <row r="15" spans="1:19" x14ac:dyDescent="0.4">
      <c r="A15" t="s">
        <v>480</v>
      </c>
      <c r="D15">
        <f>COUNTIFS(NW_Rischio_ID,"NON PRESIDIATO",NW_Settimana,"&gt;="&amp;inizioFinestra4,NW_Settimana,"&lt;="&amp;settimanaCorrente)</f>
        <v>0</v>
      </c>
      <c r="L15" s="61" t="s">
        <v>481</v>
      </c>
    </row>
    <row r="16" spans="1:19" x14ac:dyDescent="0.4">
      <c r="L16" s="195" t="str">
        <f>IF(cicloCorrente="","—","Nelle ultime 4 settimane A3 ha collegato "&amp;SUMPRODUCT((NW_Settimana&gt;=inizioFinestra4)*(NW_Settimana&lt;=settimanaCorrente)*(COUNTIFS(RR_ID_Rischio,NW_Rischio_ID,RR_Ciclo,cicloCorrente,RR_Stato,"Osservazione")&gt;0))&amp;" notizie a rischi in osservazione: quanti per rischio nel foglio Osservazione, colonna O; un flag di A3 su uno di questi rischi è fra i flag proposti qui sopra.")</f>
        <v>Nelle ultime 4 settimane A3 ha collegato 0 notizie a rischi in osservazione: quanti per rischio nel foglio Osservazione, colonna O; un flag di A3 su uno di questi rischi è fra i flag proposti qui sopra.</v>
      </c>
      <c r="M16" s="142"/>
      <c r="N16" s="142"/>
      <c r="O16" s="142"/>
      <c r="P16" s="142"/>
      <c r="Q16" s="142"/>
      <c r="R16" s="142"/>
      <c r="S16" s="142"/>
    </row>
    <row r="17" spans="1:19" ht="15.9" x14ac:dyDescent="0.45">
      <c r="A17" s="149" t="s">
        <v>482</v>
      </c>
      <c r="B17" s="150"/>
      <c r="C17" s="150"/>
      <c r="D17" s="150"/>
      <c r="E17" s="150"/>
      <c r="L17" s="142"/>
      <c r="M17" s="142"/>
      <c r="N17" s="142"/>
      <c r="O17" s="142"/>
      <c r="P17" s="142"/>
      <c r="Q17" s="142"/>
      <c r="R17" s="142"/>
      <c r="S17" s="142"/>
    </row>
    <row r="18" spans="1:19" x14ac:dyDescent="0.4">
      <c r="A18" s="61" t="s">
        <v>483</v>
      </c>
      <c r="B18" s="61" t="s">
        <v>95</v>
      </c>
      <c r="C18" s="61" t="s">
        <v>484</v>
      </c>
      <c r="D18" s="61" t="s">
        <v>485</v>
      </c>
      <c r="E18" s="61" t="s">
        <v>486</v>
      </c>
      <c r="L18" s="142"/>
      <c r="M18" s="142"/>
      <c r="N18" s="142"/>
      <c r="O18" s="142"/>
      <c r="P18" s="142"/>
      <c r="Q18" s="142"/>
      <c r="R18" s="142"/>
      <c r="S18" s="142"/>
    </row>
    <row r="19" spans="1:19" x14ac:dyDescent="0.4">
      <c r="A19" s="77">
        <f>Parametri!$B$34</f>
        <v>46265</v>
      </c>
      <c r="B19">
        <f t="shared" ref="B19:B30" si="3">COUNTIFS(NW_Settimana,A19)</f>
        <v>0</v>
      </c>
      <c r="C19">
        <f t="shared" ref="C19:C30" si="4">COUNTIFS(NW_Settimana,A19,NW_Segnale,"Peggiorativo")</f>
        <v>0</v>
      </c>
      <c r="D19">
        <f t="shared" ref="D19:D30" si="5">COUNTIFS(NW_Settimana,A19,NW_Segnale,"Migliorativo")</f>
        <v>0</v>
      </c>
      <c r="E19">
        <f t="shared" ref="E19:E30" si="6">C19-D19</f>
        <v>0</v>
      </c>
      <c r="L19" s="142"/>
      <c r="M19" s="142"/>
      <c r="N19" s="142"/>
      <c r="O19" s="142"/>
      <c r="P19" s="142"/>
      <c r="Q19" s="142"/>
      <c r="R19" s="142"/>
      <c r="S19" s="142"/>
    </row>
    <row r="20" spans="1:19" x14ac:dyDescent="0.4">
      <c r="A20" s="77">
        <f>Parametri!$B$35</f>
        <v>46272</v>
      </c>
      <c r="B20">
        <f t="shared" si="3"/>
        <v>0</v>
      </c>
      <c r="C20">
        <f t="shared" si="4"/>
        <v>0</v>
      </c>
      <c r="D20">
        <f t="shared" si="5"/>
        <v>0</v>
      </c>
      <c r="E20">
        <f t="shared" si="6"/>
        <v>0</v>
      </c>
    </row>
    <row r="21" spans="1:19" x14ac:dyDescent="0.4">
      <c r="A21" s="77">
        <f>Parametri!$B$36</f>
        <v>46279</v>
      </c>
      <c r="B21">
        <f t="shared" si="3"/>
        <v>0</v>
      </c>
      <c r="C21">
        <f t="shared" si="4"/>
        <v>0</v>
      </c>
      <c r="D21">
        <f t="shared" si="5"/>
        <v>0</v>
      </c>
      <c r="E21">
        <f t="shared" si="6"/>
        <v>0</v>
      </c>
      <c r="L21" s="61" t="s">
        <v>487</v>
      </c>
    </row>
    <row r="22" spans="1:19" x14ac:dyDescent="0.4">
      <c r="A22" s="77">
        <f>Parametri!$B$37</f>
        <v>46286</v>
      </c>
      <c r="B22">
        <f t="shared" si="3"/>
        <v>0</v>
      </c>
      <c r="C22">
        <f t="shared" si="4"/>
        <v>0</v>
      </c>
      <c r="D22">
        <f t="shared" si="5"/>
        <v>0</v>
      </c>
      <c r="E22">
        <f t="shared" si="6"/>
        <v>0</v>
      </c>
      <c r="L22" s="196" t="str">
        <f>IFERROR(INDEX(SE_Proposta_Straordinario,MATCH(settimanaCorrente,SE_Settimana,0))&amp;"","—")</f>
        <v>PROPOSTA DI CICLO STRAORDINARIO per NFR-01: Intensita' 3 su NFR-01, che ha Impatto 4: il primo caso presso una banca comparabile rende superato il descrittore di Probabilita 4.</v>
      </c>
      <c r="M22" s="142"/>
      <c r="N22" s="142"/>
      <c r="O22" s="142"/>
      <c r="P22" s="142"/>
      <c r="Q22" s="142"/>
      <c r="R22" s="142"/>
      <c r="S22" s="142"/>
    </row>
    <row r="23" spans="1:19" x14ac:dyDescent="0.4">
      <c r="A23" s="77">
        <f>Parametri!$B$38</f>
        <v>46293</v>
      </c>
      <c r="B23">
        <f t="shared" si="3"/>
        <v>0</v>
      </c>
      <c r="C23">
        <f t="shared" si="4"/>
        <v>0</v>
      </c>
      <c r="D23">
        <f t="shared" si="5"/>
        <v>0</v>
      </c>
      <c r="E23">
        <f t="shared" si="6"/>
        <v>0</v>
      </c>
      <c r="L23" s="142"/>
      <c r="M23" s="142"/>
      <c r="N23" s="142"/>
      <c r="O23" s="142"/>
      <c r="P23" s="142"/>
      <c r="Q23" s="142"/>
      <c r="R23" s="142"/>
      <c r="S23" s="142"/>
    </row>
    <row r="24" spans="1:19" x14ac:dyDescent="0.4">
      <c r="A24" s="77">
        <f>Parametri!$B$39</f>
        <v>46300</v>
      </c>
      <c r="B24">
        <f t="shared" si="3"/>
        <v>5</v>
      </c>
      <c r="C24">
        <f t="shared" si="4"/>
        <v>4</v>
      </c>
      <c r="D24">
        <f t="shared" si="5"/>
        <v>1</v>
      </c>
      <c r="E24">
        <f t="shared" si="6"/>
        <v>3</v>
      </c>
      <c r="L24" s="142"/>
      <c r="M24" s="142"/>
      <c r="N24" s="142"/>
      <c r="O24" s="142"/>
      <c r="P24" s="142"/>
      <c r="Q24" s="142"/>
      <c r="R24" s="142"/>
      <c r="S24" s="142"/>
    </row>
    <row r="25" spans="1:19" x14ac:dyDescent="0.4">
      <c r="A25" s="77">
        <f>Parametri!$B$40</f>
        <v>46307</v>
      </c>
      <c r="B25">
        <f t="shared" si="3"/>
        <v>0</v>
      </c>
      <c r="C25">
        <f t="shared" si="4"/>
        <v>0</v>
      </c>
      <c r="D25">
        <f t="shared" si="5"/>
        <v>0</v>
      </c>
      <c r="E25">
        <f t="shared" si="6"/>
        <v>0</v>
      </c>
    </row>
    <row r="26" spans="1:19" x14ac:dyDescent="0.4">
      <c r="A26" s="77">
        <f>Parametri!$B$41</f>
        <v>46314</v>
      </c>
      <c r="B26">
        <f t="shared" si="3"/>
        <v>0</v>
      </c>
      <c r="C26">
        <f t="shared" si="4"/>
        <v>0</v>
      </c>
      <c r="D26">
        <f t="shared" si="5"/>
        <v>0</v>
      </c>
      <c r="E26">
        <f t="shared" si="6"/>
        <v>0</v>
      </c>
    </row>
    <row r="27" spans="1:19" x14ac:dyDescent="0.4">
      <c r="A27" s="77">
        <f>Parametri!$B$42</f>
        <v>46321</v>
      </c>
      <c r="B27">
        <f t="shared" si="3"/>
        <v>0</v>
      </c>
      <c r="C27">
        <f t="shared" si="4"/>
        <v>0</v>
      </c>
      <c r="D27">
        <f t="shared" si="5"/>
        <v>0</v>
      </c>
      <c r="E27">
        <f t="shared" si="6"/>
        <v>0</v>
      </c>
    </row>
    <row r="28" spans="1:19" x14ac:dyDescent="0.4">
      <c r="A28" s="77">
        <f>Parametri!$B$43</f>
        <v>46328</v>
      </c>
      <c r="B28">
        <f t="shared" si="3"/>
        <v>0</v>
      </c>
      <c r="C28">
        <f t="shared" si="4"/>
        <v>0</v>
      </c>
      <c r="D28">
        <f t="shared" si="5"/>
        <v>0</v>
      </c>
      <c r="E28">
        <f t="shared" si="6"/>
        <v>0</v>
      </c>
    </row>
    <row r="29" spans="1:19" x14ac:dyDescent="0.4">
      <c r="A29" s="77">
        <f>Parametri!$B$44</f>
        <v>46335</v>
      </c>
      <c r="B29">
        <f t="shared" si="3"/>
        <v>1</v>
      </c>
      <c r="C29">
        <f t="shared" si="4"/>
        <v>1</v>
      </c>
      <c r="D29">
        <f t="shared" si="5"/>
        <v>0</v>
      </c>
      <c r="E29">
        <f t="shared" si="6"/>
        <v>1</v>
      </c>
    </row>
    <row r="30" spans="1:19" x14ac:dyDescent="0.4">
      <c r="A30" s="77">
        <f>Parametri!$B$45</f>
        <v>46342</v>
      </c>
      <c r="B30">
        <f t="shared" si="3"/>
        <v>0</v>
      </c>
      <c r="C30">
        <f t="shared" si="4"/>
        <v>0</v>
      </c>
      <c r="D30">
        <f t="shared" si="5"/>
        <v>0</v>
      </c>
      <c r="E30">
        <f t="shared" si="6"/>
        <v>0</v>
      </c>
    </row>
    <row r="32" spans="1:19" x14ac:dyDescent="0.4">
      <c r="A32" s="79" t="s">
        <v>488</v>
      </c>
    </row>
  </sheetData>
  <mergeCells count="7">
    <mergeCell ref="L5:S9"/>
    <mergeCell ref="A1:J1"/>
    <mergeCell ref="L11:S13"/>
    <mergeCell ref="L16:S19"/>
    <mergeCell ref="L22:S24"/>
    <mergeCell ref="A2:J2"/>
    <mergeCell ref="A17:E17"/>
  </mergeCells>
  <conditionalFormatting sqref="F5:F13">
    <cfRule type="expression" dxfId="70" priority="1">
      <formula>F5="AREA NON PRESIDIATA"</formula>
    </cfRule>
    <cfRule type="expression" dxfId="69" priority="2">
      <formula>F5="In osservazione"</formula>
    </cfRule>
  </conditionalFormatting>
  <conditionalFormatting sqref="L22">
    <cfRule type="expression" dxfId="68" priority="3">
      <formula>LEFT($L$22,8)="PROPOSTA"</formula>
    </cfRule>
  </conditionalFormatting>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sheetPr>
  <dimension ref="A1:N157"/>
  <sheetViews>
    <sheetView showGridLines="0" workbookViewId="0">
      <pane ySplit="5" topLeftCell="A6" activePane="bottomLeft" state="frozen"/>
      <selection pane="bottomLeft"/>
    </sheetView>
  </sheetViews>
  <sheetFormatPr defaultRowHeight="14.6" x14ac:dyDescent="0.4"/>
  <cols>
    <col min="1" max="2" width="8" customWidth="1"/>
    <col min="3" max="3" width="17" customWidth="1"/>
    <col min="4" max="4" width="60" customWidth="1"/>
    <col min="5" max="5" width="28" customWidth="1"/>
    <col min="6" max="6" width="9" customWidth="1"/>
    <col min="7" max="7" width="20" customWidth="1"/>
    <col min="8" max="9" width="11" customWidth="1"/>
    <col min="10" max="10" width="12" customWidth="1"/>
    <col min="14" max="14" width="13" hidden="1" customWidth="1"/>
  </cols>
  <sheetData>
    <row r="1" spans="1:14" ht="28" customHeight="1" x14ac:dyDescent="0.4">
      <c r="A1" s="161" t="str">
        <f>"Horizon Scan NFR — Piano delle azioni   ·   "&amp;etichettaCiclo</f>
        <v>Horizon Scan NFR — Piano delle azioni   ·   Ciclo 2026Q4 · dati al 31/12/2026 · validato · Uso interno</v>
      </c>
      <c r="B1" s="162"/>
      <c r="C1" s="162"/>
      <c r="D1" s="162"/>
      <c r="E1" s="162"/>
      <c r="F1" s="162"/>
      <c r="G1" s="162"/>
      <c r="H1" s="162"/>
      <c r="I1" s="162"/>
      <c r="J1" s="162"/>
    </row>
    <row r="2" spans="1:14" ht="45.55" customHeight="1" x14ac:dyDescent="0.4">
      <c r="A2" s="198" t="s">
        <v>489</v>
      </c>
      <c r="B2" s="142"/>
      <c r="C2" s="142"/>
      <c r="D2" s="142"/>
      <c r="E2" s="142"/>
      <c r="F2" s="142"/>
      <c r="G2" s="142"/>
      <c r="H2" s="142"/>
      <c r="I2" s="142"/>
      <c r="J2" s="142"/>
    </row>
    <row r="4" spans="1:14" x14ac:dyDescent="0.4">
      <c r="A4" s="200" t="s">
        <v>490</v>
      </c>
      <c r="B4" s="190"/>
      <c r="C4" s="190"/>
      <c r="D4" s="190"/>
      <c r="E4" s="190"/>
      <c r="F4" s="190"/>
      <c r="G4" s="199" t="s">
        <v>491</v>
      </c>
      <c r="H4" s="171"/>
      <c r="I4" s="171"/>
      <c r="J4" s="80" t="s">
        <v>9</v>
      </c>
    </row>
    <row r="5" spans="1:14" x14ac:dyDescent="0.4">
      <c r="A5" s="76" t="s">
        <v>451</v>
      </c>
      <c r="B5" s="76" t="s">
        <v>18</v>
      </c>
      <c r="C5" s="76" t="s">
        <v>492</v>
      </c>
      <c r="D5" s="76" t="s">
        <v>493</v>
      </c>
      <c r="E5" s="76" t="s">
        <v>181</v>
      </c>
      <c r="F5" s="76" t="s">
        <v>267</v>
      </c>
      <c r="G5" s="76" t="s">
        <v>444</v>
      </c>
      <c r="H5" s="76" t="s">
        <v>494</v>
      </c>
      <c r="I5" s="76" t="s">
        <v>495</v>
      </c>
      <c r="J5" s="76" t="s">
        <v>9</v>
      </c>
    </row>
    <row r="6" spans="1:14" x14ac:dyDescent="0.4">
      <c r="A6" s="81" t="str">
        <f>IF($N6="","",INDEX(Azioni!$A:$A,$N6)&amp;"")</f>
        <v>2026Q2</v>
      </c>
      <c r="B6" s="81" t="str">
        <f>IF($N6="","",INDEX(Azioni!$B:$B,$N6)&amp;"")</f>
        <v>NFR-01</v>
      </c>
      <c r="C6" s="81" t="str">
        <f>IF($N6="","",INDEX(Azioni!$C:$C,$N6)&amp;"")</f>
        <v>2026Q2-NFR-01-A1</v>
      </c>
      <c r="D6" s="82" t="str">
        <f>IF($N6="","",INDEX(Azioni!$D:$D,$N6)&amp;"")</f>
        <v>Introdurre la verifica fuori banda per bonifici istantanei sopra soglia verso beneficiari nuovi.</v>
      </c>
      <c r="E6" s="81" t="str">
        <f>IF($N6="","",INDEX(Azioni!$E:$E,$N6)&amp;"")</f>
        <v>Funzione Antifrode</v>
      </c>
      <c r="F6" s="81" t="str">
        <f>IF($N6="","",INDEX(Azioni!$F:$F,$N6)&amp;"")</f>
        <v>6 mesi</v>
      </c>
      <c r="G6" s="81" t="str">
        <f>IF($N6="","",INDEX(Azioni!$I:$I,$N6)&amp;"")</f>
        <v>Approvata</v>
      </c>
      <c r="H6" s="83">
        <f>IF($N6="","",IF(INDEX(Azioni!$J:$J,$N6)="","",INDEX(Azioni!$J:$J,$N6)))</f>
        <v>46218</v>
      </c>
      <c r="I6" s="83">
        <f>IF(OR($N6="",H6=""),"",IF(OR(G6="Approvata",G6="In corso"),EDATE(H6,N(INDEX(Azioni!$G:$G,$N6))),""))</f>
        <v>46402</v>
      </c>
      <c r="J6" s="81" t="str">
        <f>IF($N6="","",INDEX(Azioni!$L:$L,$N6)&amp;"")</f>
        <v>Accettato</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6</v>
      </c>
    </row>
    <row r="7" spans="1:14" x14ac:dyDescent="0.4">
      <c r="A7" s="81" t="str">
        <f>IF($N7="","",INDEX(Azioni!$A:$A,$N7)&amp;"")</f>
        <v>2026Q2</v>
      </c>
      <c r="B7" s="81" t="str">
        <f>IF($N7="","",INDEX(Azioni!$B:$B,$N7)&amp;"")</f>
        <v>NFR-02</v>
      </c>
      <c r="C7" s="81" t="str">
        <f>IF($N7="","",INDEX(Azioni!$C:$C,$N7)&amp;"")</f>
        <v>2026Q2-NFR-02-A1</v>
      </c>
      <c r="D7" s="82" t="str">
        <f>IF($N7="","",INDEX(Azioni!$D:$D,$N7)&amp;"")</f>
        <v>Eseguire il test completo di exit strategy sui due servizi critici non ancora coperti.</v>
      </c>
      <c r="E7" s="81" t="str">
        <f>IF($N7="","",INDEX(Azioni!$E:$E,$N7)&amp;"")</f>
        <v>Funzione ICT &amp; Security Risk</v>
      </c>
      <c r="F7" s="81" t="str">
        <f>IF($N7="","",INDEX(Azioni!$F:$F,$N7)&amp;"")</f>
        <v>12 mesi</v>
      </c>
      <c r="G7" s="81" t="str">
        <f>IF($N7="","",INDEX(Azioni!$I:$I,$N7)&amp;"")</f>
        <v>Approvata</v>
      </c>
      <c r="H7" s="83">
        <f>IF($N7="","",IF(INDEX(Azioni!$J:$J,$N7)="","",INDEX(Azioni!$J:$J,$N7)))</f>
        <v>46218</v>
      </c>
      <c r="I7" s="83">
        <f>IF(OR($N7="",H7=""),"",IF(OR(G7="Approvata",G7="In corso"),EDATE(H7,N(INDEX(Azioni!$G:$G,$N7))),""))</f>
        <v>46583</v>
      </c>
      <c r="J7" s="81" t="str">
        <f>IF($N7="","",INDEX(Azioni!$L:$L,$N7)&amp;"")</f>
        <v>Accettato</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7</v>
      </c>
    </row>
    <row r="8" spans="1:14" x14ac:dyDescent="0.4">
      <c r="A8" s="81" t="str">
        <f>IF($N8="","",INDEX(Azioni!$A:$A,$N8)&amp;"")</f>
        <v>2026Q2</v>
      </c>
      <c r="B8" s="81" t="str">
        <f>IF($N8="","",INDEX(Azioni!$B:$B,$N8)&amp;"")</f>
        <v>NFR-03</v>
      </c>
      <c r="C8" s="81" t="str">
        <f>IF($N8="","",INDEX(Azioni!$C:$C,$N8)&amp;"")</f>
        <v>2026Q2-NFR-03-A1</v>
      </c>
      <c r="D8" s="82" t="str">
        <f>IF($N8="","",INDEX(Azioni!$D:$D,$N8)&amp;"")</f>
        <v>Revisione indipendente dei claim ambientali di tutti i prodotti ESG in catalogo.</v>
      </c>
      <c r="E8" s="81" t="str">
        <f>IF($N8="","",INDEX(Azioni!$E:$E,$N8)&amp;"")</f>
        <v>Funzione Compliance</v>
      </c>
      <c r="F8" s="81" t="str">
        <f>IF($N8="","",INDEX(Azioni!$F:$F,$N8)&amp;"")</f>
        <v>6 mesi</v>
      </c>
      <c r="G8" s="81" t="str">
        <f>IF($N8="","",INDEX(Azioni!$I:$I,$N8)&amp;"")</f>
        <v>Approvata</v>
      </c>
      <c r="H8" s="83">
        <f>IF($N8="","",IF(INDEX(Azioni!$J:$J,$N8)="","",INDEX(Azioni!$J:$J,$N8)))</f>
        <v>46218</v>
      </c>
      <c r="I8" s="83">
        <f>IF(OR($N8="",H8=""),"",IF(OR(G8="Approvata",G8="In corso"),EDATE(H8,N(INDEX(Azioni!$G:$G,$N8))),""))</f>
        <v>46402</v>
      </c>
      <c r="J8" s="81" t="str">
        <f>IF($N8="","",INDEX(Azioni!$L:$L,$N8)&amp;"")</f>
        <v>Accettato</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8</v>
      </c>
    </row>
    <row r="9" spans="1:14" x14ac:dyDescent="0.4">
      <c r="A9" s="81" t="str">
        <f>IF($N9="","",INDEX(Azioni!$A:$A,$N9)&amp;"")</f>
        <v>2026Q2</v>
      </c>
      <c r="B9" s="81" t="str">
        <f>IF($N9="","",INDEX(Azioni!$B:$B,$N9)&amp;"")</f>
        <v>NFR-04</v>
      </c>
      <c r="C9" s="81" t="str">
        <f>IF($N9="","",INDEX(Azioni!$C:$C,$N9)&amp;"")</f>
        <v>2026Q2-NFR-04-A1</v>
      </c>
      <c r="D9" s="82" t="str">
        <f>IF($N9="","",INDEX(Azioni!$D:$D,$N9)&amp;"")</f>
        <v>Redigere piani di continuita' specifici per le due sedi critiche in aree a rischio.</v>
      </c>
      <c r="E9" s="81" t="str">
        <f>IF($N9="","",INDEX(Azioni!$E:$E,$N9)&amp;"")</f>
        <v>Funzione Business Continuity</v>
      </c>
      <c r="F9" s="81" t="str">
        <f>IF($N9="","",INDEX(Azioni!$F:$F,$N9)&amp;"")</f>
        <v>12 mesi</v>
      </c>
      <c r="G9" s="81" t="str">
        <f>IF($N9="","",INDEX(Azioni!$I:$I,$N9)&amp;"")</f>
        <v>Approvata</v>
      </c>
      <c r="H9" s="83">
        <f>IF($N9="","",IF(INDEX(Azioni!$J:$J,$N9)="","",INDEX(Azioni!$J:$J,$N9)))</f>
        <v>46218</v>
      </c>
      <c r="I9" s="83">
        <f>IF(OR($N9="",H9=""),"",IF(OR(G9="Approvata",G9="In corso"),EDATE(H9,N(INDEX(Azioni!$G:$G,$N9))),""))</f>
        <v>46583</v>
      </c>
      <c r="J9" s="81" t="str">
        <f>IF($N9="","",INDEX(Azioni!$L:$L,$N9)&amp;"")</f>
        <v>Accettato</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9</v>
      </c>
    </row>
    <row r="10" spans="1:14" x14ac:dyDescent="0.4">
      <c r="A10" s="81" t="str">
        <f>IF($N10="","",INDEX(Azioni!$A:$A,$N10)&amp;"")</f>
        <v>2026Q2</v>
      </c>
      <c r="B10" s="81" t="str">
        <f>IF($N10="","",INDEX(Azioni!$B:$B,$N10)&amp;"")</f>
        <v>NFR-06</v>
      </c>
      <c r="C10" s="81" t="str">
        <f>IF($N10="","",INDEX(Azioni!$C:$C,$N10)&amp;"")</f>
        <v>2026Q2-NFR-06-A1</v>
      </c>
      <c r="D10" s="82" t="str">
        <f>IF($N10="","",INDEX(Azioni!$D:$D,$N10)&amp;"")</f>
        <v>Estendere il DLP a tutti i servizi di AI generativa e bloccare quelli non autorizzati.</v>
      </c>
      <c r="E10" s="81" t="str">
        <f>IF($N10="","",INDEX(Azioni!$E:$E,$N10)&amp;"")</f>
        <v>Funzione Sicurezza delle Informazioni</v>
      </c>
      <c r="F10" s="81" t="str">
        <f>IF($N10="","",INDEX(Azioni!$F:$F,$N10)&amp;"")</f>
        <v>3 mesi</v>
      </c>
      <c r="G10" s="81" t="str">
        <f>IF($N10="","",INDEX(Azioni!$I:$I,$N10)&amp;"")</f>
        <v>Approvata</v>
      </c>
      <c r="H10" s="83">
        <f>IF($N10="","",IF(INDEX(Azioni!$J:$J,$N10)="","",INDEX(Azioni!$J:$J,$N10)))</f>
        <v>46218</v>
      </c>
      <c r="I10" s="83">
        <f>IF(OR($N10="",H10=""),"",IF(OR(G10="Approvata",G10="In corso"),EDATE(H10,N(INDEX(Azioni!$G:$G,$N10))),""))</f>
        <v>46310</v>
      </c>
      <c r="J10" s="81" t="str">
        <f>IF($N10="","",INDEX(Azioni!$L:$L,$N10)&amp;"")</f>
        <v>Accettato</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11</v>
      </c>
    </row>
    <row r="11" spans="1:14" x14ac:dyDescent="0.4">
      <c r="A11" s="81" t="str">
        <f>IF($N11="","",INDEX(Azioni!$A:$A,$N11)&amp;"")</f>
        <v>2026Q2</v>
      </c>
      <c r="B11" s="81" t="str">
        <f>IF($N11="","",INDEX(Azioni!$B:$B,$N11)&amp;"")</f>
        <v>NFR-07</v>
      </c>
      <c r="C11" s="81" t="str">
        <f>IF($N11="","",INDEX(Azioni!$C:$C,$N11)&amp;"")</f>
        <v>2026Q2-NFR-07-A1</v>
      </c>
      <c r="D11" s="82" t="str">
        <f>IF($N11="","",INDEX(Azioni!$D:$D,$N11)&amp;"")</f>
        <v>Test congiunto di ripristino da ransomware con il fornitore del gateway di pagamento.</v>
      </c>
      <c r="E11" s="81" t="str">
        <f>IF($N11="","",INDEX(Azioni!$E:$E,$N11)&amp;"")</f>
        <v>Funzione ICT &amp; Security Risk</v>
      </c>
      <c r="F11" s="81" t="str">
        <f>IF($N11="","",INDEX(Azioni!$F:$F,$N11)&amp;"")</f>
        <v>6 mesi</v>
      </c>
      <c r="G11" s="81" t="str">
        <f>IF($N11="","",INDEX(Azioni!$I:$I,$N11)&amp;"")</f>
        <v>Approvata</v>
      </c>
      <c r="H11" s="83">
        <f>IF($N11="","",IF(INDEX(Azioni!$J:$J,$N11)="","",INDEX(Azioni!$J:$J,$N11)))</f>
        <v>46218</v>
      </c>
      <c r="I11" s="83">
        <f>IF(OR($N11="",H11=""),"",IF(OR(G11="Approvata",G11="In corso"),EDATE(H11,N(INDEX(Azioni!$G:$G,$N11))),""))</f>
        <v>46402</v>
      </c>
      <c r="J11" s="81" t="str">
        <f>IF($N11="","",INDEX(Azioni!$L:$L,$N11)&amp;"")</f>
        <v>Accettato</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12</v>
      </c>
    </row>
    <row r="12" spans="1:14" x14ac:dyDescent="0.4">
      <c r="A12" s="81" t="str">
        <f>IF($N12="","",INDEX(Azioni!$A:$A,$N12)&amp;"")</f>
        <v>2026Q2</v>
      </c>
      <c r="B12" s="81" t="str">
        <f>IF($N12="","",INDEX(Azioni!$B:$B,$N12)&amp;"")</f>
        <v>NFR-08</v>
      </c>
      <c r="C12" s="81" t="str">
        <f>IF($N12="","",INDEX(Azioni!$C:$C,$N12)&amp;"")</f>
        <v>2026Q2-NFR-08-A1</v>
      </c>
      <c r="D12" s="82" t="str">
        <f>IF($N12="","",INDEX(Azioni!$D:$D,$N12)&amp;"")</f>
        <v>Revisione trimestrale automatica degli accessi ai dati clienti senza pratica associata.</v>
      </c>
      <c r="E12" s="81" t="str">
        <f>IF($N12="","",INDEX(Azioni!$E:$E,$N12)&amp;"")</f>
        <v>Funzione Sicurezza delle Informazioni</v>
      </c>
      <c r="F12" s="81" t="str">
        <f>IF($N12="","",INDEX(Azioni!$F:$F,$N12)&amp;"")</f>
        <v>3 mesi</v>
      </c>
      <c r="G12" s="81" t="str">
        <f>IF($N12="","",INDEX(Azioni!$I:$I,$N12)&amp;"")</f>
        <v>Approvata</v>
      </c>
      <c r="H12" s="83">
        <f>IF($N12="","",IF(INDEX(Azioni!$J:$J,$N12)="","",INDEX(Azioni!$J:$J,$N12)))</f>
        <v>46218</v>
      </c>
      <c r="I12" s="83">
        <f>IF(OR($N12="",H12=""),"",IF(OR(G12="Approvata",G12="In corso"),EDATE(H12,N(INDEX(Azioni!$G:$G,$N12))),""))</f>
        <v>46310</v>
      </c>
      <c r="J12" s="81" t="str">
        <f>IF($N12="","",INDEX(Azioni!$L:$L,$N12)&amp;"")</f>
        <v>Accettato</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13</v>
      </c>
    </row>
    <row r="13" spans="1:14" x14ac:dyDescent="0.4">
      <c r="A13" s="81" t="str">
        <f>IF($N13="","",INDEX(Azioni!$A:$A,$N13)&amp;"")</f>
        <v>2026Q2</v>
      </c>
      <c r="B13" s="81" t="str">
        <f>IF($N13="","",INDEX(Azioni!$B:$B,$N13)&amp;"")</f>
        <v>NFR-09</v>
      </c>
      <c r="C13" s="81" t="str">
        <f>IF($N13="","",INDEX(Azioni!$C:$C,$N13)&amp;"")</f>
        <v>2026Q2-NFR-09-A1</v>
      </c>
      <c r="D13" s="82" t="str">
        <f>IF($N13="","",INDEX(Azioni!$D:$D,$N13)&amp;"")</f>
        <v>Estendere lo screening sanzioni alle controparti indirette dei pagamenti verso paesi di transito.</v>
      </c>
      <c r="E13" s="81" t="str">
        <f>IF($N13="","",INDEX(Azioni!$E:$E,$N13)&amp;"")</f>
        <v>Funzione Compliance</v>
      </c>
      <c r="F13" s="81" t="str">
        <f>IF($N13="","",INDEX(Azioni!$F:$F,$N13)&amp;"")</f>
        <v>12 mesi</v>
      </c>
      <c r="G13" s="81" t="str">
        <f>IF($N13="","",INDEX(Azioni!$I:$I,$N13)&amp;"")</f>
        <v>Approvata</v>
      </c>
      <c r="H13" s="83">
        <f>IF($N13="","",IF(INDEX(Azioni!$J:$J,$N13)="","",INDEX(Azioni!$J:$J,$N13)))</f>
        <v>46218</v>
      </c>
      <c r="I13" s="83">
        <f>IF(OR($N13="",H13=""),"",IF(OR(G13="Approvata",G13="In corso"),EDATE(H13,N(INDEX(Azioni!$G:$G,$N13))),""))</f>
        <v>46583</v>
      </c>
      <c r="J13" s="81" t="str">
        <f>IF($N13="","",INDEX(Azioni!$L:$L,$N13)&amp;"")</f>
        <v>Accettato</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14</v>
      </c>
    </row>
    <row r="14" spans="1:14" x14ac:dyDescent="0.4">
      <c r="A14" s="81" t="str">
        <f>IF($N14="","",INDEX(Azioni!$A:$A,$N14)&amp;"")</f>
        <v>2026Q2</v>
      </c>
      <c r="B14" s="81" t="str">
        <f>IF($N14="","",INDEX(Azioni!$B:$B,$N14)&amp;"")</f>
        <v>NFR-10</v>
      </c>
      <c r="C14" s="81" t="str">
        <f>IF($N14="","",INDEX(Azioni!$C:$C,$N14)&amp;"")</f>
        <v>2026Q2-NFR-10-A1</v>
      </c>
      <c r="D14" s="82" t="str">
        <f>IF($N14="","",INDEX(Azioni!$D:$D,$N14)&amp;"")</f>
        <v>Campionamento settimanale delle risposte del chatbot con verifica umana.</v>
      </c>
      <c r="E14" s="81" t="str">
        <f>IF($N14="","",INDEX(Azioni!$E:$E,$N14)&amp;"")</f>
        <v>Funzione Customer Experience</v>
      </c>
      <c r="F14" s="81" t="str">
        <f>IF($N14="","",INDEX(Azioni!$F:$F,$N14)&amp;"")</f>
        <v>3 mesi</v>
      </c>
      <c r="G14" s="81" t="str">
        <f>IF($N14="","",INDEX(Azioni!$I:$I,$N14)&amp;"")</f>
        <v>Approvata</v>
      </c>
      <c r="H14" s="83">
        <f>IF($N14="","",IF(INDEX(Azioni!$J:$J,$N14)="","",INDEX(Azioni!$J:$J,$N14)))</f>
        <v>46218</v>
      </c>
      <c r="I14" s="83">
        <f>IF(OR($N14="",H14=""),"",IF(OR(G14="Approvata",G14="In corso"),EDATE(H14,N(INDEX(Azioni!$G:$G,$N14))),""))</f>
        <v>46310</v>
      </c>
      <c r="J14" s="81" t="str">
        <f>IF($N14="","",INDEX(Azioni!$L:$L,$N14)&amp;"")</f>
        <v>Accettato</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15</v>
      </c>
    </row>
    <row r="15" spans="1:14" x14ac:dyDescent="0.4">
      <c r="A15" s="81" t="str">
        <f>IF($N15="","",INDEX(Azioni!$A:$A,$N15)&amp;"")</f>
        <v>2026Q2</v>
      </c>
      <c r="B15" s="81" t="str">
        <f>IF($N15="","",INDEX(Azioni!$B:$B,$N15)&amp;"")</f>
        <v>NFR-11</v>
      </c>
      <c r="C15" s="81" t="str">
        <f>IF($N15="","",INDEX(Azioni!$C:$C,$N15)&amp;"")</f>
        <v>2026Q2-NFR-11-A1</v>
      </c>
      <c r="D15" s="82" t="str">
        <f>IF($N15="","",INDEX(Azioni!$D:$D,$N15)&amp;"")</f>
        <v>Piano di sostituzione delle componenti fuori supporto del sistema di pagamento.</v>
      </c>
      <c r="E15" s="81" t="str">
        <f>IF($N15="","",INDEX(Azioni!$E:$E,$N15)&amp;"")</f>
        <v>Funzione IT Operations</v>
      </c>
      <c r="F15" s="81" t="str">
        <f>IF($N15="","",INDEX(Azioni!$F:$F,$N15)&amp;"")</f>
        <v>12 mesi</v>
      </c>
      <c r="G15" s="81" t="str">
        <f>IF($N15="","",INDEX(Azioni!$I:$I,$N15)&amp;"")</f>
        <v>Approvata</v>
      </c>
      <c r="H15" s="83">
        <f>IF($N15="","",IF(INDEX(Azioni!$J:$J,$N15)="","",INDEX(Azioni!$J:$J,$N15)))</f>
        <v>46218</v>
      </c>
      <c r="I15" s="83">
        <f>IF(OR($N15="",H15=""),"",IF(OR(G15="Approvata",G15="In corso"),EDATE(H15,N(INDEX(Azioni!$G:$G,$N15))),""))</f>
        <v>46583</v>
      </c>
      <c r="J15" s="81" t="str">
        <f>IF($N15="","",INDEX(Azioni!$L:$L,$N15)&amp;"")</f>
        <v>Accettato</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16</v>
      </c>
    </row>
    <row r="16" spans="1:14" x14ac:dyDescent="0.4">
      <c r="A16" s="81" t="str">
        <f>IF($N16="","",INDEX(Azioni!$A:$A,$N16)&amp;"")</f>
        <v>2026Q2</v>
      </c>
      <c r="B16" s="81" t="str">
        <f>IF($N16="","",INDEX(Azioni!$B:$B,$N16)&amp;"")</f>
        <v>NFR-12</v>
      </c>
      <c r="C16" s="81" t="str">
        <f>IF($N16="","",INDEX(Azioni!$C:$C,$N16)&amp;"")</f>
        <v>2026Q2-NFR-12-A1</v>
      </c>
      <c r="D16" s="82" t="str">
        <f>IF($N16="","",INDEX(Azioni!$D:$D,$N16)&amp;"")</f>
        <v>Controllo giornaliero automatico delle differenze di riconciliazione sui bonifici istantanei.</v>
      </c>
      <c r="E16" s="81" t="str">
        <f>IF($N16="","",INDEX(Azioni!$E:$E,$N16)&amp;"")</f>
        <v>Funzione Operations</v>
      </c>
      <c r="F16" s="81" t="str">
        <f>IF($N16="","",INDEX(Azioni!$F:$F,$N16)&amp;"")</f>
        <v>3 mesi</v>
      </c>
      <c r="G16" s="81" t="str">
        <f>IF($N16="","",INDEX(Azioni!$I:$I,$N16)&amp;"")</f>
        <v>Approvata</v>
      </c>
      <c r="H16" s="83">
        <f>IF($N16="","",IF(INDEX(Azioni!$J:$J,$N16)="","",INDEX(Azioni!$J:$J,$N16)))</f>
        <v>46218</v>
      </c>
      <c r="I16" s="83">
        <f>IF(OR($N16="",H16=""),"",IF(OR(G16="Approvata",G16="In corso"),EDATE(H16,N(INDEX(Azioni!$G:$G,$N16))),""))</f>
        <v>46310</v>
      </c>
      <c r="J16" s="81" t="str">
        <f>IF($N16="","",INDEX(Azioni!$L:$L,$N16)&amp;"")</f>
        <v>Accettato</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17</v>
      </c>
    </row>
    <row r="17" spans="1:14" x14ac:dyDescent="0.4">
      <c r="A17" s="81" t="str">
        <f>IF($N17="","",INDEX(Azioni!$A:$A,$N17)&amp;"")</f>
        <v>2026Q3</v>
      </c>
      <c r="B17" s="81" t="str">
        <f>IF($N17="","",INDEX(Azioni!$B:$B,$N17)&amp;"")</f>
        <v>NFR-01</v>
      </c>
      <c r="C17" s="81" t="str">
        <f>IF($N17="","",INDEX(Azioni!$C:$C,$N17)&amp;"")</f>
        <v>2026Q3-NFR-01-A1</v>
      </c>
      <c r="D17" s="82" t="str">
        <f>IF($N17="","",INDEX(Azioni!$D:$D,$N17)&amp;"")</f>
        <v>Attivare la verifica fuori banda per bonifici istantanei sopra soglia verso beneficiari nuovi.</v>
      </c>
      <c r="E17" s="81" t="str">
        <f>IF($N17="","",INDEX(Azioni!$E:$E,$N17)&amp;"")</f>
        <v>Funzione Antifrode</v>
      </c>
      <c r="F17" s="81" t="str">
        <f>IF($N17="","",INDEX(Azioni!$F:$F,$N17)&amp;"")</f>
        <v>3 mesi</v>
      </c>
      <c r="G17" s="81" t="str">
        <f>IF($N17="","",INDEX(Azioni!$I:$I,$N17)&amp;"")</f>
        <v>Approvata</v>
      </c>
      <c r="H17" s="83">
        <f>IF($N17="","",IF(INDEX(Azioni!$J:$J,$N17)="","",INDEX(Azioni!$J:$J,$N17)))</f>
        <v>46303</v>
      </c>
      <c r="I17" s="83">
        <f>IF(OR($N17="",H17=""),"",IF(OR(G17="Approvata",G17="In corso"),EDATE(H17,N(INDEX(Azioni!$G:$G,$N17))),""))</f>
        <v>46395</v>
      </c>
      <c r="J17" s="81" t="str">
        <f>IF($N17="","",INDEX(Azioni!$L:$L,$N17)&amp;"")</f>
        <v>Accettato</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18</v>
      </c>
    </row>
    <row r="18" spans="1:14" x14ac:dyDescent="0.4">
      <c r="A18" s="81" t="str">
        <f>IF($N18="","",INDEX(Azioni!$A:$A,$N18)&amp;"")</f>
        <v>2026Q3</v>
      </c>
      <c r="B18" s="81" t="str">
        <f>IF($N18="","",INDEX(Azioni!$B:$B,$N18)&amp;"")</f>
        <v>NFR-01</v>
      </c>
      <c r="C18" s="81" t="str">
        <f>IF($N18="","",INDEX(Azioni!$C:$C,$N18)&amp;"")</f>
        <v>2026Q3-NFR-01-A2</v>
      </c>
      <c r="D18" s="82" t="str">
        <f>IF($N18="","",INDEX(Azioni!$D:$D,$N18)&amp;"")</f>
        <v>Campagna di sensibilizzazione dei clienti corporate sulle frodi con voce clonata.</v>
      </c>
      <c r="E18" s="81" t="str">
        <f>IF($N18="","",INDEX(Azioni!$E:$E,$N18)&amp;"")</f>
        <v>Direzione Marketing e Comunicazione</v>
      </c>
      <c r="F18" s="81" t="str">
        <f>IF($N18="","",INDEX(Azioni!$F:$F,$N18)&amp;"")</f>
        <v>6 mesi</v>
      </c>
      <c r="G18" s="81" t="str">
        <f>IF($N18="","",INDEX(Azioni!$I:$I,$N18)&amp;"")</f>
        <v>Approvata</v>
      </c>
      <c r="H18" s="83">
        <f>IF($N18="","",IF(INDEX(Azioni!$J:$J,$N18)="","",INDEX(Azioni!$J:$J,$N18)))</f>
        <v>46303</v>
      </c>
      <c r="I18" s="83">
        <f>IF(OR($N18="",H18=""),"",IF(OR(G18="Approvata",G18="In corso"),EDATE(H18,N(INDEX(Azioni!$G:$G,$N18))),""))</f>
        <v>46485</v>
      </c>
      <c r="J18" s="81" t="str">
        <f>IF($N18="","",INDEX(Azioni!$L:$L,$N18)&amp;"")</f>
        <v>Accettato</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19</v>
      </c>
    </row>
    <row r="19" spans="1:14" x14ac:dyDescent="0.4">
      <c r="A19" s="81" t="str">
        <f>IF($N19="","",INDEX(Azioni!$A:$A,$N19)&amp;"")</f>
        <v>2026Q3</v>
      </c>
      <c r="B19" s="81" t="str">
        <f>IF($N19="","",INDEX(Azioni!$B:$B,$N19)&amp;"")</f>
        <v>NFR-02</v>
      </c>
      <c r="C19" s="81" t="str">
        <f>IF($N19="","",INDEX(Azioni!$C:$C,$N19)&amp;"")</f>
        <v>2026Q3-NFR-02-A1</v>
      </c>
      <c r="D19" s="82" t="str">
        <f>IF($N19="","",INDEX(Azioni!$D:$D,$N19)&amp;"")</f>
        <v>Chiudere i rilievi minori emersi dal test di exit strategy entro il prossimo trimestre.</v>
      </c>
      <c r="E19" s="81" t="str">
        <f>IF($N19="","",INDEX(Azioni!$E:$E,$N19)&amp;"")</f>
        <v>Funzione ICT &amp; Security Risk</v>
      </c>
      <c r="F19" s="81" t="str">
        <f>IF($N19="","",INDEX(Azioni!$F:$F,$N19)&amp;"")</f>
        <v>3 mesi</v>
      </c>
      <c r="G19" s="81" t="str">
        <f>IF($N19="","",INDEX(Azioni!$I:$I,$N19)&amp;"")</f>
        <v>Approvata</v>
      </c>
      <c r="H19" s="83">
        <f>IF($N19="","",IF(INDEX(Azioni!$J:$J,$N19)="","",INDEX(Azioni!$J:$J,$N19)))</f>
        <v>46303</v>
      </c>
      <c r="I19" s="83">
        <f>IF(OR($N19="",H19=""),"",IF(OR(G19="Approvata",G19="In corso"),EDATE(H19,N(INDEX(Azioni!$G:$G,$N19))),""))</f>
        <v>46395</v>
      </c>
      <c r="J19" s="81" t="str">
        <f>IF($N19="","",INDEX(Azioni!$L:$L,$N19)&amp;"")</f>
        <v>Accettato</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20</v>
      </c>
    </row>
    <row r="20" spans="1:14" x14ac:dyDescent="0.4">
      <c r="A20" s="81" t="str">
        <f>IF($N20="","",INDEX(Azioni!$A:$A,$N20)&amp;"")</f>
        <v>2026Q3</v>
      </c>
      <c r="B20" s="81" t="str">
        <f>IF($N20="","",INDEX(Azioni!$B:$B,$N20)&amp;"")</f>
        <v>NFR-02</v>
      </c>
      <c r="C20" s="81" t="str">
        <f>IF($N20="","",INDEX(Azioni!$C:$C,$N20)&amp;"")</f>
        <v>2026Q3-NFR-02-A2</v>
      </c>
      <c r="D20" s="82" t="str">
        <f>IF($N20="","",INDEX(Azioni!$D:$D,$N20)&amp;"")</f>
        <v>Valutare lo spostamento di un servizio critico sulla nuova region nazionale del fornitore.</v>
      </c>
      <c r="E20" s="81" t="str">
        <f>IF($N20="","",INDEX(Azioni!$E:$E,$N20)&amp;"")</f>
        <v>Direzione Sistemi Informativi</v>
      </c>
      <c r="F20" s="81" t="str">
        <f>IF($N20="","",INDEX(Azioni!$F:$F,$N20)&amp;"")</f>
        <v>12 mesi</v>
      </c>
      <c r="G20" s="81" t="str">
        <f>IF($N20="","",INDEX(Azioni!$I:$I,$N20)&amp;"")</f>
        <v>Approvata</v>
      </c>
      <c r="H20" s="83">
        <f>IF($N20="","",IF(INDEX(Azioni!$J:$J,$N20)="","",INDEX(Azioni!$J:$J,$N20)))</f>
        <v>46303</v>
      </c>
      <c r="I20" s="83">
        <f>IF(OR($N20="",H20=""),"",IF(OR(G20="Approvata",G20="In corso"),EDATE(H20,N(INDEX(Azioni!$G:$G,$N20))),""))</f>
        <v>46668</v>
      </c>
      <c r="J20" s="81" t="str">
        <f>IF($N20="","",INDEX(Azioni!$L:$L,$N20)&amp;"")</f>
        <v>Accettato</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21</v>
      </c>
    </row>
    <row r="21" spans="1:14" x14ac:dyDescent="0.4">
      <c r="A21" s="81" t="str">
        <f>IF($N21="","",INDEX(Azioni!$A:$A,$N21)&amp;"")</f>
        <v>2026Q3</v>
      </c>
      <c r="B21" s="81" t="str">
        <f>IF($N21="","",INDEX(Azioni!$B:$B,$N21)&amp;"")</f>
        <v>NFR-03</v>
      </c>
      <c r="C21" s="81" t="str">
        <f>IF($N21="","",INDEX(Azioni!$C:$C,$N21)&amp;"")</f>
        <v>2026Q3-NFR-03-A1</v>
      </c>
      <c r="D21" s="82" t="str">
        <f>IF($N21="","",INDEX(Azioni!$D:$D,$N21)&amp;"")</f>
        <v>Completare la revisione indipendente dei claim ambientali di tutti i prodotti ESG in catalogo.</v>
      </c>
      <c r="E21" s="81" t="str">
        <f>IF($N21="","",INDEX(Azioni!$E:$E,$N21)&amp;"")</f>
        <v>Funzione Compliance</v>
      </c>
      <c r="F21" s="81" t="str">
        <f>IF($N21="","",INDEX(Azioni!$F:$F,$N21)&amp;"")</f>
        <v>3 mesi</v>
      </c>
      <c r="G21" s="81" t="str">
        <f>IF($N21="","",INDEX(Azioni!$I:$I,$N21)&amp;"")</f>
        <v>Approvata</v>
      </c>
      <c r="H21" s="83">
        <f>IF($N21="","",IF(INDEX(Azioni!$J:$J,$N21)="","",INDEX(Azioni!$J:$J,$N21)))</f>
        <v>46303</v>
      </c>
      <c r="I21" s="83">
        <f>IF(OR($N21="",H21=""),"",IF(OR(G21="Approvata",G21="In corso"),EDATE(H21,N(INDEX(Azioni!$G:$G,$N21))),""))</f>
        <v>46395</v>
      </c>
      <c r="J21" s="81" t="str">
        <f>IF($N21="","",INDEX(Azioni!$L:$L,$N21)&amp;"")</f>
        <v>Accettato</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22</v>
      </c>
    </row>
    <row r="22" spans="1:14" x14ac:dyDescent="0.4">
      <c r="A22" s="81" t="str">
        <f>IF($N22="","",INDEX(Azioni!$A:$A,$N22)&amp;"")</f>
        <v>2026Q3</v>
      </c>
      <c r="B22" s="81" t="str">
        <f>IF($N22="","",INDEX(Azioni!$B:$B,$N22)&amp;"")</f>
        <v>NFR-04</v>
      </c>
      <c r="C22" s="81" t="str">
        <f>IF($N22="","",INDEX(Azioni!$C:$C,$N22)&amp;"")</f>
        <v>2026Q3-NFR-04-A1</v>
      </c>
      <c r="D22" s="82" t="str">
        <f>IF($N22="","",INDEX(Azioni!$D:$D,$N22)&amp;"")</f>
        <v>Provare i piani di continuita' delle due sedi critiche con un'esercitazione di ripartenza in sede alternativa.</v>
      </c>
      <c r="E22" s="81" t="str">
        <f>IF($N22="","",INDEX(Azioni!$E:$E,$N22)&amp;"")</f>
        <v>Funzione Business Continuity</v>
      </c>
      <c r="F22" s="81" t="str">
        <f>IF($N22="","",INDEX(Azioni!$F:$F,$N22)&amp;"")</f>
        <v>6 mesi</v>
      </c>
      <c r="G22" s="81" t="str">
        <f>IF($N22="","",INDEX(Azioni!$I:$I,$N22)&amp;"")</f>
        <v>Approvata</v>
      </c>
      <c r="H22" s="83">
        <f>IF($N22="","",IF(INDEX(Azioni!$J:$J,$N22)="","",INDEX(Azioni!$J:$J,$N22)))</f>
        <v>46303</v>
      </c>
      <c r="I22" s="83">
        <f>IF(OR($N22="",H22=""),"",IF(OR(G22="Approvata",G22="In corso"),EDATE(H22,N(INDEX(Azioni!$G:$G,$N22))),""))</f>
        <v>46485</v>
      </c>
      <c r="J22" s="81" t="str">
        <f>IF($N22="","",INDEX(Azioni!$L:$L,$N22)&amp;"")</f>
        <v>Accettato</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23</v>
      </c>
    </row>
    <row r="23" spans="1:14" x14ac:dyDescent="0.4">
      <c r="A23" s="81" t="str">
        <f>IF($N23="","",INDEX(Azioni!$A:$A,$N23)&amp;"")</f>
        <v>2026Q3</v>
      </c>
      <c r="B23" s="81" t="str">
        <f>IF($N23="","",INDEX(Azioni!$B:$B,$N23)&amp;"")</f>
        <v>NFR-05</v>
      </c>
      <c r="C23" s="81" t="str">
        <f>IF($N23="","",INDEX(Azioni!$C:$C,$N23)&amp;"")</f>
        <v>2026Q3-NFR-05-A1</v>
      </c>
      <c r="D23" s="82" t="str">
        <f>IF($N23="","",INDEX(Azioni!$D:$D,$N23)&amp;"")</f>
        <v>Monitoraggio giornaliero degli incidenti post-migrazione con escalation entro 4 ore.</v>
      </c>
      <c r="E23" s="81" t="str">
        <f>IF($N23="","",INDEX(Azioni!$E:$E,$N23)&amp;"")</f>
        <v>Funzione Operations</v>
      </c>
      <c r="F23" s="81" t="str">
        <f>IF($N23="","",INDEX(Azioni!$F:$F,$N23)&amp;"")</f>
        <v>3 mesi</v>
      </c>
      <c r="G23" s="81" t="str">
        <f>IF($N23="","",INDEX(Azioni!$I:$I,$N23)&amp;"")</f>
        <v>Approvata</v>
      </c>
      <c r="H23" s="83">
        <f>IF($N23="","",IF(INDEX(Azioni!$J:$J,$N23)="","",INDEX(Azioni!$J:$J,$N23)))</f>
        <v>46303</v>
      </c>
      <c r="I23" s="83">
        <f>IF(OR($N23="",H23=""),"",IF(OR(G23="Approvata",G23="In corso"),EDATE(H23,N(INDEX(Azioni!$G:$G,$N23))),""))</f>
        <v>46395</v>
      </c>
      <c r="J23" s="81" t="str">
        <f>IF($N23="","",INDEX(Azioni!$L:$L,$N23)&amp;"")</f>
        <v>Accettato</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24</v>
      </c>
    </row>
    <row r="24" spans="1:14" x14ac:dyDescent="0.4">
      <c r="A24" s="81" t="str">
        <f>IF($N24="","",INDEX(Azioni!$A:$A,$N24)&amp;"")</f>
        <v>2026Q3</v>
      </c>
      <c r="B24" s="81" t="str">
        <f>IF($N24="","",INDEX(Azioni!$B:$B,$N24)&amp;"")</f>
        <v>NFR-06</v>
      </c>
      <c r="C24" s="81" t="str">
        <f>IF($N24="","",INDEX(Azioni!$C:$C,$N24)&amp;"")</f>
        <v>2026Q3-NFR-06-A1</v>
      </c>
      <c r="D24" s="82" t="str">
        <f>IF($N24="","",INDEX(Azioni!$D:$D,$N24)&amp;"")</f>
        <v>Completare la formazione obbligatoria sull'uso dell'AI per tutto il personale.</v>
      </c>
      <c r="E24" s="81" t="str">
        <f>IF($N24="","",INDEX(Azioni!$E:$E,$N24)&amp;"")</f>
        <v>Direzione Risorse Umane</v>
      </c>
      <c r="F24" s="81" t="str">
        <f>IF($N24="","",INDEX(Azioni!$F:$F,$N24)&amp;"")</f>
        <v>6 mesi</v>
      </c>
      <c r="G24" s="81" t="str">
        <f>IF($N24="","",INDEX(Azioni!$I:$I,$N24)&amp;"")</f>
        <v>Approvata</v>
      </c>
      <c r="H24" s="83">
        <f>IF($N24="","",IF(INDEX(Azioni!$J:$J,$N24)="","",INDEX(Azioni!$J:$J,$N24)))</f>
        <v>46303</v>
      </c>
      <c r="I24" s="83">
        <f>IF(OR($N24="",H24=""),"",IF(OR(G24="Approvata",G24="In corso"),EDATE(H24,N(INDEX(Azioni!$G:$G,$N24))),""))</f>
        <v>46485</v>
      </c>
      <c r="J24" s="81" t="str">
        <f>IF($N24="","",INDEX(Azioni!$L:$L,$N24)&amp;"")</f>
        <v>Accettato</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25</v>
      </c>
    </row>
    <row r="25" spans="1:14" x14ac:dyDescent="0.4">
      <c r="A25" s="81" t="str">
        <f>IF($N25="","",INDEX(Azioni!$A:$A,$N25)&amp;"")</f>
        <v>2026Q3</v>
      </c>
      <c r="B25" s="81" t="str">
        <f>IF($N25="","",INDEX(Azioni!$B:$B,$N25)&amp;"")</f>
        <v>NFR-06</v>
      </c>
      <c r="C25" s="81" t="str">
        <f>IF($N25="","",INDEX(Azioni!$C:$C,$N25)&amp;"")</f>
        <v>2026Q3-NFR-06-A2</v>
      </c>
      <c r="D25" s="82" t="str">
        <f>IF($N25="","",INDEX(Azioni!$D:$D,$N25)&amp;"")</f>
        <v>Chiedere all'audit interno la verifica dell'estensione del DLP.</v>
      </c>
      <c r="E25" s="81" t="str">
        <f>IF($N25="","",INDEX(Azioni!$E:$E,$N25)&amp;"")</f>
        <v>Funzione Sicurezza delle Informazioni</v>
      </c>
      <c r="F25" s="81" t="str">
        <f>IF($N25="","",INDEX(Azioni!$F:$F,$N25)&amp;"")</f>
        <v>6 mesi</v>
      </c>
      <c r="G25" s="81" t="str">
        <f>IF($N25="","",INDEX(Azioni!$I:$I,$N25)&amp;"")</f>
        <v>Approvata</v>
      </c>
      <c r="H25" s="83">
        <f>IF($N25="","",IF(INDEX(Azioni!$J:$J,$N25)="","",INDEX(Azioni!$J:$J,$N25)))</f>
        <v>46303</v>
      </c>
      <c r="I25" s="83">
        <f>IF(OR($N25="",H25=""),"",IF(OR(G25="Approvata",G25="In corso"),EDATE(H25,N(INDEX(Azioni!$G:$G,$N25))),""))</f>
        <v>46485</v>
      </c>
      <c r="J25" s="81" t="str">
        <f>IF($N25="","",INDEX(Azioni!$L:$L,$N25)&amp;"")</f>
        <v>Accettato</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26</v>
      </c>
    </row>
    <row r="26" spans="1:14" x14ac:dyDescent="0.4">
      <c r="A26" s="81" t="str">
        <f>IF($N26="","",INDEX(Azioni!$A:$A,$N26)&amp;"")</f>
        <v>2026Q3</v>
      </c>
      <c r="B26" s="81" t="str">
        <f>IF($N26="","",INDEX(Azioni!$B:$B,$N26)&amp;"")</f>
        <v>NFR-07</v>
      </c>
      <c r="C26" s="81" t="str">
        <f>IF($N26="","",INDEX(Azioni!$C:$C,$N26)&amp;"")</f>
        <v>2026Q3-NFR-07-A1</v>
      </c>
      <c r="D26" s="82" t="str">
        <f>IF($N26="","",INDEX(Azioni!$D:$D,$N26)&amp;"")</f>
        <v>Inserire nel contratto con il fornitore del gateway di pagamento tempi di ripristino garantiti dopo un attacco ransomware, con penali.</v>
      </c>
      <c r="E26" s="81" t="str">
        <f>IF($N26="","",INDEX(Azioni!$E:$E,$N26)&amp;"")</f>
        <v>Funzione ICT &amp; Security Risk</v>
      </c>
      <c r="F26" s="81" t="str">
        <f>IF($N26="","",INDEX(Azioni!$F:$F,$N26)&amp;"")</f>
        <v>6 mesi</v>
      </c>
      <c r="G26" s="81" t="str">
        <f>IF($N26="","",INDEX(Azioni!$I:$I,$N26)&amp;"")</f>
        <v>Approvata</v>
      </c>
      <c r="H26" s="83">
        <f>IF($N26="","",IF(INDEX(Azioni!$J:$J,$N26)="","",INDEX(Azioni!$J:$J,$N26)))</f>
        <v>46303</v>
      </c>
      <c r="I26" s="83">
        <f>IF(OR($N26="",H26=""),"",IF(OR(G26="Approvata",G26="In corso"),EDATE(H26,N(INDEX(Azioni!$G:$G,$N26))),""))</f>
        <v>46485</v>
      </c>
      <c r="J26" s="81" t="str">
        <f>IF($N26="","",INDEX(Azioni!$L:$L,$N26)&amp;"")</f>
        <v>Accettato</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27</v>
      </c>
    </row>
    <row r="27" spans="1:14" x14ac:dyDescent="0.4">
      <c r="A27" s="81" t="str">
        <f>IF($N27="","",INDEX(Azioni!$A:$A,$N27)&amp;"")</f>
        <v>2026Q3</v>
      </c>
      <c r="B27" s="81" t="str">
        <f>IF($N27="","",INDEX(Azioni!$B:$B,$N27)&amp;"")</f>
        <v>NFR-09</v>
      </c>
      <c r="C27" s="81" t="str">
        <f>IF($N27="","",INDEX(Azioni!$C:$C,$N27)&amp;"")</f>
        <v>2026Q3-NFR-09-A1</v>
      </c>
      <c r="D27" s="82" t="str">
        <f>IF($N27="","",INDEX(Azioni!$D:$D,$N27)&amp;"")</f>
        <v>Formare gli operatori dei pagamenti esteri sugli indicatori di triangolazione segnalati dalle autorita'.</v>
      </c>
      <c r="E27" s="81" t="str">
        <f>IF($N27="","",INDEX(Azioni!$E:$E,$N27)&amp;"")</f>
        <v>Funzione Compliance</v>
      </c>
      <c r="F27" s="81" t="str">
        <f>IF($N27="","",INDEX(Azioni!$F:$F,$N27)&amp;"")</f>
        <v>12 mesi</v>
      </c>
      <c r="G27" s="81" t="str">
        <f>IF($N27="","",INDEX(Azioni!$I:$I,$N27)&amp;"")</f>
        <v>Approvata</v>
      </c>
      <c r="H27" s="83">
        <f>IF($N27="","",IF(INDEX(Azioni!$J:$J,$N27)="","",INDEX(Azioni!$J:$J,$N27)))</f>
        <v>46303</v>
      </c>
      <c r="I27" s="83">
        <f>IF(OR($N27="",H27=""),"",IF(OR(G27="Approvata",G27="In corso"),EDATE(H27,N(INDEX(Azioni!$G:$G,$N27))),""))</f>
        <v>46668</v>
      </c>
      <c r="J27" s="81" t="str">
        <f>IF($N27="","",INDEX(Azioni!$L:$L,$N27)&amp;"")</f>
        <v>Accettato</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29</v>
      </c>
    </row>
    <row r="28" spans="1:14" x14ac:dyDescent="0.4">
      <c r="A28" s="81" t="str">
        <f>IF($N28="","",INDEX(Azioni!$A:$A,$N28)&amp;"")</f>
        <v>2026Q3</v>
      </c>
      <c r="B28" s="81" t="str">
        <f>IF($N28="","",INDEX(Azioni!$B:$B,$N28)&amp;"")</f>
        <v>NFR-10</v>
      </c>
      <c r="C28" s="81" t="str">
        <f>IF($N28="","",INDEX(Azioni!$C:$C,$N28)&amp;"")</f>
        <v>2026Q3-NFR-10-A1</v>
      </c>
      <c r="D28" s="82" t="str">
        <f>IF($N28="","",INDEX(Azioni!$D:$D,$N28)&amp;"")</f>
        <v>Definire i temi su cui il chatbot non risponde e passa la conversazione a un operatore (reclami, condizioni contrattuali, tassi).</v>
      </c>
      <c r="E28" s="81" t="str">
        <f>IF($N28="","",INDEX(Azioni!$E:$E,$N28)&amp;"")</f>
        <v>Funzione Customer Experience</v>
      </c>
      <c r="F28" s="81" t="str">
        <f>IF($N28="","",INDEX(Azioni!$F:$F,$N28)&amp;"")</f>
        <v>3 mesi</v>
      </c>
      <c r="G28" s="81" t="str">
        <f>IF($N28="","",INDEX(Azioni!$I:$I,$N28)&amp;"")</f>
        <v>Approvata</v>
      </c>
      <c r="H28" s="83">
        <f>IF($N28="","",IF(INDEX(Azioni!$J:$J,$N28)="","",INDEX(Azioni!$J:$J,$N28)))</f>
        <v>46303</v>
      </c>
      <c r="I28" s="83">
        <f>IF(OR($N28="",H28=""),"",IF(OR(G28="Approvata",G28="In corso"),EDATE(H28,N(INDEX(Azioni!$G:$G,$N28))),""))</f>
        <v>46395</v>
      </c>
      <c r="J28" s="81" t="str">
        <f>IF($N28="","",INDEX(Azioni!$L:$L,$N28)&amp;"")</f>
        <v>Accettato</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30</v>
      </c>
    </row>
    <row r="29" spans="1:14" x14ac:dyDescent="0.4">
      <c r="A29" s="81" t="str">
        <f>IF($N29="","",INDEX(Azioni!$A:$A,$N29)&amp;"")</f>
        <v>2026Q3</v>
      </c>
      <c r="B29" s="81" t="str">
        <f>IF($N29="","",INDEX(Azioni!$B:$B,$N29)&amp;"")</f>
        <v>NFR-11</v>
      </c>
      <c r="C29" s="81" t="str">
        <f>IF($N29="","",INDEX(Azioni!$C:$C,$N29)&amp;"")</f>
        <v>2026Q3-NFR-11-A1</v>
      </c>
      <c r="D29" s="82" t="str">
        <f>IF($N29="","",INDEX(Azioni!$D:$D,$N29)&amp;"")</f>
        <v>Isolare in un segmento di rete dedicato le componenti fuori supporto del sistema di pagamento, in attesa della sostituzione.</v>
      </c>
      <c r="E29" s="81" t="str">
        <f>IF($N29="","",INDEX(Azioni!$E:$E,$N29)&amp;"")</f>
        <v>Funzione IT Operations</v>
      </c>
      <c r="F29" s="81" t="str">
        <f>IF($N29="","",INDEX(Azioni!$F:$F,$N29)&amp;"")</f>
        <v>12 mesi</v>
      </c>
      <c r="G29" s="81" t="str">
        <f>IF($N29="","",INDEX(Azioni!$I:$I,$N29)&amp;"")</f>
        <v>Approvata</v>
      </c>
      <c r="H29" s="83">
        <f>IF($N29="","",IF(INDEX(Azioni!$J:$J,$N29)="","",INDEX(Azioni!$J:$J,$N29)))</f>
        <v>46303</v>
      </c>
      <c r="I29" s="83">
        <f>IF(OR($N29="",H29=""),"",IF(OR(G29="Approvata",G29="In corso"),EDATE(H29,N(INDEX(Azioni!$G:$G,$N29))),""))</f>
        <v>46668</v>
      </c>
      <c r="J29" s="81" t="str">
        <f>IF($N29="","",INDEX(Azioni!$L:$L,$N29)&amp;"")</f>
        <v>Accettato</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31</v>
      </c>
    </row>
    <row r="30" spans="1:14" x14ac:dyDescent="0.4">
      <c r="A30" s="81" t="str">
        <f>IF($N30="","",INDEX(Azioni!$A:$A,$N30)&amp;"")</f>
        <v>2026Q3</v>
      </c>
      <c r="B30" s="81" t="str">
        <f>IF($N30="","",INDEX(Azioni!$B:$B,$N30)&amp;"")</f>
        <v>NFR-12</v>
      </c>
      <c r="C30" s="81" t="str">
        <f>IF($N30="","",INDEX(Azioni!$C:$C,$N30)&amp;"")</f>
        <v>2026Q3-NFR-12-A1</v>
      </c>
      <c r="D30" s="82" t="str">
        <f>IF($N30="","",INDEX(Azioni!$D:$D,$N30)&amp;"")</f>
        <v>Avvisare in automatico il responsabile delle operazioni di ogni differenza di riconciliazione sui bonifici istantanei aperta a fine giornata.</v>
      </c>
      <c r="E30" s="81" t="str">
        <f>IF($N30="","",INDEX(Azioni!$E:$E,$N30)&amp;"")</f>
        <v>Funzione Operations</v>
      </c>
      <c r="F30" s="81" t="str">
        <f>IF($N30="","",INDEX(Azioni!$F:$F,$N30)&amp;"")</f>
        <v>3 mesi</v>
      </c>
      <c r="G30" s="81" t="str">
        <f>IF($N30="","",INDEX(Azioni!$I:$I,$N30)&amp;"")</f>
        <v>Approvata</v>
      </c>
      <c r="H30" s="83">
        <f>IF($N30="","",IF(INDEX(Azioni!$J:$J,$N30)="","",INDEX(Azioni!$J:$J,$N30)))</f>
        <v>46303</v>
      </c>
      <c r="I30" s="83">
        <f>IF(OR($N30="",H30=""),"",IF(OR(G30="Approvata",G30="In corso"),EDATE(H30,N(INDEX(Azioni!$G:$G,$N30))),""))</f>
        <v>46395</v>
      </c>
      <c r="J30" s="81" t="str">
        <f>IF($N30="","",INDEX(Azioni!$L:$L,$N30)&amp;"")</f>
        <v>Accettato</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32</v>
      </c>
    </row>
    <row r="31" spans="1:14" x14ac:dyDescent="0.4">
      <c r="A31" s="81" t="str">
        <f>IF($N31="","",INDEX(Azioni!$A:$A,$N31)&amp;"")</f>
        <v>2026Q4</v>
      </c>
      <c r="B31" s="81" t="str">
        <f>IF($N31="","",INDEX(Azioni!$B:$B,$N31)&amp;"")</f>
        <v>NFR-01</v>
      </c>
      <c r="C31" s="81" t="str">
        <f>IF($N31="","",INDEX(Azioni!$C:$C,$N31)&amp;"")</f>
        <v>2026Q4-NFR-01-A1</v>
      </c>
      <c r="D31" s="82" t="str">
        <f>IF($N31="","",INDEX(Azioni!$D:$D,$N31)&amp;"")</f>
        <v>Anticipare al primo trimestre 2027 l'attivazione della verifica fuori banda sui bonifici istantanei.</v>
      </c>
      <c r="E31" s="81" t="str">
        <f>IF($N31="","",INDEX(Azioni!$E:$E,$N31)&amp;"")</f>
        <v>Funzione Antifrode</v>
      </c>
      <c r="F31" s="81" t="str">
        <f>IF($N31="","",INDEX(Azioni!$F:$F,$N31)&amp;"")</f>
        <v>3 mesi</v>
      </c>
      <c r="G31" s="81" t="str">
        <f>IF($N31="","",INDEX(Azioni!$I:$I,$N31)&amp;"")</f>
        <v>Approvata</v>
      </c>
      <c r="H31" s="83">
        <f>IF($N31="","",IF(INDEX(Azioni!$J:$J,$N31)="","",INDEX(Azioni!$J:$J,$N31)))</f>
        <v>46303</v>
      </c>
      <c r="I31" s="83">
        <f>IF(OR($N31="",H31=""),"",IF(OR(G31="Approvata",G31="In corso"),EDATE(H31,N(INDEX(Azioni!$G:$G,$N31))),""))</f>
        <v>46395</v>
      </c>
      <c r="J31" s="81" t="str">
        <f>IF($N31="","",INDEX(Azioni!$L:$L,$N31)&amp;"")</f>
        <v>Accettato</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33</v>
      </c>
    </row>
    <row r="32" spans="1:14" x14ac:dyDescent="0.4">
      <c r="A32" s="81" t="str">
        <f>IF($N32="","",INDEX(Azioni!$A:$A,$N32)&amp;"")</f>
        <v>2026Q4</v>
      </c>
      <c r="B32" s="81" t="str">
        <f>IF($N32="","",INDEX(Azioni!$B:$B,$N32)&amp;"")</f>
        <v>NFR-02</v>
      </c>
      <c r="C32" s="81" t="str">
        <f>IF($N32="","",INDEX(Azioni!$C:$C,$N32)&amp;"")</f>
        <v>2026Q4-NFR-02-A1</v>
      </c>
      <c r="D32" s="82" t="str">
        <f>IF($N32="","",INDEX(Azioni!$D:$D,$N32)&amp;"")</f>
        <v>Chiudere i rilievi minori emersi dal test di exit strategy.</v>
      </c>
      <c r="E32" s="81" t="str">
        <f>IF($N32="","",INDEX(Azioni!$E:$E,$N32)&amp;"")</f>
        <v>Funzione ICT &amp; Security Risk</v>
      </c>
      <c r="F32" s="81" t="str">
        <f>IF($N32="","",INDEX(Azioni!$F:$F,$N32)&amp;"")</f>
        <v>3 mesi</v>
      </c>
      <c r="G32" s="81" t="str">
        <f>IF($N32="","",INDEX(Azioni!$I:$I,$N32)&amp;"")</f>
        <v>Approvata</v>
      </c>
      <c r="H32" s="83">
        <f>IF($N32="","",IF(INDEX(Azioni!$J:$J,$N32)="","",INDEX(Azioni!$J:$J,$N32)))</f>
        <v>46303</v>
      </c>
      <c r="I32" s="83">
        <f>IF(OR($N32="",H32=""),"",IF(OR(G32="Approvata",G32="In corso"),EDATE(H32,N(INDEX(Azioni!$G:$G,$N32))),""))</f>
        <v>46395</v>
      </c>
      <c r="J32" s="81" t="str">
        <f>IF($N32="","",INDEX(Azioni!$L:$L,$N32)&amp;"")</f>
        <v>Accettato</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34</v>
      </c>
    </row>
    <row r="33" spans="1:14" x14ac:dyDescent="0.4">
      <c r="A33" s="81" t="str">
        <f>IF($N33="","",INDEX(Azioni!$A:$A,$N33)&amp;"")</f>
        <v>2026Q4</v>
      </c>
      <c r="B33" s="81" t="str">
        <f>IF($N33="","",INDEX(Azioni!$B:$B,$N33)&amp;"")</f>
        <v>NFR-03</v>
      </c>
      <c r="C33" s="81" t="str">
        <f>IF($N33="","",INDEX(Azioni!$C:$C,$N33)&amp;"")</f>
        <v>2026Q4-NFR-03-A1</v>
      </c>
      <c r="D33" s="82" t="str">
        <f>IF($N33="","",INDEX(Azioni!$D:$D,$N33)&amp;"")</f>
        <v>Completare la revisione indipendente dei claim ambientali dei prodotti ESG residui.</v>
      </c>
      <c r="E33" s="81" t="str">
        <f>IF($N33="","",INDEX(Azioni!$E:$E,$N33)&amp;"")</f>
        <v>Funzione Compliance</v>
      </c>
      <c r="F33" s="81" t="str">
        <f>IF($N33="","",INDEX(Azioni!$F:$F,$N33)&amp;"")</f>
        <v>3 mesi</v>
      </c>
      <c r="G33" s="81" t="str">
        <f>IF($N33="","",INDEX(Azioni!$I:$I,$N33)&amp;"")</f>
        <v>Approvata</v>
      </c>
      <c r="H33" s="83">
        <f>IF($N33="","",IF(INDEX(Azioni!$J:$J,$N33)="","",INDEX(Azioni!$J:$J,$N33)))</f>
        <v>46303</v>
      </c>
      <c r="I33" s="83">
        <f>IF(OR($N33="",H33=""),"",IF(OR(G33="Approvata",G33="In corso"),EDATE(H33,N(INDEX(Azioni!$G:$G,$N33))),""))</f>
        <v>46395</v>
      </c>
      <c r="J33" s="81" t="str">
        <f>IF($N33="","",INDEX(Azioni!$L:$L,$N33)&amp;"")</f>
        <v>Accettato</v>
      </c>
      <c r="N3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35</v>
      </c>
    </row>
    <row r="34" spans="1:14" x14ac:dyDescent="0.4">
      <c r="A34" s="81" t="str">
        <f>IF($N34="","",INDEX(Azioni!$A:$A,$N34)&amp;"")</f>
        <v>2026Q4</v>
      </c>
      <c r="B34" s="81" t="str">
        <f>IF($N34="","",INDEX(Azioni!$B:$B,$N34)&amp;"")</f>
        <v>NFR-04</v>
      </c>
      <c r="C34" s="81" t="str">
        <f>IF($N34="","",INDEX(Azioni!$C:$C,$N34)&amp;"")</f>
        <v>2026Q4-NFR-04-A1</v>
      </c>
      <c r="D34" s="82" t="str">
        <f>IF($N34="","",INDEX(Azioni!$D:$D,$N34)&amp;"")</f>
        <v>Verificare con i fornitori di energia e telecomunicazioni delle due sedi critiche i tempi di ripristino garantiti dopo un'alluvione.</v>
      </c>
      <c r="E34" s="81" t="str">
        <f>IF($N34="","",INDEX(Azioni!$E:$E,$N34)&amp;"")</f>
        <v>Funzione Business Continuity</v>
      </c>
      <c r="F34" s="81" t="str">
        <f>IF($N34="","",INDEX(Azioni!$F:$F,$N34)&amp;"")</f>
        <v>6 mesi</v>
      </c>
      <c r="G34" s="81" t="str">
        <f>IF($N34="","",INDEX(Azioni!$I:$I,$N34)&amp;"")</f>
        <v>Approvata</v>
      </c>
      <c r="H34" s="83">
        <f>IF($N34="","",IF(INDEX(Azioni!$J:$J,$N34)="","",INDEX(Azioni!$J:$J,$N34)))</f>
        <v>46303</v>
      </c>
      <c r="I34" s="83">
        <f>IF(OR($N34="",H34=""),"",IF(OR(G34="Approvata",G34="In corso"),EDATE(H34,N(INDEX(Azioni!$G:$G,$N34))),""))</f>
        <v>46485</v>
      </c>
      <c r="J34" s="81" t="str">
        <f>IF($N34="","",INDEX(Azioni!$L:$L,$N34)&amp;"")</f>
        <v>Accettato</v>
      </c>
      <c r="N3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36</v>
      </c>
    </row>
    <row r="35" spans="1:14" x14ac:dyDescent="0.4">
      <c r="A35" s="81" t="str">
        <f>IF($N35="","",INDEX(Azioni!$A:$A,$N35)&amp;"")</f>
        <v>2026Q4</v>
      </c>
      <c r="B35" s="81" t="str">
        <f>IF($N35="","",INDEX(Azioni!$B:$B,$N35)&amp;"")</f>
        <v>NFR-05</v>
      </c>
      <c r="C35" s="81" t="str">
        <f>IF($N35="","",INDEX(Azioni!$C:$C,$N35)&amp;"")</f>
        <v>2026Q4-NFR-05-A1</v>
      </c>
      <c r="D35" s="82" t="str">
        <f>IF($N35="","",INDEX(Azioni!$D:$D,$N35)&amp;"")</f>
        <v>Aggiungere a ogni ondata di migrazione una riconciliazione dei saldi prima e dopo la conversione, firmata dal responsabile.</v>
      </c>
      <c r="E35" s="81" t="str">
        <f>IF($N35="","",INDEX(Azioni!$E:$E,$N35)&amp;"")</f>
        <v>Funzione Operations</v>
      </c>
      <c r="F35" s="81" t="str">
        <f>IF($N35="","",INDEX(Azioni!$F:$F,$N35)&amp;"")</f>
        <v>3 mesi</v>
      </c>
      <c r="G35" s="81" t="str">
        <f>IF($N35="","",INDEX(Azioni!$I:$I,$N35)&amp;"")</f>
        <v>Approvata</v>
      </c>
      <c r="H35" s="83">
        <f>IF($N35="","",IF(INDEX(Azioni!$J:$J,$N35)="","",INDEX(Azioni!$J:$J,$N35)))</f>
        <v>46303</v>
      </c>
      <c r="I35" s="83">
        <f>IF(OR($N35="",H35=""),"",IF(OR(G35="Approvata",G35="In corso"),EDATE(H35,N(INDEX(Azioni!$G:$G,$N35))),""))</f>
        <v>46395</v>
      </c>
      <c r="J35" s="81" t="str">
        <f>IF($N35="","",INDEX(Azioni!$L:$L,$N35)&amp;"")</f>
        <v>Accettato</v>
      </c>
      <c r="N3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37</v>
      </c>
    </row>
    <row r="36" spans="1:14" x14ac:dyDescent="0.4">
      <c r="A36" s="81" t="str">
        <f>IF($N36="","",INDEX(Azioni!$A:$A,$N36)&amp;"")</f>
        <v>2026Q4</v>
      </c>
      <c r="B36" s="81" t="str">
        <f>IF($N36="","",INDEX(Azioni!$B:$B,$N36)&amp;"")</f>
        <v>NFR-06</v>
      </c>
      <c r="C36" s="81" t="str">
        <f>IF($N36="","",INDEX(Azioni!$C:$C,$N36)&amp;"")</f>
        <v>2026Q4-NFR-06-A1</v>
      </c>
      <c r="D36" s="82" t="str">
        <f>IF($N36="","",INDEX(Azioni!$D:$D,$N36)&amp;"")</f>
        <v>Inserire nel codice di comportamento gli strumenti di AI ammessi e i dati che non si possono caricare, con le conseguenze disciplinari.</v>
      </c>
      <c r="E36" s="81" t="str">
        <f>IF($N36="","",INDEX(Azioni!$E:$E,$N36)&amp;"")</f>
        <v>Direzione Risorse Umane</v>
      </c>
      <c r="F36" s="81" t="str">
        <f>IF($N36="","",INDEX(Azioni!$F:$F,$N36)&amp;"")</f>
        <v>6 mesi</v>
      </c>
      <c r="G36" s="81" t="str">
        <f>IF($N36="","",INDEX(Azioni!$I:$I,$N36)&amp;"")</f>
        <v>Approvata</v>
      </c>
      <c r="H36" s="83">
        <f>IF($N36="","",IF(INDEX(Azioni!$J:$J,$N36)="","",INDEX(Azioni!$J:$J,$N36)))</f>
        <v>46303</v>
      </c>
      <c r="I36" s="83">
        <f>IF(OR($N36="",H36=""),"",IF(OR(G36="Approvata",G36="In corso"),EDATE(H36,N(INDEX(Azioni!$G:$G,$N36))),""))</f>
        <v>46485</v>
      </c>
      <c r="J36" s="81" t="str">
        <f>IF($N36="","",INDEX(Azioni!$L:$L,$N36)&amp;"")</f>
        <v>Accettato</v>
      </c>
      <c r="N3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38</v>
      </c>
    </row>
    <row r="37" spans="1:14" x14ac:dyDescent="0.4">
      <c r="A37" s="81" t="str">
        <f>IF($N37="","",INDEX(Azioni!$A:$A,$N37)&amp;"")</f>
        <v>2026Q4</v>
      </c>
      <c r="B37" s="81" t="str">
        <f>IF($N37="","",INDEX(Azioni!$B:$B,$N37)&amp;"")</f>
        <v>NFR-07</v>
      </c>
      <c r="C37" s="81" t="str">
        <f>IF($N37="","",INDEX(Azioni!$C:$C,$N37)&amp;"")</f>
        <v>2026Q4-NFR-07-A1</v>
      </c>
      <c r="D37" s="82" t="str">
        <f>IF($N37="","",INDEX(Azioni!$D:$D,$N37)&amp;"")</f>
        <v>Prevedere un canale di pagamento alternativo, attivabile entro 24 ore, se il gateway del fornitore resta bloccato da un attacco.</v>
      </c>
      <c r="E37" s="81" t="str">
        <f>IF($N37="","",INDEX(Azioni!$E:$E,$N37)&amp;"")</f>
        <v>Funzione ICT &amp; Security Risk</v>
      </c>
      <c r="F37" s="81" t="str">
        <f>IF($N37="","",INDEX(Azioni!$F:$F,$N37)&amp;"")</f>
        <v>6 mesi</v>
      </c>
      <c r="G37" s="81" t="str">
        <f>IF($N37="","",INDEX(Azioni!$I:$I,$N37)&amp;"")</f>
        <v>Approvata</v>
      </c>
      <c r="H37" s="83">
        <f>IF($N37="","",IF(INDEX(Azioni!$J:$J,$N37)="","",INDEX(Azioni!$J:$J,$N37)))</f>
        <v>46303</v>
      </c>
      <c r="I37" s="83">
        <f>IF(OR($N37="",H37=""),"",IF(OR(G37="Approvata",G37="In corso"),EDATE(H37,N(INDEX(Azioni!$G:$G,$N37))),""))</f>
        <v>46485</v>
      </c>
      <c r="J37" s="81" t="str">
        <f>IF($N37="","",INDEX(Azioni!$L:$L,$N37)&amp;"")</f>
        <v>Accettato</v>
      </c>
      <c r="N3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39</v>
      </c>
    </row>
    <row r="38" spans="1:14" x14ac:dyDescent="0.4">
      <c r="A38" s="81" t="str">
        <f>IF($N38="","",INDEX(Azioni!$A:$A,$N38)&amp;"")</f>
        <v>2026Q4</v>
      </c>
      <c r="B38" s="81" t="str">
        <f>IF($N38="","",INDEX(Azioni!$B:$B,$N38)&amp;"")</f>
        <v>NFR-08</v>
      </c>
      <c r="C38" s="81" t="str">
        <f>IF($N38="","",INDEX(Azioni!$C:$C,$N38)&amp;"")</f>
        <v>2026Q4-NFR-08-A1</v>
      </c>
      <c r="D38" s="82" t="str">
        <f>IF($N38="","",INDEX(Azioni!$D:$D,$N38)&amp;"")</f>
        <v>Estendere il blocco automatico degli accessi senza pratica alle applicazioni di filiale e al call center.</v>
      </c>
      <c r="E38" s="81" t="str">
        <f>IF($N38="","",INDEX(Azioni!$E:$E,$N38)&amp;"")</f>
        <v>Funzione Sicurezza delle Informazioni</v>
      </c>
      <c r="F38" s="81" t="str">
        <f>IF($N38="","",INDEX(Azioni!$F:$F,$N38)&amp;"")</f>
        <v>3 mesi</v>
      </c>
      <c r="G38" s="81" t="str">
        <f>IF($N38="","",INDEX(Azioni!$I:$I,$N38)&amp;"")</f>
        <v>Approvata</v>
      </c>
      <c r="H38" s="83">
        <f>IF($N38="","",IF(INDEX(Azioni!$J:$J,$N38)="","",INDEX(Azioni!$J:$J,$N38)))</f>
        <v>46303</v>
      </c>
      <c r="I38" s="83">
        <f>IF(OR($N38="",H38=""),"",IF(OR(G38="Approvata",G38="In corso"),EDATE(H38,N(INDEX(Azioni!$G:$G,$N38))),""))</f>
        <v>46395</v>
      </c>
      <c r="J38" s="81" t="str">
        <f>IF($N38="","",INDEX(Azioni!$L:$L,$N38)&amp;"")</f>
        <v>Accettato</v>
      </c>
      <c r="N3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40</v>
      </c>
    </row>
    <row r="39" spans="1:14" x14ac:dyDescent="0.4">
      <c r="A39" s="81" t="str">
        <f>IF($N39="","",INDEX(Azioni!$A:$A,$N39)&amp;"")</f>
        <v>2026Q4</v>
      </c>
      <c r="B39" s="81" t="str">
        <f>IF($N39="","",INDEX(Azioni!$B:$B,$N39)&amp;"")</f>
        <v>NFR-09</v>
      </c>
      <c r="C39" s="81" t="str">
        <f>IF($N39="","",INDEX(Azioni!$C:$C,$N39)&amp;"")</f>
        <v>2026Q4-NFR-09-A1</v>
      </c>
      <c r="D39" s="82" t="str">
        <f>IF($N39="","",INDEX(Azioni!$D:$D,$N39)&amp;"")</f>
        <v>Chiedere ai corrispondenti esteri il beneficiario finale dei pagamenti verso i paesi di transito segnalati.</v>
      </c>
      <c r="E39" s="81" t="str">
        <f>IF($N39="","",INDEX(Azioni!$E:$E,$N39)&amp;"")</f>
        <v>Funzione Compliance</v>
      </c>
      <c r="F39" s="81" t="str">
        <f>IF($N39="","",INDEX(Azioni!$F:$F,$N39)&amp;"")</f>
        <v>12 mesi</v>
      </c>
      <c r="G39" s="81" t="str">
        <f>IF($N39="","",INDEX(Azioni!$I:$I,$N39)&amp;"")</f>
        <v>Approvata</v>
      </c>
      <c r="H39" s="83">
        <f>IF($N39="","",IF(INDEX(Azioni!$J:$J,$N39)="","",INDEX(Azioni!$J:$J,$N39)))</f>
        <v>46303</v>
      </c>
      <c r="I39" s="83">
        <f>IF(OR($N39="",H39=""),"",IF(OR(G39="Approvata",G39="In corso"),EDATE(H39,N(INDEX(Azioni!$G:$G,$N39))),""))</f>
        <v>46668</v>
      </c>
      <c r="J39" s="81" t="str">
        <f>IF($N39="","",INDEX(Azioni!$L:$L,$N39)&amp;"")</f>
        <v>Accettato</v>
      </c>
      <c r="N3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41</v>
      </c>
    </row>
    <row r="40" spans="1:14" x14ac:dyDescent="0.4">
      <c r="A40" s="81" t="str">
        <f>IF($N40="","",INDEX(Azioni!$A:$A,$N40)&amp;"")</f>
        <v>2026Q4</v>
      </c>
      <c r="B40" s="81" t="str">
        <f>IF($N40="","",INDEX(Azioni!$B:$B,$N40)&amp;"")</f>
        <v>NFR-10</v>
      </c>
      <c r="C40" s="81" t="str">
        <f>IF($N40="","",INDEX(Azioni!$C:$C,$N40)&amp;"")</f>
        <v>2026Q4-NFR-10-A1</v>
      </c>
      <c r="D40" s="82" t="str">
        <f>IF($N40="","",INDEX(Azioni!$D:$D,$N40)&amp;"")</f>
        <v>Mostrare nel chatbot l'avviso che le risposte su condizioni e tassi vanno verificate sul documento di sintesi, con il collegamento.</v>
      </c>
      <c r="E40" s="81" t="str">
        <f>IF($N40="","",INDEX(Azioni!$E:$E,$N40)&amp;"")</f>
        <v>Funzione Customer Experience</v>
      </c>
      <c r="F40" s="81" t="str">
        <f>IF($N40="","",INDEX(Azioni!$F:$F,$N40)&amp;"")</f>
        <v>3 mesi</v>
      </c>
      <c r="G40" s="81" t="str">
        <f>IF($N40="","",INDEX(Azioni!$I:$I,$N40)&amp;"")</f>
        <v>Approvata</v>
      </c>
      <c r="H40" s="83">
        <f>IF($N40="","",IF(INDEX(Azioni!$J:$J,$N40)="","",INDEX(Azioni!$J:$J,$N40)))</f>
        <v>46303</v>
      </c>
      <c r="I40" s="83">
        <f>IF(OR($N40="",H40=""),"",IF(OR(G40="Approvata",G40="In corso"),EDATE(H40,N(INDEX(Azioni!$G:$G,$N40))),""))</f>
        <v>46395</v>
      </c>
      <c r="J40" s="81" t="str">
        <f>IF($N40="","",INDEX(Azioni!$L:$L,$N40)&amp;"")</f>
        <v>Accettato</v>
      </c>
      <c r="N4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42</v>
      </c>
    </row>
    <row r="41" spans="1:14" x14ac:dyDescent="0.4">
      <c r="A41" s="81" t="str">
        <f>IF($N41="","",INDEX(Azioni!$A:$A,$N41)&amp;"")</f>
        <v>2026Q4</v>
      </c>
      <c r="B41" s="81" t="str">
        <f>IF($N41="","",INDEX(Azioni!$B:$B,$N41)&amp;"")</f>
        <v>NFR-11</v>
      </c>
      <c r="C41" s="81" t="str">
        <f>IF($N41="","",INDEX(Azioni!$C:$C,$N41)&amp;"")</f>
        <v>2026Q4-NFR-11-A1</v>
      </c>
      <c r="D41" s="82" t="str">
        <f>IF($N41="","",INDEX(Azioni!$D:$D,$N41)&amp;"")</f>
        <v>Ottenere dal produttore un supporto esteso a pagamento per le componenti fuori supporto piu' critiche, fino alla sostituzione.</v>
      </c>
      <c r="E41" s="81" t="str">
        <f>IF($N41="","",INDEX(Azioni!$E:$E,$N41)&amp;"")</f>
        <v>Funzione IT Operations</v>
      </c>
      <c r="F41" s="81" t="str">
        <f>IF($N41="","",INDEX(Azioni!$F:$F,$N41)&amp;"")</f>
        <v>12 mesi</v>
      </c>
      <c r="G41" s="81" t="str">
        <f>IF($N41="","",INDEX(Azioni!$I:$I,$N41)&amp;"")</f>
        <v>Approvata</v>
      </c>
      <c r="H41" s="83">
        <f>IF($N41="","",IF(INDEX(Azioni!$J:$J,$N41)="","",INDEX(Azioni!$J:$J,$N41)))</f>
        <v>46303</v>
      </c>
      <c r="I41" s="83">
        <f>IF(OR($N41="",H41=""),"",IF(OR(G41="Approvata",G41="In corso"),EDATE(H41,N(INDEX(Azioni!$G:$G,$N41))),""))</f>
        <v>46668</v>
      </c>
      <c r="J41" s="81" t="str">
        <f>IF($N41="","",INDEX(Azioni!$L:$L,$N41)&amp;"")</f>
        <v>Accettato</v>
      </c>
      <c r="N4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43</v>
      </c>
    </row>
    <row r="42" spans="1:14" x14ac:dyDescent="0.4">
      <c r="A42" s="81" t="str">
        <f>IF($N42="","",INDEX(Azioni!$A:$A,$N42)&amp;"")</f>
        <v>2026Q4</v>
      </c>
      <c r="B42" s="81" t="str">
        <f>IF($N42="","",INDEX(Azioni!$B:$B,$N42)&amp;"")</f>
        <v>NFR-12</v>
      </c>
      <c r="C42" s="81" t="str">
        <f>IF($N42="","",INDEX(Azioni!$C:$C,$N42)&amp;"")</f>
        <v>2026Q4-NFR-12-A1</v>
      </c>
      <c r="D42" s="82" t="str">
        <f>IF($N42="","",INDEX(Azioni!$D:$D,$N42)&amp;"")</f>
        <v>Introdurre un test di riconciliazione su dati anonimizzati prima di ogni rilascio del motore dei bonifici istantanei.</v>
      </c>
      <c r="E42" s="81" t="str">
        <f>IF($N42="","",INDEX(Azioni!$E:$E,$N42)&amp;"")</f>
        <v>Funzione Operations</v>
      </c>
      <c r="F42" s="81" t="str">
        <f>IF($N42="","",INDEX(Azioni!$F:$F,$N42)&amp;"")</f>
        <v>3 mesi</v>
      </c>
      <c r="G42" s="81" t="str">
        <f>IF($N42="","",INDEX(Azioni!$I:$I,$N42)&amp;"")</f>
        <v>Approvata</v>
      </c>
      <c r="H42" s="83">
        <f>IF($N42="","",IF(INDEX(Azioni!$J:$J,$N42)="","",INDEX(Azioni!$J:$J,$N42)))</f>
        <v>46303</v>
      </c>
      <c r="I42" s="83">
        <f>IF(OR($N42="",H42=""),"",IF(OR(G42="Approvata",G42="In corso"),EDATE(H42,N(INDEX(Azioni!$G:$G,$N42))),""))</f>
        <v>46395</v>
      </c>
      <c r="J42" s="81" t="str">
        <f>IF($N42="","",INDEX(Azioni!$L:$L,$N42)&amp;"")</f>
        <v>Accettato</v>
      </c>
      <c r="N4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44</v>
      </c>
    </row>
    <row r="43" spans="1:14" x14ac:dyDescent="0.4">
      <c r="A43" s="81" t="str">
        <f>IF($N43="","",INDEX(Azioni!$A:$A,$N43)&amp;"")</f>
        <v>2026Q4</v>
      </c>
      <c r="B43" s="81" t="str">
        <f>IF($N43="","",INDEX(Azioni!$B:$B,$N43)&amp;"")</f>
        <v>NFR-16</v>
      </c>
      <c r="C43" s="81" t="str">
        <f>IF($N43="","",INDEX(Azioni!$C:$C,$N43)&amp;"")</f>
        <v>2026Q4-NFR-16-A1</v>
      </c>
      <c r="D43" s="82" t="str">
        <f>IF($N43="","",INDEX(Azioni!$D:$D,$N43)&amp;"")</f>
        <v>Estendere il piano di successione a tutti i ruoli IT critici, con backup formati.</v>
      </c>
      <c r="E43" s="81" t="str">
        <f>IF($N43="","",INDEX(Azioni!$E:$E,$N43)&amp;"")</f>
        <v>Direzione Risorse Umane</v>
      </c>
      <c r="F43" s="81" t="str">
        <f>IF($N43="","",INDEX(Azioni!$F:$F,$N43)&amp;"")</f>
        <v>6 mesi</v>
      </c>
      <c r="G43" s="81" t="str">
        <f>IF($N43="","",INDEX(Azioni!$I:$I,$N43)&amp;"")</f>
        <v>Approvata</v>
      </c>
      <c r="H43" s="83">
        <f>IF($N43="","",IF(INDEX(Azioni!$J:$J,$N43)="","",INDEX(Azioni!$J:$J,$N43)))</f>
        <v>46303</v>
      </c>
      <c r="I43" s="83">
        <f>IF(OR($N43="",H43=""),"",IF(OR(G43="Approvata",G43="In corso"),EDATE(H43,N(INDEX(Azioni!$G:$G,$N43))),""))</f>
        <v>46485</v>
      </c>
      <c r="J43" s="81" t="str">
        <f>IF($N43="","",INDEX(Azioni!$L:$L,$N43)&amp;"")</f>
        <v>Accettato</v>
      </c>
      <c r="N4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45</v>
      </c>
    </row>
    <row r="44" spans="1:14" x14ac:dyDescent="0.4">
      <c r="A44" s="81" t="str">
        <f>IF($N44="","",INDEX(Azioni!$A:$A,$N44)&amp;"")</f>
        <v>2026Q4</v>
      </c>
      <c r="B44" s="81" t="str">
        <f>IF($N44="","",INDEX(Azioni!$B:$B,$N44)&amp;"")</f>
        <v>NFR-16</v>
      </c>
      <c r="C44" s="81" t="str">
        <f>IF($N44="","",INDEX(Azioni!$C:$C,$N44)&amp;"")</f>
        <v>2026Q4-NFR-16-A2</v>
      </c>
      <c r="D44" s="82" t="str">
        <f>IF($N44="","",INDEX(Azioni!$D:$D,$N44)&amp;"")</f>
        <v>Definire i servizi minimi IT garantiti in caso di sciopero, d'intesa con le rappresentanze.</v>
      </c>
      <c r="E44" s="81" t="str">
        <f>IF($N44="","",INDEX(Azioni!$E:$E,$N44)&amp;"")</f>
        <v>Direzione Sistemi Informativi</v>
      </c>
      <c r="F44" s="81" t="str">
        <f>IF($N44="","",INDEX(Azioni!$F:$F,$N44)&amp;"")</f>
        <v>3 mesi</v>
      </c>
      <c r="G44" s="81" t="str">
        <f>IF($N44="","",INDEX(Azioni!$I:$I,$N44)&amp;"")</f>
        <v>Approvata</v>
      </c>
      <c r="H44" s="83">
        <f>IF($N44="","",IF(INDEX(Azioni!$J:$J,$N44)="","",INDEX(Azioni!$J:$J,$N44)))</f>
        <v>46303</v>
      </c>
      <c r="I44" s="83">
        <f>IF(OR($N44="",H44=""),"",IF(OR(G44="Approvata",G44="In corso"),EDATE(H44,N(INDEX(Azioni!$G:$G,$N44))),""))</f>
        <v>46395</v>
      </c>
      <c r="J44" s="81" t="str">
        <f>IF($N44="","",INDEX(Azioni!$L:$L,$N44)&amp;"")</f>
        <v>Accettato</v>
      </c>
      <c r="N4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46</v>
      </c>
    </row>
    <row r="45" spans="1:14" x14ac:dyDescent="0.4">
      <c r="A45" s="81" t="str">
        <f>IF($N45="","",INDEX(Azioni!$A:$A,$N45)&amp;"")</f>
        <v>2026Q3</v>
      </c>
      <c r="B45" s="81" t="str">
        <f>IF($N45="","",INDEX(Azioni!$B:$B,$N45)&amp;"")</f>
        <v>NFR-08</v>
      </c>
      <c r="C45" s="81" t="str">
        <f>IF($N45="","",INDEX(Azioni!$C:$C,$N45)&amp;"")</f>
        <v>2026Q3-NFR-08-A1</v>
      </c>
      <c r="D45" s="82" t="str">
        <f>IF($N45="","",INDEX(Azioni!$D:$D,$N45)&amp;"")</f>
        <v>Bloccare in automatico gli accessi ripetuti ai dati clienti senza pratica associata, con avviso al responsabile.</v>
      </c>
      <c r="E45" s="81" t="str">
        <f>IF($N45="","",INDEX(Azioni!$E:$E,$N45)&amp;"")</f>
        <v>Funzione Sicurezza delle Informazioni</v>
      </c>
      <c r="F45" s="81" t="str">
        <f>IF($N45="","",INDEX(Azioni!$F:$F,$N45)&amp;"")</f>
        <v>3 mesi</v>
      </c>
      <c r="G45" s="81" t="str">
        <f>IF($N45="","",INDEX(Azioni!$I:$I,$N45)&amp;"")</f>
        <v>Respinta</v>
      </c>
      <c r="H45" s="83">
        <f>IF($N45="","",IF(INDEX(Azioni!$J:$J,$N45)="","",INDEX(Azioni!$J:$J,$N45)))</f>
        <v>46303</v>
      </c>
      <c r="I45" s="83" t="str">
        <f>IF(OR($N45="",H45=""),"",IF(OR(G45="Approvata",G45="In corso"),EDATE(H45,N(INDEX(Azioni!$G:$G,$N45))),""))</f>
        <v/>
      </c>
      <c r="J45" s="81" t="str">
        <f>IF($N45="","",INDEX(Azioni!$L:$L,$N45)&amp;"")</f>
        <v>Respinto</v>
      </c>
      <c r="N4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28</v>
      </c>
    </row>
    <row r="46" spans="1:14" x14ac:dyDescent="0.4">
      <c r="A46" s="81" t="str">
        <f>IF($N46="","",INDEX(Azioni!$A:$A,$N46)&amp;"")</f>
        <v/>
      </c>
      <c r="B46" s="81" t="str">
        <f>IF($N46="","",INDEX(Azioni!$B:$B,$N46)&amp;"")</f>
        <v/>
      </c>
      <c r="C46" s="81" t="str">
        <f>IF($N46="","",INDEX(Azioni!$C:$C,$N46)&amp;"")</f>
        <v/>
      </c>
      <c r="D46" s="82" t="str">
        <f>IF($N46="","",INDEX(Azioni!$D:$D,$N46)&amp;"")</f>
        <v/>
      </c>
      <c r="E46" s="81" t="str">
        <f>IF($N46="","",INDEX(Azioni!$E:$E,$N46)&amp;"")</f>
        <v/>
      </c>
      <c r="F46" s="81" t="str">
        <f>IF($N46="","",INDEX(Azioni!$F:$F,$N46)&amp;"")</f>
        <v/>
      </c>
      <c r="G46" s="81" t="str">
        <f>IF($N46="","",INDEX(Azioni!$I:$I,$N46)&amp;"")</f>
        <v/>
      </c>
      <c r="H46" s="83" t="str">
        <f>IF($N46="","",IF(INDEX(Azioni!$J:$J,$N46)="","",INDEX(Azioni!$J:$J,$N46)))</f>
        <v/>
      </c>
      <c r="I46" s="83" t="str">
        <f>IF(OR($N46="",H46=""),"",IF(OR(G46="Approvata",G46="In corso"),EDATE(H46,N(INDEX(Azioni!$G:$G,$N46))),""))</f>
        <v/>
      </c>
      <c r="J46" s="81" t="str">
        <f>IF($N46="","",INDEX(Azioni!$L:$L,$N46)&amp;"")</f>
        <v/>
      </c>
      <c r="N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spans="1:14" x14ac:dyDescent="0.4">
      <c r="A47" s="81" t="str">
        <f>IF($N47="","",INDEX(Azioni!$A:$A,$N47)&amp;"")</f>
        <v/>
      </c>
      <c r="B47" s="81" t="str">
        <f>IF($N47="","",INDEX(Azioni!$B:$B,$N47)&amp;"")</f>
        <v/>
      </c>
      <c r="C47" s="81" t="str">
        <f>IF($N47="","",INDEX(Azioni!$C:$C,$N47)&amp;"")</f>
        <v/>
      </c>
      <c r="D47" s="82" t="str">
        <f>IF($N47="","",INDEX(Azioni!$D:$D,$N47)&amp;"")</f>
        <v/>
      </c>
      <c r="E47" s="81" t="str">
        <f>IF($N47="","",INDEX(Azioni!$E:$E,$N47)&amp;"")</f>
        <v/>
      </c>
      <c r="F47" s="81" t="str">
        <f>IF($N47="","",INDEX(Azioni!$F:$F,$N47)&amp;"")</f>
        <v/>
      </c>
      <c r="G47" s="81" t="str">
        <f>IF($N47="","",INDEX(Azioni!$I:$I,$N47)&amp;"")</f>
        <v/>
      </c>
      <c r="H47" s="83" t="str">
        <f>IF($N47="","",IF(INDEX(Azioni!$J:$J,$N47)="","",INDEX(Azioni!$J:$J,$N47)))</f>
        <v/>
      </c>
      <c r="I47" s="83" t="str">
        <f>IF(OR($N47="",H47=""),"",IF(OR(G47="Approvata",G47="In corso"),EDATE(H47,N(INDEX(Azioni!$G:$G,$N47))),""))</f>
        <v/>
      </c>
      <c r="J47" s="81" t="str">
        <f>IF($N47="","",INDEX(Azioni!$L:$L,$N47)&amp;"")</f>
        <v/>
      </c>
      <c r="N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spans="1:14" x14ac:dyDescent="0.4">
      <c r="A48" s="81" t="str">
        <f>IF($N48="","",INDEX(Azioni!$A:$A,$N48)&amp;"")</f>
        <v/>
      </c>
      <c r="B48" s="81" t="str">
        <f>IF($N48="","",INDEX(Azioni!$B:$B,$N48)&amp;"")</f>
        <v/>
      </c>
      <c r="C48" s="81" t="str">
        <f>IF($N48="","",INDEX(Azioni!$C:$C,$N48)&amp;"")</f>
        <v/>
      </c>
      <c r="D48" s="82" t="str">
        <f>IF($N48="","",INDEX(Azioni!$D:$D,$N48)&amp;"")</f>
        <v/>
      </c>
      <c r="E48" s="81" t="str">
        <f>IF($N48="","",INDEX(Azioni!$E:$E,$N48)&amp;"")</f>
        <v/>
      </c>
      <c r="F48" s="81" t="str">
        <f>IF($N48="","",INDEX(Azioni!$F:$F,$N48)&amp;"")</f>
        <v/>
      </c>
      <c r="G48" s="81" t="str">
        <f>IF($N48="","",INDEX(Azioni!$I:$I,$N48)&amp;"")</f>
        <v/>
      </c>
      <c r="H48" s="83" t="str">
        <f>IF($N48="","",IF(INDEX(Azioni!$J:$J,$N48)="","",INDEX(Azioni!$J:$J,$N48)))</f>
        <v/>
      </c>
      <c r="I48" s="83" t="str">
        <f>IF(OR($N48="",H48=""),"",IF(OR(G48="Approvata",G48="In corso"),EDATE(H48,N(INDEX(Azioni!$G:$G,$N48))),""))</f>
        <v/>
      </c>
      <c r="J48" s="81" t="str">
        <f>IF($N48="","",INDEX(Azioni!$L:$L,$N48)&amp;"")</f>
        <v/>
      </c>
      <c r="N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spans="1:14" x14ac:dyDescent="0.4">
      <c r="A49" s="81" t="str">
        <f>IF($N49="","",INDEX(Azioni!$A:$A,$N49)&amp;"")</f>
        <v/>
      </c>
      <c r="B49" s="81" t="str">
        <f>IF($N49="","",INDEX(Azioni!$B:$B,$N49)&amp;"")</f>
        <v/>
      </c>
      <c r="C49" s="81" t="str">
        <f>IF($N49="","",INDEX(Azioni!$C:$C,$N49)&amp;"")</f>
        <v/>
      </c>
      <c r="D49" s="82" t="str">
        <f>IF($N49="","",INDEX(Azioni!$D:$D,$N49)&amp;"")</f>
        <v/>
      </c>
      <c r="E49" s="81" t="str">
        <f>IF($N49="","",INDEX(Azioni!$E:$E,$N49)&amp;"")</f>
        <v/>
      </c>
      <c r="F49" s="81" t="str">
        <f>IF($N49="","",INDEX(Azioni!$F:$F,$N49)&amp;"")</f>
        <v/>
      </c>
      <c r="G49" s="81" t="str">
        <f>IF($N49="","",INDEX(Azioni!$I:$I,$N49)&amp;"")</f>
        <v/>
      </c>
      <c r="H49" s="83" t="str">
        <f>IF($N49="","",IF(INDEX(Azioni!$J:$J,$N49)="","",INDEX(Azioni!$J:$J,$N49)))</f>
        <v/>
      </c>
      <c r="I49" s="83" t="str">
        <f>IF(OR($N49="",H49=""),"",IF(OR(G49="Approvata",G49="In corso"),EDATE(H49,N(INDEX(Azioni!$G:$G,$N49))),""))</f>
        <v/>
      </c>
      <c r="J49" s="81" t="str">
        <f>IF($N49="","",INDEX(Azioni!$L:$L,$N49)&amp;"")</f>
        <v/>
      </c>
      <c r="N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spans="1:14" x14ac:dyDescent="0.4">
      <c r="A50" s="81" t="str">
        <f>IF($N50="","",INDEX(Azioni!$A:$A,$N50)&amp;"")</f>
        <v/>
      </c>
      <c r="B50" s="81" t="str">
        <f>IF($N50="","",INDEX(Azioni!$B:$B,$N50)&amp;"")</f>
        <v/>
      </c>
      <c r="C50" s="81" t="str">
        <f>IF($N50="","",INDEX(Azioni!$C:$C,$N50)&amp;"")</f>
        <v/>
      </c>
      <c r="D50" s="82" t="str">
        <f>IF($N50="","",INDEX(Azioni!$D:$D,$N50)&amp;"")</f>
        <v/>
      </c>
      <c r="E50" s="81" t="str">
        <f>IF($N50="","",INDEX(Azioni!$E:$E,$N50)&amp;"")</f>
        <v/>
      </c>
      <c r="F50" s="81" t="str">
        <f>IF($N50="","",INDEX(Azioni!$F:$F,$N50)&amp;"")</f>
        <v/>
      </c>
      <c r="G50" s="81" t="str">
        <f>IF($N50="","",INDEX(Azioni!$I:$I,$N50)&amp;"")</f>
        <v/>
      </c>
      <c r="H50" s="83" t="str">
        <f>IF($N50="","",IF(INDEX(Azioni!$J:$J,$N50)="","",INDEX(Azioni!$J:$J,$N50)))</f>
        <v/>
      </c>
      <c r="I50" s="83" t="str">
        <f>IF(OR($N50="",H50=""),"",IF(OR(G50="Approvata",G50="In corso"),EDATE(H50,N(INDEX(Azioni!$G:$G,$N50))),""))</f>
        <v/>
      </c>
      <c r="J50" s="81" t="str">
        <f>IF($N50="","",INDEX(Azioni!$L:$L,$N50)&amp;"")</f>
        <v/>
      </c>
      <c r="N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spans="1:14" x14ac:dyDescent="0.4">
      <c r="A51" s="81" t="str">
        <f>IF($N51="","",INDEX(Azioni!$A:$A,$N51)&amp;"")</f>
        <v/>
      </c>
      <c r="B51" s="81" t="str">
        <f>IF($N51="","",INDEX(Azioni!$B:$B,$N51)&amp;"")</f>
        <v/>
      </c>
      <c r="C51" s="81" t="str">
        <f>IF($N51="","",INDEX(Azioni!$C:$C,$N51)&amp;"")</f>
        <v/>
      </c>
      <c r="D51" s="82" t="str">
        <f>IF($N51="","",INDEX(Azioni!$D:$D,$N51)&amp;"")</f>
        <v/>
      </c>
      <c r="E51" s="81" t="str">
        <f>IF($N51="","",INDEX(Azioni!$E:$E,$N51)&amp;"")</f>
        <v/>
      </c>
      <c r="F51" s="81" t="str">
        <f>IF($N51="","",INDEX(Azioni!$F:$F,$N51)&amp;"")</f>
        <v/>
      </c>
      <c r="G51" s="81" t="str">
        <f>IF($N51="","",INDEX(Azioni!$I:$I,$N51)&amp;"")</f>
        <v/>
      </c>
      <c r="H51" s="83" t="str">
        <f>IF($N51="","",IF(INDEX(Azioni!$J:$J,$N51)="","",INDEX(Azioni!$J:$J,$N51)))</f>
        <v/>
      </c>
      <c r="I51" s="83" t="str">
        <f>IF(OR($N51="",H51=""),"",IF(OR(G51="Approvata",G51="In corso"),EDATE(H51,N(INDEX(Azioni!$G:$G,$N51))),""))</f>
        <v/>
      </c>
      <c r="J51" s="81" t="str">
        <f>IF($N51="","",INDEX(Azioni!$L:$L,$N51)&amp;"")</f>
        <v/>
      </c>
      <c r="N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spans="1:14" x14ac:dyDescent="0.4">
      <c r="A52" s="81" t="str">
        <f>IF($N52="","",INDEX(Azioni!$A:$A,$N52)&amp;"")</f>
        <v/>
      </c>
      <c r="B52" s="81" t="str">
        <f>IF($N52="","",INDEX(Azioni!$B:$B,$N52)&amp;"")</f>
        <v/>
      </c>
      <c r="C52" s="81" t="str">
        <f>IF($N52="","",INDEX(Azioni!$C:$C,$N52)&amp;"")</f>
        <v/>
      </c>
      <c r="D52" s="82" t="str">
        <f>IF($N52="","",INDEX(Azioni!$D:$D,$N52)&amp;"")</f>
        <v/>
      </c>
      <c r="E52" s="81" t="str">
        <f>IF($N52="","",INDEX(Azioni!$E:$E,$N52)&amp;"")</f>
        <v/>
      </c>
      <c r="F52" s="81" t="str">
        <f>IF($N52="","",INDEX(Azioni!$F:$F,$N52)&amp;"")</f>
        <v/>
      </c>
      <c r="G52" s="81" t="str">
        <f>IF($N52="","",INDEX(Azioni!$I:$I,$N52)&amp;"")</f>
        <v/>
      </c>
      <c r="H52" s="83" t="str">
        <f>IF($N52="","",IF(INDEX(Azioni!$J:$J,$N52)="","",INDEX(Azioni!$J:$J,$N52)))</f>
        <v/>
      </c>
      <c r="I52" s="83" t="str">
        <f>IF(OR($N52="",H52=""),"",IF(OR(G52="Approvata",G52="In corso"),EDATE(H52,N(INDEX(Azioni!$G:$G,$N52))),""))</f>
        <v/>
      </c>
      <c r="J52" s="81" t="str">
        <f>IF($N52="","",INDEX(Azioni!$L:$L,$N52)&amp;"")</f>
        <v/>
      </c>
      <c r="N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spans="1:14" x14ac:dyDescent="0.4">
      <c r="A53" s="81" t="str">
        <f>IF($N53="","",INDEX(Azioni!$A:$A,$N53)&amp;"")</f>
        <v/>
      </c>
      <c r="B53" s="81" t="str">
        <f>IF($N53="","",INDEX(Azioni!$B:$B,$N53)&amp;"")</f>
        <v/>
      </c>
      <c r="C53" s="81" t="str">
        <f>IF($N53="","",INDEX(Azioni!$C:$C,$N53)&amp;"")</f>
        <v/>
      </c>
      <c r="D53" s="82" t="str">
        <f>IF($N53="","",INDEX(Azioni!$D:$D,$N53)&amp;"")</f>
        <v/>
      </c>
      <c r="E53" s="81" t="str">
        <f>IF($N53="","",INDEX(Azioni!$E:$E,$N53)&amp;"")</f>
        <v/>
      </c>
      <c r="F53" s="81" t="str">
        <f>IF($N53="","",INDEX(Azioni!$F:$F,$N53)&amp;"")</f>
        <v/>
      </c>
      <c r="G53" s="81" t="str">
        <f>IF($N53="","",INDEX(Azioni!$I:$I,$N53)&amp;"")</f>
        <v/>
      </c>
      <c r="H53" s="83" t="str">
        <f>IF($N53="","",IF(INDEX(Azioni!$J:$J,$N53)="","",INDEX(Azioni!$J:$J,$N53)))</f>
        <v/>
      </c>
      <c r="I53" s="83" t="str">
        <f>IF(OR($N53="",H53=""),"",IF(OR(G53="Approvata",G53="In corso"),EDATE(H53,N(INDEX(Azioni!$G:$G,$N53))),""))</f>
        <v/>
      </c>
      <c r="J53" s="81" t="str">
        <f>IF($N53="","",INDEX(Azioni!$L:$L,$N53)&amp;"")</f>
        <v/>
      </c>
      <c r="N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spans="1:14" x14ac:dyDescent="0.4">
      <c r="A54" s="81" t="str">
        <f>IF($N54="","",INDEX(Azioni!$A:$A,$N54)&amp;"")</f>
        <v/>
      </c>
      <c r="B54" s="81" t="str">
        <f>IF($N54="","",INDEX(Azioni!$B:$B,$N54)&amp;"")</f>
        <v/>
      </c>
      <c r="C54" s="81" t="str">
        <f>IF($N54="","",INDEX(Azioni!$C:$C,$N54)&amp;"")</f>
        <v/>
      </c>
      <c r="D54" s="82" t="str">
        <f>IF($N54="","",INDEX(Azioni!$D:$D,$N54)&amp;"")</f>
        <v/>
      </c>
      <c r="E54" s="81" t="str">
        <f>IF($N54="","",INDEX(Azioni!$E:$E,$N54)&amp;"")</f>
        <v/>
      </c>
      <c r="F54" s="81" t="str">
        <f>IF($N54="","",INDEX(Azioni!$F:$F,$N54)&amp;"")</f>
        <v/>
      </c>
      <c r="G54" s="81" t="str">
        <f>IF($N54="","",INDEX(Azioni!$I:$I,$N54)&amp;"")</f>
        <v/>
      </c>
      <c r="H54" s="83" t="str">
        <f>IF($N54="","",IF(INDEX(Azioni!$J:$J,$N54)="","",INDEX(Azioni!$J:$J,$N54)))</f>
        <v/>
      </c>
      <c r="I54" s="83" t="str">
        <f>IF(OR($N54="",H54=""),"",IF(OR(G54="Approvata",G54="In corso"),EDATE(H54,N(INDEX(Azioni!$G:$G,$N54))),""))</f>
        <v/>
      </c>
      <c r="J54" s="81" t="str">
        <f>IF($N54="","",INDEX(Azioni!$L:$L,$N54)&amp;"")</f>
        <v/>
      </c>
      <c r="N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spans="1:14" x14ac:dyDescent="0.4">
      <c r="A55" s="81" t="str">
        <f>IF($N55="","",INDEX(Azioni!$A:$A,$N55)&amp;"")</f>
        <v/>
      </c>
      <c r="B55" s="81" t="str">
        <f>IF($N55="","",INDEX(Azioni!$B:$B,$N55)&amp;"")</f>
        <v/>
      </c>
      <c r="C55" s="81" t="str">
        <f>IF($N55="","",INDEX(Azioni!$C:$C,$N55)&amp;"")</f>
        <v/>
      </c>
      <c r="D55" s="82" t="str">
        <f>IF($N55="","",INDEX(Azioni!$D:$D,$N55)&amp;"")</f>
        <v/>
      </c>
      <c r="E55" s="81" t="str">
        <f>IF($N55="","",INDEX(Azioni!$E:$E,$N55)&amp;"")</f>
        <v/>
      </c>
      <c r="F55" s="81" t="str">
        <f>IF($N55="","",INDEX(Azioni!$F:$F,$N55)&amp;"")</f>
        <v/>
      </c>
      <c r="G55" s="81" t="str">
        <f>IF($N55="","",INDEX(Azioni!$I:$I,$N55)&amp;"")</f>
        <v/>
      </c>
      <c r="H55" s="83" t="str">
        <f>IF($N55="","",IF(INDEX(Azioni!$J:$J,$N55)="","",INDEX(Azioni!$J:$J,$N55)))</f>
        <v/>
      </c>
      <c r="I55" s="83" t="str">
        <f>IF(OR($N55="",H55=""),"",IF(OR(G55="Approvata",G55="In corso"),EDATE(H55,N(INDEX(Azioni!$G:$G,$N55))),""))</f>
        <v/>
      </c>
      <c r="J55" s="81" t="str">
        <f>IF($N55="","",INDEX(Azioni!$L:$L,$N55)&amp;"")</f>
        <v/>
      </c>
      <c r="N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spans="1:14" x14ac:dyDescent="0.4">
      <c r="A56" s="81" t="str">
        <f>IF($N56="","",INDEX(Azioni!$A:$A,$N56)&amp;"")</f>
        <v/>
      </c>
      <c r="B56" s="81" t="str">
        <f>IF($N56="","",INDEX(Azioni!$B:$B,$N56)&amp;"")</f>
        <v/>
      </c>
      <c r="C56" s="81" t="str">
        <f>IF($N56="","",INDEX(Azioni!$C:$C,$N56)&amp;"")</f>
        <v/>
      </c>
      <c r="D56" s="82" t="str">
        <f>IF($N56="","",INDEX(Azioni!$D:$D,$N56)&amp;"")</f>
        <v/>
      </c>
      <c r="E56" s="81" t="str">
        <f>IF($N56="","",INDEX(Azioni!$E:$E,$N56)&amp;"")</f>
        <v/>
      </c>
      <c r="F56" s="81" t="str">
        <f>IF($N56="","",INDEX(Azioni!$F:$F,$N56)&amp;"")</f>
        <v/>
      </c>
      <c r="G56" s="81" t="str">
        <f>IF($N56="","",INDEX(Azioni!$I:$I,$N56)&amp;"")</f>
        <v/>
      </c>
      <c r="H56" s="83" t="str">
        <f>IF($N56="","",IF(INDEX(Azioni!$J:$J,$N56)="","",INDEX(Azioni!$J:$J,$N56)))</f>
        <v/>
      </c>
      <c r="I56" s="83" t="str">
        <f>IF(OR($N56="",H56=""),"",IF(OR(G56="Approvata",G56="In corso"),EDATE(H56,N(INDEX(Azioni!$G:$G,$N56))),""))</f>
        <v/>
      </c>
      <c r="J56" s="81" t="str">
        <f>IF($N56="","",INDEX(Azioni!$L:$L,$N56)&amp;"")</f>
        <v/>
      </c>
      <c r="N5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spans="1:14" x14ac:dyDescent="0.4">
      <c r="A57" s="81" t="str">
        <f>IF($N57="","",INDEX(Azioni!$A:$A,$N57)&amp;"")</f>
        <v/>
      </c>
      <c r="B57" s="81" t="str">
        <f>IF($N57="","",INDEX(Azioni!$B:$B,$N57)&amp;"")</f>
        <v/>
      </c>
      <c r="C57" s="81" t="str">
        <f>IF($N57="","",INDEX(Azioni!$C:$C,$N57)&amp;"")</f>
        <v/>
      </c>
      <c r="D57" s="82" t="str">
        <f>IF($N57="","",INDEX(Azioni!$D:$D,$N57)&amp;"")</f>
        <v/>
      </c>
      <c r="E57" s="81" t="str">
        <f>IF($N57="","",INDEX(Azioni!$E:$E,$N57)&amp;"")</f>
        <v/>
      </c>
      <c r="F57" s="81" t="str">
        <f>IF($N57="","",INDEX(Azioni!$F:$F,$N57)&amp;"")</f>
        <v/>
      </c>
      <c r="G57" s="81" t="str">
        <f>IF($N57="","",INDEX(Azioni!$I:$I,$N57)&amp;"")</f>
        <v/>
      </c>
      <c r="H57" s="83" t="str">
        <f>IF($N57="","",IF(INDEX(Azioni!$J:$J,$N57)="","",INDEX(Azioni!$J:$J,$N57)))</f>
        <v/>
      </c>
      <c r="I57" s="83" t="str">
        <f>IF(OR($N57="",H57=""),"",IF(OR(G57="Approvata",G57="In corso"),EDATE(H57,N(INDEX(Azioni!$G:$G,$N57))),""))</f>
        <v/>
      </c>
      <c r="J57" s="81" t="str">
        <f>IF($N57="","",INDEX(Azioni!$L:$L,$N57)&amp;"")</f>
        <v/>
      </c>
      <c r="N5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spans="1:14" x14ac:dyDescent="0.4">
      <c r="A58" s="81" t="str">
        <f>IF($N58="","",INDEX(Azioni!$A:$A,$N58)&amp;"")</f>
        <v/>
      </c>
      <c r="B58" s="81" t="str">
        <f>IF($N58="","",INDEX(Azioni!$B:$B,$N58)&amp;"")</f>
        <v/>
      </c>
      <c r="C58" s="81" t="str">
        <f>IF($N58="","",INDEX(Azioni!$C:$C,$N58)&amp;"")</f>
        <v/>
      </c>
      <c r="D58" s="82" t="str">
        <f>IF($N58="","",INDEX(Azioni!$D:$D,$N58)&amp;"")</f>
        <v/>
      </c>
      <c r="E58" s="81" t="str">
        <f>IF($N58="","",INDEX(Azioni!$E:$E,$N58)&amp;"")</f>
        <v/>
      </c>
      <c r="F58" s="81" t="str">
        <f>IF($N58="","",INDEX(Azioni!$F:$F,$N58)&amp;"")</f>
        <v/>
      </c>
      <c r="G58" s="81" t="str">
        <f>IF($N58="","",INDEX(Azioni!$I:$I,$N58)&amp;"")</f>
        <v/>
      </c>
      <c r="H58" s="83" t="str">
        <f>IF($N58="","",IF(INDEX(Azioni!$J:$J,$N58)="","",INDEX(Azioni!$J:$J,$N58)))</f>
        <v/>
      </c>
      <c r="I58" s="83" t="str">
        <f>IF(OR($N58="",H58=""),"",IF(OR(G58="Approvata",G58="In corso"),EDATE(H58,N(INDEX(Azioni!$G:$G,$N58))),""))</f>
        <v/>
      </c>
      <c r="J58" s="81" t="str">
        <f>IF($N58="","",INDEX(Azioni!$L:$L,$N58)&amp;"")</f>
        <v/>
      </c>
      <c r="N5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spans="1:14" x14ac:dyDescent="0.4">
      <c r="A59" s="81" t="str">
        <f>IF($N59="","",INDEX(Azioni!$A:$A,$N59)&amp;"")</f>
        <v/>
      </c>
      <c r="B59" s="81" t="str">
        <f>IF($N59="","",INDEX(Azioni!$B:$B,$N59)&amp;"")</f>
        <v/>
      </c>
      <c r="C59" s="81" t="str">
        <f>IF($N59="","",INDEX(Azioni!$C:$C,$N59)&amp;"")</f>
        <v/>
      </c>
      <c r="D59" s="82" t="str">
        <f>IF($N59="","",INDEX(Azioni!$D:$D,$N59)&amp;"")</f>
        <v/>
      </c>
      <c r="E59" s="81" t="str">
        <f>IF($N59="","",INDEX(Azioni!$E:$E,$N59)&amp;"")</f>
        <v/>
      </c>
      <c r="F59" s="81" t="str">
        <f>IF($N59="","",INDEX(Azioni!$F:$F,$N59)&amp;"")</f>
        <v/>
      </c>
      <c r="G59" s="81" t="str">
        <f>IF($N59="","",INDEX(Azioni!$I:$I,$N59)&amp;"")</f>
        <v/>
      </c>
      <c r="H59" s="83" t="str">
        <f>IF($N59="","",IF(INDEX(Azioni!$J:$J,$N59)="","",INDEX(Azioni!$J:$J,$N59)))</f>
        <v/>
      </c>
      <c r="I59" s="83" t="str">
        <f>IF(OR($N59="",H59=""),"",IF(OR(G59="Approvata",G59="In corso"),EDATE(H59,N(INDEX(Azioni!$G:$G,$N59))),""))</f>
        <v/>
      </c>
      <c r="J59" s="81" t="str">
        <f>IF($N59="","",INDEX(Azioni!$L:$L,$N59)&amp;"")</f>
        <v/>
      </c>
      <c r="N5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spans="1:14" x14ac:dyDescent="0.4">
      <c r="A60" s="81" t="str">
        <f>IF($N60="","",INDEX(Azioni!$A:$A,$N60)&amp;"")</f>
        <v/>
      </c>
      <c r="B60" s="81" t="str">
        <f>IF($N60="","",INDEX(Azioni!$B:$B,$N60)&amp;"")</f>
        <v/>
      </c>
      <c r="C60" s="81" t="str">
        <f>IF($N60="","",INDEX(Azioni!$C:$C,$N60)&amp;"")</f>
        <v/>
      </c>
      <c r="D60" s="82" t="str">
        <f>IF($N60="","",INDEX(Azioni!$D:$D,$N60)&amp;"")</f>
        <v/>
      </c>
      <c r="E60" s="81" t="str">
        <f>IF($N60="","",INDEX(Azioni!$E:$E,$N60)&amp;"")</f>
        <v/>
      </c>
      <c r="F60" s="81" t="str">
        <f>IF($N60="","",INDEX(Azioni!$F:$F,$N60)&amp;"")</f>
        <v/>
      </c>
      <c r="G60" s="81" t="str">
        <f>IF($N60="","",INDEX(Azioni!$I:$I,$N60)&amp;"")</f>
        <v/>
      </c>
      <c r="H60" s="83" t="str">
        <f>IF($N60="","",IF(INDEX(Azioni!$J:$J,$N60)="","",INDEX(Azioni!$J:$J,$N60)))</f>
        <v/>
      </c>
      <c r="I60" s="83" t="str">
        <f>IF(OR($N60="",H60=""),"",IF(OR(G60="Approvata",G60="In corso"),EDATE(H60,N(INDEX(Azioni!$G:$G,$N60))),""))</f>
        <v/>
      </c>
      <c r="J60" s="81" t="str">
        <f>IF($N60="","",INDEX(Azioni!$L:$L,$N60)&amp;"")</f>
        <v/>
      </c>
      <c r="N6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spans="1:14" x14ac:dyDescent="0.4">
      <c r="A61" s="81" t="str">
        <f>IF($N61="","",INDEX(Azioni!$A:$A,$N61)&amp;"")</f>
        <v/>
      </c>
      <c r="B61" s="81" t="str">
        <f>IF($N61="","",INDEX(Azioni!$B:$B,$N61)&amp;"")</f>
        <v/>
      </c>
      <c r="C61" s="81" t="str">
        <f>IF($N61="","",INDEX(Azioni!$C:$C,$N61)&amp;"")</f>
        <v/>
      </c>
      <c r="D61" s="82" t="str">
        <f>IF($N61="","",INDEX(Azioni!$D:$D,$N61)&amp;"")</f>
        <v/>
      </c>
      <c r="E61" s="81" t="str">
        <f>IF($N61="","",INDEX(Azioni!$E:$E,$N61)&amp;"")</f>
        <v/>
      </c>
      <c r="F61" s="81" t="str">
        <f>IF($N61="","",INDEX(Azioni!$F:$F,$N61)&amp;"")</f>
        <v/>
      </c>
      <c r="G61" s="81" t="str">
        <f>IF($N61="","",INDEX(Azioni!$I:$I,$N61)&amp;"")</f>
        <v/>
      </c>
      <c r="H61" s="83" t="str">
        <f>IF($N61="","",IF(INDEX(Azioni!$J:$J,$N61)="","",INDEX(Azioni!$J:$J,$N61)))</f>
        <v/>
      </c>
      <c r="I61" s="83" t="str">
        <f>IF(OR($N61="",H61=""),"",IF(OR(G61="Approvata",G61="In corso"),EDATE(H61,N(INDEX(Azioni!$G:$G,$N61))),""))</f>
        <v/>
      </c>
      <c r="J61" s="81" t="str">
        <f>IF($N61="","",INDEX(Azioni!$L:$L,$N61)&amp;"")</f>
        <v/>
      </c>
      <c r="N6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spans="1:14" x14ac:dyDescent="0.4">
      <c r="A62" s="81" t="str">
        <f>IF($N62="","",INDEX(Azioni!$A:$A,$N62)&amp;"")</f>
        <v/>
      </c>
      <c r="B62" s="81" t="str">
        <f>IF($N62="","",INDEX(Azioni!$B:$B,$N62)&amp;"")</f>
        <v/>
      </c>
      <c r="C62" s="81" t="str">
        <f>IF($N62="","",INDEX(Azioni!$C:$C,$N62)&amp;"")</f>
        <v/>
      </c>
      <c r="D62" s="82" t="str">
        <f>IF($N62="","",INDEX(Azioni!$D:$D,$N62)&amp;"")</f>
        <v/>
      </c>
      <c r="E62" s="81" t="str">
        <f>IF($N62="","",INDEX(Azioni!$E:$E,$N62)&amp;"")</f>
        <v/>
      </c>
      <c r="F62" s="81" t="str">
        <f>IF($N62="","",INDEX(Azioni!$F:$F,$N62)&amp;"")</f>
        <v/>
      </c>
      <c r="G62" s="81" t="str">
        <f>IF($N62="","",INDEX(Azioni!$I:$I,$N62)&amp;"")</f>
        <v/>
      </c>
      <c r="H62" s="83" t="str">
        <f>IF($N62="","",IF(INDEX(Azioni!$J:$J,$N62)="","",INDEX(Azioni!$J:$J,$N62)))</f>
        <v/>
      </c>
      <c r="I62" s="83" t="str">
        <f>IF(OR($N62="",H62=""),"",IF(OR(G62="Approvata",G62="In corso"),EDATE(H62,N(INDEX(Azioni!$G:$G,$N62))),""))</f>
        <v/>
      </c>
      <c r="J62" s="81" t="str">
        <f>IF($N62="","",INDEX(Azioni!$L:$L,$N62)&amp;"")</f>
        <v/>
      </c>
      <c r="N6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spans="1:14" x14ac:dyDescent="0.4">
      <c r="A63" s="81" t="str">
        <f>IF($N63="","",INDEX(Azioni!$A:$A,$N63)&amp;"")</f>
        <v/>
      </c>
      <c r="B63" s="81" t="str">
        <f>IF($N63="","",INDEX(Azioni!$B:$B,$N63)&amp;"")</f>
        <v/>
      </c>
      <c r="C63" s="81" t="str">
        <f>IF($N63="","",INDEX(Azioni!$C:$C,$N63)&amp;"")</f>
        <v/>
      </c>
      <c r="D63" s="82" t="str">
        <f>IF($N63="","",INDEX(Azioni!$D:$D,$N63)&amp;"")</f>
        <v/>
      </c>
      <c r="E63" s="81" t="str">
        <f>IF($N63="","",INDEX(Azioni!$E:$E,$N63)&amp;"")</f>
        <v/>
      </c>
      <c r="F63" s="81" t="str">
        <f>IF($N63="","",INDEX(Azioni!$F:$F,$N63)&amp;"")</f>
        <v/>
      </c>
      <c r="G63" s="81" t="str">
        <f>IF($N63="","",INDEX(Azioni!$I:$I,$N63)&amp;"")</f>
        <v/>
      </c>
      <c r="H63" s="83" t="str">
        <f>IF($N63="","",IF(INDEX(Azioni!$J:$J,$N63)="","",INDEX(Azioni!$J:$J,$N63)))</f>
        <v/>
      </c>
      <c r="I63" s="83" t="str">
        <f>IF(OR($N63="",H63=""),"",IF(OR(G63="Approvata",G63="In corso"),EDATE(H63,N(INDEX(Azioni!$G:$G,$N63))),""))</f>
        <v/>
      </c>
      <c r="J63" s="81" t="str">
        <f>IF($N63="","",INDEX(Azioni!$L:$L,$N63)&amp;"")</f>
        <v/>
      </c>
      <c r="N6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spans="1:14" x14ac:dyDescent="0.4">
      <c r="A64" s="81" t="str">
        <f>IF($N64="","",INDEX(Azioni!$A:$A,$N64)&amp;"")</f>
        <v/>
      </c>
      <c r="B64" s="81" t="str">
        <f>IF($N64="","",INDEX(Azioni!$B:$B,$N64)&amp;"")</f>
        <v/>
      </c>
      <c r="C64" s="81" t="str">
        <f>IF($N64="","",INDEX(Azioni!$C:$C,$N64)&amp;"")</f>
        <v/>
      </c>
      <c r="D64" s="82" t="str">
        <f>IF($N64="","",INDEX(Azioni!$D:$D,$N64)&amp;"")</f>
        <v/>
      </c>
      <c r="E64" s="81" t="str">
        <f>IF($N64="","",INDEX(Azioni!$E:$E,$N64)&amp;"")</f>
        <v/>
      </c>
      <c r="F64" s="81" t="str">
        <f>IF($N64="","",INDEX(Azioni!$F:$F,$N64)&amp;"")</f>
        <v/>
      </c>
      <c r="G64" s="81" t="str">
        <f>IF($N64="","",INDEX(Azioni!$I:$I,$N64)&amp;"")</f>
        <v/>
      </c>
      <c r="H64" s="83" t="str">
        <f>IF($N64="","",IF(INDEX(Azioni!$J:$J,$N64)="","",INDEX(Azioni!$J:$J,$N64)))</f>
        <v/>
      </c>
      <c r="I64" s="83" t="str">
        <f>IF(OR($N64="",H64=""),"",IF(OR(G64="Approvata",G64="In corso"),EDATE(H64,N(INDEX(Azioni!$G:$G,$N64))),""))</f>
        <v/>
      </c>
      <c r="J64" s="81" t="str">
        <f>IF($N64="","",INDEX(Azioni!$L:$L,$N64)&amp;"")</f>
        <v/>
      </c>
      <c r="N6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spans="1:14" x14ac:dyDescent="0.4">
      <c r="A65" s="81" t="str">
        <f>IF($N65="","",INDEX(Azioni!$A:$A,$N65)&amp;"")</f>
        <v/>
      </c>
      <c r="B65" s="81" t="str">
        <f>IF($N65="","",INDEX(Azioni!$B:$B,$N65)&amp;"")</f>
        <v/>
      </c>
      <c r="C65" s="81" t="str">
        <f>IF($N65="","",INDEX(Azioni!$C:$C,$N65)&amp;"")</f>
        <v/>
      </c>
      <c r="D65" s="82" t="str">
        <f>IF($N65="","",INDEX(Azioni!$D:$D,$N65)&amp;"")</f>
        <v/>
      </c>
      <c r="E65" s="81" t="str">
        <f>IF($N65="","",INDEX(Azioni!$E:$E,$N65)&amp;"")</f>
        <v/>
      </c>
      <c r="F65" s="81" t="str">
        <f>IF($N65="","",INDEX(Azioni!$F:$F,$N65)&amp;"")</f>
        <v/>
      </c>
      <c r="G65" s="81" t="str">
        <f>IF($N65="","",INDEX(Azioni!$I:$I,$N65)&amp;"")</f>
        <v/>
      </c>
      <c r="H65" s="83" t="str">
        <f>IF($N65="","",IF(INDEX(Azioni!$J:$J,$N65)="","",INDEX(Azioni!$J:$J,$N65)))</f>
        <v/>
      </c>
      <c r="I65" s="83" t="str">
        <f>IF(OR($N65="",H65=""),"",IF(OR(G65="Approvata",G65="In corso"),EDATE(H65,N(INDEX(Azioni!$G:$G,$N65))),""))</f>
        <v/>
      </c>
      <c r="J65" s="81" t="str">
        <f>IF($N65="","",INDEX(Azioni!$L:$L,$N65)&amp;"")</f>
        <v/>
      </c>
      <c r="N6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spans="1:14" x14ac:dyDescent="0.4">
      <c r="A66" s="81" t="str">
        <f>IF($N66="","",INDEX(Azioni!$A:$A,$N66)&amp;"")</f>
        <v/>
      </c>
      <c r="B66" s="81" t="str">
        <f>IF($N66="","",INDEX(Azioni!$B:$B,$N66)&amp;"")</f>
        <v/>
      </c>
      <c r="C66" s="81" t="str">
        <f>IF($N66="","",INDEX(Azioni!$C:$C,$N66)&amp;"")</f>
        <v/>
      </c>
      <c r="D66" s="82" t="str">
        <f>IF($N66="","",INDEX(Azioni!$D:$D,$N66)&amp;"")</f>
        <v/>
      </c>
      <c r="E66" s="81" t="str">
        <f>IF($N66="","",INDEX(Azioni!$E:$E,$N66)&amp;"")</f>
        <v/>
      </c>
      <c r="F66" s="81" t="str">
        <f>IF($N66="","",INDEX(Azioni!$F:$F,$N66)&amp;"")</f>
        <v/>
      </c>
      <c r="G66" s="81" t="str">
        <f>IF($N66="","",INDEX(Azioni!$I:$I,$N66)&amp;"")</f>
        <v/>
      </c>
      <c r="H66" s="83" t="str">
        <f>IF($N66="","",IF(INDEX(Azioni!$J:$J,$N66)="","",INDEX(Azioni!$J:$J,$N66)))</f>
        <v/>
      </c>
      <c r="I66" s="83" t="str">
        <f>IF(OR($N66="",H66=""),"",IF(OR(G66="Approvata",G66="In corso"),EDATE(H66,N(INDEX(Azioni!$G:$G,$N66))),""))</f>
        <v/>
      </c>
      <c r="J66" s="81" t="str">
        <f>IF($N66="","",INDEX(Azioni!$L:$L,$N66)&amp;"")</f>
        <v/>
      </c>
      <c r="N6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spans="1:14" x14ac:dyDescent="0.4">
      <c r="A67" s="81" t="str">
        <f>IF($N67="","",INDEX(Azioni!$A:$A,$N67)&amp;"")</f>
        <v/>
      </c>
      <c r="B67" s="81" t="str">
        <f>IF($N67="","",INDEX(Azioni!$B:$B,$N67)&amp;"")</f>
        <v/>
      </c>
      <c r="C67" s="81" t="str">
        <f>IF($N67="","",INDEX(Azioni!$C:$C,$N67)&amp;"")</f>
        <v/>
      </c>
      <c r="D67" s="82" t="str">
        <f>IF($N67="","",INDEX(Azioni!$D:$D,$N67)&amp;"")</f>
        <v/>
      </c>
      <c r="E67" s="81" t="str">
        <f>IF($N67="","",INDEX(Azioni!$E:$E,$N67)&amp;"")</f>
        <v/>
      </c>
      <c r="F67" s="81" t="str">
        <f>IF($N67="","",INDEX(Azioni!$F:$F,$N67)&amp;"")</f>
        <v/>
      </c>
      <c r="G67" s="81" t="str">
        <f>IF($N67="","",INDEX(Azioni!$I:$I,$N67)&amp;"")</f>
        <v/>
      </c>
      <c r="H67" s="83" t="str">
        <f>IF($N67="","",IF(INDEX(Azioni!$J:$J,$N67)="","",INDEX(Azioni!$J:$J,$N67)))</f>
        <v/>
      </c>
      <c r="I67" s="83" t="str">
        <f>IF(OR($N67="",H67=""),"",IF(OR(G67="Approvata",G67="In corso"),EDATE(H67,N(INDEX(Azioni!$G:$G,$N67))),""))</f>
        <v/>
      </c>
      <c r="J67" s="81" t="str">
        <f>IF($N67="","",INDEX(Azioni!$L:$L,$N67)&amp;"")</f>
        <v/>
      </c>
      <c r="N6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spans="1:14" x14ac:dyDescent="0.4">
      <c r="A68" s="81" t="str">
        <f>IF($N68="","",INDEX(Azioni!$A:$A,$N68)&amp;"")</f>
        <v/>
      </c>
      <c r="B68" s="81" t="str">
        <f>IF($N68="","",INDEX(Azioni!$B:$B,$N68)&amp;"")</f>
        <v/>
      </c>
      <c r="C68" s="81" t="str">
        <f>IF($N68="","",INDEX(Azioni!$C:$C,$N68)&amp;"")</f>
        <v/>
      </c>
      <c r="D68" s="82" t="str">
        <f>IF($N68="","",INDEX(Azioni!$D:$D,$N68)&amp;"")</f>
        <v/>
      </c>
      <c r="E68" s="81" t="str">
        <f>IF($N68="","",INDEX(Azioni!$E:$E,$N68)&amp;"")</f>
        <v/>
      </c>
      <c r="F68" s="81" t="str">
        <f>IF($N68="","",INDEX(Azioni!$F:$F,$N68)&amp;"")</f>
        <v/>
      </c>
      <c r="G68" s="81" t="str">
        <f>IF($N68="","",INDEX(Azioni!$I:$I,$N68)&amp;"")</f>
        <v/>
      </c>
      <c r="H68" s="83" t="str">
        <f>IF($N68="","",IF(INDEX(Azioni!$J:$J,$N68)="","",INDEX(Azioni!$J:$J,$N68)))</f>
        <v/>
      </c>
      <c r="I68" s="83" t="str">
        <f>IF(OR($N68="",H68=""),"",IF(OR(G68="Approvata",G68="In corso"),EDATE(H68,N(INDEX(Azioni!$G:$G,$N68))),""))</f>
        <v/>
      </c>
      <c r="J68" s="81" t="str">
        <f>IF($N68="","",INDEX(Azioni!$L:$L,$N68)&amp;"")</f>
        <v/>
      </c>
      <c r="N6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spans="1:14" x14ac:dyDescent="0.4">
      <c r="A69" s="81" t="str">
        <f>IF($N69="","",INDEX(Azioni!$A:$A,$N69)&amp;"")</f>
        <v/>
      </c>
      <c r="B69" s="81" t="str">
        <f>IF($N69="","",INDEX(Azioni!$B:$B,$N69)&amp;"")</f>
        <v/>
      </c>
      <c r="C69" s="81" t="str">
        <f>IF($N69="","",INDEX(Azioni!$C:$C,$N69)&amp;"")</f>
        <v/>
      </c>
      <c r="D69" s="82" t="str">
        <f>IF($N69="","",INDEX(Azioni!$D:$D,$N69)&amp;"")</f>
        <v/>
      </c>
      <c r="E69" s="81" t="str">
        <f>IF($N69="","",INDEX(Azioni!$E:$E,$N69)&amp;"")</f>
        <v/>
      </c>
      <c r="F69" s="81" t="str">
        <f>IF($N69="","",INDEX(Azioni!$F:$F,$N69)&amp;"")</f>
        <v/>
      </c>
      <c r="G69" s="81" t="str">
        <f>IF($N69="","",INDEX(Azioni!$I:$I,$N69)&amp;"")</f>
        <v/>
      </c>
      <c r="H69" s="83" t="str">
        <f>IF($N69="","",IF(INDEX(Azioni!$J:$J,$N69)="","",INDEX(Azioni!$J:$J,$N69)))</f>
        <v/>
      </c>
      <c r="I69" s="83" t="str">
        <f>IF(OR($N69="",H69=""),"",IF(OR(G69="Approvata",G69="In corso"),EDATE(H69,N(INDEX(Azioni!$G:$G,$N69))),""))</f>
        <v/>
      </c>
      <c r="J69" s="81" t="str">
        <f>IF($N69="","",INDEX(Azioni!$L:$L,$N69)&amp;"")</f>
        <v/>
      </c>
      <c r="N6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spans="1:14" x14ac:dyDescent="0.4">
      <c r="A70" s="81" t="str">
        <f>IF($N70="","",INDEX(Azioni!$A:$A,$N70)&amp;"")</f>
        <v/>
      </c>
      <c r="B70" s="81" t="str">
        <f>IF($N70="","",INDEX(Azioni!$B:$B,$N70)&amp;"")</f>
        <v/>
      </c>
      <c r="C70" s="81" t="str">
        <f>IF($N70="","",INDEX(Azioni!$C:$C,$N70)&amp;"")</f>
        <v/>
      </c>
      <c r="D70" s="82" t="str">
        <f>IF($N70="","",INDEX(Azioni!$D:$D,$N70)&amp;"")</f>
        <v/>
      </c>
      <c r="E70" s="81" t="str">
        <f>IF($N70="","",INDEX(Azioni!$E:$E,$N70)&amp;"")</f>
        <v/>
      </c>
      <c r="F70" s="81" t="str">
        <f>IF($N70="","",INDEX(Azioni!$F:$F,$N70)&amp;"")</f>
        <v/>
      </c>
      <c r="G70" s="81" t="str">
        <f>IF($N70="","",INDEX(Azioni!$I:$I,$N70)&amp;"")</f>
        <v/>
      </c>
      <c r="H70" s="83" t="str">
        <f>IF($N70="","",IF(INDEX(Azioni!$J:$J,$N70)="","",INDEX(Azioni!$J:$J,$N70)))</f>
        <v/>
      </c>
      <c r="I70" s="83" t="str">
        <f>IF(OR($N70="",H70=""),"",IF(OR(G70="Approvata",G70="In corso"),EDATE(H70,N(INDEX(Azioni!$G:$G,$N70))),""))</f>
        <v/>
      </c>
      <c r="J70" s="81" t="str">
        <f>IF($N70="","",INDEX(Azioni!$L:$L,$N70)&amp;"")</f>
        <v/>
      </c>
      <c r="N7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spans="1:14" x14ac:dyDescent="0.4">
      <c r="A71" s="81" t="str">
        <f>IF($N71="","",INDEX(Azioni!$A:$A,$N71)&amp;"")</f>
        <v/>
      </c>
      <c r="B71" s="81" t="str">
        <f>IF($N71="","",INDEX(Azioni!$B:$B,$N71)&amp;"")</f>
        <v/>
      </c>
      <c r="C71" s="81" t="str">
        <f>IF($N71="","",INDEX(Azioni!$C:$C,$N71)&amp;"")</f>
        <v/>
      </c>
      <c r="D71" s="82" t="str">
        <f>IF($N71="","",INDEX(Azioni!$D:$D,$N71)&amp;"")</f>
        <v/>
      </c>
      <c r="E71" s="81" t="str">
        <f>IF($N71="","",INDEX(Azioni!$E:$E,$N71)&amp;"")</f>
        <v/>
      </c>
      <c r="F71" s="81" t="str">
        <f>IF($N71="","",INDEX(Azioni!$F:$F,$N71)&amp;"")</f>
        <v/>
      </c>
      <c r="G71" s="81" t="str">
        <f>IF($N71="","",INDEX(Azioni!$I:$I,$N71)&amp;"")</f>
        <v/>
      </c>
      <c r="H71" s="83" t="str">
        <f>IF($N71="","",IF(INDEX(Azioni!$J:$J,$N71)="","",INDEX(Azioni!$J:$J,$N71)))</f>
        <v/>
      </c>
      <c r="I71" s="83" t="str">
        <f>IF(OR($N71="",H71=""),"",IF(OR(G71="Approvata",G71="In corso"),EDATE(H71,N(INDEX(Azioni!$G:$G,$N71))),""))</f>
        <v/>
      </c>
      <c r="J71" s="81" t="str">
        <f>IF($N71="","",INDEX(Azioni!$L:$L,$N71)&amp;"")</f>
        <v/>
      </c>
      <c r="N7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spans="1:14" x14ac:dyDescent="0.4">
      <c r="A72" s="81" t="str">
        <f>IF($N72="","",INDEX(Azioni!$A:$A,$N72)&amp;"")</f>
        <v/>
      </c>
      <c r="B72" s="81" t="str">
        <f>IF($N72="","",INDEX(Azioni!$B:$B,$N72)&amp;"")</f>
        <v/>
      </c>
      <c r="C72" s="81" t="str">
        <f>IF($N72="","",INDEX(Azioni!$C:$C,$N72)&amp;"")</f>
        <v/>
      </c>
      <c r="D72" s="82" t="str">
        <f>IF($N72="","",INDEX(Azioni!$D:$D,$N72)&amp;"")</f>
        <v/>
      </c>
      <c r="E72" s="81" t="str">
        <f>IF($N72="","",INDEX(Azioni!$E:$E,$N72)&amp;"")</f>
        <v/>
      </c>
      <c r="F72" s="81" t="str">
        <f>IF($N72="","",INDEX(Azioni!$F:$F,$N72)&amp;"")</f>
        <v/>
      </c>
      <c r="G72" s="81" t="str">
        <f>IF($N72="","",INDEX(Azioni!$I:$I,$N72)&amp;"")</f>
        <v/>
      </c>
      <c r="H72" s="83" t="str">
        <f>IF($N72="","",IF(INDEX(Azioni!$J:$J,$N72)="","",INDEX(Azioni!$J:$J,$N72)))</f>
        <v/>
      </c>
      <c r="I72" s="83" t="str">
        <f>IF(OR($N72="",H72=""),"",IF(OR(G72="Approvata",G72="In corso"),EDATE(H72,N(INDEX(Azioni!$G:$G,$N72))),""))</f>
        <v/>
      </c>
      <c r="J72" s="81" t="str">
        <f>IF($N72="","",INDEX(Azioni!$L:$L,$N72)&amp;"")</f>
        <v/>
      </c>
      <c r="N7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spans="1:14" x14ac:dyDescent="0.4">
      <c r="A73" s="81" t="str">
        <f>IF($N73="","",INDEX(Azioni!$A:$A,$N73)&amp;"")</f>
        <v/>
      </c>
      <c r="B73" s="81" t="str">
        <f>IF($N73="","",INDEX(Azioni!$B:$B,$N73)&amp;"")</f>
        <v/>
      </c>
      <c r="C73" s="81" t="str">
        <f>IF($N73="","",INDEX(Azioni!$C:$C,$N73)&amp;"")</f>
        <v/>
      </c>
      <c r="D73" s="82" t="str">
        <f>IF($N73="","",INDEX(Azioni!$D:$D,$N73)&amp;"")</f>
        <v/>
      </c>
      <c r="E73" s="81" t="str">
        <f>IF($N73="","",INDEX(Azioni!$E:$E,$N73)&amp;"")</f>
        <v/>
      </c>
      <c r="F73" s="81" t="str">
        <f>IF($N73="","",INDEX(Azioni!$F:$F,$N73)&amp;"")</f>
        <v/>
      </c>
      <c r="G73" s="81" t="str">
        <f>IF($N73="","",INDEX(Azioni!$I:$I,$N73)&amp;"")</f>
        <v/>
      </c>
      <c r="H73" s="83" t="str">
        <f>IF($N73="","",IF(INDEX(Azioni!$J:$J,$N73)="","",INDEX(Azioni!$J:$J,$N73)))</f>
        <v/>
      </c>
      <c r="I73" s="83" t="str">
        <f>IF(OR($N73="",H73=""),"",IF(OR(G73="Approvata",G73="In corso"),EDATE(H73,N(INDEX(Azioni!$G:$G,$N73))),""))</f>
        <v/>
      </c>
      <c r="J73" s="81" t="str">
        <f>IF($N73="","",INDEX(Azioni!$L:$L,$N73)&amp;"")</f>
        <v/>
      </c>
      <c r="N7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spans="1:14" x14ac:dyDescent="0.4">
      <c r="A74" s="81" t="str">
        <f>IF($N74="","",INDEX(Azioni!$A:$A,$N74)&amp;"")</f>
        <v/>
      </c>
      <c r="B74" s="81" t="str">
        <f>IF($N74="","",INDEX(Azioni!$B:$B,$N74)&amp;"")</f>
        <v/>
      </c>
      <c r="C74" s="81" t="str">
        <f>IF($N74="","",INDEX(Azioni!$C:$C,$N74)&amp;"")</f>
        <v/>
      </c>
      <c r="D74" s="82" t="str">
        <f>IF($N74="","",INDEX(Azioni!$D:$D,$N74)&amp;"")</f>
        <v/>
      </c>
      <c r="E74" s="81" t="str">
        <f>IF($N74="","",INDEX(Azioni!$E:$E,$N74)&amp;"")</f>
        <v/>
      </c>
      <c r="F74" s="81" t="str">
        <f>IF($N74="","",INDEX(Azioni!$F:$F,$N74)&amp;"")</f>
        <v/>
      </c>
      <c r="G74" s="81" t="str">
        <f>IF($N74="","",INDEX(Azioni!$I:$I,$N74)&amp;"")</f>
        <v/>
      </c>
      <c r="H74" s="83" t="str">
        <f>IF($N74="","",IF(INDEX(Azioni!$J:$J,$N74)="","",INDEX(Azioni!$J:$J,$N74)))</f>
        <v/>
      </c>
      <c r="I74" s="83" t="str">
        <f>IF(OR($N74="",H74=""),"",IF(OR(G74="Approvata",G74="In corso"),EDATE(H74,N(INDEX(Azioni!$G:$G,$N74))),""))</f>
        <v/>
      </c>
      <c r="J74" s="81" t="str">
        <f>IF($N74="","",INDEX(Azioni!$L:$L,$N74)&amp;"")</f>
        <v/>
      </c>
      <c r="N7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spans="1:14" x14ac:dyDescent="0.4">
      <c r="A75" s="81" t="str">
        <f>IF($N75="","",INDEX(Azioni!$A:$A,$N75)&amp;"")</f>
        <v/>
      </c>
      <c r="B75" s="81" t="str">
        <f>IF($N75="","",INDEX(Azioni!$B:$B,$N75)&amp;"")</f>
        <v/>
      </c>
      <c r="C75" s="81" t="str">
        <f>IF($N75="","",INDEX(Azioni!$C:$C,$N75)&amp;"")</f>
        <v/>
      </c>
      <c r="D75" s="82" t="str">
        <f>IF($N75="","",INDEX(Azioni!$D:$D,$N75)&amp;"")</f>
        <v/>
      </c>
      <c r="E75" s="81" t="str">
        <f>IF($N75="","",INDEX(Azioni!$E:$E,$N75)&amp;"")</f>
        <v/>
      </c>
      <c r="F75" s="81" t="str">
        <f>IF($N75="","",INDEX(Azioni!$F:$F,$N75)&amp;"")</f>
        <v/>
      </c>
      <c r="G75" s="81" t="str">
        <f>IF($N75="","",INDEX(Azioni!$I:$I,$N75)&amp;"")</f>
        <v/>
      </c>
      <c r="H75" s="83" t="str">
        <f>IF($N75="","",IF(INDEX(Azioni!$J:$J,$N75)="","",INDEX(Azioni!$J:$J,$N75)))</f>
        <v/>
      </c>
      <c r="I75" s="83" t="str">
        <f>IF(OR($N75="",H75=""),"",IF(OR(G75="Approvata",G75="In corso"),EDATE(H75,N(INDEX(Azioni!$G:$G,$N75))),""))</f>
        <v/>
      </c>
      <c r="J75" s="81" t="str">
        <f>IF($N75="","",INDEX(Azioni!$L:$L,$N75)&amp;"")</f>
        <v/>
      </c>
      <c r="N7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spans="1:14" x14ac:dyDescent="0.4">
      <c r="A76" s="81" t="str">
        <f>IF($N76="","",INDEX(Azioni!$A:$A,$N76)&amp;"")</f>
        <v/>
      </c>
      <c r="B76" s="81" t="str">
        <f>IF($N76="","",INDEX(Azioni!$B:$B,$N76)&amp;"")</f>
        <v/>
      </c>
      <c r="C76" s="81" t="str">
        <f>IF($N76="","",INDEX(Azioni!$C:$C,$N76)&amp;"")</f>
        <v/>
      </c>
      <c r="D76" s="82" t="str">
        <f>IF($N76="","",INDEX(Azioni!$D:$D,$N76)&amp;"")</f>
        <v/>
      </c>
      <c r="E76" s="81" t="str">
        <f>IF($N76="","",INDEX(Azioni!$E:$E,$N76)&amp;"")</f>
        <v/>
      </c>
      <c r="F76" s="81" t="str">
        <f>IF($N76="","",INDEX(Azioni!$F:$F,$N76)&amp;"")</f>
        <v/>
      </c>
      <c r="G76" s="81" t="str">
        <f>IF($N76="","",INDEX(Azioni!$I:$I,$N76)&amp;"")</f>
        <v/>
      </c>
      <c r="H76" s="83" t="str">
        <f>IF($N76="","",IF(INDEX(Azioni!$J:$J,$N76)="","",INDEX(Azioni!$J:$J,$N76)))</f>
        <v/>
      </c>
      <c r="I76" s="83" t="str">
        <f>IF(OR($N76="",H76=""),"",IF(OR(G76="Approvata",G76="In corso"),EDATE(H76,N(INDEX(Azioni!$G:$G,$N76))),""))</f>
        <v/>
      </c>
      <c r="J76" s="81" t="str">
        <f>IF($N76="","",INDEX(Azioni!$L:$L,$N76)&amp;"")</f>
        <v/>
      </c>
      <c r="N7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spans="1:14" x14ac:dyDescent="0.4">
      <c r="A77" s="81" t="str">
        <f>IF($N77="","",INDEX(Azioni!$A:$A,$N77)&amp;"")</f>
        <v/>
      </c>
      <c r="B77" s="81" t="str">
        <f>IF($N77="","",INDEX(Azioni!$B:$B,$N77)&amp;"")</f>
        <v/>
      </c>
      <c r="C77" s="81" t="str">
        <f>IF($N77="","",INDEX(Azioni!$C:$C,$N77)&amp;"")</f>
        <v/>
      </c>
      <c r="D77" s="82" t="str">
        <f>IF($N77="","",INDEX(Azioni!$D:$D,$N77)&amp;"")</f>
        <v/>
      </c>
      <c r="E77" s="81" t="str">
        <f>IF($N77="","",INDEX(Azioni!$E:$E,$N77)&amp;"")</f>
        <v/>
      </c>
      <c r="F77" s="81" t="str">
        <f>IF($N77="","",INDEX(Azioni!$F:$F,$N77)&amp;"")</f>
        <v/>
      </c>
      <c r="G77" s="81" t="str">
        <f>IF($N77="","",INDEX(Azioni!$I:$I,$N77)&amp;"")</f>
        <v/>
      </c>
      <c r="H77" s="83" t="str">
        <f>IF($N77="","",IF(INDEX(Azioni!$J:$J,$N77)="","",INDEX(Azioni!$J:$J,$N77)))</f>
        <v/>
      </c>
      <c r="I77" s="83" t="str">
        <f>IF(OR($N77="",H77=""),"",IF(OR(G77="Approvata",G77="In corso"),EDATE(H77,N(INDEX(Azioni!$G:$G,$N77))),""))</f>
        <v/>
      </c>
      <c r="J77" s="81" t="str">
        <f>IF($N77="","",INDEX(Azioni!$L:$L,$N77)&amp;"")</f>
        <v/>
      </c>
      <c r="N7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spans="1:14" x14ac:dyDescent="0.4">
      <c r="A78" s="81" t="str">
        <f>IF($N78="","",INDEX(Azioni!$A:$A,$N78)&amp;"")</f>
        <v/>
      </c>
      <c r="B78" s="81" t="str">
        <f>IF($N78="","",INDEX(Azioni!$B:$B,$N78)&amp;"")</f>
        <v/>
      </c>
      <c r="C78" s="81" t="str">
        <f>IF($N78="","",INDEX(Azioni!$C:$C,$N78)&amp;"")</f>
        <v/>
      </c>
      <c r="D78" s="82" t="str">
        <f>IF($N78="","",INDEX(Azioni!$D:$D,$N78)&amp;"")</f>
        <v/>
      </c>
      <c r="E78" s="81" t="str">
        <f>IF($N78="","",INDEX(Azioni!$E:$E,$N78)&amp;"")</f>
        <v/>
      </c>
      <c r="F78" s="81" t="str">
        <f>IF($N78="","",INDEX(Azioni!$F:$F,$N78)&amp;"")</f>
        <v/>
      </c>
      <c r="G78" s="81" t="str">
        <f>IF($N78="","",INDEX(Azioni!$I:$I,$N78)&amp;"")</f>
        <v/>
      </c>
      <c r="H78" s="83" t="str">
        <f>IF($N78="","",IF(INDEX(Azioni!$J:$J,$N78)="","",INDEX(Azioni!$J:$J,$N78)))</f>
        <v/>
      </c>
      <c r="I78" s="83" t="str">
        <f>IF(OR($N78="",H78=""),"",IF(OR(G78="Approvata",G78="In corso"),EDATE(H78,N(INDEX(Azioni!$G:$G,$N78))),""))</f>
        <v/>
      </c>
      <c r="J78" s="81" t="str">
        <f>IF($N78="","",INDEX(Azioni!$L:$L,$N78)&amp;"")</f>
        <v/>
      </c>
      <c r="N7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spans="1:14" x14ac:dyDescent="0.4">
      <c r="A79" s="81" t="str">
        <f>IF($N79="","",INDEX(Azioni!$A:$A,$N79)&amp;"")</f>
        <v/>
      </c>
      <c r="B79" s="81" t="str">
        <f>IF($N79="","",INDEX(Azioni!$B:$B,$N79)&amp;"")</f>
        <v/>
      </c>
      <c r="C79" s="81" t="str">
        <f>IF($N79="","",INDEX(Azioni!$C:$C,$N79)&amp;"")</f>
        <v/>
      </c>
      <c r="D79" s="82" t="str">
        <f>IF($N79="","",INDEX(Azioni!$D:$D,$N79)&amp;"")</f>
        <v/>
      </c>
      <c r="E79" s="81" t="str">
        <f>IF($N79="","",INDEX(Azioni!$E:$E,$N79)&amp;"")</f>
        <v/>
      </c>
      <c r="F79" s="81" t="str">
        <f>IF($N79="","",INDEX(Azioni!$F:$F,$N79)&amp;"")</f>
        <v/>
      </c>
      <c r="G79" s="81" t="str">
        <f>IF($N79="","",INDEX(Azioni!$I:$I,$N79)&amp;"")</f>
        <v/>
      </c>
      <c r="H79" s="83" t="str">
        <f>IF($N79="","",IF(INDEX(Azioni!$J:$J,$N79)="","",INDEX(Azioni!$J:$J,$N79)))</f>
        <v/>
      </c>
      <c r="I79" s="83" t="str">
        <f>IF(OR($N79="",H79=""),"",IF(OR(G79="Approvata",G79="In corso"),EDATE(H79,N(INDEX(Azioni!$G:$G,$N79))),""))</f>
        <v/>
      </c>
      <c r="J79" s="81" t="str">
        <f>IF($N79="","",INDEX(Azioni!$L:$L,$N79)&amp;"")</f>
        <v/>
      </c>
      <c r="N7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spans="1:14" x14ac:dyDescent="0.4">
      <c r="A80" s="81" t="str">
        <f>IF($N80="","",INDEX(Azioni!$A:$A,$N80)&amp;"")</f>
        <v/>
      </c>
      <c r="B80" s="81" t="str">
        <f>IF($N80="","",INDEX(Azioni!$B:$B,$N80)&amp;"")</f>
        <v/>
      </c>
      <c r="C80" s="81" t="str">
        <f>IF($N80="","",INDEX(Azioni!$C:$C,$N80)&amp;"")</f>
        <v/>
      </c>
      <c r="D80" s="82" t="str">
        <f>IF($N80="","",INDEX(Azioni!$D:$D,$N80)&amp;"")</f>
        <v/>
      </c>
      <c r="E80" s="81" t="str">
        <f>IF($N80="","",INDEX(Azioni!$E:$E,$N80)&amp;"")</f>
        <v/>
      </c>
      <c r="F80" s="81" t="str">
        <f>IF($N80="","",INDEX(Azioni!$F:$F,$N80)&amp;"")</f>
        <v/>
      </c>
      <c r="G80" s="81" t="str">
        <f>IF($N80="","",INDEX(Azioni!$I:$I,$N80)&amp;"")</f>
        <v/>
      </c>
      <c r="H80" s="83" t="str">
        <f>IF($N80="","",IF(INDEX(Azioni!$J:$J,$N80)="","",INDEX(Azioni!$J:$J,$N80)))</f>
        <v/>
      </c>
      <c r="I80" s="83" t="str">
        <f>IF(OR($N80="",H80=""),"",IF(OR(G80="Approvata",G80="In corso"),EDATE(H80,N(INDEX(Azioni!$G:$G,$N80))),""))</f>
        <v/>
      </c>
      <c r="J80" s="81" t="str">
        <f>IF($N80="","",INDEX(Azioni!$L:$L,$N80)&amp;"")</f>
        <v/>
      </c>
      <c r="N8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spans="1:14" x14ac:dyDescent="0.4">
      <c r="A81" s="81" t="str">
        <f>IF($N81="","",INDEX(Azioni!$A:$A,$N81)&amp;"")</f>
        <v/>
      </c>
      <c r="B81" s="81" t="str">
        <f>IF($N81="","",INDEX(Azioni!$B:$B,$N81)&amp;"")</f>
        <v/>
      </c>
      <c r="C81" s="81" t="str">
        <f>IF($N81="","",INDEX(Azioni!$C:$C,$N81)&amp;"")</f>
        <v/>
      </c>
      <c r="D81" s="82" t="str">
        <f>IF($N81="","",INDEX(Azioni!$D:$D,$N81)&amp;"")</f>
        <v/>
      </c>
      <c r="E81" s="81" t="str">
        <f>IF($N81="","",INDEX(Azioni!$E:$E,$N81)&amp;"")</f>
        <v/>
      </c>
      <c r="F81" s="81" t="str">
        <f>IF($N81="","",INDEX(Azioni!$F:$F,$N81)&amp;"")</f>
        <v/>
      </c>
      <c r="G81" s="81" t="str">
        <f>IF($N81="","",INDEX(Azioni!$I:$I,$N81)&amp;"")</f>
        <v/>
      </c>
      <c r="H81" s="83" t="str">
        <f>IF($N81="","",IF(INDEX(Azioni!$J:$J,$N81)="","",INDEX(Azioni!$J:$J,$N81)))</f>
        <v/>
      </c>
      <c r="I81" s="83" t="str">
        <f>IF(OR($N81="",H81=""),"",IF(OR(G81="Approvata",G81="In corso"),EDATE(H81,N(INDEX(Azioni!$G:$G,$N81))),""))</f>
        <v/>
      </c>
      <c r="J81" s="81" t="str">
        <f>IF($N81="","",INDEX(Azioni!$L:$L,$N81)&amp;"")</f>
        <v/>
      </c>
      <c r="N8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spans="1:14" x14ac:dyDescent="0.4">
      <c r="A82" s="81" t="str">
        <f>IF($N82="","",INDEX(Azioni!$A:$A,$N82)&amp;"")</f>
        <v/>
      </c>
      <c r="B82" s="81" t="str">
        <f>IF($N82="","",INDEX(Azioni!$B:$B,$N82)&amp;"")</f>
        <v/>
      </c>
      <c r="C82" s="81" t="str">
        <f>IF($N82="","",INDEX(Azioni!$C:$C,$N82)&amp;"")</f>
        <v/>
      </c>
      <c r="D82" s="82" t="str">
        <f>IF($N82="","",INDEX(Azioni!$D:$D,$N82)&amp;"")</f>
        <v/>
      </c>
      <c r="E82" s="81" t="str">
        <f>IF($N82="","",INDEX(Azioni!$E:$E,$N82)&amp;"")</f>
        <v/>
      </c>
      <c r="F82" s="81" t="str">
        <f>IF($N82="","",INDEX(Azioni!$F:$F,$N82)&amp;"")</f>
        <v/>
      </c>
      <c r="G82" s="81" t="str">
        <f>IF($N82="","",INDEX(Azioni!$I:$I,$N82)&amp;"")</f>
        <v/>
      </c>
      <c r="H82" s="83" t="str">
        <f>IF($N82="","",IF(INDEX(Azioni!$J:$J,$N82)="","",INDEX(Azioni!$J:$J,$N82)))</f>
        <v/>
      </c>
      <c r="I82" s="83" t="str">
        <f>IF(OR($N82="",H82=""),"",IF(OR(G82="Approvata",G82="In corso"),EDATE(H82,N(INDEX(Azioni!$G:$G,$N82))),""))</f>
        <v/>
      </c>
      <c r="J82" s="81" t="str">
        <f>IF($N82="","",INDEX(Azioni!$L:$L,$N82)&amp;"")</f>
        <v/>
      </c>
      <c r="N8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spans="1:14" x14ac:dyDescent="0.4">
      <c r="A83" s="81" t="str">
        <f>IF($N83="","",INDEX(Azioni!$A:$A,$N83)&amp;"")</f>
        <v/>
      </c>
      <c r="B83" s="81" t="str">
        <f>IF($N83="","",INDEX(Azioni!$B:$B,$N83)&amp;"")</f>
        <v/>
      </c>
      <c r="C83" s="81" t="str">
        <f>IF($N83="","",INDEX(Azioni!$C:$C,$N83)&amp;"")</f>
        <v/>
      </c>
      <c r="D83" s="82" t="str">
        <f>IF($N83="","",INDEX(Azioni!$D:$D,$N83)&amp;"")</f>
        <v/>
      </c>
      <c r="E83" s="81" t="str">
        <f>IF($N83="","",INDEX(Azioni!$E:$E,$N83)&amp;"")</f>
        <v/>
      </c>
      <c r="F83" s="81" t="str">
        <f>IF($N83="","",INDEX(Azioni!$F:$F,$N83)&amp;"")</f>
        <v/>
      </c>
      <c r="G83" s="81" t="str">
        <f>IF($N83="","",INDEX(Azioni!$I:$I,$N83)&amp;"")</f>
        <v/>
      </c>
      <c r="H83" s="83" t="str">
        <f>IF($N83="","",IF(INDEX(Azioni!$J:$J,$N83)="","",INDEX(Azioni!$J:$J,$N83)))</f>
        <v/>
      </c>
      <c r="I83" s="83" t="str">
        <f>IF(OR($N83="",H83=""),"",IF(OR(G83="Approvata",G83="In corso"),EDATE(H83,N(INDEX(Azioni!$G:$G,$N83))),""))</f>
        <v/>
      </c>
      <c r="J83" s="81" t="str">
        <f>IF($N83="","",INDEX(Azioni!$L:$L,$N83)&amp;"")</f>
        <v/>
      </c>
      <c r="N8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spans="1:14" x14ac:dyDescent="0.4">
      <c r="A84" s="81" t="str">
        <f>IF($N84="","",INDEX(Azioni!$A:$A,$N84)&amp;"")</f>
        <v/>
      </c>
      <c r="B84" s="81" t="str">
        <f>IF($N84="","",INDEX(Azioni!$B:$B,$N84)&amp;"")</f>
        <v/>
      </c>
      <c r="C84" s="81" t="str">
        <f>IF($N84="","",INDEX(Azioni!$C:$C,$N84)&amp;"")</f>
        <v/>
      </c>
      <c r="D84" s="82" t="str">
        <f>IF($N84="","",INDEX(Azioni!$D:$D,$N84)&amp;"")</f>
        <v/>
      </c>
      <c r="E84" s="81" t="str">
        <f>IF($N84="","",INDEX(Azioni!$E:$E,$N84)&amp;"")</f>
        <v/>
      </c>
      <c r="F84" s="81" t="str">
        <f>IF($N84="","",INDEX(Azioni!$F:$F,$N84)&amp;"")</f>
        <v/>
      </c>
      <c r="G84" s="81" t="str">
        <f>IF($N84="","",INDEX(Azioni!$I:$I,$N84)&amp;"")</f>
        <v/>
      </c>
      <c r="H84" s="83" t="str">
        <f>IF($N84="","",IF(INDEX(Azioni!$J:$J,$N84)="","",INDEX(Azioni!$J:$J,$N84)))</f>
        <v/>
      </c>
      <c r="I84" s="83" t="str">
        <f>IF(OR($N84="",H84=""),"",IF(OR(G84="Approvata",G84="In corso"),EDATE(H84,N(INDEX(Azioni!$G:$G,$N84))),""))</f>
        <v/>
      </c>
      <c r="J84" s="81" t="str">
        <f>IF($N84="","",INDEX(Azioni!$L:$L,$N84)&amp;"")</f>
        <v/>
      </c>
      <c r="N8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spans="1:14" x14ac:dyDescent="0.4">
      <c r="A85" s="81" t="str">
        <f>IF($N85="","",INDEX(Azioni!$A:$A,$N85)&amp;"")</f>
        <v/>
      </c>
      <c r="B85" s="81" t="str">
        <f>IF($N85="","",INDEX(Azioni!$B:$B,$N85)&amp;"")</f>
        <v/>
      </c>
      <c r="C85" s="81" t="str">
        <f>IF($N85="","",INDEX(Azioni!$C:$C,$N85)&amp;"")</f>
        <v/>
      </c>
      <c r="D85" s="82" t="str">
        <f>IF($N85="","",INDEX(Azioni!$D:$D,$N85)&amp;"")</f>
        <v/>
      </c>
      <c r="E85" s="81" t="str">
        <f>IF($N85="","",INDEX(Azioni!$E:$E,$N85)&amp;"")</f>
        <v/>
      </c>
      <c r="F85" s="81" t="str">
        <f>IF($N85="","",INDEX(Azioni!$F:$F,$N85)&amp;"")</f>
        <v/>
      </c>
      <c r="G85" s="81" t="str">
        <f>IF($N85="","",INDEX(Azioni!$I:$I,$N85)&amp;"")</f>
        <v/>
      </c>
      <c r="H85" s="83" t="str">
        <f>IF($N85="","",IF(INDEX(Azioni!$J:$J,$N85)="","",INDEX(Azioni!$J:$J,$N85)))</f>
        <v/>
      </c>
      <c r="I85" s="83" t="str">
        <f>IF(OR($N85="",H85=""),"",IF(OR(G85="Approvata",G85="In corso"),EDATE(H85,N(INDEX(Azioni!$G:$G,$N85))),""))</f>
        <v/>
      </c>
      <c r="J85" s="81" t="str">
        <f>IF($N85="","",INDEX(Azioni!$L:$L,$N85)&amp;"")</f>
        <v/>
      </c>
      <c r="N8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spans="1:14" x14ac:dyDescent="0.4">
      <c r="A86" s="81" t="str">
        <f>IF($N86="","",INDEX(Azioni!$A:$A,$N86)&amp;"")</f>
        <v/>
      </c>
      <c r="B86" s="81" t="str">
        <f>IF($N86="","",INDEX(Azioni!$B:$B,$N86)&amp;"")</f>
        <v/>
      </c>
      <c r="C86" s="81" t="str">
        <f>IF($N86="","",INDEX(Azioni!$C:$C,$N86)&amp;"")</f>
        <v/>
      </c>
      <c r="D86" s="82" t="str">
        <f>IF($N86="","",INDEX(Azioni!$D:$D,$N86)&amp;"")</f>
        <v/>
      </c>
      <c r="E86" s="81" t="str">
        <f>IF($N86="","",INDEX(Azioni!$E:$E,$N86)&amp;"")</f>
        <v/>
      </c>
      <c r="F86" s="81" t="str">
        <f>IF($N86="","",INDEX(Azioni!$F:$F,$N86)&amp;"")</f>
        <v/>
      </c>
      <c r="G86" s="81" t="str">
        <f>IF($N86="","",INDEX(Azioni!$I:$I,$N86)&amp;"")</f>
        <v/>
      </c>
      <c r="H86" s="83" t="str">
        <f>IF($N86="","",IF(INDEX(Azioni!$J:$J,$N86)="","",INDEX(Azioni!$J:$J,$N86)))</f>
        <v/>
      </c>
      <c r="I86" s="83" t="str">
        <f>IF(OR($N86="",H86=""),"",IF(OR(G86="Approvata",G86="In corso"),EDATE(H86,N(INDEX(Azioni!$G:$G,$N86))),""))</f>
        <v/>
      </c>
      <c r="J86" s="81" t="str">
        <f>IF($N86="","",INDEX(Azioni!$L:$L,$N86)&amp;"")</f>
        <v/>
      </c>
      <c r="N8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spans="1:14" x14ac:dyDescent="0.4">
      <c r="A87" s="81" t="str">
        <f>IF($N87="","",INDEX(Azioni!$A:$A,$N87)&amp;"")</f>
        <v/>
      </c>
      <c r="B87" s="81" t="str">
        <f>IF($N87="","",INDEX(Azioni!$B:$B,$N87)&amp;"")</f>
        <v/>
      </c>
      <c r="C87" s="81" t="str">
        <f>IF($N87="","",INDEX(Azioni!$C:$C,$N87)&amp;"")</f>
        <v/>
      </c>
      <c r="D87" s="82" t="str">
        <f>IF($N87="","",INDEX(Azioni!$D:$D,$N87)&amp;"")</f>
        <v/>
      </c>
      <c r="E87" s="81" t="str">
        <f>IF($N87="","",INDEX(Azioni!$E:$E,$N87)&amp;"")</f>
        <v/>
      </c>
      <c r="F87" s="81" t="str">
        <f>IF($N87="","",INDEX(Azioni!$F:$F,$N87)&amp;"")</f>
        <v/>
      </c>
      <c r="G87" s="81" t="str">
        <f>IF($N87="","",INDEX(Azioni!$I:$I,$N87)&amp;"")</f>
        <v/>
      </c>
      <c r="H87" s="83" t="str">
        <f>IF($N87="","",IF(INDEX(Azioni!$J:$J,$N87)="","",INDEX(Azioni!$J:$J,$N87)))</f>
        <v/>
      </c>
      <c r="I87" s="83" t="str">
        <f>IF(OR($N87="",H87=""),"",IF(OR(G87="Approvata",G87="In corso"),EDATE(H87,N(INDEX(Azioni!$G:$G,$N87))),""))</f>
        <v/>
      </c>
      <c r="J87" s="81" t="str">
        <f>IF($N87="","",INDEX(Azioni!$L:$L,$N87)&amp;"")</f>
        <v/>
      </c>
      <c r="N8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spans="1:14" x14ac:dyDescent="0.4">
      <c r="A88" s="81" t="str">
        <f>IF($N88="","",INDEX(Azioni!$A:$A,$N88)&amp;"")</f>
        <v/>
      </c>
      <c r="B88" s="81" t="str">
        <f>IF($N88="","",INDEX(Azioni!$B:$B,$N88)&amp;"")</f>
        <v/>
      </c>
      <c r="C88" s="81" t="str">
        <f>IF($N88="","",INDEX(Azioni!$C:$C,$N88)&amp;"")</f>
        <v/>
      </c>
      <c r="D88" s="82" t="str">
        <f>IF($N88="","",INDEX(Azioni!$D:$D,$N88)&amp;"")</f>
        <v/>
      </c>
      <c r="E88" s="81" t="str">
        <f>IF($N88="","",INDEX(Azioni!$E:$E,$N88)&amp;"")</f>
        <v/>
      </c>
      <c r="F88" s="81" t="str">
        <f>IF($N88="","",INDEX(Azioni!$F:$F,$N88)&amp;"")</f>
        <v/>
      </c>
      <c r="G88" s="81" t="str">
        <f>IF($N88="","",INDEX(Azioni!$I:$I,$N88)&amp;"")</f>
        <v/>
      </c>
      <c r="H88" s="83" t="str">
        <f>IF($N88="","",IF(INDEX(Azioni!$J:$J,$N88)="","",INDEX(Azioni!$J:$J,$N88)))</f>
        <v/>
      </c>
      <c r="I88" s="83" t="str">
        <f>IF(OR($N88="",H88=""),"",IF(OR(G88="Approvata",G88="In corso"),EDATE(H88,N(INDEX(Azioni!$G:$G,$N88))),""))</f>
        <v/>
      </c>
      <c r="J88" s="81" t="str">
        <f>IF($N88="","",INDEX(Azioni!$L:$L,$N88)&amp;"")</f>
        <v/>
      </c>
      <c r="N8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spans="1:14" x14ac:dyDescent="0.4">
      <c r="A89" s="81" t="str">
        <f>IF($N89="","",INDEX(Azioni!$A:$A,$N89)&amp;"")</f>
        <v/>
      </c>
      <c r="B89" s="81" t="str">
        <f>IF($N89="","",INDEX(Azioni!$B:$B,$N89)&amp;"")</f>
        <v/>
      </c>
      <c r="C89" s="81" t="str">
        <f>IF($N89="","",INDEX(Azioni!$C:$C,$N89)&amp;"")</f>
        <v/>
      </c>
      <c r="D89" s="82" t="str">
        <f>IF($N89="","",INDEX(Azioni!$D:$D,$N89)&amp;"")</f>
        <v/>
      </c>
      <c r="E89" s="81" t="str">
        <f>IF($N89="","",INDEX(Azioni!$E:$E,$N89)&amp;"")</f>
        <v/>
      </c>
      <c r="F89" s="81" t="str">
        <f>IF($N89="","",INDEX(Azioni!$F:$F,$N89)&amp;"")</f>
        <v/>
      </c>
      <c r="G89" s="81" t="str">
        <f>IF($N89="","",INDEX(Azioni!$I:$I,$N89)&amp;"")</f>
        <v/>
      </c>
      <c r="H89" s="83" t="str">
        <f>IF($N89="","",IF(INDEX(Azioni!$J:$J,$N89)="","",INDEX(Azioni!$J:$J,$N89)))</f>
        <v/>
      </c>
      <c r="I89" s="83" t="str">
        <f>IF(OR($N89="",H89=""),"",IF(OR(G89="Approvata",G89="In corso"),EDATE(H89,N(INDEX(Azioni!$G:$G,$N89))),""))</f>
        <v/>
      </c>
      <c r="J89" s="81" t="str">
        <f>IF($N89="","",INDEX(Azioni!$L:$L,$N89)&amp;"")</f>
        <v/>
      </c>
      <c r="N8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spans="1:14" x14ac:dyDescent="0.4">
      <c r="A90" s="81" t="str">
        <f>IF($N90="","",INDEX(Azioni!$A:$A,$N90)&amp;"")</f>
        <v/>
      </c>
      <c r="B90" s="81" t="str">
        <f>IF($N90="","",INDEX(Azioni!$B:$B,$N90)&amp;"")</f>
        <v/>
      </c>
      <c r="C90" s="81" t="str">
        <f>IF($N90="","",INDEX(Azioni!$C:$C,$N90)&amp;"")</f>
        <v/>
      </c>
      <c r="D90" s="82" t="str">
        <f>IF($N90="","",INDEX(Azioni!$D:$D,$N90)&amp;"")</f>
        <v/>
      </c>
      <c r="E90" s="81" t="str">
        <f>IF($N90="","",INDEX(Azioni!$E:$E,$N90)&amp;"")</f>
        <v/>
      </c>
      <c r="F90" s="81" t="str">
        <f>IF($N90="","",INDEX(Azioni!$F:$F,$N90)&amp;"")</f>
        <v/>
      </c>
      <c r="G90" s="81" t="str">
        <f>IF($N90="","",INDEX(Azioni!$I:$I,$N90)&amp;"")</f>
        <v/>
      </c>
      <c r="H90" s="83" t="str">
        <f>IF($N90="","",IF(INDEX(Azioni!$J:$J,$N90)="","",INDEX(Azioni!$J:$J,$N90)))</f>
        <v/>
      </c>
      <c r="I90" s="83" t="str">
        <f>IF(OR($N90="",H90=""),"",IF(OR(G90="Approvata",G90="In corso"),EDATE(H90,N(INDEX(Azioni!$G:$G,$N90))),""))</f>
        <v/>
      </c>
      <c r="J90" s="81" t="str">
        <f>IF($N90="","",INDEX(Azioni!$L:$L,$N90)&amp;"")</f>
        <v/>
      </c>
      <c r="N9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spans="1:14" x14ac:dyDescent="0.4">
      <c r="A91" s="81" t="str">
        <f>IF($N91="","",INDEX(Azioni!$A:$A,$N91)&amp;"")</f>
        <v/>
      </c>
      <c r="B91" s="81" t="str">
        <f>IF($N91="","",INDEX(Azioni!$B:$B,$N91)&amp;"")</f>
        <v/>
      </c>
      <c r="C91" s="81" t="str">
        <f>IF($N91="","",INDEX(Azioni!$C:$C,$N91)&amp;"")</f>
        <v/>
      </c>
      <c r="D91" s="82" t="str">
        <f>IF($N91="","",INDEX(Azioni!$D:$D,$N91)&amp;"")</f>
        <v/>
      </c>
      <c r="E91" s="81" t="str">
        <f>IF($N91="","",INDEX(Azioni!$E:$E,$N91)&amp;"")</f>
        <v/>
      </c>
      <c r="F91" s="81" t="str">
        <f>IF($N91="","",INDEX(Azioni!$F:$F,$N91)&amp;"")</f>
        <v/>
      </c>
      <c r="G91" s="81" t="str">
        <f>IF($N91="","",INDEX(Azioni!$I:$I,$N91)&amp;"")</f>
        <v/>
      </c>
      <c r="H91" s="83" t="str">
        <f>IF($N91="","",IF(INDEX(Azioni!$J:$J,$N91)="","",INDEX(Azioni!$J:$J,$N91)))</f>
        <v/>
      </c>
      <c r="I91" s="83" t="str">
        <f>IF(OR($N91="",H91=""),"",IF(OR(G91="Approvata",G91="In corso"),EDATE(H91,N(INDEX(Azioni!$G:$G,$N91))),""))</f>
        <v/>
      </c>
      <c r="J91" s="81" t="str">
        <f>IF($N91="","",INDEX(Azioni!$L:$L,$N91)&amp;"")</f>
        <v/>
      </c>
      <c r="N9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spans="1:14" x14ac:dyDescent="0.4">
      <c r="A92" s="81" t="str">
        <f>IF($N92="","",INDEX(Azioni!$A:$A,$N92)&amp;"")</f>
        <v/>
      </c>
      <c r="B92" s="81" t="str">
        <f>IF($N92="","",INDEX(Azioni!$B:$B,$N92)&amp;"")</f>
        <v/>
      </c>
      <c r="C92" s="81" t="str">
        <f>IF($N92="","",INDEX(Azioni!$C:$C,$N92)&amp;"")</f>
        <v/>
      </c>
      <c r="D92" s="82" t="str">
        <f>IF($N92="","",INDEX(Azioni!$D:$D,$N92)&amp;"")</f>
        <v/>
      </c>
      <c r="E92" s="81" t="str">
        <f>IF($N92="","",INDEX(Azioni!$E:$E,$N92)&amp;"")</f>
        <v/>
      </c>
      <c r="F92" s="81" t="str">
        <f>IF($N92="","",INDEX(Azioni!$F:$F,$N92)&amp;"")</f>
        <v/>
      </c>
      <c r="G92" s="81" t="str">
        <f>IF($N92="","",INDEX(Azioni!$I:$I,$N92)&amp;"")</f>
        <v/>
      </c>
      <c r="H92" s="83" t="str">
        <f>IF($N92="","",IF(INDEX(Azioni!$J:$J,$N92)="","",INDEX(Azioni!$J:$J,$N92)))</f>
        <v/>
      </c>
      <c r="I92" s="83" t="str">
        <f>IF(OR($N92="",H92=""),"",IF(OR(G92="Approvata",G92="In corso"),EDATE(H92,N(INDEX(Azioni!$G:$G,$N92))),""))</f>
        <v/>
      </c>
      <c r="J92" s="81" t="str">
        <f>IF($N92="","",INDEX(Azioni!$L:$L,$N92)&amp;"")</f>
        <v/>
      </c>
      <c r="N9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spans="1:14" x14ac:dyDescent="0.4">
      <c r="A93" s="81" t="str">
        <f>IF($N93="","",INDEX(Azioni!$A:$A,$N93)&amp;"")</f>
        <v/>
      </c>
      <c r="B93" s="81" t="str">
        <f>IF($N93="","",INDEX(Azioni!$B:$B,$N93)&amp;"")</f>
        <v/>
      </c>
      <c r="C93" s="81" t="str">
        <f>IF($N93="","",INDEX(Azioni!$C:$C,$N93)&amp;"")</f>
        <v/>
      </c>
      <c r="D93" s="82" t="str">
        <f>IF($N93="","",INDEX(Azioni!$D:$D,$N93)&amp;"")</f>
        <v/>
      </c>
      <c r="E93" s="81" t="str">
        <f>IF($N93="","",INDEX(Azioni!$E:$E,$N93)&amp;"")</f>
        <v/>
      </c>
      <c r="F93" s="81" t="str">
        <f>IF($N93="","",INDEX(Azioni!$F:$F,$N93)&amp;"")</f>
        <v/>
      </c>
      <c r="G93" s="81" t="str">
        <f>IF($N93="","",INDEX(Azioni!$I:$I,$N93)&amp;"")</f>
        <v/>
      </c>
      <c r="H93" s="83" t="str">
        <f>IF($N93="","",IF(INDEX(Azioni!$J:$J,$N93)="","",INDEX(Azioni!$J:$J,$N93)))</f>
        <v/>
      </c>
      <c r="I93" s="83" t="str">
        <f>IF(OR($N93="",H93=""),"",IF(OR(G93="Approvata",G93="In corso"),EDATE(H93,N(INDEX(Azioni!$G:$G,$N93))),""))</f>
        <v/>
      </c>
      <c r="J93" s="81" t="str">
        <f>IF($N93="","",INDEX(Azioni!$L:$L,$N93)&amp;"")</f>
        <v/>
      </c>
      <c r="N9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spans="1:14" x14ac:dyDescent="0.4">
      <c r="A94" s="81" t="str">
        <f>IF($N94="","",INDEX(Azioni!$A:$A,$N94)&amp;"")</f>
        <v/>
      </c>
      <c r="B94" s="81" t="str">
        <f>IF($N94="","",INDEX(Azioni!$B:$B,$N94)&amp;"")</f>
        <v/>
      </c>
      <c r="C94" s="81" t="str">
        <f>IF($N94="","",INDEX(Azioni!$C:$C,$N94)&amp;"")</f>
        <v/>
      </c>
      <c r="D94" s="82" t="str">
        <f>IF($N94="","",INDEX(Azioni!$D:$D,$N94)&amp;"")</f>
        <v/>
      </c>
      <c r="E94" s="81" t="str">
        <f>IF($N94="","",INDEX(Azioni!$E:$E,$N94)&amp;"")</f>
        <v/>
      </c>
      <c r="F94" s="81" t="str">
        <f>IF($N94="","",INDEX(Azioni!$F:$F,$N94)&amp;"")</f>
        <v/>
      </c>
      <c r="G94" s="81" t="str">
        <f>IF($N94="","",INDEX(Azioni!$I:$I,$N94)&amp;"")</f>
        <v/>
      </c>
      <c r="H94" s="83" t="str">
        <f>IF($N94="","",IF(INDEX(Azioni!$J:$J,$N94)="","",INDEX(Azioni!$J:$J,$N94)))</f>
        <v/>
      </c>
      <c r="I94" s="83" t="str">
        <f>IF(OR($N94="",H94=""),"",IF(OR(G94="Approvata",G94="In corso"),EDATE(H94,N(INDEX(Azioni!$G:$G,$N94))),""))</f>
        <v/>
      </c>
      <c r="J94" s="81" t="str">
        <f>IF($N94="","",INDEX(Azioni!$L:$L,$N94)&amp;"")</f>
        <v/>
      </c>
      <c r="N9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spans="1:14" x14ac:dyDescent="0.4">
      <c r="A95" s="81" t="str">
        <f>IF($N95="","",INDEX(Azioni!$A:$A,$N95)&amp;"")</f>
        <v/>
      </c>
      <c r="B95" s="81" t="str">
        <f>IF($N95="","",INDEX(Azioni!$B:$B,$N95)&amp;"")</f>
        <v/>
      </c>
      <c r="C95" s="81" t="str">
        <f>IF($N95="","",INDEX(Azioni!$C:$C,$N95)&amp;"")</f>
        <v/>
      </c>
      <c r="D95" s="82" t="str">
        <f>IF($N95="","",INDEX(Azioni!$D:$D,$N95)&amp;"")</f>
        <v/>
      </c>
      <c r="E95" s="81" t="str">
        <f>IF($N95="","",INDEX(Azioni!$E:$E,$N95)&amp;"")</f>
        <v/>
      </c>
      <c r="F95" s="81" t="str">
        <f>IF($N95="","",INDEX(Azioni!$F:$F,$N95)&amp;"")</f>
        <v/>
      </c>
      <c r="G95" s="81" t="str">
        <f>IF($N95="","",INDEX(Azioni!$I:$I,$N95)&amp;"")</f>
        <v/>
      </c>
      <c r="H95" s="83" t="str">
        <f>IF($N95="","",IF(INDEX(Azioni!$J:$J,$N95)="","",INDEX(Azioni!$J:$J,$N95)))</f>
        <v/>
      </c>
      <c r="I95" s="83" t="str">
        <f>IF(OR($N95="",H95=""),"",IF(OR(G95="Approvata",G95="In corso"),EDATE(H95,N(INDEX(Azioni!$G:$G,$N95))),""))</f>
        <v/>
      </c>
      <c r="J95" s="81" t="str">
        <f>IF($N95="","",INDEX(Azioni!$L:$L,$N95)&amp;"")</f>
        <v/>
      </c>
      <c r="N9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spans="1:14" x14ac:dyDescent="0.4">
      <c r="A96" s="81" t="str">
        <f>IF($N96="","",INDEX(Azioni!$A:$A,$N96)&amp;"")</f>
        <v/>
      </c>
      <c r="B96" s="81" t="str">
        <f>IF($N96="","",INDEX(Azioni!$B:$B,$N96)&amp;"")</f>
        <v/>
      </c>
      <c r="C96" s="81" t="str">
        <f>IF($N96="","",INDEX(Azioni!$C:$C,$N96)&amp;"")</f>
        <v/>
      </c>
      <c r="D96" s="82" t="str">
        <f>IF($N96="","",INDEX(Azioni!$D:$D,$N96)&amp;"")</f>
        <v/>
      </c>
      <c r="E96" s="81" t="str">
        <f>IF($N96="","",INDEX(Azioni!$E:$E,$N96)&amp;"")</f>
        <v/>
      </c>
      <c r="F96" s="81" t="str">
        <f>IF($N96="","",INDEX(Azioni!$F:$F,$N96)&amp;"")</f>
        <v/>
      </c>
      <c r="G96" s="81" t="str">
        <f>IF($N96="","",INDEX(Azioni!$I:$I,$N96)&amp;"")</f>
        <v/>
      </c>
      <c r="H96" s="83" t="str">
        <f>IF($N96="","",IF(INDEX(Azioni!$J:$J,$N96)="","",INDEX(Azioni!$J:$J,$N96)))</f>
        <v/>
      </c>
      <c r="I96" s="83" t="str">
        <f>IF(OR($N96="",H96=""),"",IF(OR(G96="Approvata",G96="In corso"),EDATE(H96,N(INDEX(Azioni!$G:$G,$N96))),""))</f>
        <v/>
      </c>
      <c r="J96" s="81" t="str">
        <f>IF($N96="","",INDEX(Azioni!$L:$L,$N96)&amp;"")</f>
        <v/>
      </c>
      <c r="N9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spans="1:14" x14ac:dyDescent="0.4">
      <c r="A97" s="81" t="str">
        <f>IF($N97="","",INDEX(Azioni!$A:$A,$N97)&amp;"")</f>
        <v/>
      </c>
      <c r="B97" s="81" t="str">
        <f>IF($N97="","",INDEX(Azioni!$B:$B,$N97)&amp;"")</f>
        <v/>
      </c>
      <c r="C97" s="81" t="str">
        <f>IF($N97="","",INDEX(Azioni!$C:$C,$N97)&amp;"")</f>
        <v/>
      </c>
      <c r="D97" s="82" t="str">
        <f>IF($N97="","",INDEX(Azioni!$D:$D,$N97)&amp;"")</f>
        <v/>
      </c>
      <c r="E97" s="81" t="str">
        <f>IF($N97="","",INDEX(Azioni!$E:$E,$N97)&amp;"")</f>
        <v/>
      </c>
      <c r="F97" s="81" t="str">
        <f>IF($N97="","",INDEX(Azioni!$F:$F,$N97)&amp;"")</f>
        <v/>
      </c>
      <c r="G97" s="81" t="str">
        <f>IF($N97="","",INDEX(Azioni!$I:$I,$N97)&amp;"")</f>
        <v/>
      </c>
      <c r="H97" s="83" t="str">
        <f>IF($N97="","",IF(INDEX(Azioni!$J:$J,$N97)="","",INDEX(Azioni!$J:$J,$N97)))</f>
        <v/>
      </c>
      <c r="I97" s="83" t="str">
        <f>IF(OR($N97="",H97=""),"",IF(OR(G97="Approvata",G97="In corso"),EDATE(H97,N(INDEX(Azioni!$G:$G,$N97))),""))</f>
        <v/>
      </c>
      <c r="J97" s="81" t="str">
        <f>IF($N97="","",INDEX(Azioni!$L:$L,$N97)&amp;"")</f>
        <v/>
      </c>
      <c r="N9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spans="1:14" x14ac:dyDescent="0.4">
      <c r="A98" s="81" t="str">
        <f>IF($N98="","",INDEX(Azioni!$A:$A,$N98)&amp;"")</f>
        <v/>
      </c>
      <c r="B98" s="81" t="str">
        <f>IF($N98="","",INDEX(Azioni!$B:$B,$N98)&amp;"")</f>
        <v/>
      </c>
      <c r="C98" s="81" t="str">
        <f>IF($N98="","",INDEX(Azioni!$C:$C,$N98)&amp;"")</f>
        <v/>
      </c>
      <c r="D98" s="82" t="str">
        <f>IF($N98="","",INDEX(Azioni!$D:$D,$N98)&amp;"")</f>
        <v/>
      </c>
      <c r="E98" s="81" t="str">
        <f>IF($N98="","",INDEX(Azioni!$E:$E,$N98)&amp;"")</f>
        <v/>
      </c>
      <c r="F98" s="81" t="str">
        <f>IF($N98="","",INDEX(Azioni!$F:$F,$N98)&amp;"")</f>
        <v/>
      </c>
      <c r="G98" s="81" t="str">
        <f>IF($N98="","",INDEX(Azioni!$I:$I,$N98)&amp;"")</f>
        <v/>
      </c>
      <c r="H98" s="83" t="str">
        <f>IF($N98="","",IF(INDEX(Azioni!$J:$J,$N98)="","",INDEX(Azioni!$J:$J,$N98)))</f>
        <v/>
      </c>
      <c r="I98" s="83" t="str">
        <f>IF(OR($N98="",H98=""),"",IF(OR(G98="Approvata",G98="In corso"),EDATE(H98,N(INDEX(Azioni!$G:$G,$N98))),""))</f>
        <v/>
      </c>
      <c r="J98" s="81" t="str">
        <f>IF($N98="","",INDEX(Azioni!$L:$L,$N98)&amp;"")</f>
        <v/>
      </c>
      <c r="N9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spans="1:14" x14ac:dyDescent="0.4">
      <c r="A99" s="81" t="str">
        <f>IF($N99="","",INDEX(Azioni!$A:$A,$N99)&amp;"")</f>
        <v/>
      </c>
      <c r="B99" s="81" t="str">
        <f>IF($N99="","",INDEX(Azioni!$B:$B,$N99)&amp;"")</f>
        <v/>
      </c>
      <c r="C99" s="81" t="str">
        <f>IF($N99="","",INDEX(Azioni!$C:$C,$N99)&amp;"")</f>
        <v/>
      </c>
      <c r="D99" s="82" t="str">
        <f>IF($N99="","",INDEX(Azioni!$D:$D,$N99)&amp;"")</f>
        <v/>
      </c>
      <c r="E99" s="81" t="str">
        <f>IF($N99="","",INDEX(Azioni!$E:$E,$N99)&amp;"")</f>
        <v/>
      </c>
      <c r="F99" s="81" t="str">
        <f>IF($N99="","",INDEX(Azioni!$F:$F,$N99)&amp;"")</f>
        <v/>
      </c>
      <c r="G99" s="81" t="str">
        <f>IF($N99="","",INDEX(Azioni!$I:$I,$N99)&amp;"")</f>
        <v/>
      </c>
      <c r="H99" s="83" t="str">
        <f>IF($N99="","",IF(INDEX(Azioni!$J:$J,$N99)="","",INDEX(Azioni!$J:$J,$N99)))</f>
        <v/>
      </c>
      <c r="I99" s="83" t="str">
        <f>IF(OR($N99="",H99=""),"",IF(OR(G99="Approvata",G99="In corso"),EDATE(H99,N(INDEX(Azioni!$G:$G,$N99))),""))</f>
        <v/>
      </c>
      <c r="J99" s="81" t="str">
        <f>IF($N99="","",INDEX(Azioni!$L:$L,$N99)&amp;"")</f>
        <v/>
      </c>
      <c r="N9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spans="1:14" x14ac:dyDescent="0.4">
      <c r="A100" s="81" t="str">
        <f>IF($N100="","",INDEX(Azioni!$A:$A,$N100)&amp;"")</f>
        <v/>
      </c>
      <c r="B100" s="81" t="str">
        <f>IF($N100="","",INDEX(Azioni!$B:$B,$N100)&amp;"")</f>
        <v/>
      </c>
      <c r="C100" s="81" t="str">
        <f>IF($N100="","",INDEX(Azioni!$C:$C,$N100)&amp;"")</f>
        <v/>
      </c>
      <c r="D100" s="82" t="str">
        <f>IF($N100="","",INDEX(Azioni!$D:$D,$N100)&amp;"")</f>
        <v/>
      </c>
      <c r="E100" s="81" t="str">
        <f>IF($N100="","",INDEX(Azioni!$E:$E,$N100)&amp;"")</f>
        <v/>
      </c>
      <c r="F100" s="81" t="str">
        <f>IF($N100="","",INDEX(Azioni!$F:$F,$N100)&amp;"")</f>
        <v/>
      </c>
      <c r="G100" s="81" t="str">
        <f>IF($N100="","",INDEX(Azioni!$I:$I,$N100)&amp;"")</f>
        <v/>
      </c>
      <c r="H100" s="83" t="str">
        <f>IF($N100="","",IF(INDEX(Azioni!$J:$J,$N100)="","",INDEX(Azioni!$J:$J,$N100)))</f>
        <v/>
      </c>
      <c r="I100" s="83" t="str">
        <f>IF(OR($N100="",H100=""),"",IF(OR(G100="Approvata",G100="In corso"),EDATE(H100,N(INDEX(Azioni!$G:$G,$N100))),""))</f>
        <v/>
      </c>
      <c r="J100" s="81" t="str">
        <f>IF($N100="","",INDEX(Azioni!$L:$L,$N100)&amp;"")</f>
        <v/>
      </c>
      <c r="N10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spans="1:14" x14ac:dyDescent="0.4">
      <c r="A101" s="81" t="str">
        <f>IF($N101="","",INDEX(Azioni!$A:$A,$N101)&amp;"")</f>
        <v/>
      </c>
      <c r="B101" s="81" t="str">
        <f>IF($N101="","",INDEX(Azioni!$B:$B,$N101)&amp;"")</f>
        <v/>
      </c>
      <c r="C101" s="81" t="str">
        <f>IF($N101="","",INDEX(Azioni!$C:$C,$N101)&amp;"")</f>
        <v/>
      </c>
      <c r="D101" s="82" t="str">
        <f>IF($N101="","",INDEX(Azioni!$D:$D,$N101)&amp;"")</f>
        <v/>
      </c>
      <c r="E101" s="81" t="str">
        <f>IF($N101="","",INDEX(Azioni!$E:$E,$N101)&amp;"")</f>
        <v/>
      </c>
      <c r="F101" s="81" t="str">
        <f>IF($N101="","",INDEX(Azioni!$F:$F,$N101)&amp;"")</f>
        <v/>
      </c>
      <c r="G101" s="81" t="str">
        <f>IF($N101="","",INDEX(Azioni!$I:$I,$N101)&amp;"")</f>
        <v/>
      </c>
      <c r="H101" s="83" t="str">
        <f>IF($N101="","",IF(INDEX(Azioni!$J:$J,$N101)="","",INDEX(Azioni!$J:$J,$N101)))</f>
        <v/>
      </c>
      <c r="I101" s="83" t="str">
        <f>IF(OR($N101="",H101=""),"",IF(OR(G101="Approvata",G101="In corso"),EDATE(H101,N(INDEX(Azioni!$G:$G,$N101))),""))</f>
        <v/>
      </c>
      <c r="J101" s="81" t="str">
        <f>IF($N101="","",INDEX(Azioni!$L:$L,$N101)&amp;"")</f>
        <v/>
      </c>
      <c r="N10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spans="1:14" x14ac:dyDescent="0.4">
      <c r="A102" s="81" t="str">
        <f>IF($N102="","",INDEX(Azioni!$A:$A,$N102)&amp;"")</f>
        <v/>
      </c>
      <c r="B102" s="81" t="str">
        <f>IF($N102="","",INDEX(Azioni!$B:$B,$N102)&amp;"")</f>
        <v/>
      </c>
      <c r="C102" s="81" t="str">
        <f>IF($N102="","",INDEX(Azioni!$C:$C,$N102)&amp;"")</f>
        <v/>
      </c>
      <c r="D102" s="82" t="str">
        <f>IF($N102="","",INDEX(Azioni!$D:$D,$N102)&amp;"")</f>
        <v/>
      </c>
      <c r="E102" s="81" t="str">
        <f>IF($N102="","",INDEX(Azioni!$E:$E,$N102)&amp;"")</f>
        <v/>
      </c>
      <c r="F102" s="81" t="str">
        <f>IF($N102="","",INDEX(Azioni!$F:$F,$N102)&amp;"")</f>
        <v/>
      </c>
      <c r="G102" s="81" t="str">
        <f>IF($N102="","",INDEX(Azioni!$I:$I,$N102)&amp;"")</f>
        <v/>
      </c>
      <c r="H102" s="83" t="str">
        <f>IF($N102="","",IF(INDEX(Azioni!$J:$J,$N102)="","",INDEX(Azioni!$J:$J,$N102)))</f>
        <v/>
      </c>
      <c r="I102" s="83" t="str">
        <f>IF(OR($N102="",H102=""),"",IF(OR(G102="Approvata",G102="In corso"),EDATE(H102,N(INDEX(Azioni!$G:$G,$N102))),""))</f>
        <v/>
      </c>
      <c r="J102" s="81" t="str">
        <f>IF($N102="","",INDEX(Azioni!$L:$L,$N102)&amp;"")</f>
        <v/>
      </c>
      <c r="N10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spans="1:14" x14ac:dyDescent="0.4">
      <c r="A103" s="81" t="str">
        <f>IF($N103="","",INDEX(Azioni!$A:$A,$N103)&amp;"")</f>
        <v/>
      </c>
      <c r="B103" s="81" t="str">
        <f>IF($N103="","",INDEX(Azioni!$B:$B,$N103)&amp;"")</f>
        <v/>
      </c>
      <c r="C103" s="81" t="str">
        <f>IF($N103="","",INDEX(Azioni!$C:$C,$N103)&amp;"")</f>
        <v/>
      </c>
      <c r="D103" s="82" t="str">
        <f>IF($N103="","",INDEX(Azioni!$D:$D,$N103)&amp;"")</f>
        <v/>
      </c>
      <c r="E103" s="81" t="str">
        <f>IF($N103="","",INDEX(Azioni!$E:$E,$N103)&amp;"")</f>
        <v/>
      </c>
      <c r="F103" s="81" t="str">
        <f>IF($N103="","",INDEX(Azioni!$F:$F,$N103)&amp;"")</f>
        <v/>
      </c>
      <c r="G103" s="81" t="str">
        <f>IF($N103="","",INDEX(Azioni!$I:$I,$N103)&amp;"")</f>
        <v/>
      </c>
      <c r="H103" s="83" t="str">
        <f>IF($N103="","",IF(INDEX(Azioni!$J:$J,$N103)="","",INDEX(Azioni!$J:$J,$N103)))</f>
        <v/>
      </c>
      <c r="I103" s="83" t="str">
        <f>IF(OR($N103="",H103=""),"",IF(OR(G103="Approvata",G103="In corso"),EDATE(H103,N(INDEX(Azioni!$G:$G,$N103))),""))</f>
        <v/>
      </c>
      <c r="J103" s="81" t="str">
        <f>IF($N103="","",INDEX(Azioni!$L:$L,$N103)&amp;"")</f>
        <v/>
      </c>
      <c r="N10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spans="1:14" x14ac:dyDescent="0.4">
      <c r="A104" s="81" t="str">
        <f>IF($N104="","",INDEX(Azioni!$A:$A,$N104)&amp;"")</f>
        <v/>
      </c>
      <c r="B104" s="81" t="str">
        <f>IF($N104="","",INDEX(Azioni!$B:$B,$N104)&amp;"")</f>
        <v/>
      </c>
      <c r="C104" s="81" t="str">
        <f>IF($N104="","",INDEX(Azioni!$C:$C,$N104)&amp;"")</f>
        <v/>
      </c>
      <c r="D104" s="82" t="str">
        <f>IF($N104="","",INDEX(Azioni!$D:$D,$N104)&amp;"")</f>
        <v/>
      </c>
      <c r="E104" s="81" t="str">
        <f>IF($N104="","",INDEX(Azioni!$E:$E,$N104)&amp;"")</f>
        <v/>
      </c>
      <c r="F104" s="81" t="str">
        <f>IF($N104="","",INDEX(Azioni!$F:$F,$N104)&amp;"")</f>
        <v/>
      </c>
      <c r="G104" s="81" t="str">
        <f>IF($N104="","",INDEX(Azioni!$I:$I,$N104)&amp;"")</f>
        <v/>
      </c>
      <c r="H104" s="83" t="str">
        <f>IF($N104="","",IF(INDEX(Azioni!$J:$J,$N104)="","",INDEX(Azioni!$J:$J,$N104)))</f>
        <v/>
      </c>
      <c r="I104" s="83" t="str">
        <f>IF(OR($N104="",H104=""),"",IF(OR(G104="Approvata",G104="In corso"),EDATE(H104,N(INDEX(Azioni!$G:$G,$N104))),""))</f>
        <v/>
      </c>
      <c r="J104" s="81" t="str">
        <f>IF($N104="","",INDEX(Azioni!$L:$L,$N104)&amp;"")</f>
        <v/>
      </c>
      <c r="N10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spans="1:14" x14ac:dyDescent="0.4">
      <c r="A105" s="81" t="str">
        <f>IF($N105="","",INDEX(Azioni!$A:$A,$N105)&amp;"")</f>
        <v/>
      </c>
      <c r="B105" s="81" t="str">
        <f>IF($N105="","",INDEX(Azioni!$B:$B,$N105)&amp;"")</f>
        <v/>
      </c>
      <c r="C105" s="81" t="str">
        <f>IF($N105="","",INDEX(Azioni!$C:$C,$N105)&amp;"")</f>
        <v/>
      </c>
      <c r="D105" s="82" t="str">
        <f>IF($N105="","",INDEX(Azioni!$D:$D,$N105)&amp;"")</f>
        <v/>
      </c>
      <c r="E105" s="81" t="str">
        <f>IF($N105="","",INDEX(Azioni!$E:$E,$N105)&amp;"")</f>
        <v/>
      </c>
      <c r="F105" s="81" t="str">
        <f>IF($N105="","",INDEX(Azioni!$F:$F,$N105)&amp;"")</f>
        <v/>
      </c>
      <c r="G105" s="81" t="str">
        <f>IF($N105="","",INDEX(Azioni!$I:$I,$N105)&amp;"")</f>
        <v/>
      </c>
      <c r="H105" s="83" t="str">
        <f>IF($N105="","",IF(INDEX(Azioni!$J:$J,$N105)="","",INDEX(Azioni!$J:$J,$N105)))</f>
        <v/>
      </c>
      <c r="I105" s="83" t="str">
        <f>IF(OR($N105="",H105=""),"",IF(OR(G105="Approvata",G105="In corso"),EDATE(H105,N(INDEX(Azioni!$G:$G,$N105))),""))</f>
        <v/>
      </c>
      <c r="J105" s="81" t="str">
        <f>IF($N105="","",INDEX(Azioni!$L:$L,$N105)&amp;"")</f>
        <v/>
      </c>
      <c r="N10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spans="1:14" x14ac:dyDescent="0.4">
      <c r="A106" s="81" t="str">
        <f>IF($N106="","",INDEX(Azioni!$A:$A,$N106)&amp;"")</f>
        <v/>
      </c>
      <c r="B106" s="81" t="str">
        <f>IF($N106="","",INDEX(Azioni!$B:$B,$N106)&amp;"")</f>
        <v/>
      </c>
      <c r="C106" s="81" t="str">
        <f>IF($N106="","",INDEX(Azioni!$C:$C,$N106)&amp;"")</f>
        <v/>
      </c>
      <c r="D106" s="82" t="str">
        <f>IF($N106="","",INDEX(Azioni!$D:$D,$N106)&amp;"")</f>
        <v/>
      </c>
      <c r="E106" s="81" t="str">
        <f>IF($N106="","",INDEX(Azioni!$E:$E,$N106)&amp;"")</f>
        <v/>
      </c>
      <c r="F106" s="81" t="str">
        <f>IF($N106="","",INDEX(Azioni!$F:$F,$N106)&amp;"")</f>
        <v/>
      </c>
      <c r="G106" s="81" t="str">
        <f>IF($N106="","",INDEX(Azioni!$I:$I,$N106)&amp;"")</f>
        <v/>
      </c>
      <c r="H106" s="83" t="str">
        <f>IF($N106="","",IF(INDEX(Azioni!$J:$J,$N106)="","",INDEX(Azioni!$J:$J,$N106)))</f>
        <v/>
      </c>
      <c r="I106" s="83" t="str">
        <f>IF(OR($N106="",H106=""),"",IF(OR(G106="Approvata",G106="In corso"),EDATE(H106,N(INDEX(Azioni!$G:$G,$N106))),""))</f>
        <v/>
      </c>
      <c r="J106" s="81" t="str">
        <f>IF($N106="","",INDEX(Azioni!$L:$L,$N106)&amp;"")</f>
        <v/>
      </c>
      <c r="N10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spans="1:14" x14ac:dyDescent="0.4">
      <c r="A107" s="81" t="str">
        <f>IF($N107="","",INDEX(Azioni!$A:$A,$N107)&amp;"")</f>
        <v/>
      </c>
      <c r="B107" s="81" t="str">
        <f>IF($N107="","",INDEX(Azioni!$B:$B,$N107)&amp;"")</f>
        <v/>
      </c>
      <c r="C107" s="81" t="str">
        <f>IF($N107="","",INDEX(Azioni!$C:$C,$N107)&amp;"")</f>
        <v/>
      </c>
      <c r="D107" s="82" t="str">
        <f>IF($N107="","",INDEX(Azioni!$D:$D,$N107)&amp;"")</f>
        <v/>
      </c>
      <c r="E107" s="81" t="str">
        <f>IF($N107="","",INDEX(Azioni!$E:$E,$N107)&amp;"")</f>
        <v/>
      </c>
      <c r="F107" s="81" t="str">
        <f>IF($N107="","",INDEX(Azioni!$F:$F,$N107)&amp;"")</f>
        <v/>
      </c>
      <c r="G107" s="81" t="str">
        <f>IF($N107="","",INDEX(Azioni!$I:$I,$N107)&amp;"")</f>
        <v/>
      </c>
      <c r="H107" s="83" t="str">
        <f>IF($N107="","",IF(INDEX(Azioni!$J:$J,$N107)="","",INDEX(Azioni!$J:$J,$N107)))</f>
        <v/>
      </c>
      <c r="I107" s="83" t="str">
        <f>IF(OR($N107="",H107=""),"",IF(OR(G107="Approvata",G107="In corso"),EDATE(H107,N(INDEX(Azioni!$G:$G,$N107))),""))</f>
        <v/>
      </c>
      <c r="J107" s="81" t="str">
        <f>IF($N107="","",INDEX(Azioni!$L:$L,$N107)&amp;"")</f>
        <v/>
      </c>
      <c r="N10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spans="1:14" x14ac:dyDescent="0.4">
      <c r="A108" s="81" t="str">
        <f>IF($N108="","",INDEX(Azioni!$A:$A,$N108)&amp;"")</f>
        <v/>
      </c>
      <c r="B108" s="81" t="str">
        <f>IF($N108="","",INDEX(Azioni!$B:$B,$N108)&amp;"")</f>
        <v/>
      </c>
      <c r="C108" s="81" t="str">
        <f>IF($N108="","",INDEX(Azioni!$C:$C,$N108)&amp;"")</f>
        <v/>
      </c>
      <c r="D108" s="82" t="str">
        <f>IF($N108="","",INDEX(Azioni!$D:$D,$N108)&amp;"")</f>
        <v/>
      </c>
      <c r="E108" s="81" t="str">
        <f>IF($N108="","",INDEX(Azioni!$E:$E,$N108)&amp;"")</f>
        <v/>
      </c>
      <c r="F108" s="81" t="str">
        <f>IF($N108="","",INDEX(Azioni!$F:$F,$N108)&amp;"")</f>
        <v/>
      </c>
      <c r="G108" s="81" t="str">
        <f>IF($N108="","",INDEX(Azioni!$I:$I,$N108)&amp;"")</f>
        <v/>
      </c>
      <c r="H108" s="83" t="str">
        <f>IF($N108="","",IF(INDEX(Azioni!$J:$J,$N108)="","",INDEX(Azioni!$J:$J,$N108)))</f>
        <v/>
      </c>
      <c r="I108" s="83" t="str">
        <f>IF(OR($N108="",H108=""),"",IF(OR(G108="Approvata",G108="In corso"),EDATE(H108,N(INDEX(Azioni!$G:$G,$N108))),""))</f>
        <v/>
      </c>
      <c r="J108" s="81" t="str">
        <f>IF($N108="","",INDEX(Azioni!$L:$L,$N108)&amp;"")</f>
        <v/>
      </c>
      <c r="N10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spans="1:14" x14ac:dyDescent="0.4">
      <c r="A109" s="81" t="str">
        <f>IF($N109="","",INDEX(Azioni!$A:$A,$N109)&amp;"")</f>
        <v/>
      </c>
      <c r="B109" s="81" t="str">
        <f>IF($N109="","",INDEX(Azioni!$B:$B,$N109)&amp;"")</f>
        <v/>
      </c>
      <c r="C109" s="81" t="str">
        <f>IF($N109="","",INDEX(Azioni!$C:$C,$N109)&amp;"")</f>
        <v/>
      </c>
      <c r="D109" s="82" t="str">
        <f>IF($N109="","",INDEX(Azioni!$D:$D,$N109)&amp;"")</f>
        <v/>
      </c>
      <c r="E109" s="81" t="str">
        <f>IF($N109="","",INDEX(Azioni!$E:$E,$N109)&amp;"")</f>
        <v/>
      </c>
      <c r="F109" s="81" t="str">
        <f>IF($N109="","",INDEX(Azioni!$F:$F,$N109)&amp;"")</f>
        <v/>
      </c>
      <c r="G109" s="81" t="str">
        <f>IF($N109="","",INDEX(Azioni!$I:$I,$N109)&amp;"")</f>
        <v/>
      </c>
      <c r="H109" s="83" t="str">
        <f>IF($N109="","",IF(INDEX(Azioni!$J:$J,$N109)="","",INDEX(Azioni!$J:$J,$N109)))</f>
        <v/>
      </c>
      <c r="I109" s="83" t="str">
        <f>IF(OR($N109="",H109=""),"",IF(OR(G109="Approvata",G109="In corso"),EDATE(H109,N(INDEX(Azioni!$G:$G,$N109))),""))</f>
        <v/>
      </c>
      <c r="J109" s="81" t="str">
        <f>IF($N109="","",INDEX(Azioni!$L:$L,$N109)&amp;"")</f>
        <v/>
      </c>
      <c r="N10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spans="1:14" x14ac:dyDescent="0.4">
      <c r="A110" s="81" t="str">
        <f>IF($N110="","",INDEX(Azioni!$A:$A,$N110)&amp;"")</f>
        <v/>
      </c>
      <c r="B110" s="81" t="str">
        <f>IF($N110="","",INDEX(Azioni!$B:$B,$N110)&amp;"")</f>
        <v/>
      </c>
      <c r="C110" s="81" t="str">
        <f>IF($N110="","",INDEX(Azioni!$C:$C,$N110)&amp;"")</f>
        <v/>
      </c>
      <c r="D110" s="82" t="str">
        <f>IF($N110="","",INDEX(Azioni!$D:$D,$N110)&amp;"")</f>
        <v/>
      </c>
      <c r="E110" s="81" t="str">
        <f>IF($N110="","",INDEX(Azioni!$E:$E,$N110)&amp;"")</f>
        <v/>
      </c>
      <c r="F110" s="81" t="str">
        <f>IF($N110="","",INDEX(Azioni!$F:$F,$N110)&amp;"")</f>
        <v/>
      </c>
      <c r="G110" s="81" t="str">
        <f>IF($N110="","",INDEX(Azioni!$I:$I,$N110)&amp;"")</f>
        <v/>
      </c>
      <c r="H110" s="83" t="str">
        <f>IF($N110="","",IF(INDEX(Azioni!$J:$J,$N110)="","",INDEX(Azioni!$J:$J,$N110)))</f>
        <v/>
      </c>
      <c r="I110" s="83" t="str">
        <f>IF(OR($N110="",H110=""),"",IF(OR(G110="Approvata",G110="In corso"),EDATE(H110,N(INDEX(Azioni!$G:$G,$N110))),""))</f>
        <v/>
      </c>
      <c r="J110" s="81" t="str">
        <f>IF($N110="","",INDEX(Azioni!$L:$L,$N110)&amp;"")</f>
        <v/>
      </c>
      <c r="N11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spans="1:14" x14ac:dyDescent="0.4">
      <c r="A111" s="81" t="str">
        <f>IF($N111="","",INDEX(Azioni!$A:$A,$N111)&amp;"")</f>
        <v/>
      </c>
      <c r="B111" s="81" t="str">
        <f>IF($N111="","",INDEX(Azioni!$B:$B,$N111)&amp;"")</f>
        <v/>
      </c>
      <c r="C111" s="81" t="str">
        <f>IF($N111="","",INDEX(Azioni!$C:$C,$N111)&amp;"")</f>
        <v/>
      </c>
      <c r="D111" s="82" t="str">
        <f>IF($N111="","",INDEX(Azioni!$D:$D,$N111)&amp;"")</f>
        <v/>
      </c>
      <c r="E111" s="81" t="str">
        <f>IF($N111="","",INDEX(Azioni!$E:$E,$N111)&amp;"")</f>
        <v/>
      </c>
      <c r="F111" s="81" t="str">
        <f>IF($N111="","",INDEX(Azioni!$F:$F,$N111)&amp;"")</f>
        <v/>
      </c>
      <c r="G111" s="81" t="str">
        <f>IF($N111="","",INDEX(Azioni!$I:$I,$N111)&amp;"")</f>
        <v/>
      </c>
      <c r="H111" s="83" t="str">
        <f>IF($N111="","",IF(INDEX(Azioni!$J:$J,$N111)="","",INDEX(Azioni!$J:$J,$N111)))</f>
        <v/>
      </c>
      <c r="I111" s="83" t="str">
        <f>IF(OR($N111="",H111=""),"",IF(OR(G111="Approvata",G111="In corso"),EDATE(H111,N(INDEX(Azioni!$G:$G,$N111))),""))</f>
        <v/>
      </c>
      <c r="J111" s="81" t="str">
        <f>IF($N111="","",INDEX(Azioni!$L:$L,$N111)&amp;"")</f>
        <v/>
      </c>
      <c r="N11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spans="1:14" x14ac:dyDescent="0.4">
      <c r="A112" s="81" t="str">
        <f>IF($N112="","",INDEX(Azioni!$A:$A,$N112)&amp;"")</f>
        <v/>
      </c>
      <c r="B112" s="81" t="str">
        <f>IF($N112="","",INDEX(Azioni!$B:$B,$N112)&amp;"")</f>
        <v/>
      </c>
      <c r="C112" s="81" t="str">
        <f>IF($N112="","",INDEX(Azioni!$C:$C,$N112)&amp;"")</f>
        <v/>
      </c>
      <c r="D112" s="82" t="str">
        <f>IF($N112="","",INDEX(Azioni!$D:$D,$N112)&amp;"")</f>
        <v/>
      </c>
      <c r="E112" s="81" t="str">
        <f>IF($N112="","",INDEX(Azioni!$E:$E,$N112)&amp;"")</f>
        <v/>
      </c>
      <c r="F112" s="81" t="str">
        <f>IF($N112="","",INDEX(Azioni!$F:$F,$N112)&amp;"")</f>
        <v/>
      </c>
      <c r="G112" s="81" t="str">
        <f>IF($N112="","",INDEX(Azioni!$I:$I,$N112)&amp;"")</f>
        <v/>
      </c>
      <c r="H112" s="83" t="str">
        <f>IF($N112="","",IF(INDEX(Azioni!$J:$J,$N112)="","",INDEX(Azioni!$J:$J,$N112)))</f>
        <v/>
      </c>
      <c r="I112" s="83" t="str">
        <f>IF(OR($N112="",H112=""),"",IF(OR(G112="Approvata",G112="In corso"),EDATE(H112,N(INDEX(Azioni!$G:$G,$N112))),""))</f>
        <v/>
      </c>
      <c r="J112" s="81" t="str">
        <f>IF($N112="","",INDEX(Azioni!$L:$L,$N112)&amp;"")</f>
        <v/>
      </c>
      <c r="N11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spans="1:14" x14ac:dyDescent="0.4">
      <c r="A113" s="81" t="str">
        <f>IF($N113="","",INDEX(Azioni!$A:$A,$N113)&amp;"")</f>
        <v/>
      </c>
      <c r="B113" s="81" t="str">
        <f>IF($N113="","",INDEX(Azioni!$B:$B,$N113)&amp;"")</f>
        <v/>
      </c>
      <c r="C113" s="81" t="str">
        <f>IF($N113="","",INDEX(Azioni!$C:$C,$N113)&amp;"")</f>
        <v/>
      </c>
      <c r="D113" s="82" t="str">
        <f>IF($N113="","",INDEX(Azioni!$D:$D,$N113)&amp;"")</f>
        <v/>
      </c>
      <c r="E113" s="81" t="str">
        <f>IF($N113="","",INDEX(Azioni!$E:$E,$N113)&amp;"")</f>
        <v/>
      </c>
      <c r="F113" s="81" t="str">
        <f>IF($N113="","",INDEX(Azioni!$F:$F,$N113)&amp;"")</f>
        <v/>
      </c>
      <c r="G113" s="81" t="str">
        <f>IF($N113="","",INDEX(Azioni!$I:$I,$N113)&amp;"")</f>
        <v/>
      </c>
      <c r="H113" s="83" t="str">
        <f>IF($N113="","",IF(INDEX(Azioni!$J:$J,$N113)="","",INDEX(Azioni!$J:$J,$N113)))</f>
        <v/>
      </c>
      <c r="I113" s="83" t="str">
        <f>IF(OR($N113="",H113=""),"",IF(OR(G113="Approvata",G113="In corso"),EDATE(H113,N(INDEX(Azioni!$G:$G,$N113))),""))</f>
        <v/>
      </c>
      <c r="J113" s="81" t="str">
        <f>IF($N113="","",INDEX(Azioni!$L:$L,$N113)&amp;"")</f>
        <v/>
      </c>
      <c r="N11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spans="1:14" x14ac:dyDescent="0.4">
      <c r="A114" s="81" t="str">
        <f>IF($N114="","",INDEX(Azioni!$A:$A,$N114)&amp;"")</f>
        <v/>
      </c>
      <c r="B114" s="81" t="str">
        <f>IF($N114="","",INDEX(Azioni!$B:$B,$N114)&amp;"")</f>
        <v/>
      </c>
      <c r="C114" s="81" t="str">
        <f>IF($N114="","",INDEX(Azioni!$C:$C,$N114)&amp;"")</f>
        <v/>
      </c>
      <c r="D114" s="82" t="str">
        <f>IF($N114="","",INDEX(Azioni!$D:$D,$N114)&amp;"")</f>
        <v/>
      </c>
      <c r="E114" s="81" t="str">
        <f>IF($N114="","",INDEX(Azioni!$E:$E,$N114)&amp;"")</f>
        <v/>
      </c>
      <c r="F114" s="81" t="str">
        <f>IF($N114="","",INDEX(Azioni!$F:$F,$N114)&amp;"")</f>
        <v/>
      </c>
      <c r="G114" s="81" t="str">
        <f>IF($N114="","",INDEX(Azioni!$I:$I,$N114)&amp;"")</f>
        <v/>
      </c>
      <c r="H114" s="83" t="str">
        <f>IF($N114="","",IF(INDEX(Azioni!$J:$J,$N114)="","",INDEX(Azioni!$J:$J,$N114)))</f>
        <v/>
      </c>
      <c r="I114" s="83" t="str">
        <f>IF(OR($N114="",H114=""),"",IF(OR(G114="Approvata",G114="In corso"),EDATE(H114,N(INDEX(Azioni!$G:$G,$N114))),""))</f>
        <v/>
      </c>
      <c r="J114" s="81" t="str">
        <f>IF($N114="","",INDEX(Azioni!$L:$L,$N114)&amp;"")</f>
        <v/>
      </c>
      <c r="N11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spans="1:14" x14ac:dyDescent="0.4">
      <c r="A115" s="81" t="str">
        <f>IF($N115="","",INDEX(Azioni!$A:$A,$N115)&amp;"")</f>
        <v/>
      </c>
      <c r="B115" s="81" t="str">
        <f>IF($N115="","",INDEX(Azioni!$B:$B,$N115)&amp;"")</f>
        <v/>
      </c>
      <c r="C115" s="81" t="str">
        <f>IF($N115="","",INDEX(Azioni!$C:$C,$N115)&amp;"")</f>
        <v/>
      </c>
      <c r="D115" s="82" t="str">
        <f>IF($N115="","",INDEX(Azioni!$D:$D,$N115)&amp;"")</f>
        <v/>
      </c>
      <c r="E115" s="81" t="str">
        <f>IF($N115="","",INDEX(Azioni!$E:$E,$N115)&amp;"")</f>
        <v/>
      </c>
      <c r="F115" s="81" t="str">
        <f>IF($N115="","",INDEX(Azioni!$F:$F,$N115)&amp;"")</f>
        <v/>
      </c>
      <c r="G115" s="81" t="str">
        <f>IF($N115="","",INDEX(Azioni!$I:$I,$N115)&amp;"")</f>
        <v/>
      </c>
      <c r="H115" s="83" t="str">
        <f>IF($N115="","",IF(INDEX(Azioni!$J:$J,$N115)="","",INDEX(Azioni!$J:$J,$N115)))</f>
        <v/>
      </c>
      <c r="I115" s="83" t="str">
        <f>IF(OR($N115="",H115=""),"",IF(OR(G115="Approvata",G115="In corso"),EDATE(H115,N(INDEX(Azioni!$G:$G,$N115))),""))</f>
        <v/>
      </c>
      <c r="J115" s="81" t="str">
        <f>IF($N115="","",INDEX(Azioni!$L:$L,$N115)&amp;"")</f>
        <v/>
      </c>
      <c r="N11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spans="1:14" x14ac:dyDescent="0.4">
      <c r="A116" s="81" t="str">
        <f>IF($N116="","",INDEX(Azioni!$A:$A,$N116)&amp;"")</f>
        <v/>
      </c>
      <c r="B116" s="81" t="str">
        <f>IF($N116="","",INDEX(Azioni!$B:$B,$N116)&amp;"")</f>
        <v/>
      </c>
      <c r="C116" s="81" t="str">
        <f>IF($N116="","",INDEX(Azioni!$C:$C,$N116)&amp;"")</f>
        <v/>
      </c>
      <c r="D116" s="82" t="str">
        <f>IF($N116="","",INDEX(Azioni!$D:$D,$N116)&amp;"")</f>
        <v/>
      </c>
      <c r="E116" s="81" t="str">
        <f>IF($N116="","",INDEX(Azioni!$E:$E,$N116)&amp;"")</f>
        <v/>
      </c>
      <c r="F116" s="81" t="str">
        <f>IF($N116="","",INDEX(Azioni!$F:$F,$N116)&amp;"")</f>
        <v/>
      </c>
      <c r="G116" s="81" t="str">
        <f>IF($N116="","",INDEX(Azioni!$I:$I,$N116)&amp;"")</f>
        <v/>
      </c>
      <c r="H116" s="83" t="str">
        <f>IF($N116="","",IF(INDEX(Azioni!$J:$J,$N116)="","",INDEX(Azioni!$J:$J,$N116)))</f>
        <v/>
      </c>
      <c r="I116" s="83" t="str">
        <f>IF(OR($N116="",H116=""),"",IF(OR(G116="Approvata",G116="In corso"),EDATE(H116,N(INDEX(Azioni!$G:$G,$N116))),""))</f>
        <v/>
      </c>
      <c r="J116" s="81" t="str">
        <f>IF($N116="","",INDEX(Azioni!$L:$L,$N116)&amp;"")</f>
        <v/>
      </c>
      <c r="N11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spans="1:14" x14ac:dyDescent="0.4">
      <c r="A117" s="81" t="str">
        <f>IF($N117="","",INDEX(Azioni!$A:$A,$N117)&amp;"")</f>
        <v/>
      </c>
      <c r="B117" s="81" t="str">
        <f>IF($N117="","",INDEX(Azioni!$B:$B,$N117)&amp;"")</f>
        <v/>
      </c>
      <c r="C117" s="81" t="str">
        <f>IF($N117="","",INDEX(Azioni!$C:$C,$N117)&amp;"")</f>
        <v/>
      </c>
      <c r="D117" s="82" t="str">
        <f>IF($N117="","",INDEX(Azioni!$D:$D,$N117)&amp;"")</f>
        <v/>
      </c>
      <c r="E117" s="81" t="str">
        <f>IF($N117="","",INDEX(Azioni!$E:$E,$N117)&amp;"")</f>
        <v/>
      </c>
      <c r="F117" s="81" t="str">
        <f>IF($N117="","",INDEX(Azioni!$F:$F,$N117)&amp;"")</f>
        <v/>
      </c>
      <c r="G117" s="81" t="str">
        <f>IF($N117="","",INDEX(Azioni!$I:$I,$N117)&amp;"")</f>
        <v/>
      </c>
      <c r="H117" s="83" t="str">
        <f>IF($N117="","",IF(INDEX(Azioni!$J:$J,$N117)="","",INDEX(Azioni!$J:$J,$N117)))</f>
        <v/>
      </c>
      <c r="I117" s="83" t="str">
        <f>IF(OR($N117="",H117=""),"",IF(OR(G117="Approvata",G117="In corso"),EDATE(H117,N(INDEX(Azioni!$G:$G,$N117))),""))</f>
        <v/>
      </c>
      <c r="J117" s="81" t="str">
        <f>IF($N117="","",INDEX(Azioni!$L:$L,$N117)&amp;"")</f>
        <v/>
      </c>
      <c r="N11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spans="1:14" x14ac:dyDescent="0.4">
      <c r="A118" s="81" t="str">
        <f>IF($N118="","",INDEX(Azioni!$A:$A,$N118)&amp;"")</f>
        <v/>
      </c>
      <c r="B118" s="81" t="str">
        <f>IF($N118="","",INDEX(Azioni!$B:$B,$N118)&amp;"")</f>
        <v/>
      </c>
      <c r="C118" s="81" t="str">
        <f>IF($N118="","",INDEX(Azioni!$C:$C,$N118)&amp;"")</f>
        <v/>
      </c>
      <c r="D118" s="82" t="str">
        <f>IF($N118="","",INDEX(Azioni!$D:$D,$N118)&amp;"")</f>
        <v/>
      </c>
      <c r="E118" s="81" t="str">
        <f>IF($N118="","",INDEX(Azioni!$E:$E,$N118)&amp;"")</f>
        <v/>
      </c>
      <c r="F118" s="81" t="str">
        <f>IF($N118="","",INDEX(Azioni!$F:$F,$N118)&amp;"")</f>
        <v/>
      </c>
      <c r="G118" s="81" t="str">
        <f>IF($N118="","",INDEX(Azioni!$I:$I,$N118)&amp;"")</f>
        <v/>
      </c>
      <c r="H118" s="83" t="str">
        <f>IF($N118="","",IF(INDEX(Azioni!$J:$J,$N118)="","",INDEX(Azioni!$J:$J,$N118)))</f>
        <v/>
      </c>
      <c r="I118" s="83" t="str">
        <f>IF(OR($N118="",H118=""),"",IF(OR(G118="Approvata",G118="In corso"),EDATE(H118,N(INDEX(Azioni!$G:$G,$N118))),""))</f>
        <v/>
      </c>
      <c r="J118" s="81" t="str">
        <f>IF($N118="","",INDEX(Azioni!$L:$L,$N118)&amp;"")</f>
        <v/>
      </c>
      <c r="N11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spans="1:14" x14ac:dyDescent="0.4">
      <c r="A119" s="81" t="str">
        <f>IF($N119="","",INDEX(Azioni!$A:$A,$N119)&amp;"")</f>
        <v/>
      </c>
      <c r="B119" s="81" t="str">
        <f>IF($N119="","",INDEX(Azioni!$B:$B,$N119)&amp;"")</f>
        <v/>
      </c>
      <c r="C119" s="81" t="str">
        <f>IF($N119="","",INDEX(Azioni!$C:$C,$N119)&amp;"")</f>
        <v/>
      </c>
      <c r="D119" s="82" t="str">
        <f>IF($N119="","",INDEX(Azioni!$D:$D,$N119)&amp;"")</f>
        <v/>
      </c>
      <c r="E119" s="81" t="str">
        <f>IF($N119="","",INDEX(Azioni!$E:$E,$N119)&amp;"")</f>
        <v/>
      </c>
      <c r="F119" s="81" t="str">
        <f>IF($N119="","",INDEX(Azioni!$F:$F,$N119)&amp;"")</f>
        <v/>
      </c>
      <c r="G119" s="81" t="str">
        <f>IF($N119="","",INDEX(Azioni!$I:$I,$N119)&amp;"")</f>
        <v/>
      </c>
      <c r="H119" s="83" t="str">
        <f>IF($N119="","",IF(INDEX(Azioni!$J:$J,$N119)="","",INDEX(Azioni!$J:$J,$N119)))</f>
        <v/>
      </c>
      <c r="I119" s="83" t="str">
        <f>IF(OR($N119="",H119=""),"",IF(OR(G119="Approvata",G119="In corso"),EDATE(H119,N(INDEX(Azioni!$G:$G,$N119))),""))</f>
        <v/>
      </c>
      <c r="J119" s="81" t="str">
        <f>IF($N119="","",INDEX(Azioni!$L:$L,$N119)&amp;"")</f>
        <v/>
      </c>
      <c r="N11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spans="1:14" x14ac:dyDescent="0.4">
      <c r="A120" s="81" t="str">
        <f>IF($N120="","",INDEX(Azioni!$A:$A,$N120)&amp;"")</f>
        <v/>
      </c>
      <c r="B120" s="81" t="str">
        <f>IF($N120="","",INDEX(Azioni!$B:$B,$N120)&amp;"")</f>
        <v/>
      </c>
      <c r="C120" s="81" t="str">
        <f>IF($N120="","",INDEX(Azioni!$C:$C,$N120)&amp;"")</f>
        <v/>
      </c>
      <c r="D120" s="82" t="str">
        <f>IF($N120="","",INDEX(Azioni!$D:$D,$N120)&amp;"")</f>
        <v/>
      </c>
      <c r="E120" s="81" t="str">
        <f>IF($N120="","",INDEX(Azioni!$E:$E,$N120)&amp;"")</f>
        <v/>
      </c>
      <c r="F120" s="81" t="str">
        <f>IF($N120="","",INDEX(Azioni!$F:$F,$N120)&amp;"")</f>
        <v/>
      </c>
      <c r="G120" s="81" t="str">
        <f>IF($N120="","",INDEX(Azioni!$I:$I,$N120)&amp;"")</f>
        <v/>
      </c>
      <c r="H120" s="83" t="str">
        <f>IF($N120="","",IF(INDEX(Azioni!$J:$J,$N120)="","",INDEX(Azioni!$J:$J,$N120)))</f>
        <v/>
      </c>
      <c r="I120" s="83" t="str">
        <f>IF(OR($N120="",H120=""),"",IF(OR(G120="Approvata",G120="In corso"),EDATE(H120,N(INDEX(Azioni!$G:$G,$N120))),""))</f>
        <v/>
      </c>
      <c r="J120" s="81" t="str">
        <f>IF($N120="","",INDEX(Azioni!$L:$L,$N120)&amp;"")</f>
        <v/>
      </c>
      <c r="N12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spans="1:14" x14ac:dyDescent="0.4">
      <c r="A121" s="81" t="str">
        <f>IF($N121="","",INDEX(Azioni!$A:$A,$N121)&amp;"")</f>
        <v/>
      </c>
      <c r="B121" s="81" t="str">
        <f>IF($N121="","",INDEX(Azioni!$B:$B,$N121)&amp;"")</f>
        <v/>
      </c>
      <c r="C121" s="81" t="str">
        <f>IF($N121="","",INDEX(Azioni!$C:$C,$N121)&amp;"")</f>
        <v/>
      </c>
      <c r="D121" s="82" t="str">
        <f>IF($N121="","",INDEX(Azioni!$D:$D,$N121)&amp;"")</f>
        <v/>
      </c>
      <c r="E121" s="81" t="str">
        <f>IF($N121="","",INDEX(Azioni!$E:$E,$N121)&amp;"")</f>
        <v/>
      </c>
      <c r="F121" s="81" t="str">
        <f>IF($N121="","",INDEX(Azioni!$F:$F,$N121)&amp;"")</f>
        <v/>
      </c>
      <c r="G121" s="81" t="str">
        <f>IF($N121="","",INDEX(Azioni!$I:$I,$N121)&amp;"")</f>
        <v/>
      </c>
      <c r="H121" s="83" t="str">
        <f>IF($N121="","",IF(INDEX(Azioni!$J:$J,$N121)="","",INDEX(Azioni!$J:$J,$N121)))</f>
        <v/>
      </c>
      <c r="I121" s="83" t="str">
        <f>IF(OR($N121="",H121=""),"",IF(OR(G121="Approvata",G121="In corso"),EDATE(H121,N(INDEX(Azioni!$G:$G,$N121))),""))</f>
        <v/>
      </c>
      <c r="J121" s="81" t="str">
        <f>IF($N121="","",INDEX(Azioni!$L:$L,$N121)&amp;"")</f>
        <v/>
      </c>
      <c r="N12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spans="1:14" x14ac:dyDescent="0.4">
      <c r="A122" s="81" t="str">
        <f>IF($N122="","",INDEX(Azioni!$A:$A,$N122)&amp;"")</f>
        <v/>
      </c>
      <c r="B122" s="81" t="str">
        <f>IF($N122="","",INDEX(Azioni!$B:$B,$N122)&amp;"")</f>
        <v/>
      </c>
      <c r="C122" s="81" t="str">
        <f>IF($N122="","",INDEX(Azioni!$C:$C,$N122)&amp;"")</f>
        <v/>
      </c>
      <c r="D122" s="82" t="str">
        <f>IF($N122="","",INDEX(Azioni!$D:$D,$N122)&amp;"")</f>
        <v/>
      </c>
      <c r="E122" s="81" t="str">
        <f>IF($N122="","",INDEX(Azioni!$E:$E,$N122)&amp;"")</f>
        <v/>
      </c>
      <c r="F122" s="81" t="str">
        <f>IF($N122="","",INDEX(Azioni!$F:$F,$N122)&amp;"")</f>
        <v/>
      </c>
      <c r="G122" s="81" t="str">
        <f>IF($N122="","",INDEX(Azioni!$I:$I,$N122)&amp;"")</f>
        <v/>
      </c>
      <c r="H122" s="83" t="str">
        <f>IF($N122="","",IF(INDEX(Azioni!$J:$J,$N122)="","",INDEX(Azioni!$J:$J,$N122)))</f>
        <v/>
      </c>
      <c r="I122" s="83" t="str">
        <f>IF(OR($N122="",H122=""),"",IF(OR(G122="Approvata",G122="In corso"),EDATE(H122,N(INDEX(Azioni!$G:$G,$N122))),""))</f>
        <v/>
      </c>
      <c r="J122" s="81" t="str">
        <f>IF($N122="","",INDEX(Azioni!$L:$L,$N122)&amp;"")</f>
        <v/>
      </c>
      <c r="N12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spans="1:14" x14ac:dyDescent="0.4">
      <c r="A123" s="81" t="str">
        <f>IF($N123="","",INDEX(Azioni!$A:$A,$N123)&amp;"")</f>
        <v/>
      </c>
      <c r="B123" s="81" t="str">
        <f>IF($N123="","",INDEX(Azioni!$B:$B,$N123)&amp;"")</f>
        <v/>
      </c>
      <c r="C123" s="81" t="str">
        <f>IF($N123="","",INDEX(Azioni!$C:$C,$N123)&amp;"")</f>
        <v/>
      </c>
      <c r="D123" s="82" t="str">
        <f>IF($N123="","",INDEX(Azioni!$D:$D,$N123)&amp;"")</f>
        <v/>
      </c>
      <c r="E123" s="81" t="str">
        <f>IF($N123="","",INDEX(Azioni!$E:$E,$N123)&amp;"")</f>
        <v/>
      </c>
      <c r="F123" s="81" t="str">
        <f>IF($N123="","",INDEX(Azioni!$F:$F,$N123)&amp;"")</f>
        <v/>
      </c>
      <c r="G123" s="81" t="str">
        <f>IF($N123="","",INDEX(Azioni!$I:$I,$N123)&amp;"")</f>
        <v/>
      </c>
      <c r="H123" s="83" t="str">
        <f>IF($N123="","",IF(INDEX(Azioni!$J:$J,$N123)="","",INDEX(Azioni!$J:$J,$N123)))</f>
        <v/>
      </c>
      <c r="I123" s="83" t="str">
        <f>IF(OR($N123="",H123=""),"",IF(OR(G123="Approvata",G123="In corso"),EDATE(H123,N(INDEX(Azioni!$G:$G,$N123))),""))</f>
        <v/>
      </c>
      <c r="J123" s="81" t="str">
        <f>IF($N123="","",INDEX(Azioni!$L:$L,$N123)&amp;"")</f>
        <v/>
      </c>
      <c r="N12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spans="1:14" x14ac:dyDescent="0.4">
      <c r="A124" s="81" t="str">
        <f>IF($N124="","",INDEX(Azioni!$A:$A,$N124)&amp;"")</f>
        <v/>
      </c>
      <c r="B124" s="81" t="str">
        <f>IF($N124="","",INDEX(Azioni!$B:$B,$N124)&amp;"")</f>
        <v/>
      </c>
      <c r="C124" s="81" t="str">
        <f>IF($N124="","",INDEX(Azioni!$C:$C,$N124)&amp;"")</f>
        <v/>
      </c>
      <c r="D124" s="82" t="str">
        <f>IF($N124="","",INDEX(Azioni!$D:$D,$N124)&amp;"")</f>
        <v/>
      </c>
      <c r="E124" s="81" t="str">
        <f>IF($N124="","",INDEX(Azioni!$E:$E,$N124)&amp;"")</f>
        <v/>
      </c>
      <c r="F124" s="81" t="str">
        <f>IF($N124="","",INDEX(Azioni!$F:$F,$N124)&amp;"")</f>
        <v/>
      </c>
      <c r="G124" s="81" t="str">
        <f>IF($N124="","",INDEX(Azioni!$I:$I,$N124)&amp;"")</f>
        <v/>
      </c>
      <c r="H124" s="83" t="str">
        <f>IF($N124="","",IF(INDEX(Azioni!$J:$J,$N124)="","",INDEX(Azioni!$J:$J,$N124)))</f>
        <v/>
      </c>
      <c r="I124" s="83" t="str">
        <f>IF(OR($N124="",H124=""),"",IF(OR(G124="Approvata",G124="In corso"),EDATE(H124,N(INDEX(Azioni!$G:$G,$N124))),""))</f>
        <v/>
      </c>
      <c r="J124" s="81" t="str">
        <f>IF($N124="","",INDEX(Azioni!$L:$L,$N124)&amp;"")</f>
        <v/>
      </c>
      <c r="N12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spans="1:14" x14ac:dyDescent="0.4">
      <c r="A125" s="81" t="str">
        <f>IF($N125="","",INDEX(Azioni!$A:$A,$N125)&amp;"")</f>
        <v/>
      </c>
      <c r="B125" s="81" t="str">
        <f>IF($N125="","",INDEX(Azioni!$B:$B,$N125)&amp;"")</f>
        <v/>
      </c>
      <c r="C125" s="81" t="str">
        <f>IF($N125="","",INDEX(Azioni!$C:$C,$N125)&amp;"")</f>
        <v/>
      </c>
      <c r="D125" s="82" t="str">
        <f>IF($N125="","",INDEX(Azioni!$D:$D,$N125)&amp;"")</f>
        <v/>
      </c>
      <c r="E125" s="81" t="str">
        <f>IF($N125="","",INDEX(Azioni!$E:$E,$N125)&amp;"")</f>
        <v/>
      </c>
      <c r="F125" s="81" t="str">
        <f>IF($N125="","",INDEX(Azioni!$F:$F,$N125)&amp;"")</f>
        <v/>
      </c>
      <c r="G125" s="81" t="str">
        <f>IF($N125="","",INDEX(Azioni!$I:$I,$N125)&amp;"")</f>
        <v/>
      </c>
      <c r="H125" s="83" t="str">
        <f>IF($N125="","",IF(INDEX(Azioni!$J:$J,$N125)="","",INDEX(Azioni!$J:$J,$N125)))</f>
        <v/>
      </c>
      <c r="I125" s="83" t="str">
        <f>IF(OR($N125="",H125=""),"",IF(OR(G125="Approvata",G125="In corso"),EDATE(H125,N(INDEX(Azioni!$G:$G,$N125))),""))</f>
        <v/>
      </c>
      <c r="J125" s="81" t="str">
        <f>IF($N125="","",INDEX(Azioni!$L:$L,$N125)&amp;"")</f>
        <v/>
      </c>
      <c r="N12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spans="1:14" x14ac:dyDescent="0.4">
      <c r="A126" s="81" t="str">
        <f>IF($N126="","",INDEX(Azioni!$A:$A,$N126)&amp;"")</f>
        <v/>
      </c>
      <c r="B126" s="81" t="str">
        <f>IF($N126="","",INDEX(Azioni!$B:$B,$N126)&amp;"")</f>
        <v/>
      </c>
      <c r="C126" s="81" t="str">
        <f>IF($N126="","",INDEX(Azioni!$C:$C,$N126)&amp;"")</f>
        <v/>
      </c>
      <c r="D126" s="82" t="str">
        <f>IF($N126="","",INDEX(Azioni!$D:$D,$N126)&amp;"")</f>
        <v/>
      </c>
      <c r="E126" s="81" t="str">
        <f>IF($N126="","",INDEX(Azioni!$E:$E,$N126)&amp;"")</f>
        <v/>
      </c>
      <c r="F126" s="81" t="str">
        <f>IF($N126="","",INDEX(Azioni!$F:$F,$N126)&amp;"")</f>
        <v/>
      </c>
      <c r="G126" s="81" t="str">
        <f>IF($N126="","",INDEX(Azioni!$I:$I,$N126)&amp;"")</f>
        <v/>
      </c>
      <c r="H126" s="83" t="str">
        <f>IF($N126="","",IF(INDEX(Azioni!$J:$J,$N126)="","",INDEX(Azioni!$J:$J,$N126)))</f>
        <v/>
      </c>
      <c r="I126" s="83" t="str">
        <f>IF(OR($N126="",H126=""),"",IF(OR(G126="Approvata",G126="In corso"),EDATE(H126,N(INDEX(Azioni!$G:$G,$N126))),""))</f>
        <v/>
      </c>
      <c r="J126" s="81" t="str">
        <f>IF($N126="","",INDEX(Azioni!$L:$L,$N126)&amp;"")</f>
        <v/>
      </c>
      <c r="N12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spans="1:14" x14ac:dyDescent="0.4">
      <c r="A127" s="81" t="str">
        <f>IF($N127="","",INDEX(Azioni!$A:$A,$N127)&amp;"")</f>
        <v/>
      </c>
      <c r="B127" s="81" t="str">
        <f>IF($N127="","",INDEX(Azioni!$B:$B,$N127)&amp;"")</f>
        <v/>
      </c>
      <c r="C127" s="81" t="str">
        <f>IF($N127="","",INDEX(Azioni!$C:$C,$N127)&amp;"")</f>
        <v/>
      </c>
      <c r="D127" s="82" t="str">
        <f>IF($N127="","",INDEX(Azioni!$D:$D,$N127)&amp;"")</f>
        <v/>
      </c>
      <c r="E127" s="81" t="str">
        <f>IF($N127="","",INDEX(Azioni!$E:$E,$N127)&amp;"")</f>
        <v/>
      </c>
      <c r="F127" s="81" t="str">
        <f>IF($N127="","",INDEX(Azioni!$F:$F,$N127)&amp;"")</f>
        <v/>
      </c>
      <c r="G127" s="81" t="str">
        <f>IF($N127="","",INDEX(Azioni!$I:$I,$N127)&amp;"")</f>
        <v/>
      </c>
      <c r="H127" s="83" t="str">
        <f>IF($N127="","",IF(INDEX(Azioni!$J:$J,$N127)="","",INDEX(Azioni!$J:$J,$N127)))</f>
        <v/>
      </c>
      <c r="I127" s="83" t="str">
        <f>IF(OR($N127="",H127=""),"",IF(OR(G127="Approvata",G127="In corso"),EDATE(H127,N(INDEX(Azioni!$G:$G,$N127))),""))</f>
        <v/>
      </c>
      <c r="J127" s="81" t="str">
        <f>IF($N127="","",INDEX(Azioni!$L:$L,$N127)&amp;"")</f>
        <v/>
      </c>
      <c r="N12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spans="1:14" x14ac:dyDescent="0.4">
      <c r="A128" s="81" t="str">
        <f>IF($N128="","",INDEX(Azioni!$A:$A,$N128)&amp;"")</f>
        <v/>
      </c>
      <c r="B128" s="81" t="str">
        <f>IF($N128="","",INDEX(Azioni!$B:$B,$N128)&amp;"")</f>
        <v/>
      </c>
      <c r="C128" s="81" t="str">
        <f>IF($N128="","",INDEX(Azioni!$C:$C,$N128)&amp;"")</f>
        <v/>
      </c>
      <c r="D128" s="82" t="str">
        <f>IF($N128="","",INDEX(Azioni!$D:$D,$N128)&amp;"")</f>
        <v/>
      </c>
      <c r="E128" s="81" t="str">
        <f>IF($N128="","",INDEX(Azioni!$E:$E,$N128)&amp;"")</f>
        <v/>
      </c>
      <c r="F128" s="81" t="str">
        <f>IF($N128="","",INDEX(Azioni!$F:$F,$N128)&amp;"")</f>
        <v/>
      </c>
      <c r="G128" s="81" t="str">
        <f>IF($N128="","",INDEX(Azioni!$I:$I,$N128)&amp;"")</f>
        <v/>
      </c>
      <c r="H128" s="83" t="str">
        <f>IF($N128="","",IF(INDEX(Azioni!$J:$J,$N128)="","",INDEX(Azioni!$J:$J,$N128)))</f>
        <v/>
      </c>
      <c r="I128" s="83" t="str">
        <f>IF(OR($N128="",H128=""),"",IF(OR(G128="Approvata",G128="In corso"),EDATE(H128,N(INDEX(Azioni!$G:$G,$N128))),""))</f>
        <v/>
      </c>
      <c r="J128" s="81" t="str">
        <f>IF($N128="","",INDEX(Azioni!$L:$L,$N128)&amp;"")</f>
        <v/>
      </c>
      <c r="N12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spans="1:14" x14ac:dyDescent="0.4">
      <c r="A129" s="81" t="str">
        <f>IF($N129="","",INDEX(Azioni!$A:$A,$N129)&amp;"")</f>
        <v/>
      </c>
      <c r="B129" s="81" t="str">
        <f>IF($N129="","",INDEX(Azioni!$B:$B,$N129)&amp;"")</f>
        <v/>
      </c>
      <c r="C129" s="81" t="str">
        <f>IF($N129="","",INDEX(Azioni!$C:$C,$N129)&amp;"")</f>
        <v/>
      </c>
      <c r="D129" s="82" t="str">
        <f>IF($N129="","",INDEX(Azioni!$D:$D,$N129)&amp;"")</f>
        <v/>
      </c>
      <c r="E129" s="81" t="str">
        <f>IF($N129="","",INDEX(Azioni!$E:$E,$N129)&amp;"")</f>
        <v/>
      </c>
      <c r="F129" s="81" t="str">
        <f>IF($N129="","",INDEX(Azioni!$F:$F,$N129)&amp;"")</f>
        <v/>
      </c>
      <c r="G129" s="81" t="str">
        <f>IF($N129="","",INDEX(Azioni!$I:$I,$N129)&amp;"")</f>
        <v/>
      </c>
      <c r="H129" s="83" t="str">
        <f>IF($N129="","",IF(INDEX(Azioni!$J:$J,$N129)="","",INDEX(Azioni!$J:$J,$N129)))</f>
        <v/>
      </c>
      <c r="I129" s="83" t="str">
        <f>IF(OR($N129="",H129=""),"",IF(OR(G129="Approvata",G129="In corso"),EDATE(H129,N(INDEX(Azioni!$G:$G,$N129))),""))</f>
        <v/>
      </c>
      <c r="J129" s="81" t="str">
        <f>IF($N129="","",INDEX(Azioni!$L:$L,$N129)&amp;"")</f>
        <v/>
      </c>
      <c r="N12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spans="1:14" x14ac:dyDescent="0.4">
      <c r="A130" s="81" t="str">
        <f>IF($N130="","",INDEX(Azioni!$A:$A,$N130)&amp;"")</f>
        <v/>
      </c>
      <c r="B130" s="81" t="str">
        <f>IF($N130="","",INDEX(Azioni!$B:$B,$N130)&amp;"")</f>
        <v/>
      </c>
      <c r="C130" s="81" t="str">
        <f>IF($N130="","",INDEX(Azioni!$C:$C,$N130)&amp;"")</f>
        <v/>
      </c>
      <c r="D130" s="82" t="str">
        <f>IF($N130="","",INDEX(Azioni!$D:$D,$N130)&amp;"")</f>
        <v/>
      </c>
      <c r="E130" s="81" t="str">
        <f>IF($N130="","",INDEX(Azioni!$E:$E,$N130)&amp;"")</f>
        <v/>
      </c>
      <c r="F130" s="81" t="str">
        <f>IF($N130="","",INDEX(Azioni!$F:$F,$N130)&amp;"")</f>
        <v/>
      </c>
      <c r="G130" s="81" t="str">
        <f>IF($N130="","",INDEX(Azioni!$I:$I,$N130)&amp;"")</f>
        <v/>
      </c>
      <c r="H130" s="83" t="str">
        <f>IF($N130="","",IF(INDEX(Azioni!$J:$J,$N130)="","",INDEX(Azioni!$J:$J,$N130)))</f>
        <v/>
      </c>
      <c r="I130" s="83" t="str">
        <f>IF(OR($N130="",H130=""),"",IF(OR(G130="Approvata",G130="In corso"),EDATE(H130,N(INDEX(Azioni!$G:$G,$N130))),""))</f>
        <v/>
      </c>
      <c r="J130" s="81" t="str">
        <f>IF($N130="","",INDEX(Azioni!$L:$L,$N130)&amp;"")</f>
        <v/>
      </c>
      <c r="N13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spans="1:14" x14ac:dyDescent="0.4">
      <c r="A131" s="81" t="str">
        <f>IF($N131="","",INDEX(Azioni!$A:$A,$N131)&amp;"")</f>
        <v/>
      </c>
      <c r="B131" s="81" t="str">
        <f>IF($N131="","",INDEX(Azioni!$B:$B,$N131)&amp;"")</f>
        <v/>
      </c>
      <c r="C131" s="81" t="str">
        <f>IF($N131="","",INDEX(Azioni!$C:$C,$N131)&amp;"")</f>
        <v/>
      </c>
      <c r="D131" s="82" t="str">
        <f>IF($N131="","",INDEX(Azioni!$D:$D,$N131)&amp;"")</f>
        <v/>
      </c>
      <c r="E131" s="81" t="str">
        <f>IF($N131="","",INDEX(Azioni!$E:$E,$N131)&amp;"")</f>
        <v/>
      </c>
      <c r="F131" s="81" t="str">
        <f>IF($N131="","",INDEX(Azioni!$F:$F,$N131)&amp;"")</f>
        <v/>
      </c>
      <c r="G131" s="81" t="str">
        <f>IF($N131="","",INDEX(Azioni!$I:$I,$N131)&amp;"")</f>
        <v/>
      </c>
      <c r="H131" s="83" t="str">
        <f>IF($N131="","",IF(INDEX(Azioni!$J:$J,$N131)="","",INDEX(Azioni!$J:$J,$N131)))</f>
        <v/>
      </c>
      <c r="I131" s="83" t="str">
        <f>IF(OR($N131="",H131=""),"",IF(OR(G131="Approvata",G131="In corso"),EDATE(H131,N(INDEX(Azioni!$G:$G,$N131))),""))</f>
        <v/>
      </c>
      <c r="J131" s="81" t="str">
        <f>IF($N131="","",INDEX(Azioni!$L:$L,$N131)&amp;"")</f>
        <v/>
      </c>
      <c r="N13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spans="1:14" x14ac:dyDescent="0.4">
      <c r="A132" s="81" t="str">
        <f>IF($N132="","",INDEX(Azioni!$A:$A,$N132)&amp;"")</f>
        <v/>
      </c>
      <c r="B132" s="81" t="str">
        <f>IF($N132="","",INDEX(Azioni!$B:$B,$N132)&amp;"")</f>
        <v/>
      </c>
      <c r="C132" s="81" t="str">
        <f>IF($N132="","",INDEX(Azioni!$C:$C,$N132)&amp;"")</f>
        <v/>
      </c>
      <c r="D132" s="82" t="str">
        <f>IF($N132="","",INDEX(Azioni!$D:$D,$N132)&amp;"")</f>
        <v/>
      </c>
      <c r="E132" s="81" t="str">
        <f>IF($N132="","",INDEX(Azioni!$E:$E,$N132)&amp;"")</f>
        <v/>
      </c>
      <c r="F132" s="81" t="str">
        <f>IF($N132="","",INDEX(Azioni!$F:$F,$N132)&amp;"")</f>
        <v/>
      </c>
      <c r="G132" s="81" t="str">
        <f>IF($N132="","",INDEX(Azioni!$I:$I,$N132)&amp;"")</f>
        <v/>
      </c>
      <c r="H132" s="83" t="str">
        <f>IF($N132="","",IF(INDEX(Azioni!$J:$J,$N132)="","",INDEX(Azioni!$J:$J,$N132)))</f>
        <v/>
      </c>
      <c r="I132" s="83" t="str">
        <f>IF(OR($N132="",H132=""),"",IF(OR(G132="Approvata",G132="In corso"),EDATE(H132,N(INDEX(Azioni!$G:$G,$N132))),""))</f>
        <v/>
      </c>
      <c r="J132" s="81" t="str">
        <f>IF($N132="","",INDEX(Azioni!$L:$L,$N132)&amp;"")</f>
        <v/>
      </c>
      <c r="N13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spans="1:14" x14ac:dyDescent="0.4">
      <c r="A133" s="81" t="str">
        <f>IF($N133="","",INDEX(Azioni!$A:$A,$N133)&amp;"")</f>
        <v/>
      </c>
      <c r="B133" s="81" t="str">
        <f>IF($N133="","",INDEX(Azioni!$B:$B,$N133)&amp;"")</f>
        <v/>
      </c>
      <c r="C133" s="81" t="str">
        <f>IF($N133="","",INDEX(Azioni!$C:$C,$N133)&amp;"")</f>
        <v/>
      </c>
      <c r="D133" s="82" t="str">
        <f>IF($N133="","",INDEX(Azioni!$D:$D,$N133)&amp;"")</f>
        <v/>
      </c>
      <c r="E133" s="81" t="str">
        <f>IF($N133="","",INDEX(Azioni!$E:$E,$N133)&amp;"")</f>
        <v/>
      </c>
      <c r="F133" s="81" t="str">
        <f>IF($N133="","",INDEX(Azioni!$F:$F,$N133)&amp;"")</f>
        <v/>
      </c>
      <c r="G133" s="81" t="str">
        <f>IF($N133="","",INDEX(Azioni!$I:$I,$N133)&amp;"")</f>
        <v/>
      </c>
      <c r="H133" s="83" t="str">
        <f>IF($N133="","",IF(INDEX(Azioni!$J:$J,$N133)="","",INDEX(Azioni!$J:$J,$N133)))</f>
        <v/>
      </c>
      <c r="I133" s="83" t="str">
        <f>IF(OR($N133="",H133=""),"",IF(OR(G133="Approvata",G133="In corso"),EDATE(H133,N(INDEX(Azioni!$G:$G,$N133))),""))</f>
        <v/>
      </c>
      <c r="J133" s="81" t="str">
        <f>IF($N133="","",INDEX(Azioni!$L:$L,$N133)&amp;"")</f>
        <v/>
      </c>
      <c r="N1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spans="1:14" x14ac:dyDescent="0.4">
      <c r="A134" s="81" t="str">
        <f>IF($N134="","",INDEX(Azioni!$A:$A,$N134)&amp;"")</f>
        <v/>
      </c>
      <c r="B134" s="81" t="str">
        <f>IF($N134="","",INDEX(Azioni!$B:$B,$N134)&amp;"")</f>
        <v/>
      </c>
      <c r="C134" s="81" t="str">
        <f>IF($N134="","",INDEX(Azioni!$C:$C,$N134)&amp;"")</f>
        <v/>
      </c>
      <c r="D134" s="82" t="str">
        <f>IF($N134="","",INDEX(Azioni!$D:$D,$N134)&amp;"")</f>
        <v/>
      </c>
      <c r="E134" s="81" t="str">
        <f>IF($N134="","",INDEX(Azioni!$E:$E,$N134)&amp;"")</f>
        <v/>
      </c>
      <c r="F134" s="81" t="str">
        <f>IF($N134="","",INDEX(Azioni!$F:$F,$N134)&amp;"")</f>
        <v/>
      </c>
      <c r="G134" s="81" t="str">
        <f>IF($N134="","",INDEX(Azioni!$I:$I,$N134)&amp;"")</f>
        <v/>
      </c>
      <c r="H134" s="83" t="str">
        <f>IF($N134="","",IF(INDEX(Azioni!$J:$J,$N134)="","",INDEX(Azioni!$J:$J,$N134)))</f>
        <v/>
      </c>
      <c r="I134" s="83" t="str">
        <f>IF(OR($N134="",H134=""),"",IF(OR(G134="Approvata",G134="In corso"),EDATE(H134,N(INDEX(Azioni!$G:$G,$N134))),""))</f>
        <v/>
      </c>
      <c r="J134" s="81" t="str">
        <f>IF($N134="","",INDEX(Azioni!$L:$L,$N134)&amp;"")</f>
        <v/>
      </c>
      <c r="N1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spans="1:14" x14ac:dyDescent="0.4">
      <c r="A135" s="81" t="str">
        <f>IF($N135="","",INDEX(Azioni!$A:$A,$N135)&amp;"")</f>
        <v/>
      </c>
      <c r="B135" s="81" t="str">
        <f>IF($N135="","",INDEX(Azioni!$B:$B,$N135)&amp;"")</f>
        <v/>
      </c>
      <c r="C135" s="81" t="str">
        <f>IF($N135="","",INDEX(Azioni!$C:$C,$N135)&amp;"")</f>
        <v/>
      </c>
      <c r="D135" s="82" t="str">
        <f>IF($N135="","",INDEX(Azioni!$D:$D,$N135)&amp;"")</f>
        <v/>
      </c>
      <c r="E135" s="81" t="str">
        <f>IF($N135="","",INDEX(Azioni!$E:$E,$N135)&amp;"")</f>
        <v/>
      </c>
      <c r="F135" s="81" t="str">
        <f>IF($N135="","",INDEX(Azioni!$F:$F,$N135)&amp;"")</f>
        <v/>
      </c>
      <c r="G135" s="81" t="str">
        <f>IF($N135="","",INDEX(Azioni!$I:$I,$N135)&amp;"")</f>
        <v/>
      </c>
      <c r="H135" s="83" t="str">
        <f>IF($N135="","",IF(INDEX(Azioni!$J:$J,$N135)="","",INDEX(Azioni!$J:$J,$N135)))</f>
        <v/>
      </c>
      <c r="I135" s="83" t="str">
        <f>IF(OR($N135="",H135=""),"",IF(OR(G135="Approvata",G135="In corso"),EDATE(H135,N(INDEX(Azioni!$G:$G,$N135))),""))</f>
        <v/>
      </c>
      <c r="J135" s="81" t="str">
        <f>IF($N135="","",INDEX(Azioni!$L:$L,$N135)&amp;"")</f>
        <v/>
      </c>
      <c r="N1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spans="1:14" x14ac:dyDescent="0.4">
      <c r="A136" s="81" t="str">
        <f>IF($N136="","",INDEX(Azioni!$A:$A,$N136)&amp;"")</f>
        <v/>
      </c>
      <c r="B136" s="81" t="str">
        <f>IF($N136="","",INDEX(Azioni!$B:$B,$N136)&amp;"")</f>
        <v/>
      </c>
      <c r="C136" s="81" t="str">
        <f>IF($N136="","",INDEX(Azioni!$C:$C,$N136)&amp;"")</f>
        <v/>
      </c>
      <c r="D136" s="82" t="str">
        <f>IF($N136="","",INDEX(Azioni!$D:$D,$N136)&amp;"")</f>
        <v/>
      </c>
      <c r="E136" s="81" t="str">
        <f>IF($N136="","",INDEX(Azioni!$E:$E,$N136)&amp;"")</f>
        <v/>
      </c>
      <c r="F136" s="81" t="str">
        <f>IF($N136="","",INDEX(Azioni!$F:$F,$N136)&amp;"")</f>
        <v/>
      </c>
      <c r="G136" s="81" t="str">
        <f>IF($N136="","",INDEX(Azioni!$I:$I,$N136)&amp;"")</f>
        <v/>
      </c>
      <c r="H136" s="83" t="str">
        <f>IF($N136="","",IF(INDEX(Azioni!$J:$J,$N136)="","",INDEX(Azioni!$J:$J,$N136)))</f>
        <v/>
      </c>
      <c r="I136" s="83" t="str">
        <f>IF(OR($N136="",H136=""),"",IF(OR(G136="Approvata",G136="In corso"),EDATE(H136,N(INDEX(Azioni!$G:$G,$N136))),""))</f>
        <v/>
      </c>
      <c r="J136" s="81" t="str">
        <f>IF($N136="","",INDEX(Azioni!$L:$L,$N136)&amp;"")</f>
        <v/>
      </c>
      <c r="N1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spans="1:14" x14ac:dyDescent="0.4">
      <c r="A137" s="81" t="str">
        <f>IF($N137="","",INDEX(Azioni!$A:$A,$N137)&amp;"")</f>
        <v/>
      </c>
      <c r="B137" s="81" t="str">
        <f>IF($N137="","",INDEX(Azioni!$B:$B,$N137)&amp;"")</f>
        <v/>
      </c>
      <c r="C137" s="81" t="str">
        <f>IF($N137="","",INDEX(Azioni!$C:$C,$N137)&amp;"")</f>
        <v/>
      </c>
      <c r="D137" s="82" t="str">
        <f>IF($N137="","",INDEX(Azioni!$D:$D,$N137)&amp;"")</f>
        <v/>
      </c>
      <c r="E137" s="81" t="str">
        <f>IF($N137="","",INDEX(Azioni!$E:$E,$N137)&amp;"")</f>
        <v/>
      </c>
      <c r="F137" s="81" t="str">
        <f>IF($N137="","",INDEX(Azioni!$F:$F,$N137)&amp;"")</f>
        <v/>
      </c>
      <c r="G137" s="81" t="str">
        <f>IF($N137="","",INDEX(Azioni!$I:$I,$N137)&amp;"")</f>
        <v/>
      </c>
      <c r="H137" s="83" t="str">
        <f>IF($N137="","",IF(INDEX(Azioni!$J:$J,$N137)="","",INDEX(Azioni!$J:$J,$N137)))</f>
        <v/>
      </c>
      <c r="I137" s="83" t="str">
        <f>IF(OR($N137="",H137=""),"",IF(OR(G137="Approvata",G137="In corso"),EDATE(H137,N(INDEX(Azioni!$G:$G,$N137))),""))</f>
        <v/>
      </c>
      <c r="J137" s="81" t="str">
        <f>IF($N137="","",INDEX(Azioni!$L:$L,$N137)&amp;"")</f>
        <v/>
      </c>
      <c r="N1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spans="1:14" x14ac:dyDescent="0.4">
      <c r="A138" s="81" t="str">
        <f>IF($N138="","",INDEX(Azioni!$A:$A,$N138)&amp;"")</f>
        <v/>
      </c>
      <c r="B138" s="81" t="str">
        <f>IF($N138="","",INDEX(Azioni!$B:$B,$N138)&amp;"")</f>
        <v/>
      </c>
      <c r="C138" s="81" t="str">
        <f>IF($N138="","",INDEX(Azioni!$C:$C,$N138)&amp;"")</f>
        <v/>
      </c>
      <c r="D138" s="82" t="str">
        <f>IF($N138="","",INDEX(Azioni!$D:$D,$N138)&amp;"")</f>
        <v/>
      </c>
      <c r="E138" s="81" t="str">
        <f>IF($N138="","",INDEX(Azioni!$E:$E,$N138)&amp;"")</f>
        <v/>
      </c>
      <c r="F138" s="81" t="str">
        <f>IF($N138="","",INDEX(Azioni!$F:$F,$N138)&amp;"")</f>
        <v/>
      </c>
      <c r="G138" s="81" t="str">
        <f>IF($N138="","",INDEX(Azioni!$I:$I,$N138)&amp;"")</f>
        <v/>
      </c>
      <c r="H138" s="83" t="str">
        <f>IF($N138="","",IF(INDEX(Azioni!$J:$J,$N138)="","",INDEX(Azioni!$J:$J,$N138)))</f>
        <v/>
      </c>
      <c r="I138" s="83" t="str">
        <f>IF(OR($N138="",H138=""),"",IF(OR(G138="Approvata",G138="In corso"),EDATE(H138,N(INDEX(Azioni!$G:$G,$N138))),""))</f>
        <v/>
      </c>
      <c r="J138" s="81" t="str">
        <f>IF($N138="","",INDEX(Azioni!$L:$L,$N138)&amp;"")</f>
        <v/>
      </c>
      <c r="N1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spans="1:14" x14ac:dyDescent="0.4">
      <c r="A139" s="81" t="str">
        <f>IF($N139="","",INDEX(Azioni!$A:$A,$N139)&amp;"")</f>
        <v/>
      </c>
      <c r="B139" s="81" t="str">
        <f>IF($N139="","",INDEX(Azioni!$B:$B,$N139)&amp;"")</f>
        <v/>
      </c>
      <c r="C139" s="81" t="str">
        <f>IF($N139="","",INDEX(Azioni!$C:$C,$N139)&amp;"")</f>
        <v/>
      </c>
      <c r="D139" s="82" t="str">
        <f>IF($N139="","",INDEX(Azioni!$D:$D,$N139)&amp;"")</f>
        <v/>
      </c>
      <c r="E139" s="81" t="str">
        <f>IF($N139="","",INDEX(Azioni!$E:$E,$N139)&amp;"")</f>
        <v/>
      </c>
      <c r="F139" s="81" t="str">
        <f>IF($N139="","",INDEX(Azioni!$F:$F,$N139)&amp;"")</f>
        <v/>
      </c>
      <c r="G139" s="81" t="str">
        <f>IF($N139="","",INDEX(Azioni!$I:$I,$N139)&amp;"")</f>
        <v/>
      </c>
      <c r="H139" s="83" t="str">
        <f>IF($N139="","",IF(INDEX(Azioni!$J:$J,$N139)="","",INDEX(Azioni!$J:$J,$N139)))</f>
        <v/>
      </c>
      <c r="I139" s="83" t="str">
        <f>IF(OR($N139="",H139=""),"",IF(OR(G139="Approvata",G139="In corso"),EDATE(H139,N(INDEX(Azioni!$G:$G,$N139))),""))</f>
        <v/>
      </c>
      <c r="J139" s="81" t="str">
        <f>IF($N139="","",INDEX(Azioni!$L:$L,$N139)&amp;"")</f>
        <v/>
      </c>
      <c r="N1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spans="1:14" x14ac:dyDescent="0.4">
      <c r="A140" s="81" t="str">
        <f>IF($N140="","",INDEX(Azioni!$A:$A,$N140)&amp;"")</f>
        <v/>
      </c>
      <c r="B140" s="81" t="str">
        <f>IF($N140="","",INDEX(Azioni!$B:$B,$N140)&amp;"")</f>
        <v/>
      </c>
      <c r="C140" s="81" t="str">
        <f>IF($N140="","",INDEX(Azioni!$C:$C,$N140)&amp;"")</f>
        <v/>
      </c>
      <c r="D140" s="82" t="str">
        <f>IF($N140="","",INDEX(Azioni!$D:$D,$N140)&amp;"")</f>
        <v/>
      </c>
      <c r="E140" s="81" t="str">
        <f>IF($N140="","",INDEX(Azioni!$E:$E,$N140)&amp;"")</f>
        <v/>
      </c>
      <c r="F140" s="81" t="str">
        <f>IF($N140="","",INDEX(Azioni!$F:$F,$N140)&amp;"")</f>
        <v/>
      </c>
      <c r="G140" s="81" t="str">
        <f>IF($N140="","",INDEX(Azioni!$I:$I,$N140)&amp;"")</f>
        <v/>
      </c>
      <c r="H140" s="83" t="str">
        <f>IF($N140="","",IF(INDEX(Azioni!$J:$J,$N140)="","",INDEX(Azioni!$J:$J,$N140)))</f>
        <v/>
      </c>
      <c r="I140" s="83" t="str">
        <f>IF(OR($N140="",H140=""),"",IF(OR(G140="Approvata",G140="In corso"),EDATE(H140,N(INDEX(Azioni!$G:$G,$N140))),""))</f>
        <v/>
      </c>
      <c r="J140" s="81" t="str">
        <f>IF($N140="","",INDEX(Azioni!$L:$L,$N140)&amp;"")</f>
        <v/>
      </c>
      <c r="N1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spans="1:14" x14ac:dyDescent="0.4">
      <c r="A141" s="81" t="str">
        <f>IF($N141="","",INDEX(Azioni!$A:$A,$N141)&amp;"")</f>
        <v/>
      </c>
      <c r="B141" s="81" t="str">
        <f>IF($N141="","",INDEX(Azioni!$B:$B,$N141)&amp;"")</f>
        <v/>
      </c>
      <c r="C141" s="81" t="str">
        <f>IF($N141="","",INDEX(Azioni!$C:$C,$N141)&amp;"")</f>
        <v/>
      </c>
      <c r="D141" s="82" t="str">
        <f>IF($N141="","",INDEX(Azioni!$D:$D,$N141)&amp;"")</f>
        <v/>
      </c>
      <c r="E141" s="81" t="str">
        <f>IF($N141="","",INDEX(Azioni!$E:$E,$N141)&amp;"")</f>
        <v/>
      </c>
      <c r="F141" s="81" t="str">
        <f>IF($N141="","",INDEX(Azioni!$F:$F,$N141)&amp;"")</f>
        <v/>
      </c>
      <c r="G141" s="81" t="str">
        <f>IF($N141="","",INDEX(Azioni!$I:$I,$N141)&amp;"")</f>
        <v/>
      </c>
      <c r="H141" s="83" t="str">
        <f>IF($N141="","",IF(INDEX(Azioni!$J:$J,$N141)="","",INDEX(Azioni!$J:$J,$N141)))</f>
        <v/>
      </c>
      <c r="I141" s="83" t="str">
        <f>IF(OR($N141="",H141=""),"",IF(OR(G141="Approvata",G141="In corso"),EDATE(H141,N(INDEX(Azioni!$G:$G,$N141))),""))</f>
        <v/>
      </c>
      <c r="J141" s="81" t="str">
        <f>IF($N141="","",INDEX(Azioni!$L:$L,$N141)&amp;"")</f>
        <v/>
      </c>
      <c r="N1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spans="1:14" x14ac:dyDescent="0.4">
      <c r="A142" s="81" t="str">
        <f>IF($N142="","",INDEX(Azioni!$A:$A,$N142)&amp;"")</f>
        <v/>
      </c>
      <c r="B142" s="81" t="str">
        <f>IF($N142="","",INDEX(Azioni!$B:$B,$N142)&amp;"")</f>
        <v/>
      </c>
      <c r="C142" s="81" t="str">
        <f>IF($N142="","",INDEX(Azioni!$C:$C,$N142)&amp;"")</f>
        <v/>
      </c>
      <c r="D142" s="82" t="str">
        <f>IF($N142="","",INDEX(Azioni!$D:$D,$N142)&amp;"")</f>
        <v/>
      </c>
      <c r="E142" s="81" t="str">
        <f>IF($N142="","",INDEX(Azioni!$E:$E,$N142)&amp;"")</f>
        <v/>
      </c>
      <c r="F142" s="81" t="str">
        <f>IF($N142="","",INDEX(Azioni!$F:$F,$N142)&amp;"")</f>
        <v/>
      </c>
      <c r="G142" s="81" t="str">
        <f>IF($N142="","",INDEX(Azioni!$I:$I,$N142)&amp;"")</f>
        <v/>
      </c>
      <c r="H142" s="83" t="str">
        <f>IF($N142="","",IF(INDEX(Azioni!$J:$J,$N142)="","",INDEX(Azioni!$J:$J,$N142)))</f>
        <v/>
      </c>
      <c r="I142" s="83" t="str">
        <f>IF(OR($N142="",H142=""),"",IF(OR(G142="Approvata",G142="In corso"),EDATE(H142,N(INDEX(Azioni!$G:$G,$N142))),""))</f>
        <v/>
      </c>
      <c r="J142" s="81" t="str">
        <f>IF($N142="","",INDEX(Azioni!$L:$L,$N142)&amp;"")</f>
        <v/>
      </c>
      <c r="N1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spans="1:14" x14ac:dyDescent="0.4">
      <c r="A143" s="81" t="str">
        <f>IF($N143="","",INDEX(Azioni!$A:$A,$N143)&amp;"")</f>
        <v/>
      </c>
      <c r="B143" s="81" t="str">
        <f>IF($N143="","",INDEX(Azioni!$B:$B,$N143)&amp;"")</f>
        <v/>
      </c>
      <c r="C143" s="81" t="str">
        <f>IF($N143="","",INDEX(Azioni!$C:$C,$N143)&amp;"")</f>
        <v/>
      </c>
      <c r="D143" s="82" t="str">
        <f>IF($N143="","",INDEX(Azioni!$D:$D,$N143)&amp;"")</f>
        <v/>
      </c>
      <c r="E143" s="81" t="str">
        <f>IF($N143="","",INDEX(Azioni!$E:$E,$N143)&amp;"")</f>
        <v/>
      </c>
      <c r="F143" s="81" t="str">
        <f>IF($N143="","",INDEX(Azioni!$F:$F,$N143)&amp;"")</f>
        <v/>
      </c>
      <c r="G143" s="81" t="str">
        <f>IF($N143="","",INDEX(Azioni!$I:$I,$N143)&amp;"")</f>
        <v/>
      </c>
      <c r="H143" s="83" t="str">
        <f>IF($N143="","",IF(INDEX(Azioni!$J:$J,$N143)="","",INDEX(Azioni!$J:$J,$N143)))</f>
        <v/>
      </c>
      <c r="I143" s="83" t="str">
        <f>IF(OR($N143="",H143=""),"",IF(OR(G143="Approvata",G143="In corso"),EDATE(H143,N(INDEX(Azioni!$G:$G,$N143))),""))</f>
        <v/>
      </c>
      <c r="J143" s="81" t="str">
        <f>IF($N143="","",INDEX(Azioni!$L:$L,$N143)&amp;"")</f>
        <v/>
      </c>
      <c r="N1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spans="1:14" x14ac:dyDescent="0.4">
      <c r="A144" s="81" t="str">
        <f>IF($N144="","",INDEX(Azioni!$A:$A,$N144)&amp;"")</f>
        <v/>
      </c>
      <c r="B144" s="81" t="str">
        <f>IF($N144="","",INDEX(Azioni!$B:$B,$N144)&amp;"")</f>
        <v/>
      </c>
      <c r="C144" s="81" t="str">
        <f>IF($N144="","",INDEX(Azioni!$C:$C,$N144)&amp;"")</f>
        <v/>
      </c>
      <c r="D144" s="82" t="str">
        <f>IF($N144="","",INDEX(Azioni!$D:$D,$N144)&amp;"")</f>
        <v/>
      </c>
      <c r="E144" s="81" t="str">
        <f>IF($N144="","",INDEX(Azioni!$E:$E,$N144)&amp;"")</f>
        <v/>
      </c>
      <c r="F144" s="81" t="str">
        <f>IF($N144="","",INDEX(Azioni!$F:$F,$N144)&amp;"")</f>
        <v/>
      </c>
      <c r="G144" s="81" t="str">
        <f>IF($N144="","",INDEX(Azioni!$I:$I,$N144)&amp;"")</f>
        <v/>
      </c>
      <c r="H144" s="83" t="str">
        <f>IF($N144="","",IF(INDEX(Azioni!$J:$J,$N144)="","",INDEX(Azioni!$J:$J,$N144)))</f>
        <v/>
      </c>
      <c r="I144" s="83" t="str">
        <f>IF(OR($N144="",H144=""),"",IF(OR(G144="Approvata",G144="In corso"),EDATE(H144,N(INDEX(Azioni!$G:$G,$N144))),""))</f>
        <v/>
      </c>
      <c r="J144" s="81" t="str">
        <f>IF($N144="","",INDEX(Azioni!$L:$L,$N144)&amp;"")</f>
        <v/>
      </c>
      <c r="N1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spans="1:14" x14ac:dyDescent="0.4">
      <c r="A145" s="81" t="str">
        <f>IF($N145="","",INDEX(Azioni!$A:$A,$N145)&amp;"")</f>
        <v/>
      </c>
      <c r="B145" s="81" t="str">
        <f>IF($N145="","",INDEX(Azioni!$B:$B,$N145)&amp;"")</f>
        <v/>
      </c>
      <c r="C145" s="81" t="str">
        <f>IF($N145="","",INDEX(Azioni!$C:$C,$N145)&amp;"")</f>
        <v/>
      </c>
      <c r="D145" s="82" t="str">
        <f>IF($N145="","",INDEX(Azioni!$D:$D,$N145)&amp;"")</f>
        <v/>
      </c>
      <c r="E145" s="81" t="str">
        <f>IF($N145="","",INDEX(Azioni!$E:$E,$N145)&amp;"")</f>
        <v/>
      </c>
      <c r="F145" s="81" t="str">
        <f>IF($N145="","",INDEX(Azioni!$F:$F,$N145)&amp;"")</f>
        <v/>
      </c>
      <c r="G145" s="81" t="str">
        <f>IF($N145="","",INDEX(Azioni!$I:$I,$N145)&amp;"")</f>
        <v/>
      </c>
      <c r="H145" s="83" t="str">
        <f>IF($N145="","",IF(INDEX(Azioni!$J:$J,$N145)="","",INDEX(Azioni!$J:$J,$N145)))</f>
        <v/>
      </c>
      <c r="I145" s="83" t="str">
        <f>IF(OR($N145="",H145=""),"",IF(OR(G145="Approvata",G145="In corso"),EDATE(H145,N(INDEX(Azioni!$G:$G,$N145))),""))</f>
        <v/>
      </c>
      <c r="J145" s="81" t="str">
        <f>IF($N145="","",INDEX(Azioni!$L:$L,$N145)&amp;"")</f>
        <v/>
      </c>
      <c r="N1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spans="1:14" x14ac:dyDescent="0.4">
      <c r="A146" s="81" t="str">
        <f>IF($N146="","",INDEX(Azioni!$A:$A,$N146)&amp;"")</f>
        <v/>
      </c>
      <c r="B146" s="81" t="str">
        <f>IF($N146="","",INDEX(Azioni!$B:$B,$N146)&amp;"")</f>
        <v/>
      </c>
      <c r="C146" s="81" t="str">
        <f>IF($N146="","",INDEX(Azioni!$C:$C,$N146)&amp;"")</f>
        <v/>
      </c>
      <c r="D146" s="82" t="str">
        <f>IF($N146="","",INDEX(Azioni!$D:$D,$N146)&amp;"")</f>
        <v/>
      </c>
      <c r="E146" s="81" t="str">
        <f>IF($N146="","",INDEX(Azioni!$E:$E,$N146)&amp;"")</f>
        <v/>
      </c>
      <c r="F146" s="81" t="str">
        <f>IF($N146="","",INDEX(Azioni!$F:$F,$N146)&amp;"")</f>
        <v/>
      </c>
      <c r="G146" s="81" t="str">
        <f>IF($N146="","",INDEX(Azioni!$I:$I,$N146)&amp;"")</f>
        <v/>
      </c>
      <c r="H146" s="83" t="str">
        <f>IF($N146="","",IF(INDEX(Azioni!$J:$J,$N146)="","",INDEX(Azioni!$J:$J,$N146)))</f>
        <v/>
      </c>
      <c r="I146" s="83" t="str">
        <f>IF(OR($N146="",H146=""),"",IF(OR(G146="Approvata",G146="In corso"),EDATE(H146,N(INDEX(Azioni!$G:$G,$N146))),""))</f>
        <v/>
      </c>
      <c r="J146" s="81" t="str">
        <f>IF($N146="","",INDEX(Azioni!$L:$L,$N146)&amp;"")</f>
        <v/>
      </c>
      <c r="N1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spans="1:14" x14ac:dyDescent="0.4">
      <c r="A147" s="81" t="str">
        <f>IF($N147="","",INDEX(Azioni!$A:$A,$N147)&amp;"")</f>
        <v/>
      </c>
      <c r="B147" s="81" t="str">
        <f>IF($N147="","",INDEX(Azioni!$B:$B,$N147)&amp;"")</f>
        <v/>
      </c>
      <c r="C147" s="81" t="str">
        <f>IF($N147="","",INDEX(Azioni!$C:$C,$N147)&amp;"")</f>
        <v/>
      </c>
      <c r="D147" s="82" t="str">
        <f>IF($N147="","",INDEX(Azioni!$D:$D,$N147)&amp;"")</f>
        <v/>
      </c>
      <c r="E147" s="81" t="str">
        <f>IF($N147="","",INDEX(Azioni!$E:$E,$N147)&amp;"")</f>
        <v/>
      </c>
      <c r="F147" s="81" t="str">
        <f>IF($N147="","",INDEX(Azioni!$F:$F,$N147)&amp;"")</f>
        <v/>
      </c>
      <c r="G147" s="81" t="str">
        <f>IF($N147="","",INDEX(Azioni!$I:$I,$N147)&amp;"")</f>
        <v/>
      </c>
      <c r="H147" s="83" t="str">
        <f>IF($N147="","",IF(INDEX(Azioni!$J:$J,$N147)="","",INDEX(Azioni!$J:$J,$N147)))</f>
        <v/>
      </c>
      <c r="I147" s="83" t="str">
        <f>IF(OR($N147="",H147=""),"",IF(OR(G147="Approvata",G147="In corso"),EDATE(H147,N(INDEX(Azioni!$G:$G,$N147))),""))</f>
        <v/>
      </c>
      <c r="J147" s="81" t="str">
        <f>IF($N147="","",INDEX(Azioni!$L:$L,$N147)&amp;"")</f>
        <v/>
      </c>
      <c r="N1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spans="1:14" x14ac:dyDescent="0.4">
      <c r="A148" s="81" t="str">
        <f>IF($N148="","",INDEX(Azioni!$A:$A,$N148)&amp;"")</f>
        <v/>
      </c>
      <c r="B148" s="81" t="str">
        <f>IF($N148="","",INDEX(Azioni!$B:$B,$N148)&amp;"")</f>
        <v/>
      </c>
      <c r="C148" s="81" t="str">
        <f>IF($N148="","",INDEX(Azioni!$C:$C,$N148)&amp;"")</f>
        <v/>
      </c>
      <c r="D148" s="82" t="str">
        <f>IF($N148="","",INDEX(Azioni!$D:$D,$N148)&amp;"")</f>
        <v/>
      </c>
      <c r="E148" s="81" t="str">
        <f>IF($N148="","",INDEX(Azioni!$E:$E,$N148)&amp;"")</f>
        <v/>
      </c>
      <c r="F148" s="81" t="str">
        <f>IF($N148="","",INDEX(Azioni!$F:$F,$N148)&amp;"")</f>
        <v/>
      </c>
      <c r="G148" s="81" t="str">
        <f>IF($N148="","",INDEX(Azioni!$I:$I,$N148)&amp;"")</f>
        <v/>
      </c>
      <c r="H148" s="83" t="str">
        <f>IF($N148="","",IF(INDEX(Azioni!$J:$J,$N148)="","",INDEX(Azioni!$J:$J,$N148)))</f>
        <v/>
      </c>
      <c r="I148" s="83" t="str">
        <f>IF(OR($N148="",H148=""),"",IF(OR(G148="Approvata",G148="In corso"),EDATE(H148,N(INDEX(Azioni!$G:$G,$N148))),""))</f>
        <v/>
      </c>
      <c r="J148" s="81" t="str">
        <f>IF($N148="","",INDEX(Azioni!$L:$L,$N148)&amp;"")</f>
        <v/>
      </c>
      <c r="N1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spans="1:14" x14ac:dyDescent="0.4">
      <c r="A149" s="81" t="str">
        <f>IF($N149="","",INDEX(Azioni!$A:$A,$N149)&amp;"")</f>
        <v/>
      </c>
      <c r="B149" s="81" t="str">
        <f>IF($N149="","",INDEX(Azioni!$B:$B,$N149)&amp;"")</f>
        <v/>
      </c>
      <c r="C149" s="81" t="str">
        <f>IF($N149="","",INDEX(Azioni!$C:$C,$N149)&amp;"")</f>
        <v/>
      </c>
      <c r="D149" s="82" t="str">
        <f>IF($N149="","",INDEX(Azioni!$D:$D,$N149)&amp;"")</f>
        <v/>
      </c>
      <c r="E149" s="81" t="str">
        <f>IF($N149="","",INDEX(Azioni!$E:$E,$N149)&amp;"")</f>
        <v/>
      </c>
      <c r="F149" s="81" t="str">
        <f>IF($N149="","",INDEX(Azioni!$F:$F,$N149)&amp;"")</f>
        <v/>
      </c>
      <c r="G149" s="81" t="str">
        <f>IF($N149="","",INDEX(Azioni!$I:$I,$N149)&amp;"")</f>
        <v/>
      </c>
      <c r="H149" s="83" t="str">
        <f>IF($N149="","",IF(INDEX(Azioni!$J:$J,$N149)="","",INDEX(Azioni!$J:$J,$N149)))</f>
        <v/>
      </c>
      <c r="I149" s="83" t="str">
        <f>IF(OR($N149="",H149=""),"",IF(OR(G149="Approvata",G149="In corso"),EDATE(H149,N(INDEX(Azioni!$G:$G,$N149))),""))</f>
        <v/>
      </c>
      <c r="J149" s="81" t="str">
        <f>IF($N149="","",INDEX(Azioni!$L:$L,$N149)&amp;"")</f>
        <v/>
      </c>
      <c r="N1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spans="1:14" x14ac:dyDescent="0.4">
      <c r="A150" s="81" t="str">
        <f>IF($N150="","",INDEX(Azioni!$A:$A,$N150)&amp;"")</f>
        <v/>
      </c>
      <c r="B150" s="81" t="str">
        <f>IF($N150="","",INDEX(Azioni!$B:$B,$N150)&amp;"")</f>
        <v/>
      </c>
      <c r="C150" s="81" t="str">
        <f>IF($N150="","",INDEX(Azioni!$C:$C,$N150)&amp;"")</f>
        <v/>
      </c>
      <c r="D150" s="82" t="str">
        <f>IF($N150="","",INDEX(Azioni!$D:$D,$N150)&amp;"")</f>
        <v/>
      </c>
      <c r="E150" s="81" t="str">
        <f>IF($N150="","",INDEX(Azioni!$E:$E,$N150)&amp;"")</f>
        <v/>
      </c>
      <c r="F150" s="81" t="str">
        <f>IF($N150="","",INDEX(Azioni!$F:$F,$N150)&amp;"")</f>
        <v/>
      </c>
      <c r="G150" s="81" t="str">
        <f>IF($N150="","",INDEX(Azioni!$I:$I,$N150)&amp;"")</f>
        <v/>
      </c>
      <c r="H150" s="83" t="str">
        <f>IF($N150="","",IF(INDEX(Azioni!$J:$J,$N150)="","",INDEX(Azioni!$J:$J,$N150)))</f>
        <v/>
      </c>
      <c r="I150" s="83" t="str">
        <f>IF(OR($N150="",H150=""),"",IF(OR(G150="Approvata",G150="In corso"),EDATE(H150,N(INDEX(Azioni!$G:$G,$N150))),""))</f>
        <v/>
      </c>
      <c r="J150" s="81" t="str">
        <f>IF($N150="","",INDEX(Azioni!$L:$L,$N150)&amp;"")</f>
        <v/>
      </c>
      <c r="N1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spans="1:14" x14ac:dyDescent="0.4">
      <c r="A151" s="81" t="str">
        <f>IF($N151="","",INDEX(Azioni!$A:$A,$N151)&amp;"")</f>
        <v/>
      </c>
      <c r="B151" s="81" t="str">
        <f>IF($N151="","",INDEX(Azioni!$B:$B,$N151)&amp;"")</f>
        <v/>
      </c>
      <c r="C151" s="81" t="str">
        <f>IF($N151="","",INDEX(Azioni!$C:$C,$N151)&amp;"")</f>
        <v/>
      </c>
      <c r="D151" s="82" t="str">
        <f>IF($N151="","",INDEX(Azioni!$D:$D,$N151)&amp;"")</f>
        <v/>
      </c>
      <c r="E151" s="81" t="str">
        <f>IF($N151="","",INDEX(Azioni!$E:$E,$N151)&amp;"")</f>
        <v/>
      </c>
      <c r="F151" s="81" t="str">
        <f>IF($N151="","",INDEX(Azioni!$F:$F,$N151)&amp;"")</f>
        <v/>
      </c>
      <c r="G151" s="81" t="str">
        <f>IF($N151="","",INDEX(Azioni!$I:$I,$N151)&amp;"")</f>
        <v/>
      </c>
      <c r="H151" s="83" t="str">
        <f>IF($N151="","",IF(INDEX(Azioni!$J:$J,$N151)="","",INDEX(Azioni!$J:$J,$N151)))</f>
        <v/>
      </c>
      <c r="I151" s="83" t="str">
        <f>IF(OR($N151="",H151=""),"",IF(OR(G151="Approvata",G151="In corso"),EDATE(H151,N(INDEX(Azioni!$G:$G,$N151))),""))</f>
        <v/>
      </c>
      <c r="J151" s="81" t="str">
        <f>IF($N151="","",INDEX(Azioni!$L:$L,$N151)&amp;"")</f>
        <v/>
      </c>
      <c r="N1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spans="1:14" x14ac:dyDescent="0.4">
      <c r="A152" s="81" t="str">
        <f>IF($N152="","",INDEX(Azioni!$A:$A,$N152)&amp;"")</f>
        <v/>
      </c>
      <c r="B152" s="81" t="str">
        <f>IF($N152="","",INDEX(Azioni!$B:$B,$N152)&amp;"")</f>
        <v/>
      </c>
      <c r="C152" s="81" t="str">
        <f>IF($N152="","",INDEX(Azioni!$C:$C,$N152)&amp;"")</f>
        <v/>
      </c>
      <c r="D152" s="82" t="str">
        <f>IF($N152="","",INDEX(Azioni!$D:$D,$N152)&amp;"")</f>
        <v/>
      </c>
      <c r="E152" s="81" t="str">
        <f>IF($N152="","",INDEX(Azioni!$E:$E,$N152)&amp;"")</f>
        <v/>
      </c>
      <c r="F152" s="81" t="str">
        <f>IF($N152="","",INDEX(Azioni!$F:$F,$N152)&amp;"")</f>
        <v/>
      </c>
      <c r="G152" s="81" t="str">
        <f>IF($N152="","",INDEX(Azioni!$I:$I,$N152)&amp;"")</f>
        <v/>
      </c>
      <c r="H152" s="83" t="str">
        <f>IF($N152="","",IF(INDEX(Azioni!$J:$J,$N152)="","",INDEX(Azioni!$J:$J,$N152)))</f>
        <v/>
      </c>
      <c r="I152" s="83" t="str">
        <f>IF(OR($N152="",H152=""),"",IF(OR(G152="Approvata",G152="In corso"),EDATE(H152,N(INDEX(Azioni!$G:$G,$N152))),""))</f>
        <v/>
      </c>
      <c r="J152" s="81" t="str">
        <f>IF($N152="","",INDEX(Azioni!$L:$L,$N152)&amp;"")</f>
        <v/>
      </c>
      <c r="N1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spans="1:14" x14ac:dyDescent="0.4">
      <c r="A153" s="81" t="str">
        <f>IF($N153="","",INDEX(Azioni!$A:$A,$N153)&amp;"")</f>
        <v/>
      </c>
      <c r="B153" s="81" t="str">
        <f>IF($N153="","",INDEX(Azioni!$B:$B,$N153)&amp;"")</f>
        <v/>
      </c>
      <c r="C153" s="81" t="str">
        <f>IF($N153="","",INDEX(Azioni!$C:$C,$N153)&amp;"")</f>
        <v/>
      </c>
      <c r="D153" s="82" t="str">
        <f>IF($N153="","",INDEX(Azioni!$D:$D,$N153)&amp;"")</f>
        <v/>
      </c>
      <c r="E153" s="81" t="str">
        <f>IF($N153="","",INDEX(Azioni!$E:$E,$N153)&amp;"")</f>
        <v/>
      </c>
      <c r="F153" s="81" t="str">
        <f>IF($N153="","",INDEX(Azioni!$F:$F,$N153)&amp;"")</f>
        <v/>
      </c>
      <c r="G153" s="81" t="str">
        <f>IF($N153="","",INDEX(Azioni!$I:$I,$N153)&amp;"")</f>
        <v/>
      </c>
      <c r="H153" s="83" t="str">
        <f>IF($N153="","",IF(INDEX(Azioni!$J:$J,$N153)="","",INDEX(Azioni!$J:$J,$N153)))</f>
        <v/>
      </c>
      <c r="I153" s="83" t="str">
        <f>IF(OR($N153="",H153=""),"",IF(OR(G153="Approvata",G153="In corso"),EDATE(H153,N(INDEX(Azioni!$G:$G,$N153))),""))</f>
        <v/>
      </c>
      <c r="J153" s="81" t="str">
        <f>IF($N153="","",INDEX(Azioni!$L:$L,$N153)&amp;"")</f>
        <v/>
      </c>
      <c r="N1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spans="1:14" x14ac:dyDescent="0.4">
      <c r="A154" s="81" t="str">
        <f>IF($N154="","",INDEX(Azioni!$A:$A,$N154)&amp;"")</f>
        <v/>
      </c>
      <c r="B154" s="81" t="str">
        <f>IF($N154="","",INDEX(Azioni!$B:$B,$N154)&amp;"")</f>
        <v/>
      </c>
      <c r="C154" s="81" t="str">
        <f>IF($N154="","",INDEX(Azioni!$C:$C,$N154)&amp;"")</f>
        <v/>
      </c>
      <c r="D154" s="82" t="str">
        <f>IF($N154="","",INDEX(Azioni!$D:$D,$N154)&amp;"")</f>
        <v/>
      </c>
      <c r="E154" s="81" t="str">
        <f>IF($N154="","",INDEX(Azioni!$E:$E,$N154)&amp;"")</f>
        <v/>
      </c>
      <c r="F154" s="81" t="str">
        <f>IF($N154="","",INDEX(Azioni!$F:$F,$N154)&amp;"")</f>
        <v/>
      </c>
      <c r="G154" s="81" t="str">
        <f>IF($N154="","",INDEX(Azioni!$I:$I,$N154)&amp;"")</f>
        <v/>
      </c>
      <c r="H154" s="83" t="str">
        <f>IF($N154="","",IF(INDEX(Azioni!$J:$J,$N154)="","",INDEX(Azioni!$J:$J,$N154)))</f>
        <v/>
      </c>
      <c r="I154" s="83" t="str">
        <f>IF(OR($N154="",H154=""),"",IF(OR(G154="Approvata",G154="In corso"),EDATE(H154,N(INDEX(Azioni!$G:$G,$N154))),""))</f>
        <v/>
      </c>
      <c r="J154" s="81" t="str">
        <f>IF($N154="","",INDEX(Azioni!$L:$L,$N154)&amp;"")</f>
        <v/>
      </c>
      <c r="N1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spans="1:14" x14ac:dyDescent="0.4">
      <c r="A155" s="81" t="str">
        <f>IF($N155="","",INDEX(Azioni!$A:$A,$N155)&amp;"")</f>
        <v/>
      </c>
      <c r="B155" s="81" t="str">
        <f>IF($N155="","",INDEX(Azioni!$B:$B,$N155)&amp;"")</f>
        <v/>
      </c>
      <c r="C155" s="81" t="str">
        <f>IF($N155="","",INDEX(Azioni!$C:$C,$N155)&amp;"")</f>
        <v/>
      </c>
      <c r="D155" s="82" t="str">
        <f>IF($N155="","",INDEX(Azioni!$D:$D,$N155)&amp;"")</f>
        <v/>
      </c>
      <c r="E155" s="81" t="str">
        <f>IF($N155="","",INDEX(Azioni!$E:$E,$N155)&amp;"")</f>
        <v/>
      </c>
      <c r="F155" s="81" t="str">
        <f>IF($N155="","",INDEX(Azioni!$F:$F,$N155)&amp;"")</f>
        <v/>
      </c>
      <c r="G155" s="81" t="str">
        <f>IF($N155="","",INDEX(Azioni!$I:$I,$N155)&amp;"")</f>
        <v/>
      </c>
      <c r="H155" s="83" t="str">
        <f>IF($N155="","",IF(INDEX(Azioni!$J:$J,$N155)="","",INDEX(Azioni!$J:$J,$N155)))</f>
        <v/>
      </c>
      <c r="I155" s="83" t="str">
        <f>IF(OR($N155="",H155=""),"",IF(OR(G155="Approvata",G155="In corso"),EDATE(H155,N(INDEX(Azioni!$G:$G,$N155))),""))</f>
        <v/>
      </c>
      <c r="J155" s="81" t="str">
        <f>IF($N155="","",INDEX(Azioni!$L:$L,$N155)&amp;"")</f>
        <v/>
      </c>
      <c r="N1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spans="1:14" ht="15" customHeight="1" x14ac:dyDescent="0.4">
      <c r="A157" s="141" t="s">
        <v>496</v>
      </c>
      <c r="B157" s="142"/>
      <c r="C157" s="142"/>
      <c r="D157" s="142"/>
      <c r="E157" s="142"/>
      <c r="F157" s="142"/>
      <c r="G157" s="142"/>
      <c r="H157" s="142"/>
      <c r="I157" s="142"/>
      <c r="J157" s="142"/>
    </row>
  </sheetData>
  <mergeCells count="5">
    <mergeCell ref="A1:J1"/>
    <mergeCell ref="A2:J2"/>
    <mergeCell ref="G4:I4"/>
    <mergeCell ref="A157:J157"/>
    <mergeCell ref="A4:F4"/>
  </mergeCells>
  <conditionalFormatting sqref="G6:G155">
    <cfRule type="expression" dxfId="67" priority="1">
      <formula>G6="Proposta — da valutare"</formula>
    </cfRule>
    <cfRule type="expression" dxfId="66" priority="2">
      <formula>G6="Approvata"</formula>
    </cfRule>
    <cfRule type="expression" dxfId="65" priority="3">
      <formula>G6="In corso"</formula>
    </cfRule>
    <cfRule type="expression" dxfId="64" priority="4">
      <formula>G6="Completata"</formula>
    </cfRule>
    <cfRule type="expression" dxfId="63" priority="5">
      <formula>G6="Respinta"</formula>
    </cfRule>
    <cfRule type="expression" dxfId="62" priority="6">
      <formula>G6="Annullata"</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sheetPr>
  <dimension ref="A1:AF40"/>
  <sheetViews>
    <sheetView showGridLines="0" workbookViewId="0">
      <pane xSplit="2" ySplit="5" topLeftCell="C6" activePane="bottomRight" state="frozen"/>
      <selection pane="topRight"/>
      <selection pane="bottomLeft"/>
      <selection pane="bottomRight"/>
    </sheetView>
  </sheetViews>
  <sheetFormatPr defaultRowHeight="14.6" x14ac:dyDescent="0.4"/>
  <cols>
    <col min="1" max="1" width="8" customWidth="1"/>
    <col min="2" max="2" width="30" customWidth="1"/>
    <col min="3" max="3" width="8" customWidth="1"/>
    <col min="4" max="4" width="16" customWidth="1"/>
    <col min="5" max="8" width="6" customWidth="1"/>
    <col min="9" max="9" width="7" customWidth="1"/>
    <col min="10" max="10" width="36" customWidth="1"/>
    <col min="11" max="11" width="8" customWidth="1"/>
    <col min="12" max="12" width="40" customWidth="1"/>
    <col min="13" max="13" width="44" customWidth="1"/>
    <col min="14" max="14" width="11" customWidth="1"/>
    <col min="15" max="15" width="9" customWidth="1"/>
    <col min="16" max="16" width="22" customWidth="1"/>
    <col min="17" max="26" width="8" customWidth="1"/>
    <col min="32" max="32" width="13" hidden="1" customWidth="1"/>
  </cols>
  <sheetData>
    <row r="1" spans="1:32" ht="28" customHeight="1" x14ac:dyDescent="0.4">
      <c r="A1" s="161" t="str">
        <f>"Horizon Scan NFR — Rischi in osservazione   ·   "&amp;etichettaCiclo</f>
        <v>Horizon Scan NFR — Rischi in osservazione   ·   Ciclo 2026Q4 · dati al 31/12/2026 · validato · Uso interno</v>
      </c>
      <c r="B1" s="162"/>
      <c r="C1" s="162"/>
      <c r="D1" s="162"/>
      <c r="E1" s="162"/>
      <c r="F1" s="162"/>
      <c r="G1" s="162"/>
      <c r="H1" s="162"/>
      <c r="I1" s="162"/>
      <c r="J1" s="162"/>
      <c r="K1" s="162"/>
      <c r="L1" s="162"/>
      <c r="M1" s="162"/>
      <c r="N1" s="162"/>
    </row>
    <row r="2" spans="1:32" ht="45.55" customHeight="1" x14ac:dyDescent="0.4">
      <c r="A2" s="173" t="s">
        <v>497</v>
      </c>
      <c r="B2" s="142"/>
      <c r="C2" s="142"/>
      <c r="D2" s="142"/>
      <c r="E2" s="142"/>
      <c r="F2" s="142"/>
      <c r="G2" s="142"/>
      <c r="H2" s="142"/>
      <c r="I2" s="142"/>
      <c r="J2" s="142"/>
      <c r="K2" s="142"/>
      <c r="L2" s="142"/>
      <c r="M2" s="142"/>
      <c r="N2" s="142"/>
      <c r="O2" s="142"/>
    </row>
    <row r="4" spans="1:32" ht="15.9" x14ac:dyDescent="0.45">
      <c r="A4" s="149" t="s">
        <v>498</v>
      </c>
      <c r="B4" s="150"/>
      <c r="C4" s="150"/>
      <c r="D4" s="150"/>
      <c r="E4" s="150"/>
      <c r="F4" s="150"/>
      <c r="G4" s="150"/>
      <c r="H4" s="150"/>
      <c r="I4" s="150"/>
      <c r="J4" s="150"/>
      <c r="K4" s="150"/>
      <c r="L4" s="150"/>
      <c r="M4" s="150"/>
      <c r="N4" s="150"/>
      <c r="P4" s="149" t="s">
        <v>499</v>
      </c>
      <c r="Q4" s="150"/>
      <c r="R4" s="150"/>
      <c r="S4" s="150"/>
      <c r="T4" s="150"/>
      <c r="U4" s="150"/>
      <c r="V4" s="150"/>
      <c r="W4" s="150"/>
      <c r="X4" s="150"/>
      <c r="Y4" s="150"/>
      <c r="Z4" s="150"/>
    </row>
    <row r="5" spans="1:32" ht="28" customHeight="1" x14ac:dyDescent="0.4">
      <c r="A5" s="47" t="s">
        <v>173</v>
      </c>
      <c r="B5" s="47" t="s">
        <v>18</v>
      </c>
      <c r="C5" s="47" t="s">
        <v>202</v>
      </c>
      <c r="D5" s="47" t="s">
        <v>269</v>
      </c>
      <c r="E5" s="47" t="s">
        <v>500</v>
      </c>
      <c r="F5" s="47" t="s">
        <v>501</v>
      </c>
      <c r="G5" s="47" t="s">
        <v>502</v>
      </c>
      <c r="H5" s="47" t="s">
        <v>503</v>
      </c>
      <c r="I5" s="47" t="s">
        <v>19</v>
      </c>
      <c r="J5" s="47" t="s">
        <v>504</v>
      </c>
      <c r="K5" s="47" t="s">
        <v>505</v>
      </c>
      <c r="L5" s="47" t="s">
        <v>268</v>
      </c>
      <c r="M5" s="47" t="s">
        <v>506</v>
      </c>
      <c r="N5" s="47" t="s">
        <v>9</v>
      </c>
      <c r="O5" s="47" t="s">
        <v>507</v>
      </c>
      <c r="P5" s="47" t="s">
        <v>269</v>
      </c>
      <c r="Q5" s="47" t="s">
        <v>461</v>
      </c>
      <c r="R5" s="47" t="s">
        <v>463</v>
      </c>
      <c r="S5" s="47" t="s">
        <v>465</v>
      </c>
      <c r="T5" s="47" t="s">
        <v>467</v>
      </c>
      <c r="U5" s="47" t="s">
        <v>469</v>
      </c>
      <c r="V5" s="47" t="s">
        <v>471</v>
      </c>
      <c r="W5" s="47" t="s">
        <v>474</v>
      </c>
      <c r="X5" s="47" t="s">
        <v>476</v>
      </c>
      <c r="Y5" s="47" t="s">
        <v>478</v>
      </c>
      <c r="Z5" s="47" t="s">
        <v>508</v>
      </c>
    </row>
    <row r="6" spans="1:32" ht="45" customHeight="1" x14ac:dyDescent="0.4">
      <c r="A6" s="84" t="str">
        <f>IF($AF6="","",INDEX(RiskRegister!$C:$C,$AF6)&amp;"")</f>
        <v>NFR-14</v>
      </c>
      <c r="B6" s="50" t="str">
        <f>IF($AF6="","",INDEX(RiskRegister!$D:$D,$AF6)&amp;"")</f>
        <v>Interruzione di cavi sottomarini per una crisi geopolitica</v>
      </c>
      <c r="C6" s="48" t="str">
        <f>IF($AF6="","",INDEX(RiskRegister!$E:$E,$AF6)&amp;"")</f>
        <v>9.6</v>
      </c>
      <c r="D6" s="50" t="str">
        <f>IF($AF6="","",INDEX(RiskRegister!$F:$F,$AF6)&amp;"")</f>
        <v>DRV-GEO, DRV-TPR</v>
      </c>
      <c r="E6" s="48">
        <f>IF($AF6="","",IF(INDEX(RiskRegister!$G:$G,$AF6)="","",INDEX(RiskRegister!$G:$G,$AF6)))</f>
        <v>4</v>
      </c>
      <c r="F6" s="48">
        <f>IF($AF6="","",IF(INDEX(RiskRegister!$K:$K,$AF6)="","",INDEX(RiskRegister!$K:$K,$AF6)))</f>
        <v>3</v>
      </c>
      <c r="G6" s="48">
        <f>IF($AF6="","",IF(INDEX(RiskRegister!$I:$I,$AF6)="","",INDEX(RiskRegister!$I:$I,$AF6)))</f>
        <v>1</v>
      </c>
      <c r="H6" s="48">
        <f>IF($AF6="","",IF(INDEX(RiskRegister!$H:$H,$AF6)="","",INDEX(RiskRegister!$H:$H,$AF6)))</f>
        <v>4</v>
      </c>
      <c r="I6" s="51">
        <f>IF($AF6="","",IF(INDEX(RiskRegister!$J:$J,$AF6)="","",INDEX(RiskRegister!$J:$J,$AF6)))</f>
        <v>3.15</v>
      </c>
      <c r="J6" s="50" t="str">
        <f>IF($AF6="","",INDEX(RiskRegister!$AA:$AA,$AF6)&amp;"")</f>
        <v>Prossimita 1 sotto la soglia 2</v>
      </c>
      <c r="K6" s="48">
        <f>IF($AF6="","",IF(INDEX(RiskRegister!$AD:$AD,$AF6)="","",INDEX(RiskRegister!$AD:$AD,$AF6)))</f>
        <v>4</v>
      </c>
      <c r="L6" s="50" t="str">
        <f>IF($AF6="","",INDEX(RiskRegister!$AE:$AE,$AF6)&amp;"")</f>
        <v>Danneggiamento doloso di un cavo che serve l'Italia, o un'esercitazione delle autorita' sul ripristino della connettivita'.</v>
      </c>
      <c r="M6" s="50" t="str">
        <f>IF($AF6="","",INDEX(RiskRegister!$N:$N,$AF6)&amp;"")</f>
        <v>Il taglio di piu' cavi sottomarini nel Mediterraneo degraderebbe la connettivita' verso i data center del fornitore cloud e i circuiti di pagamento internazionali. Danno: indisponibilita' dei servizi e dei pagamenti esteri per giorni.</v>
      </c>
      <c r="N6" s="48" t="str">
        <f>IF($AF6="","",INDEX(RiskRegister!$W:$W,$AF6)&amp;"")</f>
        <v>Accettato</v>
      </c>
      <c r="O6" s="85">
        <f t="shared" ref="O6:O25" si="0">IF($A6="","",COUNTIFS(NW_Rischio_ID,$A6,NW_Settimana,"&gt;="&amp;inizioFinestra4,NW_Settimana,"&lt;="&amp;settimanaCorrente))</f>
        <v>0</v>
      </c>
      <c r="P6" s="86" t="str">
        <f>INDEX(nomiDriver,1)</f>
        <v>Cyber</v>
      </c>
      <c r="Q6" s="87" t="str">
        <f t="shared" ref="Q6:Y6" si="1">IF(COUNTIFS(RR_Ciclo,cicloCorrente,RR_Stato,"Osservazione",RR_Event_Type,Q$5,RR_Driver,"*"&amp;INDEX(codiciDriver,1)&amp;"*")=0,"",COUNTIFS(RR_Ciclo,cicloCorrente,RR_Stato,"Osservazione",RR_Event_Type,Q$5,RR_Driver,"*"&amp;INDEX(codiciDriver,1)&amp;"*"))</f>
        <v/>
      </c>
      <c r="R6" s="87" t="str">
        <f t="shared" si="1"/>
        <v/>
      </c>
      <c r="S6" s="87" t="str">
        <f t="shared" si="1"/>
        <v/>
      </c>
      <c r="T6" s="87" t="str">
        <f t="shared" si="1"/>
        <v/>
      </c>
      <c r="U6" s="87">
        <f t="shared" si="1"/>
        <v>1</v>
      </c>
      <c r="V6" s="87" t="str">
        <f t="shared" si="1"/>
        <v/>
      </c>
      <c r="W6" s="87" t="str">
        <f t="shared" si="1"/>
        <v/>
      </c>
      <c r="X6" s="87" t="str">
        <f t="shared" si="1"/>
        <v/>
      </c>
      <c r="Y6" s="87" t="str">
        <f t="shared" si="1"/>
        <v/>
      </c>
      <c r="Z6" s="88">
        <f t="shared" ref="Z6:Z13" si="2">SUM(Q6:Y6)</f>
        <v>1</v>
      </c>
      <c r="AF6">
        <f>IFERROR(MATCH(_xlfn.AGGREGATE(14,6,RR_Ordine_Osservazione,1),RR_Ordine_Osservazione,0)+5,"")</f>
        <v>73</v>
      </c>
    </row>
    <row r="7" spans="1:32" ht="45" customHeight="1" x14ac:dyDescent="0.4">
      <c r="A7" s="84" t="str">
        <f>IF($AF7="","",INDEX(RiskRegister!$C:$C,$AF7)&amp;"")</f>
        <v>NFR-13</v>
      </c>
      <c r="B7" s="50" t="str">
        <f>IF($AF7="","",INDEX(RiskRegister!$D:$D,$AF7)&amp;"")</f>
        <v>Rottura della crittografia dei pagamenti con il calcolo quantistico</v>
      </c>
      <c r="C7" s="48" t="str">
        <f>IF($AF7="","",INDEX(RiskRegister!$E:$E,$AF7)&amp;"")</f>
        <v>9.7</v>
      </c>
      <c r="D7" s="50" t="str">
        <f>IF($AF7="","",INDEX(RiskRegister!$F:$F,$AF7)&amp;"")</f>
        <v>DRV-TEC, DRV-CYB</v>
      </c>
      <c r="E7" s="48">
        <f>IF($AF7="","",IF(INDEX(RiskRegister!$G:$G,$AF7)="","",INDEX(RiskRegister!$G:$G,$AF7)))</f>
        <v>5</v>
      </c>
      <c r="F7" s="48">
        <f>IF($AF7="","",IF(INDEX(RiskRegister!$K:$K,$AF7)="","",INDEX(RiskRegister!$K:$K,$AF7)))</f>
        <v>1</v>
      </c>
      <c r="G7" s="48">
        <f>IF($AF7="","",IF(INDEX(RiskRegister!$I:$I,$AF7)="","",INDEX(RiskRegister!$I:$I,$AF7)))</f>
        <v>1</v>
      </c>
      <c r="H7" s="48" t="str">
        <f>IF($AF7="","",IF(INDEX(RiskRegister!$H:$H,$AF7)="","",INDEX(RiskRegister!$H:$H,$AF7)))</f>
        <v/>
      </c>
      <c r="I7" s="51">
        <f>IF($AF7="","",IF(INDEX(RiskRegister!$J:$J,$AF7)="","",INDEX(RiskRegister!$J:$J,$AF7)))</f>
        <v>2.75</v>
      </c>
      <c r="J7" s="50" t="str">
        <f>IF($AF7="","",INDEX(RiskRegister!$AA:$AA,$AF7)&amp;"")</f>
        <v>Prossimita 1 sotto la soglia 2; Probabilita 1 sotto la soglia 2</v>
      </c>
      <c r="K7" s="48">
        <f>IF($AF7="","",IF(INDEX(RiskRegister!$AD:$AD,$AF7)="","",INDEX(RiskRegister!$AD:$AD,$AF7)))</f>
        <v>8</v>
      </c>
      <c r="L7" s="50" t="str">
        <f>IF($AF7="","",INDEX(RiskRegister!$AE:$AE,$AF7)&amp;"")</f>
        <v>Annuncio verificato di un calcolatore in grado di rompere RSA-2048, o una scadenza regolamentare per la migrazione post-quantistica dei sistemi di pagamento.</v>
      </c>
      <c r="M7" s="50" t="str">
        <f>IF($AF7="","",INDEX(RiskRegister!$N:$N,$AF7)&amp;"")</f>
        <v>Un calcolatore quantistico abbastanza potente renderebbe decifrabili le firme e le comunicazioni che proteggono pagamenti e accessi della Banca; dati intercettati oggi potrebbero essere letti domani. Danno: frodi, violazione di dati, sostituzione d'urgenza della crittografia.</v>
      </c>
      <c r="N7" s="48" t="str">
        <f>IF($AF7="","",INDEX(RiskRegister!$W:$W,$AF7)&amp;"")</f>
        <v>Accettato</v>
      </c>
      <c r="O7" s="85">
        <f t="shared" si="0"/>
        <v>0</v>
      </c>
      <c r="P7" s="86" t="str">
        <f>INDEX(nomiDriver,2)</f>
        <v>Terze parti</v>
      </c>
      <c r="Q7" s="87" t="str">
        <f t="shared" ref="Q7:Y7" si="3">IF(COUNTIFS(RR_Ciclo,cicloCorrente,RR_Stato,"Osservazione",RR_Event_Type,Q$5,RR_Driver,"*"&amp;INDEX(codiciDriver,2)&amp;"*")=0,"",COUNTIFS(RR_Ciclo,cicloCorrente,RR_Stato,"Osservazione",RR_Event_Type,Q$5,RR_Driver,"*"&amp;INDEX(codiciDriver,2)&amp;"*"))</f>
        <v/>
      </c>
      <c r="R7" s="87" t="str">
        <f t="shared" si="3"/>
        <v/>
      </c>
      <c r="S7" s="87" t="str">
        <f t="shared" si="3"/>
        <v/>
      </c>
      <c r="T7" s="87">
        <f t="shared" si="3"/>
        <v>1</v>
      </c>
      <c r="U7" s="87" t="str">
        <f t="shared" si="3"/>
        <v/>
      </c>
      <c r="V7" s="87" t="str">
        <f t="shared" si="3"/>
        <v/>
      </c>
      <c r="W7" s="87" t="str">
        <f t="shared" si="3"/>
        <v/>
      </c>
      <c r="X7" s="87" t="str">
        <f t="shared" si="3"/>
        <v/>
      </c>
      <c r="Y7" s="87" t="str">
        <f t="shared" si="3"/>
        <v/>
      </c>
      <c r="Z7" s="88">
        <f t="shared" si="2"/>
        <v>1</v>
      </c>
      <c r="AF7">
        <f>IFERROR(MATCH(_xlfn.AGGREGATE(14,6,RR_Ordine_Osservazione,2),RR_Ordine_Osservazione,0)+5,"")</f>
        <v>74</v>
      </c>
    </row>
    <row r="8" spans="1:32" ht="45" customHeight="1" x14ac:dyDescent="0.4">
      <c r="A8" s="84" t="str">
        <f>IF($AF8="","",INDEX(RiskRegister!$C:$C,$AF8)&amp;"")</f>
        <v>NFR-15</v>
      </c>
      <c r="B8" s="50" t="str">
        <f>IF($AF8="","",INDEX(RiskRegister!$D:$D,$AF8)&amp;"")</f>
        <v>Responsabilita' per decisioni di agenti di IA autonomi verso i clienti</v>
      </c>
      <c r="C8" s="48" t="str">
        <f>IF($AF8="","",INDEX(RiskRegister!$E:$E,$AF8)&amp;"")</f>
        <v>9.4</v>
      </c>
      <c r="D8" s="50" t="str">
        <f>IF($AF8="","",INDEX(RiskRegister!$F:$F,$AF8)&amp;"")</f>
        <v>DRV-AI, DRV-CON</v>
      </c>
      <c r="E8" s="48">
        <f>IF($AF8="","",IF(INDEX(RiskRegister!$G:$G,$AF8)="","",INDEX(RiskRegister!$G:$G,$AF8)))</f>
        <v>3</v>
      </c>
      <c r="F8" s="48">
        <f>IF($AF8="","",IF(INDEX(RiskRegister!$K:$K,$AF8)="","",INDEX(RiskRegister!$K:$K,$AF8)))</f>
        <v>1</v>
      </c>
      <c r="G8" s="48">
        <f>IF($AF8="","",IF(INDEX(RiskRegister!$I:$I,$AF8)="","",INDEX(RiskRegister!$I:$I,$AF8)))</f>
        <v>2</v>
      </c>
      <c r="H8" s="48" t="str">
        <f>IF($AF8="","",IF(INDEX(RiskRegister!$H:$H,$AF8)="","",INDEX(RiskRegister!$H:$H,$AF8)))</f>
        <v/>
      </c>
      <c r="I8" s="51">
        <f>IF($AF8="","",IF(INDEX(RiskRegister!$J:$J,$AF8)="","",INDEX(RiskRegister!$J:$J,$AF8)))</f>
        <v>2.13</v>
      </c>
      <c r="J8" s="50" t="str">
        <f>IF($AF8="","",INDEX(RiskRegister!$AA:$AA,$AF8)&amp;"")</f>
        <v>Probabilita 1 sotto la soglia 2</v>
      </c>
      <c r="K8" s="48">
        <f>IF($AF8="","",IF(INDEX(RiskRegister!$AD:$AD,$AF8)="","",INDEX(RiskRegister!$AD:$AD,$AF8)))</f>
        <v>4</v>
      </c>
      <c r="L8" s="50" t="str">
        <f>IF($AF8="","",INDEX(RiskRegister!$AE:$AE,$AF8)&amp;"")</f>
        <v>Primo contenzioso o orientamento di un'autorita' europea su un'operazione bancaria disposta da un agente di IA.</v>
      </c>
      <c r="M8" s="50" t="str">
        <f>IF($AF8="","",INDEX(RiskRegister!$N:$N,$AF8)&amp;"")</f>
        <v>Agenti di IA che agiscono per conto dei clienti (pagamenti, investimenti) potrebbero eseguire operazioni non volute; la ripartizione della responsabilita' fra cliente, fornitore dell'agente e Banca non e' definita. Danno: rimborsi e contenzioso.</v>
      </c>
      <c r="N8" s="48" t="str">
        <f>IF($AF8="","",INDEX(RiskRegister!$W:$W,$AF8)&amp;"")</f>
        <v>Accettato</v>
      </c>
      <c r="O8" s="85">
        <f t="shared" si="0"/>
        <v>0</v>
      </c>
      <c r="P8" s="86" t="str">
        <f>INDEX(nomiDriver,3)</f>
        <v>Intelligenza artificiale</v>
      </c>
      <c r="Q8" s="87" t="str">
        <f t="shared" ref="Q8:Y8" si="4">IF(COUNTIFS(RR_Ciclo,cicloCorrente,RR_Stato,"Osservazione",RR_Event_Type,Q$5,RR_Driver,"*"&amp;INDEX(codiciDriver,3)&amp;"*")=0,"",COUNTIFS(RR_Ciclo,cicloCorrente,RR_Stato,"Osservazione",RR_Event_Type,Q$5,RR_Driver,"*"&amp;INDEX(codiciDriver,3)&amp;"*"))</f>
        <v/>
      </c>
      <c r="R8" s="87">
        <f t="shared" si="4"/>
        <v>1</v>
      </c>
      <c r="S8" s="87" t="str">
        <f t="shared" si="4"/>
        <v/>
      </c>
      <c r="T8" s="87" t="str">
        <f t="shared" si="4"/>
        <v/>
      </c>
      <c r="U8" s="87" t="str">
        <f t="shared" si="4"/>
        <v/>
      </c>
      <c r="V8" s="87" t="str">
        <f t="shared" si="4"/>
        <v/>
      </c>
      <c r="W8" s="87" t="str">
        <f t="shared" si="4"/>
        <v/>
      </c>
      <c r="X8" s="87" t="str">
        <f t="shared" si="4"/>
        <v/>
      </c>
      <c r="Y8" s="87" t="str">
        <f t="shared" si="4"/>
        <v/>
      </c>
      <c r="Z8" s="88">
        <f t="shared" si="2"/>
        <v>1</v>
      </c>
      <c r="AF8">
        <f>IFERROR(MATCH(_xlfn.AGGREGATE(14,6,RR_Ordine_Osservazione,3),RR_Ordine_Osservazione,0)+5,"")</f>
        <v>75</v>
      </c>
    </row>
    <row r="9" spans="1:32" ht="45" customHeight="1" x14ac:dyDescent="0.4">
      <c r="A9" s="84" t="str">
        <f>IF($AF9="","",INDEX(RiskRegister!$C:$C,$AF9)&amp;"")</f>
        <v/>
      </c>
      <c r="B9" s="50" t="str">
        <f>IF($AF9="","",INDEX(RiskRegister!$D:$D,$AF9)&amp;"")</f>
        <v/>
      </c>
      <c r="C9" s="48" t="str">
        <f>IF($AF9="","",INDEX(RiskRegister!$E:$E,$AF9)&amp;"")</f>
        <v/>
      </c>
      <c r="D9" s="50" t="str">
        <f>IF($AF9="","",INDEX(RiskRegister!$F:$F,$AF9)&amp;"")</f>
        <v/>
      </c>
      <c r="E9" s="48" t="str">
        <f>IF($AF9="","",IF(INDEX(RiskRegister!$G:$G,$AF9)="","",INDEX(RiskRegister!$G:$G,$AF9)))</f>
        <v/>
      </c>
      <c r="F9" s="48" t="str">
        <f>IF($AF9="","",IF(INDEX(RiskRegister!$K:$K,$AF9)="","",INDEX(RiskRegister!$K:$K,$AF9)))</f>
        <v/>
      </c>
      <c r="G9" s="48" t="str">
        <f>IF($AF9="","",IF(INDEX(RiskRegister!$I:$I,$AF9)="","",INDEX(RiskRegister!$I:$I,$AF9)))</f>
        <v/>
      </c>
      <c r="H9" s="48" t="str">
        <f>IF($AF9="","",IF(INDEX(RiskRegister!$H:$H,$AF9)="","",INDEX(RiskRegister!$H:$H,$AF9)))</f>
        <v/>
      </c>
      <c r="I9" s="51" t="str">
        <f>IF($AF9="","",IF(INDEX(RiskRegister!$J:$J,$AF9)="","",INDEX(RiskRegister!$J:$J,$AF9)))</f>
        <v/>
      </c>
      <c r="J9" s="50" t="str">
        <f>IF($AF9="","",INDEX(RiskRegister!$AA:$AA,$AF9)&amp;"")</f>
        <v/>
      </c>
      <c r="K9" s="48" t="str">
        <f>IF($AF9="","",IF(INDEX(RiskRegister!$AD:$AD,$AF9)="","",INDEX(RiskRegister!$AD:$AD,$AF9)))</f>
        <v/>
      </c>
      <c r="L9" s="50" t="str">
        <f>IF($AF9="","",INDEX(RiskRegister!$AE:$AE,$AF9)&amp;"")</f>
        <v/>
      </c>
      <c r="M9" s="50" t="str">
        <f>IF($AF9="","",INDEX(RiskRegister!$N:$N,$AF9)&amp;"")</f>
        <v/>
      </c>
      <c r="N9" s="48" t="str">
        <f>IF($AF9="","",INDEX(RiskRegister!$W:$W,$AF9)&amp;"")</f>
        <v/>
      </c>
      <c r="O9" s="85" t="str">
        <f t="shared" si="0"/>
        <v/>
      </c>
      <c r="P9" s="86" t="str">
        <f>INDEX(nomiDriver,4)</f>
        <v>Clima e ambiente</v>
      </c>
      <c r="Q9" s="87" t="str">
        <f t="shared" ref="Q9:Y9" si="5">IF(COUNTIFS(RR_Ciclo,cicloCorrente,RR_Stato,"Osservazione",RR_Event_Type,Q$5,RR_Driver,"*"&amp;INDEX(codiciDriver,4)&amp;"*")=0,"",COUNTIFS(RR_Ciclo,cicloCorrente,RR_Stato,"Osservazione",RR_Event_Type,Q$5,RR_Driver,"*"&amp;INDEX(codiciDriver,4)&amp;"*"))</f>
        <v/>
      </c>
      <c r="R9" s="87" t="str">
        <f t="shared" si="5"/>
        <v/>
      </c>
      <c r="S9" s="87" t="str">
        <f t="shared" si="5"/>
        <v/>
      </c>
      <c r="T9" s="87" t="str">
        <f t="shared" si="5"/>
        <v/>
      </c>
      <c r="U9" s="87" t="str">
        <f t="shared" si="5"/>
        <v/>
      </c>
      <c r="V9" s="87" t="str">
        <f t="shared" si="5"/>
        <v/>
      </c>
      <c r="W9" s="87" t="str">
        <f t="shared" si="5"/>
        <v/>
      </c>
      <c r="X9" s="87" t="str">
        <f t="shared" si="5"/>
        <v/>
      </c>
      <c r="Y9" s="87" t="str">
        <f t="shared" si="5"/>
        <v/>
      </c>
      <c r="Z9" s="88">
        <f t="shared" si="2"/>
        <v>0</v>
      </c>
      <c r="AF9" t="str">
        <f>IFERROR(MATCH(_xlfn.AGGREGATE(14,6,RR_Ordine_Osservazione,4),RR_Ordine_Osservazione,0)+5,"")</f>
        <v/>
      </c>
    </row>
    <row r="10" spans="1:32" ht="45" customHeight="1" x14ac:dyDescent="0.4">
      <c r="A10" s="84" t="str">
        <f>IF($AF10="","",INDEX(RiskRegister!$C:$C,$AF10)&amp;"")</f>
        <v/>
      </c>
      <c r="B10" s="50" t="str">
        <f>IF($AF10="","",INDEX(RiskRegister!$D:$D,$AF10)&amp;"")</f>
        <v/>
      </c>
      <c r="C10" s="48" t="str">
        <f>IF($AF10="","",INDEX(RiskRegister!$E:$E,$AF10)&amp;"")</f>
        <v/>
      </c>
      <c r="D10" s="50" t="str">
        <f>IF($AF10="","",INDEX(RiskRegister!$F:$F,$AF10)&amp;"")</f>
        <v/>
      </c>
      <c r="E10" s="48" t="str">
        <f>IF($AF10="","",IF(INDEX(RiskRegister!$G:$G,$AF10)="","",INDEX(RiskRegister!$G:$G,$AF10)))</f>
        <v/>
      </c>
      <c r="F10" s="48" t="str">
        <f>IF($AF10="","",IF(INDEX(RiskRegister!$K:$K,$AF10)="","",INDEX(RiskRegister!$K:$K,$AF10)))</f>
        <v/>
      </c>
      <c r="G10" s="48" t="str">
        <f>IF($AF10="","",IF(INDEX(RiskRegister!$I:$I,$AF10)="","",INDEX(RiskRegister!$I:$I,$AF10)))</f>
        <v/>
      </c>
      <c r="H10" s="48" t="str">
        <f>IF($AF10="","",IF(INDEX(RiskRegister!$H:$H,$AF10)="","",INDEX(RiskRegister!$H:$H,$AF10)))</f>
        <v/>
      </c>
      <c r="I10" s="51" t="str">
        <f>IF($AF10="","",IF(INDEX(RiskRegister!$J:$J,$AF10)="","",INDEX(RiskRegister!$J:$J,$AF10)))</f>
        <v/>
      </c>
      <c r="J10" s="50" t="str">
        <f>IF($AF10="","",INDEX(RiskRegister!$AA:$AA,$AF10)&amp;"")</f>
        <v/>
      </c>
      <c r="K10" s="48" t="str">
        <f>IF($AF10="","",IF(INDEX(RiskRegister!$AD:$AD,$AF10)="","",INDEX(RiskRegister!$AD:$AD,$AF10)))</f>
        <v/>
      </c>
      <c r="L10" s="50" t="str">
        <f>IF($AF10="","",INDEX(RiskRegister!$AE:$AE,$AF10)&amp;"")</f>
        <v/>
      </c>
      <c r="M10" s="50" t="str">
        <f>IF($AF10="","",INDEX(RiskRegister!$N:$N,$AF10)&amp;"")</f>
        <v/>
      </c>
      <c r="N10" s="48" t="str">
        <f>IF($AF10="","",INDEX(RiskRegister!$W:$W,$AF10)&amp;"")</f>
        <v/>
      </c>
      <c r="O10" s="85" t="str">
        <f t="shared" si="0"/>
        <v/>
      </c>
      <c r="P10" s="86" t="str">
        <f>INDEX(nomiDriver,5)</f>
        <v>Condotta</v>
      </c>
      <c r="Q10" s="87" t="str">
        <f t="shared" ref="Q10:Y10" si="6">IF(COUNTIFS(RR_Ciclo,cicloCorrente,RR_Stato,"Osservazione",RR_Event_Type,Q$5,RR_Driver,"*"&amp;INDEX(codiciDriver,5)&amp;"*")=0,"",COUNTIFS(RR_Ciclo,cicloCorrente,RR_Stato,"Osservazione",RR_Event_Type,Q$5,RR_Driver,"*"&amp;INDEX(codiciDriver,5)&amp;"*"))</f>
        <v/>
      </c>
      <c r="R10" s="87">
        <f t="shared" si="6"/>
        <v>1</v>
      </c>
      <c r="S10" s="87" t="str">
        <f t="shared" si="6"/>
        <v/>
      </c>
      <c r="T10" s="87" t="str">
        <f t="shared" si="6"/>
        <v/>
      </c>
      <c r="U10" s="87" t="str">
        <f t="shared" si="6"/>
        <v/>
      </c>
      <c r="V10" s="87" t="str">
        <f t="shared" si="6"/>
        <v/>
      </c>
      <c r="W10" s="87" t="str">
        <f t="shared" si="6"/>
        <v/>
      </c>
      <c r="X10" s="87" t="str">
        <f t="shared" si="6"/>
        <v/>
      </c>
      <c r="Y10" s="87" t="str">
        <f t="shared" si="6"/>
        <v/>
      </c>
      <c r="Z10" s="88">
        <f t="shared" si="2"/>
        <v>1</v>
      </c>
      <c r="AF10" t="str">
        <f>IFERROR(MATCH(_xlfn.AGGREGATE(14,6,RR_Ordine_Osservazione,5),RR_Ordine_Osservazione,0)+5,"")</f>
        <v/>
      </c>
    </row>
    <row r="11" spans="1:32" ht="45" customHeight="1" x14ac:dyDescent="0.4">
      <c r="A11" s="84" t="str">
        <f>IF($AF11="","",INDEX(RiskRegister!$C:$C,$AF11)&amp;"")</f>
        <v/>
      </c>
      <c r="B11" s="50" t="str">
        <f>IF($AF11="","",INDEX(RiskRegister!$D:$D,$AF11)&amp;"")</f>
        <v/>
      </c>
      <c r="C11" s="48" t="str">
        <f>IF($AF11="","",INDEX(RiskRegister!$E:$E,$AF11)&amp;"")</f>
        <v/>
      </c>
      <c r="D11" s="50" t="str">
        <f>IF($AF11="","",INDEX(RiskRegister!$F:$F,$AF11)&amp;"")</f>
        <v/>
      </c>
      <c r="E11" s="48" t="str">
        <f>IF($AF11="","",IF(INDEX(RiskRegister!$G:$G,$AF11)="","",INDEX(RiskRegister!$G:$G,$AF11)))</f>
        <v/>
      </c>
      <c r="F11" s="48" t="str">
        <f>IF($AF11="","",IF(INDEX(RiskRegister!$K:$K,$AF11)="","",INDEX(RiskRegister!$K:$K,$AF11)))</f>
        <v/>
      </c>
      <c r="G11" s="48" t="str">
        <f>IF($AF11="","",IF(INDEX(RiskRegister!$I:$I,$AF11)="","",INDEX(RiskRegister!$I:$I,$AF11)))</f>
        <v/>
      </c>
      <c r="H11" s="48" t="str">
        <f>IF($AF11="","",IF(INDEX(RiskRegister!$H:$H,$AF11)="","",INDEX(RiskRegister!$H:$H,$AF11)))</f>
        <v/>
      </c>
      <c r="I11" s="51" t="str">
        <f>IF($AF11="","",IF(INDEX(RiskRegister!$J:$J,$AF11)="","",INDEX(RiskRegister!$J:$J,$AF11)))</f>
        <v/>
      </c>
      <c r="J11" s="50" t="str">
        <f>IF($AF11="","",INDEX(RiskRegister!$AA:$AA,$AF11)&amp;"")</f>
        <v/>
      </c>
      <c r="K11" s="48" t="str">
        <f>IF($AF11="","",IF(INDEX(RiskRegister!$AD:$AD,$AF11)="","",INDEX(RiskRegister!$AD:$AD,$AF11)))</f>
        <v/>
      </c>
      <c r="L11" s="50" t="str">
        <f>IF($AF11="","",INDEX(RiskRegister!$AE:$AE,$AF11)&amp;"")</f>
        <v/>
      </c>
      <c r="M11" s="50" t="str">
        <f>IF($AF11="","",INDEX(RiskRegister!$N:$N,$AF11)&amp;"")</f>
        <v/>
      </c>
      <c r="N11" s="48" t="str">
        <f>IF($AF11="","",INDEX(RiskRegister!$W:$W,$AF11)&amp;"")</f>
        <v/>
      </c>
      <c r="O11" s="85" t="str">
        <f t="shared" si="0"/>
        <v/>
      </c>
      <c r="P11" s="86" t="str">
        <f>INDEX(nomiDriver,6)</f>
        <v>Geopolitica</v>
      </c>
      <c r="Q11" s="87" t="str">
        <f t="shared" ref="Q11:Y11" si="7">IF(COUNTIFS(RR_Ciclo,cicloCorrente,RR_Stato,"Osservazione",RR_Event_Type,Q$5,RR_Driver,"*"&amp;INDEX(codiciDriver,6)&amp;"*")=0,"",COUNTIFS(RR_Ciclo,cicloCorrente,RR_Stato,"Osservazione",RR_Event_Type,Q$5,RR_Driver,"*"&amp;INDEX(codiciDriver,6)&amp;"*"))</f>
        <v/>
      </c>
      <c r="R11" s="87" t="str">
        <f t="shared" si="7"/>
        <v/>
      </c>
      <c r="S11" s="87" t="str">
        <f t="shared" si="7"/>
        <v/>
      </c>
      <c r="T11" s="87">
        <f t="shared" si="7"/>
        <v>1</v>
      </c>
      <c r="U11" s="87" t="str">
        <f t="shared" si="7"/>
        <v/>
      </c>
      <c r="V11" s="87" t="str">
        <f t="shared" si="7"/>
        <v/>
      </c>
      <c r="W11" s="87" t="str">
        <f t="shared" si="7"/>
        <v/>
      </c>
      <c r="X11" s="87" t="str">
        <f t="shared" si="7"/>
        <v/>
      </c>
      <c r="Y11" s="87" t="str">
        <f t="shared" si="7"/>
        <v/>
      </c>
      <c r="Z11" s="88">
        <f t="shared" si="2"/>
        <v>1</v>
      </c>
      <c r="AF11" t="str">
        <f>IFERROR(MATCH(_xlfn.AGGREGATE(14,6,RR_Ordine_Osservazione,6),RR_Ordine_Osservazione,0)+5,"")</f>
        <v/>
      </c>
    </row>
    <row r="12" spans="1:32" ht="45" customHeight="1" x14ac:dyDescent="0.4">
      <c r="A12" s="84" t="str">
        <f>IF($AF12="","",INDEX(RiskRegister!$C:$C,$AF12)&amp;"")</f>
        <v/>
      </c>
      <c r="B12" s="50" t="str">
        <f>IF($AF12="","",INDEX(RiskRegister!$D:$D,$AF12)&amp;"")</f>
        <v/>
      </c>
      <c r="C12" s="48" t="str">
        <f>IF($AF12="","",INDEX(RiskRegister!$E:$E,$AF12)&amp;"")</f>
        <v/>
      </c>
      <c r="D12" s="50" t="str">
        <f>IF($AF12="","",INDEX(RiskRegister!$F:$F,$AF12)&amp;"")</f>
        <v/>
      </c>
      <c r="E12" s="48" t="str">
        <f>IF($AF12="","",IF(INDEX(RiskRegister!$G:$G,$AF12)="","",INDEX(RiskRegister!$G:$G,$AF12)))</f>
        <v/>
      </c>
      <c r="F12" s="48" t="str">
        <f>IF($AF12="","",IF(INDEX(RiskRegister!$K:$K,$AF12)="","",INDEX(RiskRegister!$K:$K,$AF12)))</f>
        <v/>
      </c>
      <c r="G12" s="48" t="str">
        <f>IF($AF12="","",IF(INDEX(RiskRegister!$I:$I,$AF12)="","",INDEX(RiskRegister!$I:$I,$AF12)))</f>
        <v/>
      </c>
      <c r="H12" s="48" t="str">
        <f>IF($AF12="","",IF(INDEX(RiskRegister!$H:$H,$AF12)="","",INDEX(RiskRegister!$H:$H,$AF12)))</f>
        <v/>
      </c>
      <c r="I12" s="51" t="str">
        <f>IF($AF12="","",IF(INDEX(RiskRegister!$J:$J,$AF12)="","",INDEX(RiskRegister!$J:$J,$AF12)))</f>
        <v/>
      </c>
      <c r="J12" s="50" t="str">
        <f>IF($AF12="","",INDEX(RiskRegister!$AA:$AA,$AF12)&amp;"")</f>
        <v/>
      </c>
      <c r="K12" s="48" t="str">
        <f>IF($AF12="","",IF(INDEX(RiskRegister!$AD:$AD,$AF12)="","",INDEX(RiskRegister!$AD:$AD,$AF12)))</f>
        <v/>
      </c>
      <c r="L12" s="50" t="str">
        <f>IF($AF12="","",INDEX(RiskRegister!$AE:$AE,$AF12)&amp;"")</f>
        <v/>
      </c>
      <c r="M12" s="50" t="str">
        <f>IF($AF12="","",INDEX(RiskRegister!$N:$N,$AF12)&amp;"")</f>
        <v/>
      </c>
      <c r="N12" s="48" t="str">
        <f>IF($AF12="","",INDEX(RiskRegister!$W:$W,$AF12)&amp;"")</f>
        <v/>
      </c>
      <c r="O12" s="85" t="str">
        <f t="shared" si="0"/>
        <v/>
      </c>
      <c r="P12" s="86" t="str">
        <f>INDEX(nomiDriver,7)</f>
        <v>Debito tecnologico</v>
      </c>
      <c r="Q12" s="87" t="str">
        <f t="shared" ref="Q12:Y12" si="8">IF(COUNTIFS(RR_Ciclo,cicloCorrente,RR_Stato,"Osservazione",RR_Event_Type,Q$5,RR_Driver,"*"&amp;INDEX(codiciDriver,7)&amp;"*")=0,"",COUNTIFS(RR_Ciclo,cicloCorrente,RR_Stato,"Osservazione",RR_Event_Type,Q$5,RR_Driver,"*"&amp;INDEX(codiciDriver,7)&amp;"*"))</f>
        <v/>
      </c>
      <c r="R12" s="87" t="str">
        <f t="shared" si="8"/>
        <v/>
      </c>
      <c r="S12" s="87" t="str">
        <f t="shared" si="8"/>
        <v/>
      </c>
      <c r="T12" s="87" t="str">
        <f t="shared" si="8"/>
        <v/>
      </c>
      <c r="U12" s="87">
        <f t="shared" si="8"/>
        <v>1</v>
      </c>
      <c r="V12" s="87" t="str">
        <f t="shared" si="8"/>
        <v/>
      </c>
      <c r="W12" s="87" t="str">
        <f t="shared" si="8"/>
        <v/>
      </c>
      <c r="X12" s="87" t="str">
        <f t="shared" si="8"/>
        <v/>
      </c>
      <c r="Y12" s="87" t="str">
        <f t="shared" si="8"/>
        <v/>
      </c>
      <c r="Z12" s="88">
        <f t="shared" si="2"/>
        <v>1</v>
      </c>
      <c r="AF12" t="str">
        <f>IFERROR(MATCH(_xlfn.AGGREGATE(14,6,RR_Ordine_Osservazione,7),RR_Ordine_Osservazione,0)+5,"")</f>
        <v/>
      </c>
    </row>
    <row r="13" spans="1:32" ht="45" customHeight="1" x14ac:dyDescent="0.4">
      <c r="A13" s="84" t="str">
        <f>IF($AF13="","",INDEX(RiskRegister!$C:$C,$AF13)&amp;"")</f>
        <v/>
      </c>
      <c r="B13" s="50" t="str">
        <f>IF($AF13="","",INDEX(RiskRegister!$D:$D,$AF13)&amp;"")</f>
        <v/>
      </c>
      <c r="C13" s="48" t="str">
        <f>IF($AF13="","",INDEX(RiskRegister!$E:$E,$AF13)&amp;"")</f>
        <v/>
      </c>
      <c r="D13" s="50" t="str">
        <f>IF($AF13="","",INDEX(RiskRegister!$F:$F,$AF13)&amp;"")</f>
        <v/>
      </c>
      <c r="E13" s="48" t="str">
        <f>IF($AF13="","",IF(INDEX(RiskRegister!$G:$G,$AF13)="","",INDEX(RiskRegister!$G:$G,$AF13)))</f>
        <v/>
      </c>
      <c r="F13" s="48" t="str">
        <f>IF($AF13="","",IF(INDEX(RiskRegister!$K:$K,$AF13)="","",INDEX(RiskRegister!$K:$K,$AF13)))</f>
        <v/>
      </c>
      <c r="G13" s="48" t="str">
        <f>IF($AF13="","",IF(INDEX(RiskRegister!$I:$I,$AF13)="","",INDEX(RiskRegister!$I:$I,$AF13)))</f>
        <v/>
      </c>
      <c r="H13" s="48" t="str">
        <f>IF($AF13="","",IF(INDEX(RiskRegister!$H:$H,$AF13)="","",INDEX(RiskRegister!$H:$H,$AF13)))</f>
        <v/>
      </c>
      <c r="I13" s="51" t="str">
        <f>IF($AF13="","",IF(INDEX(RiskRegister!$J:$J,$AF13)="","",INDEX(RiskRegister!$J:$J,$AF13)))</f>
        <v/>
      </c>
      <c r="J13" s="50" t="str">
        <f>IF($AF13="","",INDEX(RiskRegister!$AA:$AA,$AF13)&amp;"")</f>
        <v/>
      </c>
      <c r="K13" s="48" t="str">
        <f>IF($AF13="","",IF(INDEX(RiskRegister!$AD:$AD,$AF13)="","",INDEX(RiskRegister!$AD:$AD,$AF13)))</f>
        <v/>
      </c>
      <c r="L13" s="50" t="str">
        <f>IF($AF13="","",INDEX(RiskRegister!$AE:$AE,$AF13)&amp;"")</f>
        <v/>
      </c>
      <c r="M13" s="50" t="str">
        <f>IF($AF13="","",INDEX(RiskRegister!$N:$N,$AF13)&amp;"")</f>
        <v/>
      </c>
      <c r="N13" s="48" t="str">
        <f>IF($AF13="","",INDEX(RiskRegister!$W:$W,$AF13)&amp;"")</f>
        <v/>
      </c>
      <c r="O13" s="85" t="str">
        <f t="shared" si="0"/>
        <v/>
      </c>
      <c r="P13" s="86" t="str">
        <f>INDEX(nomiDriver,8)</f>
        <v>Capitale umano</v>
      </c>
      <c r="Q13" s="87" t="str">
        <f t="shared" ref="Q13:Y13" si="9">IF(COUNTIFS(RR_Ciclo,cicloCorrente,RR_Stato,"Osservazione",RR_Event_Type,Q$5,RR_Driver,"*"&amp;INDEX(codiciDriver,8)&amp;"*")=0,"",COUNTIFS(RR_Ciclo,cicloCorrente,RR_Stato,"Osservazione",RR_Event_Type,Q$5,RR_Driver,"*"&amp;INDEX(codiciDriver,8)&amp;"*"))</f>
        <v/>
      </c>
      <c r="R13" s="87" t="str">
        <f t="shared" si="9"/>
        <v/>
      </c>
      <c r="S13" s="87" t="str">
        <f t="shared" si="9"/>
        <v/>
      </c>
      <c r="T13" s="87" t="str">
        <f t="shared" si="9"/>
        <v/>
      </c>
      <c r="U13" s="87" t="str">
        <f t="shared" si="9"/>
        <v/>
      </c>
      <c r="V13" s="87" t="str">
        <f t="shared" si="9"/>
        <v/>
      </c>
      <c r="W13" s="87" t="str">
        <f t="shared" si="9"/>
        <v/>
      </c>
      <c r="X13" s="87" t="str">
        <f t="shared" si="9"/>
        <v/>
      </c>
      <c r="Y13" s="87" t="str">
        <f t="shared" si="9"/>
        <v/>
      </c>
      <c r="Z13" s="88">
        <f t="shared" si="2"/>
        <v>0</v>
      </c>
      <c r="AF13" t="str">
        <f>IFERROR(MATCH(_xlfn.AGGREGATE(14,6,RR_Ordine_Osservazione,8),RR_Ordine_Osservazione,0)+5,"")</f>
        <v/>
      </c>
    </row>
    <row r="14" spans="1:32" ht="45" customHeight="1" x14ac:dyDescent="0.4">
      <c r="A14" s="84" t="str">
        <f>IF($AF14="","",INDEX(RiskRegister!$C:$C,$AF14)&amp;"")</f>
        <v/>
      </c>
      <c r="B14" s="50" t="str">
        <f>IF($AF14="","",INDEX(RiskRegister!$D:$D,$AF14)&amp;"")</f>
        <v/>
      </c>
      <c r="C14" s="48" t="str">
        <f>IF($AF14="","",INDEX(RiskRegister!$E:$E,$AF14)&amp;"")</f>
        <v/>
      </c>
      <c r="D14" s="50" t="str">
        <f>IF($AF14="","",INDEX(RiskRegister!$F:$F,$AF14)&amp;"")</f>
        <v/>
      </c>
      <c r="E14" s="48" t="str">
        <f>IF($AF14="","",IF(INDEX(RiskRegister!$G:$G,$AF14)="","",INDEX(RiskRegister!$G:$G,$AF14)))</f>
        <v/>
      </c>
      <c r="F14" s="48" t="str">
        <f>IF($AF14="","",IF(INDEX(RiskRegister!$K:$K,$AF14)="","",INDEX(RiskRegister!$K:$K,$AF14)))</f>
        <v/>
      </c>
      <c r="G14" s="48" t="str">
        <f>IF($AF14="","",IF(INDEX(RiskRegister!$I:$I,$AF14)="","",INDEX(RiskRegister!$I:$I,$AF14)))</f>
        <v/>
      </c>
      <c r="H14" s="48" t="str">
        <f>IF($AF14="","",IF(INDEX(RiskRegister!$H:$H,$AF14)="","",INDEX(RiskRegister!$H:$H,$AF14)))</f>
        <v/>
      </c>
      <c r="I14" s="51" t="str">
        <f>IF($AF14="","",IF(INDEX(RiskRegister!$J:$J,$AF14)="","",INDEX(RiskRegister!$J:$J,$AF14)))</f>
        <v/>
      </c>
      <c r="J14" s="50" t="str">
        <f>IF($AF14="","",INDEX(RiskRegister!$AA:$AA,$AF14)&amp;"")</f>
        <v/>
      </c>
      <c r="K14" s="48" t="str">
        <f>IF($AF14="","",IF(INDEX(RiskRegister!$AD:$AD,$AF14)="","",INDEX(RiskRegister!$AD:$AD,$AF14)))</f>
        <v/>
      </c>
      <c r="L14" s="50" t="str">
        <f>IF($AF14="","",INDEX(RiskRegister!$AE:$AE,$AF14)&amp;"")</f>
        <v/>
      </c>
      <c r="M14" s="50" t="str">
        <f>IF($AF14="","",INDEX(RiskRegister!$N:$N,$AF14)&amp;"")</f>
        <v/>
      </c>
      <c r="N14" s="48" t="str">
        <f>IF($AF14="","",INDEX(RiskRegister!$W:$W,$AF14)&amp;"")</f>
        <v/>
      </c>
      <c r="O14" s="85" t="str">
        <f t="shared" si="0"/>
        <v/>
      </c>
      <c r="AF14" t="str">
        <f>IFERROR(MATCH(_xlfn.AGGREGATE(14,6,RR_Ordine_Osservazione,9),RR_Ordine_Osservazione,0)+5,"")</f>
        <v/>
      </c>
    </row>
    <row r="15" spans="1:32" ht="45" customHeight="1" x14ac:dyDescent="0.4">
      <c r="A15" s="84" t="str">
        <f>IF($AF15="","",INDEX(RiskRegister!$C:$C,$AF15)&amp;"")</f>
        <v/>
      </c>
      <c r="B15" s="50" t="str">
        <f>IF($AF15="","",INDEX(RiskRegister!$D:$D,$AF15)&amp;"")</f>
        <v/>
      </c>
      <c r="C15" s="48" t="str">
        <f>IF($AF15="","",INDEX(RiskRegister!$E:$E,$AF15)&amp;"")</f>
        <v/>
      </c>
      <c r="D15" s="50" t="str">
        <f>IF($AF15="","",INDEX(RiskRegister!$F:$F,$AF15)&amp;"")</f>
        <v/>
      </c>
      <c r="E15" s="48" t="str">
        <f>IF($AF15="","",IF(INDEX(RiskRegister!$G:$G,$AF15)="","",INDEX(RiskRegister!$G:$G,$AF15)))</f>
        <v/>
      </c>
      <c r="F15" s="48" t="str">
        <f>IF($AF15="","",IF(INDEX(RiskRegister!$K:$K,$AF15)="","",INDEX(RiskRegister!$K:$K,$AF15)))</f>
        <v/>
      </c>
      <c r="G15" s="48" t="str">
        <f>IF($AF15="","",IF(INDEX(RiskRegister!$I:$I,$AF15)="","",INDEX(RiskRegister!$I:$I,$AF15)))</f>
        <v/>
      </c>
      <c r="H15" s="48" t="str">
        <f>IF($AF15="","",IF(INDEX(RiskRegister!$H:$H,$AF15)="","",INDEX(RiskRegister!$H:$H,$AF15)))</f>
        <v/>
      </c>
      <c r="I15" s="51" t="str">
        <f>IF($AF15="","",IF(INDEX(RiskRegister!$J:$J,$AF15)="","",INDEX(RiskRegister!$J:$J,$AF15)))</f>
        <v/>
      </c>
      <c r="J15" s="50" t="str">
        <f>IF($AF15="","",INDEX(RiskRegister!$AA:$AA,$AF15)&amp;"")</f>
        <v/>
      </c>
      <c r="K15" s="48" t="str">
        <f>IF($AF15="","",IF(INDEX(RiskRegister!$AD:$AD,$AF15)="","",INDEX(RiskRegister!$AD:$AD,$AF15)))</f>
        <v/>
      </c>
      <c r="L15" s="50" t="str">
        <f>IF($AF15="","",INDEX(RiskRegister!$AE:$AE,$AF15)&amp;"")</f>
        <v/>
      </c>
      <c r="M15" s="50" t="str">
        <f>IF($AF15="","",INDEX(RiskRegister!$N:$N,$AF15)&amp;"")</f>
        <v/>
      </c>
      <c r="N15" s="48" t="str">
        <f>IF($AF15="","",INDEX(RiskRegister!$W:$W,$AF15)&amp;"")</f>
        <v/>
      </c>
      <c r="O15" s="85" t="str">
        <f t="shared" si="0"/>
        <v/>
      </c>
      <c r="AF15" t="str">
        <f>IFERROR(MATCH(_xlfn.AGGREGATE(14,6,RR_Ordine_Osservazione,10),RR_Ordine_Osservazione,0)+5,"")</f>
        <v/>
      </c>
    </row>
    <row r="16" spans="1:32" ht="45" customHeight="1" x14ac:dyDescent="0.45">
      <c r="A16" s="84" t="str">
        <f>IF($AF16="","",INDEX(RiskRegister!$C:$C,$AF16)&amp;"")</f>
        <v/>
      </c>
      <c r="B16" s="50" t="str">
        <f>IF($AF16="","",INDEX(RiskRegister!$D:$D,$AF16)&amp;"")</f>
        <v/>
      </c>
      <c r="C16" s="48" t="str">
        <f>IF($AF16="","",INDEX(RiskRegister!$E:$E,$AF16)&amp;"")</f>
        <v/>
      </c>
      <c r="D16" s="50" t="str">
        <f>IF($AF16="","",INDEX(RiskRegister!$F:$F,$AF16)&amp;"")</f>
        <v/>
      </c>
      <c r="E16" s="48" t="str">
        <f>IF($AF16="","",IF(INDEX(RiskRegister!$G:$G,$AF16)="","",INDEX(RiskRegister!$G:$G,$AF16)))</f>
        <v/>
      </c>
      <c r="F16" s="48" t="str">
        <f>IF($AF16="","",IF(INDEX(RiskRegister!$K:$K,$AF16)="","",INDEX(RiskRegister!$K:$K,$AF16)))</f>
        <v/>
      </c>
      <c r="G16" s="48" t="str">
        <f>IF($AF16="","",IF(INDEX(RiskRegister!$I:$I,$AF16)="","",INDEX(RiskRegister!$I:$I,$AF16)))</f>
        <v/>
      </c>
      <c r="H16" s="48" t="str">
        <f>IF($AF16="","",IF(INDEX(RiskRegister!$H:$H,$AF16)="","",INDEX(RiskRegister!$H:$H,$AF16)))</f>
        <v/>
      </c>
      <c r="I16" s="51" t="str">
        <f>IF($AF16="","",IF(INDEX(RiskRegister!$J:$J,$AF16)="","",INDEX(RiskRegister!$J:$J,$AF16)))</f>
        <v/>
      </c>
      <c r="J16" s="50" t="str">
        <f>IF($AF16="","",INDEX(RiskRegister!$AA:$AA,$AF16)&amp;"")</f>
        <v/>
      </c>
      <c r="K16" s="48" t="str">
        <f>IF($AF16="","",IF(INDEX(RiskRegister!$AD:$AD,$AF16)="","",INDEX(RiskRegister!$AD:$AD,$AF16)))</f>
        <v/>
      </c>
      <c r="L16" s="50" t="str">
        <f>IF($AF16="","",INDEX(RiskRegister!$AE:$AE,$AF16)&amp;"")</f>
        <v/>
      </c>
      <c r="M16" s="50" t="str">
        <f>IF($AF16="","",INDEX(RiskRegister!$N:$N,$AF16)&amp;"")</f>
        <v/>
      </c>
      <c r="N16" s="48" t="str">
        <f>IF($AF16="","",INDEX(RiskRegister!$W:$W,$AF16)&amp;"")</f>
        <v/>
      </c>
      <c r="O16" s="85" t="str">
        <f t="shared" si="0"/>
        <v/>
      </c>
      <c r="P16" s="149" t="s">
        <v>509</v>
      </c>
      <c r="Q16" s="150"/>
      <c r="R16" s="150"/>
      <c r="S16" s="150"/>
      <c r="T16" s="150"/>
      <c r="U16" s="150"/>
      <c r="V16" s="150"/>
      <c r="W16" s="150"/>
      <c r="X16" s="150"/>
      <c r="Y16" s="150"/>
      <c r="Z16" s="150"/>
      <c r="AF16" t="str">
        <f>IFERROR(MATCH(_xlfn.AGGREGATE(14,6,RR_Ordine_Osservazione,11),RR_Ordine_Osservazione,0)+5,"")</f>
        <v/>
      </c>
    </row>
    <row r="17" spans="1:32" ht="28" customHeight="1" x14ac:dyDescent="0.4">
      <c r="A17" s="84" t="str">
        <f>IF($AF17="","",INDEX(RiskRegister!$C:$C,$AF17)&amp;"")</f>
        <v/>
      </c>
      <c r="B17" s="50" t="str">
        <f>IF($AF17="","",INDEX(RiskRegister!$D:$D,$AF17)&amp;"")</f>
        <v/>
      </c>
      <c r="C17" s="48" t="str">
        <f>IF($AF17="","",INDEX(RiskRegister!$E:$E,$AF17)&amp;"")</f>
        <v/>
      </c>
      <c r="D17" s="50" t="str">
        <f>IF($AF17="","",INDEX(RiskRegister!$F:$F,$AF17)&amp;"")</f>
        <v/>
      </c>
      <c r="E17" s="48" t="str">
        <f>IF($AF17="","",IF(INDEX(RiskRegister!$G:$G,$AF17)="","",INDEX(RiskRegister!$G:$G,$AF17)))</f>
        <v/>
      </c>
      <c r="F17" s="48" t="str">
        <f>IF($AF17="","",IF(INDEX(RiskRegister!$K:$K,$AF17)="","",INDEX(RiskRegister!$K:$K,$AF17)))</f>
        <v/>
      </c>
      <c r="G17" s="48" t="str">
        <f>IF($AF17="","",IF(INDEX(RiskRegister!$I:$I,$AF17)="","",INDEX(RiskRegister!$I:$I,$AF17)))</f>
        <v/>
      </c>
      <c r="H17" s="48" t="str">
        <f>IF($AF17="","",IF(INDEX(RiskRegister!$H:$H,$AF17)="","",INDEX(RiskRegister!$H:$H,$AF17)))</f>
        <v/>
      </c>
      <c r="I17" s="51" t="str">
        <f>IF($AF17="","",IF(INDEX(RiskRegister!$J:$J,$AF17)="","",INDEX(RiskRegister!$J:$J,$AF17)))</f>
        <v/>
      </c>
      <c r="J17" s="50" t="str">
        <f>IF($AF17="","",INDEX(RiskRegister!$AA:$AA,$AF17)&amp;"")</f>
        <v/>
      </c>
      <c r="K17" s="48" t="str">
        <f>IF($AF17="","",IF(INDEX(RiskRegister!$AD:$AD,$AF17)="","",INDEX(RiskRegister!$AD:$AD,$AF17)))</f>
        <v/>
      </c>
      <c r="L17" s="50" t="str">
        <f>IF($AF17="","",INDEX(RiskRegister!$AE:$AE,$AF17)&amp;"")</f>
        <v/>
      </c>
      <c r="M17" s="50" t="str">
        <f>IF($AF17="","",INDEX(RiskRegister!$N:$N,$AF17)&amp;"")</f>
        <v/>
      </c>
      <c r="N17" s="48" t="str">
        <f>IF($AF17="","",INDEX(RiskRegister!$W:$W,$AF17)&amp;"")</f>
        <v/>
      </c>
      <c r="O17" s="85" t="str">
        <f t="shared" si="0"/>
        <v/>
      </c>
      <c r="P17" s="47" t="s">
        <v>269</v>
      </c>
      <c r="Q17" s="47" t="s">
        <v>461</v>
      </c>
      <c r="R17" s="47" t="s">
        <v>463</v>
      </c>
      <c r="S17" s="47" t="s">
        <v>465</v>
      </c>
      <c r="T17" s="47" t="s">
        <v>467</v>
      </c>
      <c r="U17" s="47" t="s">
        <v>469</v>
      </c>
      <c r="V17" s="47" t="s">
        <v>471</v>
      </c>
      <c r="W17" s="47" t="s">
        <v>474</v>
      </c>
      <c r="X17" s="47" t="s">
        <v>476</v>
      </c>
      <c r="Y17" s="47" t="s">
        <v>478</v>
      </c>
      <c r="Z17" s="47" t="s">
        <v>508</v>
      </c>
      <c r="AF17" t="str">
        <f>IFERROR(MATCH(_xlfn.AGGREGATE(14,6,RR_Ordine_Osservazione,12),RR_Ordine_Osservazione,0)+5,"")</f>
        <v/>
      </c>
    </row>
    <row r="18" spans="1:32" ht="45" customHeight="1" x14ac:dyDescent="0.4">
      <c r="A18" s="84" t="str">
        <f>IF($AF18="","",INDEX(RiskRegister!$C:$C,$AF18)&amp;"")</f>
        <v/>
      </c>
      <c r="B18" s="50" t="str">
        <f>IF($AF18="","",INDEX(RiskRegister!$D:$D,$AF18)&amp;"")</f>
        <v/>
      </c>
      <c r="C18" s="48" t="str">
        <f>IF($AF18="","",INDEX(RiskRegister!$E:$E,$AF18)&amp;"")</f>
        <v/>
      </c>
      <c r="D18" s="50" t="str">
        <f>IF($AF18="","",INDEX(RiskRegister!$F:$F,$AF18)&amp;"")</f>
        <v/>
      </c>
      <c r="E18" s="48" t="str">
        <f>IF($AF18="","",IF(INDEX(RiskRegister!$G:$G,$AF18)="","",INDEX(RiskRegister!$G:$G,$AF18)))</f>
        <v/>
      </c>
      <c r="F18" s="48" t="str">
        <f>IF($AF18="","",IF(INDEX(RiskRegister!$K:$K,$AF18)="","",INDEX(RiskRegister!$K:$K,$AF18)))</f>
        <v/>
      </c>
      <c r="G18" s="48" t="str">
        <f>IF($AF18="","",IF(INDEX(RiskRegister!$I:$I,$AF18)="","",INDEX(RiskRegister!$I:$I,$AF18)))</f>
        <v/>
      </c>
      <c r="H18" s="48" t="str">
        <f>IF($AF18="","",IF(INDEX(RiskRegister!$H:$H,$AF18)="","",INDEX(RiskRegister!$H:$H,$AF18)))</f>
        <v/>
      </c>
      <c r="I18" s="51" t="str">
        <f>IF($AF18="","",IF(INDEX(RiskRegister!$J:$J,$AF18)="","",INDEX(RiskRegister!$J:$J,$AF18)))</f>
        <v/>
      </c>
      <c r="J18" s="50" t="str">
        <f>IF($AF18="","",INDEX(RiskRegister!$AA:$AA,$AF18)&amp;"")</f>
        <v/>
      </c>
      <c r="K18" s="48" t="str">
        <f>IF($AF18="","",IF(INDEX(RiskRegister!$AD:$AD,$AF18)="","",INDEX(RiskRegister!$AD:$AD,$AF18)))</f>
        <v/>
      </c>
      <c r="L18" s="50" t="str">
        <f>IF($AF18="","",INDEX(RiskRegister!$AE:$AE,$AF18)&amp;"")</f>
        <v/>
      </c>
      <c r="M18" s="50" t="str">
        <f>IF($AF18="","",INDEX(RiskRegister!$N:$N,$AF18)&amp;"")</f>
        <v/>
      </c>
      <c r="N18" s="48" t="str">
        <f>IF($AF18="","",INDEX(RiskRegister!$W:$W,$AF18)&amp;"")</f>
        <v/>
      </c>
      <c r="O18" s="85" t="str">
        <f t="shared" si="0"/>
        <v/>
      </c>
      <c r="P18" s="86" t="str">
        <f>INDEX(nomiDriver,1)</f>
        <v>Cyber</v>
      </c>
      <c r="Q18" s="87" t="str">
        <f t="shared" ref="Q18:Y18" si="10">IF(COUNTIFS(ANA_Event_Type,Q$17,ANA_Driver,"*"&amp;INDEX(codiciDriver,1)&amp;"*")=0,"",COUNTIFS(ANA_Event_Type,Q$17,ANA_Driver,"*"&amp;INDEX(codiciDriver,1)&amp;"*"))</f>
        <v/>
      </c>
      <c r="R18" s="87" t="str">
        <f t="shared" si="10"/>
        <v/>
      </c>
      <c r="S18" s="87" t="str">
        <f t="shared" si="10"/>
        <v/>
      </c>
      <c r="T18" s="87" t="str">
        <f t="shared" si="10"/>
        <v/>
      </c>
      <c r="U18" s="87">
        <f t="shared" si="10"/>
        <v>1</v>
      </c>
      <c r="V18" s="87" t="str">
        <f t="shared" si="10"/>
        <v/>
      </c>
      <c r="W18" s="87">
        <f t="shared" si="10"/>
        <v>2</v>
      </c>
      <c r="X18" s="87" t="str">
        <f t="shared" si="10"/>
        <v/>
      </c>
      <c r="Y18" s="87" t="str">
        <f t="shared" si="10"/>
        <v/>
      </c>
      <c r="Z18" s="88">
        <f t="shared" ref="Z18:Z25" si="11">SUM(Q18:Y18)</f>
        <v>3</v>
      </c>
      <c r="AF18" t="str">
        <f>IFERROR(MATCH(_xlfn.AGGREGATE(14,6,RR_Ordine_Osservazione,13),RR_Ordine_Osservazione,0)+5,"")</f>
        <v/>
      </c>
    </row>
    <row r="19" spans="1:32" ht="45" customHeight="1" x14ac:dyDescent="0.4">
      <c r="A19" s="84" t="str">
        <f>IF($AF19="","",INDEX(RiskRegister!$C:$C,$AF19)&amp;"")</f>
        <v/>
      </c>
      <c r="B19" s="50" t="str">
        <f>IF($AF19="","",INDEX(RiskRegister!$D:$D,$AF19)&amp;"")</f>
        <v/>
      </c>
      <c r="C19" s="48" t="str">
        <f>IF($AF19="","",INDEX(RiskRegister!$E:$E,$AF19)&amp;"")</f>
        <v/>
      </c>
      <c r="D19" s="50" t="str">
        <f>IF($AF19="","",INDEX(RiskRegister!$F:$F,$AF19)&amp;"")</f>
        <v/>
      </c>
      <c r="E19" s="48" t="str">
        <f>IF($AF19="","",IF(INDEX(RiskRegister!$G:$G,$AF19)="","",INDEX(RiskRegister!$G:$G,$AF19)))</f>
        <v/>
      </c>
      <c r="F19" s="48" t="str">
        <f>IF($AF19="","",IF(INDEX(RiskRegister!$K:$K,$AF19)="","",INDEX(RiskRegister!$K:$K,$AF19)))</f>
        <v/>
      </c>
      <c r="G19" s="48" t="str">
        <f>IF($AF19="","",IF(INDEX(RiskRegister!$I:$I,$AF19)="","",INDEX(RiskRegister!$I:$I,$AF19)))</f>
        <v/>
      </c>
      <c r="H19" s="48" t="str">
        <f>IF($AF19="","",IF(INDEX(RiskRegister!$H:$H,$AF19)="","",INDEX(RiskRegister!$H:$H,$AF19)))</f>
        <v/>
      </c>
      <c r="I19" s="51" t="str">
        <f>IF($AF19="","",IF(INDEX(RiskRegister!$J:$J,$AF19)="","",INDEX(RiskRegister!$J:$J,$AF19)))</f>
        <v/>
      </c>
      <c r="J19" s="50" t="str">
        <f>IF($AF19="","",INDEX(RiskRegister!$AA:$AA,$AF19)&amp;"")</f>
        <v/>
      </c>
      <c r="K19" s="48" t="str">
        <f>IF($AF19="","",IF(INDEX(RiskRegister!$AD:$AD,$AF19)="","",INDEX(RiskRegister!$AD:$AD,$AF19)))</f>
        <v/>
      </c>
      <c r="L19" s="50" t="str">
        <f>IF($AF19="","",INDEX(RiskRegister!$AE:$AE,$AF19)&amp;"")</f>
        <v/>
      </c>
      <c r="M19" s="50" t="str">
        <f>IF($AF19="","",INDEX(RiskRegister!$N:$N,$AF19)&amp;"")</f>
        <v/>
      </c>
      <c r="N19" s="48" t="str">
        <f>IF($AF19="","",INDEX(RiskRegister!$W:$W,$AF19)&amp;"")</f>
        <v/>
      </c>
      <c r="O19" s="85" t="str">
        <f t="shared" si="0"/>
        <v/>
      </c>
      <c r="P19" s="86" t="str">
        <f>INDEX(nomiDriver,2)</f>
        <v>Terze parti</v>
      </c>
      <c r="Q19" s="87" t="str">
        <f t="shared" ref="Q19:Y19" si="12">IF(COUNTIFS(ANA_Event_Type,Q$17,ANA_Driver,"*"&amp;INDEX(codiciDriver,2)&amp;"*")=0,"",COUNTIFS(ANA_Event_Type,Q$17,ANA_Driver,"*"&amp;INDEX(codiciDriver,2)&amp;"*"))</f>
        <v/>
      </c>
      <c r="R19" s="87" t="str">
        <f t="shared" si="12"/>
        <v/>
      </c>
      <c r="S19" s="87" t="str">
        <f t="shared" si="12"/>
        <v/>
      </c>
      <c r="T19" s="87" t="str">
        <f t="shared" si="12"/>
        <v/>
      </c>
      <c r="U19" s="87" t="str">
        <f t="shared" si="12"/>
        <v/>
      </c>
      <c r="V19" s="87" t="str">
        <f t="shared" si="12"/>
        <v/>
      </c>
      <c r="W19" s="87">
        <f t="shared" si="12"/>
        <v>2</v>
      </c>
      <c r="X19" s="87" t="str">
        <f t="shared" si="12"/>
        <v/>
      </c>
      <c r="Y19" s="87" t="str">
        <f t="shared" si="12"/>
        <v/>
      </c>
      <c r="Z19" s="88">
        <f t="shared" si="11"/>
        <v>2</v>
      </c>
      <c r="AF19" t="str">
        <f>IFERROR(MATCH(_xlfn.AGGREGATE(14,6,RR_Ordine_Osservazione,14),RR_Ordine_Osservazione,0)+5,"")</f>
        <v/>
      </c>
    </row>
    <row r="20" spans="1:32" ht="45" customHeight="1" x14ac:dyDescent="0.4">
      <c r="A20" s="84" t="str">
        <f>IF($AF20="","",INDEX(RiskRegister!$C:$C,$AF20)&amp;"")</f>
        <v/>
      </c>
      <c r="B20" s="50" t="str">
        <f>IF($AF20="","",INDEX(RiskRegister!$D:$D,$AF20)&amp;"")</f>
        <v/>
      </c>
      <c r="C20" s="48" t="str">
        <f>IF($AF20="","",INDEX(RiskRegister!$E:$E,$AF20)&amp;"")</f>
        <v/>
      </c>
      <c r="D20" s="50" t="str">
        <f>IF($AF20="","",INDEX(RiskRegister!$F:$F,$AF20)&amp;"")</f>
        <v/>
      </c>
      <c r="E20" s="48" t="str">
        <f>IF($AF20="","",IF(INDEX(RiskRegister!$G:$G,$AF20)="","",INDEX(RiskRegister!$G:$G,$AF20)))</f>
        <v/>
      </c>
      <c r="F20" s="48" t="str">
        <f>IF($AF20="","",IF(INDEX(RiskRegister!$K:$K,$AF20)="","",INDEX(RiskRegister!$K:$K,$AF20)))</f>
        <v/>
      </c>
      <c r="G20" s="48" t="str">
        <f>IF($AF20="","",IF(INDEX(RiskRegister!$I:$I,$AF20)="","",INDEX(RiskRegister!$I:$I,$AF20)))</f>
        <v/>
      </c>
      <c r="H20" s="48" t="str">
        <f>IF($AF20="","",IF(INDEX(RiskRegister!$H:$H,$AF20)="","",INDEX(RiskRegister!$H:$H,$AF20)))</f>
        <v/>
      </c>
      <c r="I20" s="51" t="str">
        <f>IF($AF20="","",IF(INDEX(RiskRegister!$J:$J,$AF20)="","",INDEX(RiskRegister!$J:$J,$AF20)))</f>
        <v/>
      </c>
      <c r="J20" s="50" t="str">
        <f>IF($AF20="","",INDEX(RiskRegister!$AA:$AA,$AF20)&amp;"")</f>
        <v/>
      </c>
      <c r="K20" s="48" t="str">
        <f>IF($AF20="","",IF(INDEX(RiskRegister!$AD:$AD,$AF20)="","",INDEX(RiskRegister!$AD:$AD,$AF20)))</f>
        <v/>
      </c>
      <c r="L20" s="50" t="str">
        <f>IF($AF20="","",INDEX(RiskRegister!$AE:$AE,$AF20)&amp;"")</f>
        <v/>
      </c>
      <c r="M20" s="50" t="str">
        <f>IF($AF20="","",INDEX(RiskRegister!$N:$N,$AF20)&amp;"")</f>
        <v/>
      </c>
      <c r="N20" s="48" t="str">
        <f>IF($AF20="","",INDEX(RiskRegister!$W:$W,$AF20)&amp;"")</f>
        <v/>
      </c>
      <c r="O20" s="85" t="str">
        <f t="shared" si="0"/>
        <v/>
      </c>
      <c r="P20" s="86" t="str">
        <f>INDEX(nomiDriver,3)</f>
        <v>Intelligenza artificiale</v>
      </c>
      <c r="Q20" s="87">
        <f t="shared" ref="Q20:Y20" si="13">IF(COUNTIFS(ANA_Event_Type,Q$17,ANA_Driver,"*"&amp;INDEX(codiciDriver,3)&amp;"*")=0,"",COUNTIFS(ANA_Event_Type,Q$17,ANA_Driver,"*"&amp;INDEX(codiciDriver,3)&amp;"*"))</f>
        <v>1</v>
      </c>
      <c r="R20" s="87" t="str">
        <f t="shared" si="13"/>
        <v/>
      </c>
      <c r="S20" s="87" t="str">
        <f t="shared" si="13"/>
        <v/>
      </c>
      <c r="T20" s="87" t="str">
        <f t="shared" si="13"/>
        <v/>
      </c>
      <c r="U20" s="87">
        <f t="shared" si="13"/>
        <v>2</v>
      </c>
      <c r="V20" s="87" t="str">
        <f t="shared" si="13"/>
        <v/>
      </c>
      <c r="W20" s="87" t="str">
        <f t="shared" si="13"/>
        <v/>
      </c>
      <c r="X20" s="87" t="str">
        <f t="shared" si="13"/>
        <v/>
      </c>
      <c r="Y20" s="87" t="str">
        <f t="shared" si="13"/>
        <v/>
      </c>
      <c r="Z20" s="88">
        <f t="shared" si="11"/>
        <v>3</v>
      </c>
      <c r="AF20" t="str">
        <f>IFERROR(MATCH(_xlfn.AGGREGATE(14,6,RR_Ordine_Osservazione,15),RR_Ordine_Osservazione,0)+5,"")</f>
        <v/>
      </c>
    </row>
    <row r="21" spans="1:32" ht="45" customHeight="1" x14ac:dyDescent="0.4">
      <c r="A21" s="84" t="str">
        <f>IF($AF21="","",INDEX(RiskRegister!$C:$C,$AF21)&amp;"")</f>
        <v/>
      </c>
      <c r="B21" s="50" t="str">
        <f>IF($AF21="","",INDEX(RiskRegister!$D:$D,$AF21)&amp;"")</f>
        <v/>
      </c>
      <c r="C21" s="48" t="str">
        <f>IF($AF21="","",INDEX(RiskRegister!$E:$E,$AF21)&amp;"")</f>
        <v/>
      </c>
      <c r="D21" s="50" t="str">
        <f>IF($AF21="","",INDEX(RiskRegister!$F:$F,$AF21)&amp;"")</f>
        <v/>
      </c>
      <c r="E21" s="48" t="str">
        <f>IF($AF21="","",IF(INDEX(RiskRegister!$G:$G,$AF21)="","",INDEX(RiskRegister!$G:$G,$AF21)))</f>
        <v/>
      </c>
      <c r="F21" s="48" t="str">
        <f>IF($AF21="","",IF(INDEX(RiskRegister!$K:$K,$AF21)="","",INDEX(RiskRegister!$K:$K,$AF21)))</f>
        <v/>
      </c>
      <c r="G21" s="48" t="str">
        <f>IF($AF21="","",IF(INDEX(RiskRegister!$I:$I,$AF21)="","",INDEX(RiskRegister!$I:$I,$AF21)))</f>
        <v/>
      </c>
      <c r="H21" s="48" t="str">
        <f>IF($AF21="","",IF(INDEX(RiskRegister!$H:$H,$AF21)="","",INDEX(RiskRegister!$H:$H,$AF21)))</f>
        <v/>
      </c>
      <c r="I21" s="51" t="str">
        <f>IF($AF21="","",IF(INDEX(RiskRegister!$J:$J,$AF21)="","",INDEX(RiskRegister!$J:$J,$AF21)))</f>
        <v/>
      </c>
      <c r="J21" s="50" t="str">
        <f>IF($AF21="","",INDEX(RiskRegister!$AA:$AA,$AF21)&amp;"")</f>
        <v/>
      </c>
      <c r="K21" s="48" t="str">
        <f>IF($AF21="","",IF(INDEX(RiskRegister!$AD:$AD,$AF21)="","",INDEX(RiskRegister!$AD:$AD,$AF21)))</f>
        <v/>
      </c>
      <c r="L21" s="50" t="str">
        <f>IF($AF21="","",INDEX(RiskRegister!$AE:$AE,$AF21)&amp;"")</f>
        <v/>
      </c>
      <c r="M21" s="50" t="str">
        <f>IF($AF21="","",INDEX(RiskRegister!$N:$N,$AF21)&amp;"")</f>
        <v/>
      </c>
      <c r="N21" s="48" t="str">
        <f>IF($AF21="","",INDEX(RiskRegister!$W:$W,$AF21)&amp;"")</f>
        <v/>
      </c>
      <c r="O21" s="85" t="str">
        <f t="shared" si="0"/>
        <v/>
      </c>
      <c r="P21" s="86" t="str">
        <f>INDEX(nomiDriver,4)</f>
        <v>Clima e ambiente</v>
      </c>
      <c r="Q21" s="87">
        <f t="shared" ref="Q21:Y21" si="14">IF(COUNTIFS(ANA_Event_Type,Q$17,ANA_Driver,"*"&amp;INDEX(codiciDriver,4)&amp;"*")=0,"",COUNTIFS(ANA_Event_Type,Q$17,ANA_Driver,"*"&amp;INDEX(codiciDriver,4)&amp;"*"))</f>
        <v>1</v>
      </c>
      <c r="R21" s="87" t="str">
        <f t="shared" si="14"/>
        <v/>
      </c>
      <c r="S21" s="87" t="str">
        <f t="shared" si="14"/>
        <v/>
      </c>
      <c r="T21" s="87" t="str">
        <f t="shared" si="14"/>
        <v/>
      </c>
      <c r="U21" s="87" t="str">
        <f t="shared" si="14"/>
        <v/>
      </c>
      <c r="V21" s="87">
        <f t="shared" si="14"/>
        <v>1</v>
      </c>
      <c r="W21" s="87" t="str">
        <f t="shared" si="14"/>
        <v/>
      </c>
      <c r="X21" s="87" t="str">
        <f t="shared" si="14"/>
        <v/>
      </c>
      <c r="Y21" s="87" t="str">
        <f t="shared" si="14"/>
        <v/>
      </c>
      <c r="Z21" s="88">
        <f t="shared" si="11"/>
        <v>2</v>
      </c>
      <c r="AF21" t="str">
        <f>IFERROR(MATCH(_xlfn.AGGREGATE(14,6,RR_Ordine_Osservazione,16),RR_Ordine_Osservazione,0)+5,"")</f>
        <v/>
      </c>
    </row>
    <row r="22" spans="1:32" ht="45" customHeight="1" x14ac:dyDescent="0.4">
      <c r="A22" s="84" t="str">
        <f>IF($AF22="","",INDEX(RiskRegister!$C:$C,$AF22)&amp;"")</f>
        <v/>
      </c>
      <c r="B22" s="50" t="str">
        <f>IF($AF22="","",INDEX(RiskRegister!$D:$D,$AF22)&amp;"")</f>
        <v/>
      </c>
      <c r="C22" s="48" t="str">
        <f>IF($AF22="","",INDEX(RiskRegister!$E:$E,$AF22)&amp;"")</f>
        <v/>
      </c>
      <c r="D22" s="50" t="str">
        <f>IF($AF22="","",INDEX(RiskRegister!$F:$F,$AF22)&amp;"")</f>
        <v/>
      </c>
      <c r="E22" s="48" t="str">
        <f>IF($AF22="","",IF(INDEX(RiskRegister!$G:$G,$AF22)="","",INDEX(RiskRegister!$G:$G,$AF22)))</f>
        <v/>
      </c>
      <c r="F22" s="48" t="str">
        <f>IF($AF22="","",IF(INDEX(RiskRegister!$K:$K,$AF22)="","",INDEX(RiskRegister!$K:$K,$AF22)))</f>
        <v/>
      </c>
      <c r="G22" s="48" t="str">
        <f>IF($AF22="","",IF(INDEX(RiskRegister!$I:$I,$AF22)="","",INDEX(RiskRegister!$I:$I,$AF22)))</f>
        <v/>
      </c>
      <c r="H22" s="48" t="str">
        <f>IF($AF22="","",IF(INDEX(RiskRegister!$H:$H,$AF22)="","",INDEX(RiskRegister!$H:$H,$AF22)))</f>
        <v/>
      </c>
      <c r="I22" s="51" t="str">
        <f>IF($AF22="","",IF(INDEX(RiskRegister!$J:$J,$AF22)="","",INDEX(RiskRegister!$J:$J,$AF22)))</f>
        <v/>
      </c>
      <c r="J22" s="50" t="str">
        <f>IF($AF22="","",INDEX(RiskRegister!$AA:$AA,$AF22)&amp;"")</f>
        <v/>
      </c>
      <c r="K22" s="48" t="str">
        <f>IF($AF22="","",IF(INDEX(RiskRegister!$AD:$AD,$AF22)="","",INDEX(RiskRegister!$AD:$AD,$AF22)))</f>
        <v/>
      </c>
      <c r="L22" s="50" t="str">
        <f>IF($AF22="","",INDEX(RiskRegister!$AE:$AE,$AF22)&amp;"")</f>
        <v/>
      </c>
      <c r="M22" s="50" t="str">
        <f>IF($AF22="","",INDEX(RiskRegister!$N:$N,$AF22)&amp;"")</f>
        <v/>
      </c>
      <c r="N22" s="48" t="str">
        <f>IF($AF22="","",INDEX(RiskRegister!$W:$W,$AF22)&amp;"")</f>
        <v/>
      </c>
      <c r="O22" s="85" t="str">
        <f t="shared" si="0"/>
        <v/>
      </c>
      <c r="P22" s="86" t="str">
        <f>INDEX(nomiDriver,5)</f>
        <v>Condotta</v>
      </c>
      <c r="Q22" s="87">
        <f t="shared" ref="Q22:Y22" si="15">IF(COUNTIFS(ANA_Event_Type,Q$17,ANA_Driver,"*"&amp;INDEX(codiciDriver,5)&amp;"*")=0,"",COUNTIFS(ANA_Event_Type,Q$17,ANA_Driver,"*"&amp;INDEX(codiciDriver,5)&amp;"*"))</f>
        <v>2</v>
      </c>
      <c r="R22" s="87" t="str">
        <f t="shared" si="15"/>
        <v/>
      </c>
      <c r="S22" s="87" t="str">
        <f t="shared" si="15"/>
        <v/>
      </c>
      <c r="T22" s="87" t="str">
        <f t="shared" si="15"/>
        <v/>
      </c>
      <c r="U22" s="87">
        <f t="shared" si="15"/>
        <v>1</v>
      </c>
      <c r="V22" s="87" t="str">
        <f t="shared" si="15"/>
        <v/>
      </c>
      <c r="W22" s="87" t="str">
        <f t="shared" si="15"/>
        <v/>
      </c>
      <c r="X22" s="87" t="str">
        <f t="shared" si="15"/>
        <v/>
      </c>
      <c r="Y22" s="87" t="str">
        <f t="shared" si="15"/>
        <v/>
      </c>
      <c r="Z22" s="88">
        <f t="shared" si="11"/>
        <v>3</v>
      </c>
      <c r="AF22" t="str">
        <f>IFERROR(MATCH(_xlfn.AGGREGATE(14,6,RR_Ordine_Osservazione,17),RR_Ordine_Osservazione,0)+5,"")</f>
        <v/>
      </c>
    </row>
    <row r="23" spans="1:32" ht="45" customHeight="1" x14ac:dyDescent="0.4">
      <c r="A23" s="84" t="str">
        <f>IF($AF23="","",INDEX(RiskRegister!$C:$C,$AF23)&amp;"")</f>
        <v/>
      </c>
      <c r="B23" s="50" t="str">
        <f>IF($AF23="","",INDEX(RiskRegister!$D:$D,$AF23)&amp;"")</f>
        <v/>
      </c>
      <c r="C23" s="48" t="str">
        <f>IF($AF23="","",INDEX(RiskRegister!$E:$E,$AF23)&amp;"")</f>
        <v/>
      </c>
      <c r="D23" s="50" t="str">
        <f>IF($AF23="","",INDEX(RiskRegister!$F:$F,$AF23)&amp;"")</f>
        <v/>
      </c>
      <c r="E23" s="48" t="str">
        <f>IF($AF23="","",IF(INDEX(RiskRegister!$G:$G,$AF23)="","",INDEX(RiskRegister!$G:$G,$AF23)))</f>
        <v/>
      </c>
      <c r="F23" s="48" t="str">
        <f>IF($AF23="","",IF(INDEX(RiskRegister!$K:$K,$AF23)="","",INDEX(RiskRegister!$K:$K,$AF23)))</f>
        <v/>
      </c>
      <c r="G23" s="48" t="str">
        <f>IF($AF23="","",IF(INDEX(RiskRegister!$I:$I,$AF23)="","",INDEX(RiskRegister!$I:$I,$AF23)))</f>
        <v/>
      </c>
      <c r="H23" s="48" t="str">
        <f>IF($AF23="","",IF(INDEX(RiskRegister!$H:$H,$AF23)="","",INDEX(RiskRegister!$H:$H,$AF23)))</f>
        <v/>
      </c>
      <c r="I23" s="51" t="str">
        <f>IF($AF23="","",IF(INDEX(RiskRegister!$J:$J,$AF23)="","",INDEX(RiskRegister!$J:$J,$AF23)))</f>
        <v/>
      </c>
      <c r="J23" s="50" t="str">
        <f>IF($AF23="","",INDEX(RiskRegister!$AA:$AA,$AF23)&amp;"")</f>
        <v/>
      </c>
      <c r="K23" s="48" t="str">
        <f>IF($AF23="","",IF(INDEX(RiskRegister!$AD:$AD,$AF23)="","",INDEX(RiskRegister!$AD:$AD,$AF23)))</f>
        <v/>
      </c>
      <c r="L23" s="50" t="str">
        <f>IF($AF23="","",INDEX(RiskRegister!$AE:$AE,$AF23)&amp;"")</f>
        <v/>
      </c>
      <c r="M23" s="50" t="str">
        <f>IF($AF23="","",INDEX(RiskRegister!$N:$N,$AF23)&amp;"")</f>
        <v/>
      </c>
      <c r="N23" s="48" t="str">
        <f>IF($AF23="","",INDEX(RiskRegister!$W:$W,$AF23)&amp;"")</f>
        <v/>
      </c>
      <c r="O23" s="85" t="str">
        <f t="shared" si="0"/>
        <v/>
      </c>
      <c r="P23" s="86" t="str">
        <f>INDEX(nomiDriver,6)</f>
        <v>Geopolitica</v>
      </c>
      <c r="Q23" s="87" t="str">
        <f t="shared" ref="Q23:Y23" si="16">IF(COUNTIFS(ANA_Event_Type,Q$17,ANA_Driver,"*"&amp;INDEX(codiciDriver,6)&amp;"*")=0,"",COUNTIFS(ANA_Event_Type,Q$17,ANA_Driver,"*"&amp;INDEX(codiciDriver,6)&amp;"*"))</f>
        <v/>
      </c>
      <c r="R23" s="87">
        <f t="shared" si="16"/>
        <v>1</v>
      </c>
      <c r="S23" s="87" t="str">
        <f t="shared" si="16"/>
        <v/>
      </c>
      <c r="T23" s="87" t="str">
        <f t="shared" si="16"/>
        <v/>
      </c>
      <c r="U23" s="87" t="str">
        <f t="shared" si="16"/>
        <v/>
      </c>
      <c r="V23" s="87" t="str">
        <f t="shared" si="16"/>
        <v/>
      </c>
      <c r="W23" s="87" t="str">
        <f t="shared" si="16"/>
        <v/>
      </c>
      <c r="X23" s="87" t="str">
        <f t="shared" si="16"/>
        <v/>
      </c>
      <c r="Y23" s="87" t="str">
        <f t="shared" si="16"/>
        <v/>
      </c>
      <c r="Z23" s="88">
        <f t="shared" si="11"/>
        <v>1</v>
      </c>
      <c r="AF23" t="str">
        <f>IFERROR(MATCH(_xlfn.AGGREGATE(14,6,RR_Ordine_Osservazione,18),RR_Ordine_Osservazione,0)+5,"")</f>
        <v/>
      </c>
    </row>
    <row r="24" spans="1:32" ht="45" customHeight="1" x14ac:dyDescent="0.4">
      <c r="A24" s="84" t="str">
        <f>IF($AF24="","",INDEX(RiskRegister!$C:$C,$AF24)&amp;"")</f>
        <v/>
      </c>
      <c r="B24" s="50" t="str">
        <f>IF($AF24="","",INDEX(RiskRegister!$D:$D,$AF24)&amp;"")</f>
        <v/>
      </c>
      <c r="C24" s="48" t="str">
        <f>IF($AF24="","",INDEX(RiskRegister!$E:$E,$AF24)&amp;"")</f>
        <v/>
      </c>
      <c r="D24" s="50" t="str">
        <f>IF($AF24="","",INDEX(RiskRegister!$F:$F,$AF24)&amp;"")</f>
        <v/>
      </c>
      <c r="E24" s="48" t="str">
        <f>IF($AF24="","",IF(INDEX(RiskRegister!$G:$G,$AF24)="","",INDEX(RiskRegister!$G:$G,$AF24)))</f>
        <v/>
      </c>
      <c r="F24" s="48" t="str">
        <f>IF($AF24="","",IF(INDEX(RiskRegister!$K:$K,$AF24)="","",INDEX(RiskRegister!$K:$K,$AF24)))</f>
        <v/>
      </c>
      <c r="G24" s="48" t="str">
        <f>IF($AF24="","",IF(INDEX(RiskRegister!$I:$I,$AF24)="","",INDEX(RiskRegister!$I:$I,$AF24)))</f>
        <v/>
      </c>
      <c r="H24" s="48" t="str">
        <f>IF($AF24="","",IF(INDEX(RiskRegister!$H:$H,$AF24)="","",INDEX(RiskRegister!$H:$H,$AF24)))</f>
        <v/>
      </c>
      <c r="I24" s="51" t="str">
        <f>IF($AF24="","",IF(INDEX(RiskRegister!$J:$J,$AF24)="","",INDEX(RiskRegister!$J:$J,$AF24)))</f>
        <v/>
      </c>
      <c r="J24" s="50" t="str">
        <f>IF($AF24="","",INDEX(RiskRegister!$AA:$AA,$AF24)&amp;"")</f>
        <v/>
      </c>
      <c r="K24" s="48" t="str">
        <f>IF($AF24="","",IF(INDEX(RiskRegister!$AD:$AD,$AF24)="","",INDEX(RiskRegister!$AD:$AD,$AF24)))</f>
        <v/>
      </c>
      <c r="L24" s="50" t="str">
        <f>IF($AF24="","",INDEX(RiskRegister!$AE:$AE,$AF24)&amp;"")</f>
        <v/>
      </c>
      <c r="M24" s="50" t="str">
        <f>IF($AF24="","",INDEX(RiskRegister!$N:$N,$AF24)&amp;"")</f>
        <v/>
      </c>
      <c r="N24" s="48" t="str">
        <f>IF($AF24="","",INDEX(RiskRegister!$W:$W,$AF24)&amp;"")</f>
        <v/>
      </c>
      <c r="O24" s="85" t="str">
        <f t="shared" si="0"/>
        <v/>
      </c>
      <c r="P24" s="86" t="str">
        <f>INDEX(nomiDriver,7)</f>
        <v>Debito tecnologico</v>
      </c>
      <c r="Q24" s="87" t="str">
        <f t="shared" ref="Q24:Y24" si="17">IF(COUNTIFS(ANA_Event_Type,Q$17,ANA_Driver,"*"&amp;INDEX(codiciDriver,7)&amp;"*")=0,"",COUNTIFS(ANA_Event_Type,Q$17,ANA_Driver,"*"&amp;INDEX(codiciDriver,7)&amp;"*"))</f>
        <v/>
      </c>
      <c r="R24" s="87" t="str">
        <f t="shared" si="17"/>
        <v/>
      </c>
      <c r="S24" s="87" t="str">
        <f t="shared" si="17"/>
        <v/>
      </c>
      <c r="T24" s="87">
        <f t="shared" si="17"/>
        <v>1</v>
      </c>
      <c r="U24" s="87" t="str">
        <f t="shared" si="17"/>
        <v/>
      </c>
      <c r="V24" s="87" t="str">
        <f t="shared" si="17"/>
        <v/>
      </c>
      <c r="W24" s="87" t="str">
        <f t="shared" si="17"/>
        <v/>
      </c>
      <c r="X24" s="87">
        <f t="shared" si="17"/>
        <v>1</v>
      </c>
      <c r="Y24" s="87">
        <f t="shared" si="17"/>
        <v>2</v>
      </c>
      <c r="Z24" s="88">
        <f t="shared" si="11"/>
        <v>4</v>
      </c>
      <c r="AF24" t="str">
        <f>IFERROR(MATCH(_xlfn.AGGREGATE(14,6,RR_Ordine_Osservazione,19),RR_Ordine_Osservazione,0)+5,"")</f>
        <v/>
      </c>
    </row>
    <row r="25" spans="1:32" ht="45" customHeight="1" x14ac:dyDescent="0.4">
      <c r="A25" s="84" t="str">
        <f>IF($AF25="","",INDEX(RiskRegister!$C:$C,$AF25)&amp;"")</f>
        <v/>
      </c>
      <c r="B25" s="50" t="str">
        <f>IF($AF25="","",INDEX(RiskRegister!$D:$D,$AF25)&amp;"")</f>
        <v/>
      </c>
      <c r="C25" s="48" t="str">
        <f>IF($AF25="","",INDEX(RiskRegister!$E:$E,$AF25)&amp;"")</f>
        <v/>
      </c>
      <c r="D25" s="50" t="str">
        <f>IF($AF25="","",INDEX(RiskRegister!$F:$F,$AF25)&amp;"")</f>
        <v/>
      </c>
      <c r="E25" s="48" t="str">
        <f>IF($AF25="","",IF(INDEX(RiskRegister!$G:$G,$AF25)="","",INDEX(RiskRegister!$G:$G,$AF25)))</f>
        <v/>
      </c>
      <c r="F25" s="48" t="str">
        <f>IF($AF25="","",IF(INDEX(RiskRegister!$K:$K,$AF25)="","",INDEX(RiskRegister!$K:$K,$AF25)))</f>
        <v/>
      </c>
      <c r="G25" s="48" t="str">
        <f>IF($AF25="","",IF(INDEX(RiskRegister!$I:$I,$AF25)="","",INDEX(RiskRegister!$I:$I,$AF25)))</f>
        <v/>
      </c>
      <c r="H25" s="48" t="str">
        <f>IF($AF25="","",IF(INDEX(RiskRegister!$H:$H,$AF25)="","",INDEX(RiskRegister!$H:$H,$AF25)))</f>
        <v/>
      </c>
      <c r="I25" s="51" t="str">
        <f>IF($AF25="","",IF(INDEX(RiskRegister!$J:$J,$AF25)="","",INDEX(RiskRegister!$J:$J,$AF25)))</f>
        <v/>
      </c>
      <c r="J25" s="50" t="str">
        <f>IF($AF25="","",INDEX(RiskRegister!$AA:$AA,$AF25)&amp;"")</f>
        <v/>
      </c>
      <c r="K25" s="48" t="str">
        <f>IF($AF25="","",IF(INDEX(RiskRegister!$AD:$AD,$AF25)="","",INDEX(RiskRegister!$AD:$AD,$AF25)))</f>
        <v/>
      </c>
      <c r="L25" s="50" t="str">
        <f>IF($AF25="","",INDEX(RiskRegister!$AE:$AE,$AF25)&amp;"")</f>
        <v/>
      </c>
      <c r="M25" s="50" t="str">
        <f>IF($AF25="","",INDEX(RiskRegister!$N:$N,$AF25)&amp;"")</f>
        <v/>
      </c>
      <c r="N25" s="48" t="str">
        <f>IF($AF25="","",INDEX(RiskRegister!$W:$W,$AF25)&amp;"")</f>
        <v/>
      </c>
      <c r="O25" s="85" t="str">
        <f t="shared" si="0"/>
        <v/>
      </c>
      <c r="P25" s="86" t="str">
        <f>INDEX(nomiDriver,8)</f>
        <v>Capitale umano</v>
      </c>
      <c r="Q25" s="87" t="str">
        <f t="shared" ref="Q25:Y25" si="18">IF(COUNTIFS(ANA_Event_Type,Q$17,ANA_Driver,"*"&amp;INDEX(codiciDriver,8)&amp;"*")=0,"",COUNTIFS(ANA_Event_Type,Q$17,ANA_Driver,"*"&amp;INDEX(codiciDriver,8)&amp;"*"))</f>
        <v/>
      </c>
      <c r="R25" s="87" t="str">
        <f t="shared" si="18"/>
        <v/>
      </c>
      <c r="S25" s="87" t="str">
        <f t="shared" si="18"/>
        <v/>
      </c>
      <c r="T25" s="87" t="str">
        <f t="shared" si="18"/>
        <v/>
      </c>
      <c r="U25" s="87">
        <f t="shared" si="18"/>
        <v>2</v>
      </c>
      <c r="V25" s="87" t="str">
        <f t="shared" si="18"/>
        <v/>
      </c>
      <c r="W25" s="87" t="str">
        <f t="shared" si="18"/>
        <v/>
      </c>
      <c r="X25" s="87">
        <f t="shared" si="18"/>
        <v>1</v>
      </c>
      <c r="Y25" s="87" t="str">
        <f t="shared" si="18"/>
        <v/>
      </c>
      <c r="Z25" s="88">
        <f t="shared" si="11"/>
        <v>3</v>
      </c>
      <c r="AF25" t="str">
        <f>IFERROR(MATCH(_xlfn.AGGREGATE(14,6,RR_Ordine_Osservazione,20),RR_Ordine_Osservazione,0)+5,"")</f>
        <v/>
      </c>
    </row>
    <row r="27" spans="1:32" ht="15.9" x14ac:dyDescent="0.45">
      <c r="A27" s="149" t="s">
        <v>510</v>
      </c>
      <c r="B27" s="150"/>
      <c r="C27" s="150"/>
      <c r="D27" s="150"/>
      <c r="E27" s="150"/>
      <c r="F27" s="150"/>
      <c r="G27" s="150"/>
      <c r="H27" s="150"/>
      <c r="I27" s="150"/>
      <c r="J27" s="150"/>
      <c r="K27" s="150"/>
      <c r="L27" s="150"/>
      <c r="M27" s="150"/>
      <c r="N27" s="150"/>
      <c r="P27" s="141" t="s">
        <v>511</v>
      </c>
      <c r="Q27" s="142"/>
      <c r="R27" s="142"/>
      <c r="S27" s="142"/>
      <c r="T27" s="142"/>
      <c r="U27" s="142"/>
      <c r="V27" s="142"/>
      <c r="W27" s="142"/>
      <c r="X27" s="142"/>
      <c r="Y27" s="142"/>
      <c r="Z27" s="142"/>
    </row>
    <row r="28" spans="1:32" ht="28" customHeight="1" x14ac:dyDescent="0.4">
      <c r="A28" s="47" t="s">
        <v>173</v>
      </c>
      <c r="B28" s="47" t="s">
        <v>18</v>
      </c>
      <c r="C28" s="47" t="s">
        <v>272</v>
      </c>
      <c r="D28" s="47" t="s">
        <v>512</v>
      </c>
      <c r="E28" s="47" t="s">
        <v>500</v>
      </c>
      <c r="F28" s="47" t="s">
        <v>501</v>
      </c>
      <c r="G28" s="47" t="s">
        <v>502</v>
      </c>
      <c r="H28" s="47" t="s">
        <v>503</v>
      </c>
      <c r="I28" s="47" t="s">
        <v>19</v>
      </c>
      <c r="J28" s="186" t="s">
        <v>273</v>
      </c>
      <c r="K28" s="142"/>
      <c r="L28" s="142"/>
      <c r="M28" s="142"/>
      <c r="N28" s="142"/>
      <c r="P28" s="142"/>
      <c r="Q28" s="142"/>
      <c r="R28" s="142"/>
      <c r="S28" s="142"/>
      <c r="T28" s="142"/>
      <c r="U28" s="142"/>
      <c r="V28" s="142"/>
      <c r="W28" s="142"/>
      <c r="X28" s="142"/>
      <c r="Y28" s="142"/>
      <c r="Z28" s="142"/>
    </row>
    <row r="29" spans="1:32" ht="30" customHeight="1" x14ac:dyDescent="0.4">
      <c r="A29" s="89" t="str">
        <f>IF($AF29="","",INDEX(RiskRegister!$C:$C,$AF29)&amp;"")</f>
        <v>NFR-16</v>
      </c>
      <c r="B29" s="90" t="str">
        <f>IF($AF29="","",INDEX(RiskRegister!$D:$D,$AF29)&amp;"")</f>
        <v>Vertenze e carenza di tecnici nei ruoli IT critici</v>
      </c>
      <c r="C29" s="91" t="str">
        <f>IF($AF29="","",INDEX(RiskRegister!$AB:$AB,$AF29)&amp;"")</f>
        <v>Entrato</v>
      </c>
      <c r="D29" s="91" t="str">
        <f>IF($AF29="","",INDEX(RiskRegister!$Z:$Z,$AF29)&amp;"")</f>
        <v>Radar</v>
      </c>
      <c r="E29" s="91">
        <f>IF($AF29="","",IF(INDEX(RiskRegister!$G:$G,$AF29)="","",INDEX(RiskRegister!$G:$G,$AF29)))</f>
        <v>3</v>
      </c>
      <c r="F29" s="91">
        <f>IF($AF29="","",IF(INDEX(RiskRegister!$K:$K,$AF29)="","",INDEX(RiskRegister!$K:$K,$AF29)))</f>
        <v>3</v>
      </c>
      <c r="G29" s="91">
        <f>IF($AF29="","",IF(INDEX(RiskRegister!$I:$I,$AF29)="","",INDEX(RiskRegister!$I:$I,$AF29)))</f>
        <v>2</v>
      </c>
      <c r="H29" s="91">
        <f>IF($AF29="","",IF(INDEX(RiskRegister!$H:$H,$AF29)="","",INDEX(RiskRegister!$H:$H,$AF29)))</f>
        <v>3</v>
      </c>
      <c r="I29" s="92">
        <f>IF($AF29="","",IF(INDEX(RiskRegister!$J:$J,$AF29)="","",INDEX(RiskRegister!$J:$J,$AF29)))</f>
        <v>2.8</v>
      </c>
      <c r="J29" s="201" t="str">
        <f>IF($AF29="","",INDEX(RiskRegister!$AA:$AA,$AF29)&amp;"")</f>
        <v>Prossimita 2 e Probabilita 3: sopra la soglia</v>
      </c>
      <c r="K29" s="202"/>
      <c r="L29" s="202"/>
      <c r="M29" s="202"/>
      <c r="N29" s="202"/>
      <c r="P29" s="142"/>
      <c r="Q29" s="142"/>
      <c r="R29" s="142"/>
      <c r="S29" s="142"/>
      <c r="T29" s="142"/>
      <c r="U29" s="142"/>
      <c r="V29" s="142"/>
      <c r="W29" s="142"/>
      <c r="X29" s="142"/>
      <c r="Y29" s="142"/>
      <c r="Z29" s="142"/>
      <c r="AF29">
        <f>IFERROR(_xlfn.AGGREGATE(15,6,ROW(RR_Ciclo)/((RR_Ciclo=cicloCorrente)*(RR_Movimento&lt;&gt;"")),1),"")</f>
        <v>72</v>
      </c>
    </row>
    <row r="30" spans="1:32" ht="30" customHeight="1" x14ac:dyDescent="0.4">
      <c r="A30" s="89" t="str">
        <f>IF($AF30="","",INDEX(RiskRegister!$C:$C,$AF30)&amp;"")</f>
        <v/>
      </c>
      <c r="B30" s="90" t="str">
        <f>IF($AF30="","",INDEX(RiskRegister!$D:$D,$AF30)&amp;"")</f>
        <v/>
      </c>
      <c r="C30" s="91" t="str">
        <f>IF($AF30="","",INDEX(RiskRegister!$AB:$AB,$AF30)&amp;"")</f>
        <v/>
      </c>
      <c r="D30" s="91" t="str">
        <f>IF($AF30="","",INDEX(RiskRegister!$Z:$Z,$AF30)&amp;"")</f>
        <v/>
      </c>
      <c r="E30" s="91" t="str">
        <f>IF($AF30="","",IF(INDEX(RiskRegister!$G:$G,$AF30)="","",INDEX(RiskRegister!$G:$G,$AF30)))</f>
        <v/>
      </c>
      <c r="F30" s="91" t="str">
        <f>IF($AF30="","",IF(INDEX(RiskRegister!$K:$K,$AF30)="","",INDEX(RiskRegister!$K:$K,$AF30)))</f>
        <v/>
      </c>
      <c r="G30" s="91" t="str">
        <f>IF($AF30="","",IF(INDEX(RiskRegister!$I:$I,$AF30)="","",INDEX(RiskRegister!$I:$I,$AF30)))</f>
        <v/>
      </c>
      <c r="H30" s="91" t="str">
        <f>IF($AF30="","",IF(INDEX(RiskRegister!$H:$H,$AF30)="","",INDEX(RiskRegister!$H:$H,$AF30)))</f>
        <v/>
      </c>
      <c r="I30" s="92" t="str">
        <f>IF($AF30="","",IF(INDEX(RiskRegister!$J:$J,$AF30)="","",INDEX(RiskRegister!$J:$J,$AF30)))</f>
        <v/>
      </c>
      <c r="J30" s="201" t="str">
        <f>IF($AF30="","",INDEX(RiskRegister!$AA:$AA,$AF30)&amp;"")</f>
        <v/>
      </c>
      <c r="K30" s="202"/>
      <c r="L30" s="202"/>
      <c r="M30" s="202"/>
      <c r="N30" s="202"/>
      <c r="AF30" t="str">
        <f>IFERROR(_xlfn.AGGREGATE(15,6,ROW(RR_Ciclo)/((RR_Ciclo=cicloCorrente)*(RR_Movimento&lt;&gt;"")),2),"")</f>
        <v/>
      </c>
    </row>
    <row r="31" spans="1:32" ht="30" customHeight="1" x14ac:dyDescent="0.4">
      <c r="A31" s="89" t="str">
        <f>IF($AF31="","",INDEX(RiskRegister!$C:$C,$AF31)&amp;"")</f>
        <v/>
      </c>
      <c r="B31" s="90" t="str">
        <f>IF($AF31="","",INDEX(RiskRegister!$D:$D,$AF31)&amp;"")</f>
        <v/>
      </c>
      <c r="C31" s="91" t="str">
        <f>IF($AF31="","",INDEX(RiskRegister!$AB:$AB,$AF31)&amp;"")</f>
        <v/>
      </c>
      <c r="D31" s="91" t="str">
        <f>IF($AF31="","",INDEX(RiskRegister!$Z:$Z,$AF31)&amp;"")</f>
        <v/>
      </c>
      <c r="E31" s="91" t="str">
        <f>IF($AF31="","",IF(INDEX(RiskRegister!$G:$G,$AF31)="","",INDEX(RiskRegister!$G:$G,$AF31)))</f>
        <v/>
      </c>
      <c r="F31" s="91" t="str">
        <f>IF($AF31="","",IF(INDEX(RiskRegister!$K:$K,$AF31)="","",INDEX(RiskRegister!$K:$K,$AF31)))</f>
        <v/>
      </c>
      <c r="G31" s="91" t="str">
        <f>IF($AF31="","",IF(INDEX(RiskRegister!$I:$I,$AF31)="","",INDEX(RiskRegister!$I:$I,$AF31)))</f>
        <v/>
      </c>
      <c r="H31" s="91" t="str">
        <f>IF($AF31="","",IF(INDEX(RiskRegister!$H:$H,$AF31)="","",INDEX(RiskRegister!$H:$H,$AF31)))</f>
        <v/>
      </c>
      <c r="I31" s="92" t="str">
        <f>IF($AF31="","",IF(INDEX(RiskRegister!$J:$J,$AF31)="","",INDEX(RiskRegister!$J:$J,$AF31)))</f>
        <v/>
      </c>
      <c r="J31" s="201" t="str">
        <f>IF($AF31="","",INDEX(RiskRegister!$AA:$AA,$AF31)&amp;"")</f>
        <v/>
      </c>
      <c r="K31" s="202"/>
      <c r="L31" s="202"/>
      <c r="M31" s="202"/>
      <c r="N31" s="202"/>
      <c r="AF31" t="str">
        <f>IFERROR(_xlfn.AGGREGATE(15,6,ROW(RR_Ciclo)/((RR_Ciclo=cicloCorrente)*(RR_Movimento&lt;&gt;"")),3),"")</f>
        <v/>
      </c>
    </row>
    <row r="32" spans="1:32" ht="30" customHeight="1" x14ac:dyDescent="0.4">
      <c r="A32" s="89" t="str">
        <f>IF($AF32="","",INDEX(RiskRegister!$C:$C,$AF32)&amp;"")</f>
        <v/>
      </c>
      <c r="B32" s="90" t="str">
        <f>IF($AF32="","",INDEX(RiskRegister!$D:$D,$AF32)&amp;"")</f>
        <v/>
      </c>
      <c r="C32" s="91" t="str">
        <f>IF($AF32="","",INDEX(RiskRegister!$AB:$AB,$AF32)&amp;"")</f>
        <v/>
      </c>
      <c r="D32" s="91" t="str">
        <f>IF($AF32="","",INDEX(RiskRegister!$Z:$Z,$AF32)&amp;"")</f>
        <v/>
      </c>
      <c r="E32" s="91" t="str">
        <f>IF($AF32="","",IF(INDEX(RiskRegister!$G:$G,$AF32)="","",INDEX(RiskRegister!$G:$G,$AF32)))</f>
        <v/>
      </c>
      <c r="F32" s="91" t="str">
        <f>IF($AF32="","",IF(INDEX(RiskRegister!$K:$K,$AF32)="","",INDEX(RiskRegister!$K:$K,$AF32)))</f>
        <v/>
      </c>
      <c r="G32" s="91" t="str">
        <f>IF($AF32="","",IF(INDEX(RiskRegister!$I:$I,$AF32)="","",INDEX(RiskRegister!$I:$I,$AF32)))</f>
        <v/>
      </c>
      <c r="H32" s="91" t="str">
        <f>IF($AF32="","",IF(INDEX(RiskRegister!$H:$H,$AF32)="","",INDEX(RiskRegister!$H:$H,$AF32)))</f>
        <v/>
      </c>
      <c r="I32" s="92" t="str">
        <f>IF($AF32="","",IF(INDEX(RiskRegister!$J:$J,$AF32)="","",INDEX(RiskRegister!$J:$J,$AF32)))</f>
        <v/>
      </c>
      <c r="J32" s="201" t="str">
        <f>IF($AF32="","",INDEX(RiskRegister!$AA:$AA,$AF32)&amp;"")</f>
        <v/>
      </c>
      <c r="K32" s="202"/>
      <c r="L32" s="202"/>
      <c r="M32" s="202"/>
      <c r="N32" s="202"/>
      <c r="AF32" t="str">
        <f>IFERROR(_xlfn.AGGREGATE(15,6,ROW(RR_Ciclo)/((RR_Ciclo=cicloCorrente)*(RR_Movimento&lt;&gt;"")),4),"")</f>
        <v/>
      </c>
    </row>
    <row r="33" spans="1:32" ht="30" customHeight="1" x14ac:dyDescent="0.4">
      <c r="A33" s="89" t="str">
        <f>IF($AF33="","",INDEX(RiskRegister!$C:$C,$AF33)&amp;"")</f>
        <v/>
      </c>
      <c r="B33" s="90" t="str">
        <f>IF($AF33="","",INDEX(RiskRegister!$D:$D,$AF33)&amp;"")</f>
        <v/>
      </c>
      <c r="C33" s="91" t="str">
        <f>IF($AF33="","",INDEX(RiskRegister!$AB:$AB,$AF33)&amp;"")</f>
        <v/>
      </c>
      <c r="D33" s="91" t="str">
        <f>IF($AF33="","",INDEX(RiskRegister!$Z:$Z,$AF33)&amp;"")</f>
        <v/>
      </c>
      <c r="E33" s="91" t="str">
        <f>IF($AF33="","",IF(INDEX(RiskRegister!$G:$G,$AF33)="","",INDEX(RiskRegister!$G:$G,$AF33)))</f>
        <v/>
      </c>
      <c r="F33" s="91" t="str">
        <f>IF($AF33="","",IF(INDEX(RiskRegister!$K:$K,$AF33)="","",INDEX(RiskRegister!$K:$K,$AF33)))</f>
        <v/>
      </c>
      <c r="G33" s="91" t="str">
        <f>IF($AF33="","",IF(INDEX(RiskRegister!$I:$I,$AF33)="","",INDEX(RiskRegister!$I:$I,$AF33)))</f>
        <v/>
      </c>
      <c r="H33" s="91" t="str">
        <f>IF($AF33="","",IF(INDEX(RiskRegister!$H:$H,$AF33)="","",INDEX(RiskRegister!$H:$H,$AF33)))</f>
        <v/>
      </c>
      <c r="I33" s="92" t="str">
        <f>IF($AF33="","",IF(INDEX(RiskRegister!$J:$J,$AF33)="","",INDEX(RiskRegister!$J:$J,$AF33)))</f>
        <v/>
      </c>
      <c r="J33" s="201" t="str">
        <f>IF($AF33="","",INDEX(RiskRegister!$AA:$AA,$AF33)&amp;"")</f>
        <v/>
      </c>
      <c r="K33" s="202"/>
      <c r="L33" s="202"/>
      <c r="M33" s="202"/>
      <c r="N33" s="202"/>
      <c r="AF33" t="str">
        <f>IFERROR(_xlfn.AGGREGATE(15,6,ROW(RR_Ciclo)/((RR_Ciclo=cicloCorrente)*(RR_Movimento&lt;&gt;"")),5),"")</f>
        <v/>
      </c>
    </row>
    <row r="34" spans="1:32" ht="30" customHeight="1" x14ac:dyDescent="0.4">
      <c r="A34" s="89" t="str">
        <f>IF($AF34="","",INDEX(RiskRegister!$C:$C,$AF34)&amp;"")</f>
        <v/>
      </c>
      <c r="B34" s="90" t="str">
        <f>IF($AF34="","",INDEX(RiskRegister!$D:$D,$AF34)&amp;"")</f>
        <v/>
      </c>
      <c r="C34" s="91" t="str">
        <f>IF($AF34="","",INDEX(RiskRegister!$AB:$AB,$AF34)&amp;"")</f>
        <v/>
      </c>
      <c r="D34" s="91" t="str">
        <f>IF($AF34="","",INDEX(RiskRegister!$Z:$Z,$AF34)&amp;"")</f>
        <v/>
      </c>
      <c r="E34" s="91" t="str">
        <f>IF($AF34="","",IF(INDEX(RiskRegister!$G:$G,$AF34)="","",INDEX(RiskRegister!$G:$G,$AF34)))</f>
        <v/>
      </c>
      <c r="F34" s="91" t="str">
        <f>IF($AF34="","",IF(INDEX(RiskRegister!$K:$K,$AF34)="","",INDEX(RiskRegister!$K:$K,$AF34)))</f>
        <v/>
      </c>
      <c r="G34" s="91" t="str">
        <f>IF($AF34="","",IF(INDEX(RiskRegister!$I:$I,$AF34)="","",INDEX(RiskRegister!$I:$I,$AF34)))</f>
        <v/>
      </c>
      <c r="H34" s="91" t="str">
        <f>IF($AF34="","",IF(INDEX(RiskRegister!$H:$H,$AF34)="","",INDEX(RiskRegister!$H:$H,$AF34)))</f>
        <v/>
      </c>
      <c r="I34" s="92" t="str">
        <f>IF($AF34="","",IF(INDEX(RiskRegister!$J:$J,$AF34)="","",INDEX(RiskRegister!$J:$J,$AF34)))</f>
        <v/>
      </c>
      <c r="J34" s="201" t="str">
        <f>IF($AF34="","",INDEX(RiskRegister!$AA:$AA,$AF34)&amp;"")</f>
        <v/>
      </c>
      <c r="K34" s="202"/>
      <c r="L34" s="202"/>
      <c r="M34" s="202"/>
      <c r="N34" s="202"/>
      <c r="AF34" t="str">
        <f>IFERROR(_xlfn.AGGREGATE(15,6,ROW(RR_Ciclo)/((RR_Ciclo=cicloCorrente)*(RR_Movimento&lt;&gt;"")),6),"")</f>
        <v/>
      </c>
    </row>
    <row r="35" spans="1:32" ht="30" customHeight="1" x14ac:dyDescent="0.4">
      <c r="A35" s="89" t="str">
        <f>IF($AF35="","",INDEX(RiskRegister!$C:$C,$AF35)&amp;"")</f>
        <v/>
      </c>
      <c r="B35" s="90" t="str">
        <f>IF($AF35="","",INDEX(RiskRegister!$D:$D,$AF35)&amp;"")</f>
        <v/>
      </c>
      <c r="C35" s="91" t="str">
        <f>IF($AF35="","",INDEX(RiskRegister!$AB:$AB,$AF35)&amp;"")</f>
        <v/>
      </c>
      <c r="D35" s="91" t="str">
        <f>IF($AF35="","",INDEX(RiskRegister!$Z:$Z,$AF35)&amp;"")</f>
        <v/>
      </c>
      <c r="E35" s="91" t="str">
        <f>IF($AF35="","",IF(INDEX(RiskRegister!$G:$G,$AF35)="","",INDEX(RiskRegister!$G:$G,$AF35)))</f>
        <v/>
      </c>
      <c r="F35" s="91" t="str">
        <f>IF($AF35="","",IF(INDEX(RiskRegister!$K:$K,$AF35)="","",INDEX(RiskRegister!$K:$K,$AF35)))</f>
        <v/>
      </c>
      <c r="G35" s="91" t="str">
        <f>IF($AF35="","",IF(INDEX(RiskRegister!$I:$I,$AF35)="","",INDEX(RiskRegister!$I:$I,$AF35)))</f>
        <v/>
      </c>
      <c r="H35" s="91" t="str">
        <f>IF($AF35="","",IF(INDEX(RiskRegister!$H:$H,$AF35)="","",INDEX(RiskRegister!$H:$H,$AF35)))</f>
        <v/>
      </c>
      <c r="I35" s="92" t="str">
        <f>IF($AF35="","",IF(INDEX(RiskRegister!$J:$J,$AF35)="","",INDEX(RiskRegister!$J:$J,$AF35)))</f>
        <v/>
      </c>
      <c r="J35" s="201" t="str">
        <f>IF($AF35="","",INDEX(RiskRegister!$AA:$AA,$AF35)&amp;"")</f>
        <v/>
      </c>
      <c r="K35" s="202"/>
      <c r="L35" s="202"/>
      <c r="M35" s="202"/>
      <c r="N35" s="202"/>
      <c r="AF35" t="str">
        <f>IFERROR(_xlfn.AGGREGATE(15,6,ROW(RR_Ciclo)/((RR_Ciclo=cicloCorrente)*(RR_Movimento&lt;&gt;"")),7),"")</f>
        <v/>
      </c>
    </row>
    <row r="36" spans="1:32" ht="30" customHeight="1" x14ac:dyDescent="0.4">
      <c r="A36" s="89" t="str">
        <f>IF($AF36="","",INDEX(RiskRegister!$C:$C,$AF36)&amp;"")</f>
        <v/>
      </c>
      <c r="B36" s="90" t="str">
        <f>IF($AF36="","",INDEX(RiskRegister!$D:$D,$AF36)&amp;"")</f>
        <v/>
      </c>
      <c r="C36" s="91" t="str">
        <f>IF($AF36="","",INDEX(RiskRegister!$AB:$AB,$AF36)&amp;"")</f>
        <v/>
      </c>
      <c r="D36" s="91" t="str">
        <f>IF($AF36="","",INDEX(RiskRegister!$Z:$Z,$AF36)&amp;"")</f>
        <v/>
      </c>
      <c r="E36" s="91" t="str">
        <f>IF($AF36="","",IF(INDEX(RiskRegister!$G:$G,$AF36)="","",INDEX(RiskRegister!$G:$G,$AF36)))</f>
        <v/>
      </c>
      <c r="F36" s="91" t="str">
        <f>IF($AF36="","",IF(INDEX(RiskRegister!$K:$K,$AF36)="","",INDEX(RiskRegister!$K:$K,$AF36)))</f>
        <v/>
      </c>
      <c r="G36" s="91" t="str">
        <f>IF($AF36="","",IF(INDEX(RiskRegister!$I:$I,$AF36)="","",INDEX(RiskRegister!$I:$I,$AF36)))</f>
        <v/>
      </c>
      <c r="H36" s="91" t="str">
        <f>IF($AF36="","",IF(INDEX(RiskRegister!$H:$H,$AF36)="","",INDEX(RiskRegister!$H:$H,$AF36)))</f>
        <v/>
      </c>
      <c r="I36" s="92" t="str">
        <f>IF($AF36="","",IF(INDEX(RiskRegister!$J:$J,$AF36)="","",INDEX(RiskRegister!$J:$J,$AF36)))</f>
        <v/>
      </c>
      <c r="J36" s="201" t="str">
        <f>IF($AF36="","",INDEX(RiskRegister!$AA:$AA,$AF36)&amp;"")</f>
        <v/>
      </c>
      <c r="K36" s="202"/>
      <c r="L36" s="202"/>
      <c r="M36" s="202"/>
      <c r="N36" s="202"/>
      <c r="AF36" t="str">
        <f>IFERROR(_xlfn.AGGREGATE(15,6,ROW(RR_Ciclo)/((RR_Ciclo=cicloCorrente)*(RR_Movimento&lt;&gt;"")),8),"")</f>
        <v/>
      </c>
    </row>
    <row r="37" spans="1:32" ht="30" customHeight="1" x14ac:dyDescent="0.4">
      <c r="A37" s="89" t="str">
        <f>IF($AF37="","",INDEX(RiskRegister!$C:$C,$AF37)&amp;"")</f>
        <v/>
      </c>
      <c r="B37" s="90" t="str">
        <f>IF($AF37="","",INDEX(RiskRegister!$D:$D,$AF37)&amp;"")</f>
        <v/>
      </c>
      <c r="C37" s="91" t="str">
        <f>IF($AF37="","",INDEX(RiskRegister!$AB:$AB,$AF37)&amp;"")</f>
        <v/>
      </c>
      <c r="D37" s="91" t="str">
        <f>IF($AF37="","",INDEX(RiskRegister!$Z:$Z,$AF37)&amp;"")</f>
        <v/>
      </c>
      <c r="E37" s="91" t="str">
        <f>IF($AF37="","",IF(INDEX(RiskRegister!$G:$G,$AF37)="","",INDEX(RiskRegister!$G:$G,$AF37)))</f>
        <v/>
      </c>
      <c r="F37" s="91" t="str">
        <f>IF($AF37="","",IF(INDEX(RiskRegister!$K:$K,$AF37)="","",INDEX(RiskRegister!$K:$K,$AF37)))</f>
        <v/>
      </c>
      <c r="G37" s="91" t="str">
        <f>IF($AF37="","",IF(INDEX(RiskRegister!$I:$I,$AF37)="","",INDEX(RiskRegister!$I:$I,$AF37)))</f>
        <v/>
      </c>
      <c r="H37" s="91" t="str">
        <f>IF($AF37="","",IF(INDEX(RiskRegister!$H:$H,$AF37)="","",INDEX(RiskRegister!$H:$H,$AF37)))</f>
        <v/>
      </c>
      <c r="I37" s="92" t="str">
        <f>IF($AF37="","",IF(INDEX(RiskRegister!$J:$J,$AF37)="","",INDEX(RiskRegister!$J:$J,$AF37)))</f>
        <v/>
      </c>
      <c r="J37" s="201" t="str">
        <f>IF($AF37="","",INDEX(RiskRegister!$AA:$AA,$AF37)&amp;"")</f>
        <v/>
      </c>
      <c r="K37" s="202"/>
      <c r="L37" s="202"/>
      <c r="M37" s="202"/>
      <c r="N37" s="202"/>
      <c r="AF37" t="str">
        <f>IFERROR(_xlfn.AGGREGATE(15,6,ROW(RR_Ciclo)/((RR_Ciclo=cicloCorrente)*(RR_Movimento&lt;&gt;"")),9),"")</f>
        <v/>
      </c>
    </row>
    <row r="38" spans="1:32" ht="30" customHeight="1" x14ac:dyDescent="0.4">
      <c r="A38" s="89" t="str">
        <f>IF($AF38="","",INDEX(RiskRegister!$C:$C,$AF38)&amp;"")</f>
        <v/>
      </c>
      <c r="B38" s="90" t="str">
        <f>IF($AF38="","",INDEX(RiskRegister!$D:$D,$AF38)&amp;"")</f>
        <v/>
      </c>
      <c r="C38" s="91" t="str">
        <f>IF($AF38="","",INDEX(RiskRegister!$AB:$AB,$AF38)&amp;"")</f>
        <v/>
      </c>
      <c r="D38" s="91" t="str">
        <f>IF($AF38="","",INDEX(RiskRegister!$Z:$Z,$AF38)&amp;"")</f>
        <v/>
      </c>
      <c r="E38" s="91" t="str">
        <f>IF($AF38="","",IF(INDEX(RiskRegister!$G:$G,$AF38)="","",INDEX(RiskRegister!$G:$G,$AF38)))</f>
        <v/>
      </c>
      <c r="F38" s="91" t="str">
        <f>IF($AF38="","",IF(INDEX(RiskRegister!$K:$K,$AF38)="","",INDEX(RiskRegister!$K:$K,$AF38)))</f>
        <v/>
      </c>
      <c r="G38" s="91" t="str">
        <f>IF($AF38="","",IF(INDEX(RiskRegister!$I:$I,$AF38)="","",INDEX(RiskRegister!$I:$I,$AF38)))</f>
        <v/>
      </c>
      <c r="H38" s="91" t="str">
        <f>IF($AF38="","",IF(INDEX(RiskRegister!$H:$H,$AF38)="","",INDEX(RiskRegister!$H:$H,$AF38)))</f>
        <v/>
      </c>
      <c r="I38" s="92" t="str">
        <f>IF($AF38="","",IF(INDEX(RiskRegister!$J:$J,$AF38)="","",INDEX(RiskRegister!$J:$J,$AF38)))</f>
        <v/>
      </c>
      <c r="J38" s="201" t="str">
        <f>IF($AF38="","",INDEX(RiskRegister!$AA:$AA,$AF38)&amp;"")</f>
        <v/>
      </c>
      <c r="K38" s="202"/>
      <c r="L38" s="202"/>
      <c r="M38" s="202"/>
      <c r="N38" s="202"/>
      <c r="AF38" t="str">
        <f>IFERROR(_xlfn.AGGREGATE(15,6,ROW(RR_Ciclo)/((RR_Ciclo=cicloCorrente)*(RR_Movimento&lt;&gt;"")),10),"")</f>
        <v/>
      </c>
    </row>
    <row r="40" spans="1:32" ht="26.05" customHeight="1" x14ac:dyDescent="0.4">
      <c r="A40" s="141" t="s">
        <v>513</v>
      </c>
      <c r="B40" s="142"/>
      <c r="C40" s="142"/>
      <c r="D40" s="142"/>
      <c r="E40" s="142"/>
      <c r="F40" s="142"/>
      <c r="G40" s="142"/>
      <c r="H40" s="142"/>
      <c r="I40" s="142"/>
      <c r="J40" s="142"/>
      <c r="K40" s="142"/>
      <c r="L40" s="142"/>
      <c r="M40" s="142"/>
      <c r="N40" s="142"/>
    </row>
  </sheetData>
  <mergeCells count="19">
    <mergeCell ref="A1:N1"/>
    <mergeCell ref="J34:N34"/>
    <mergeCell ref="A2:O2"/>
    <mergeCell ref="J30:N30"/>
    <mergeCell ref="J36:N36"/>
    <mergeCell ref="J35:N35"/>
    <mergeCell ref="A27:N27"/>
    <mergeCell ref="J32:N32"/>
    <mergeCell ref="J31:N31"/>
    <mergeCell ref="A4:N4"/>
    <mergeCell ref="J33:N33"/>
    <mergeCell ref="A40:N40"/>
    <mergeCell ref="J29:N29"/>
    <mergeCell ref="P4:Z4"/>
    <mergeCell ref="J38:N38"/>
    <mergeCell ref="J28:N28"/>
    <mergeCell ref="J37:N37"/>
    <mergeCell ref="P27:Z29"/>
    <mergeCell ref="P16:Z16"/>
  </mergeCells>
  <conditionalFormatting sqref="C29:C38">
    <cfRule type="expression" dxfId="61" priority="7">
      <formula>LEFT(C29,7)="Entrato"</formula>
    </cfRule>
    <cfRule type="expression" dxfId="60" priority="8">
      <formula>LEFT(C29,6)="Uscito"</formula>
    </cfRule>
  </conditionalFormatting>
  <conditionalFormatting sqref="E6:H25">
    <cfRule type="expression" dxfId="59" priority="2">
      <formula>E6=1</formula>
    </cfRule>
    <cfRule type="expression" dxfId="58" priority="3">
      <formula>E6=2</formula>
    </cfRule>
    <cfRule type="expression" dxfId="57" priority="4">
      <formula>E6=3</formula>
    </cfRule>
    <cfRule type="expression" dxfId="56" priority="5">
      <formula>E6=4</formula>
    </cfRule>
    <cfRule type="expression" dxfId="55" priority="6">
      <formula>E6=5</formula>
    </cfRule>
  </conditionalFormatting>
  <conditionalFormatting sqref="O6:O25">
    <cfRule type="expression" dxfId="54" priority="1">
      <formula>AND(ISNUMBER(O6),O6&gt;0)</formula>
    </cfRule>
  </conditionalFormatting>
  <conditionalFormatting sqref="Q6:Y13">
    <cfRule type="expression" dxfId="53" priority="9">
      <formula>AND(ISNUMBER(Q6),Q6&gt;=3)</formula>
    </cfRule>
    <cfRule type="expression" dxfId="52" priority="10">
      <formula>AND(ISNUMBER(Q6),Q6&gt;=2)</formula>
    </cfRule>
    <cfRule type="expression" dxfId="51" priority="11">
      <formula>AND(ISNUMBER(Q6),Q6&gt;=1)</formula>
    </cfRule>
  </conditionalFormatting>
  <conditionalFormatting sqref="Q18:Y25">
    <cfRule type="expression" dxfId="50" priority="12">
      <formula>AND(ISNUMBER(Q18),Q18&gt;=3)</formula>
    </cfRule>
    <cfRule type="expression" dxfId="49" priority="13">
      <formula>AND(ISNUMBER(Q18),Q18&gt;=2)</formula>
    </cfRule>
    <cfRule type="expression" dxfId="48" priority="14">
      <formula>AND(ISNUMBER(Q18),Q18&gt;=1)</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pageSetUpPr fitToPage="1"/>
  </sheetPr>
  <dimension ref="A1:Y417"/>
  <sheetViews>
    <sheetView showGridLines="0" workbookViewId="0"/>
  </sheetViews>
  <sheetFormatPr defaultRowHeight="14.6" x14ac:dyDescent="0.4"/>
  <cols>
    <col min="1" max="1" width="16" customWidth="1"/>
    <col min="2" max="2" width="42" customWidth="1"/>
    <col min="3" max="12" width="11" customWidth="1"/>
    <col min="13" max="13" width="46" customWidth="1"/>
    <col min="14" max="14" width="15" customWidth="1"/>
    <col min="15" max="15" width="25" customWidth="1"/>
    <col min="16" max="16" width="60" customWidth="1"/>
    <col min="17" max="18" width="12" hidden="1" customWidth="1"/>
    <col min="19" max="22" width="10" hidden="1" customWidth="1"/>
    <col min="23" max="23" width="36" customWidth="1"/>
    <col min="24" max="24" width="13" customWidth="1"/>
    <col min="25" max="25" width="15" customWidth="1"/>
  </cols>
  <sheetData>
    <row r="1" spans="1:25" ht="28" customHeight="1" x14ac:dyDescent="0.4">
      <c r="A1" s="161" t="str">
        <f>"Horizon Scan NFR — Validazione: una riga per rischio (nel radar o in osservazione), KRI, azione e notizia   ·   "&amp;etichettaCiclo</f>
        <v>Horizon Scan NFR — Validazione: una riga per rischio (nel radar o in osservazione), KRI, azione e notizia   ·   Ciclo 2026Q4 · dati al 31/12/2026 · validato · Uso interno</v>
      </c>
      <c r="B1" s="162"/>
      <c r="C1" s="162"/>
      <c r="D1" s="162"/>
      <c r="E1" s="162"/>
      <c r="F1" s="162"/>
      <c r="G1" s="162"/>
      <c r="H1" s="162"/>
      <c r="I1" s="162"/>
      <c r="J1" s="162"/>
      <c r="K1" s="162"/>
      <c r="L1" s="162"/>
      <c r="M1" s="162"/>
      <c r="N1" s="162"/>
      <c r="O1" s="162"/>
    </row>
    <row r="2" spans="1:25" ht="180.55" customHeight="1" x14ac:dyDescent="0.4">
      <c r="A2" s="198" t="s">
        <v>514</v>
      </c>
      <c r="B2" s="142"/>
      <c r="C2" s="142"/>
      <c r="D2" s="142"/>
      <c r="E2" s="142"/>
      <c r="F2" s="142"/>
      <c r="G2" s="142"/>
      <c r="H2" s="142"/>
      <c r="I2" s="142"/>
      <c r="J2" s="142"/>
      <c r="K2" s="142"/>
      <c r="L2" s="142"/>
      <c r="M2" s="142"/>
      <c r="N2" s="142"/>
      <c r="O2" s="142"/>
    </row>
    <row r="3" spans="1:25" ht="22" customHeight="1" x14ac:dyDescent="0.4">
      <c r="A3" s="211" t="s">
        <v>1778</v>
      </c>
      <c r="B3" s="171"/>
      <c r="C3" s="171"/>
      <c r="D3" s="171"/>
      <c r="E3" s="171"/>
      <c r="F3" s="171"/>
      <c r="G3" s="171"/>
      <c r="H3" s="171"/>
      <c r="I3" s="171"/>
      <c r="J3" s="171"/>
      <c r="K3" s="171"/>
      <c r="L3" s="171"/>
      <c r="M3" s="171"/>
      <c r="N3" s="171"/>
      <c r="O3" s="171"/>
    </row>
    <row r="5" spans="1:25" ht="15.9" x14ac:dyDescent="0.45">
      <c r="A5" s="207" t="s">
        <v>1765</v>
      </c>
      <c r="B5" s="150"/>
      <c r="C5" s="150"/>
      <c r="D5" s="150"/>
      <c r="E5" s="150"/>
      <c r="F5" s="150"/>
      <c r="G5" s="150"/>
      <c r="H5" s="150"/>
      <c r="I5" s="150"/>
      <c r="J5" s="150"/>
      <c r="K5" s="150"/>
      <c r="L5" s="150"/>
      <c r="M5" s="150"/>
      <c r="N5" s="150"/>
      <c r="O5" s="150"/>
      <c r="P5" s="93"/>
    </row>
    <row r="6" spans="1:25" ht="30" customHeight="1" x14ac:dyDescent="0.4">
      <c r="A6" s="94" t="s">
        <v>173</v>
      </c>
      <c r="B6" s="94" t="s">
        <v>18</v>
      </c>
      <c r="C6" s="95" t="s">
        <v>515</v>
      </c>
      <c r="D6" s="96" t="s">
        <v>500</v>
      </c>
      <c r="E6" s="95" t="s">
        <v>516</v>
      </c>
      <c r="F6" s="96" t="s">
        <v>501</v>
      </c>
      <c r="G6" s="95" t="s">
        <v>517</v>
      </c>
      <c r="H6" s="96" t="s">
        <v>502</v>
      </c>
      <c r="I6" s="95" t="s">
        <v>518</v>
      </c>
      <c r="J6" s="96" t="s">
        <v>503</v>
      </c>
      <c r="K6" s="95" t="s">
        <v>519</v>
      </c>
      <c r="L6" s="96" t="s">
        <v>520</v>
      </c>
      <c r="M6" s="96" t="s">
        <v>521</v>
      </c>
      <c r="N6" s="97" t="s">
        <v>522</v>
      </c>
      <c r="O6" s="97" t="s">
        <v>523</v>
      </c>
      <c r="P6" s="94" t="s">
        <v>524</v>
      </c>
      <c r="W6" s="94" t="s">
        <v>525</v>
      </c>
      <c r="X6" s="95" t="s">
        <v>526</v>
      </c>
      <c r="Y6" s="96" t="s">
        <v>527</v>
      </c>
    </row>
    <row r="7" spans="1:25" ht="27.65" hidden="1" customHeight="1" x14ac:dyDescent="0.4">
      <c r="A7" s="132"/>
      <c r="B7" s="133"/>
      <c r="C7" s="99"/>
      <c r="D7" s="100"/>
      <c r="E7" s="99"/>
      <c r="F7" s="100"/>
      <c r="G7" s="99"/>
      <c r="H7" s="100"/>
      <c r="I7" s="99"/>
      <c r="J7" s="100"/>
      <c r="K7" s="135"/>
      <c r="L7" s="100"/>
      <c r="M7" s="101"/>
      <c r="N7" s="102" t="str">
        <f t="shared" ref="N7:N26" si="0">IF(NOT(ISNUMBER($U7)),"",FIXED($U7,2)&amp;IF(AND(ISNUMBER($V7),$V7&lt;&gt;$U7),"  (era "&amp;FIXED($V7,2)&amp;")",""))</f>
        <v/>
      </c>
      <c r="O7" s="103" t="str">
        <f t="shared" ref="O7:O26" si="1">IF(NOT(ISNUMBER($S7)),"",IF($S7&lt;0,"AGIRE ORA",IF($S7&lt;1,"Entro l'anno","Margine"))&amp;" · "&amp;FIXED($S7,2)&amp;IF(AND(ISNUMBER($T7),ROUND($T7,2)&lt;&gt;ROUND($S7,2)),"  (era "&amp;FIXED($T7,2)&amp;")",""))</f>
        <v/>
      </c>
      <c r="P7" s="104"/>
      <c r="Q7" s="134"/>
      <c r="S7" t="str">
        <f t="shared" ref="S7:S26" si="2">IFERROR(IF(NOT(ISNUMBER($H7)),"",INDEX(anniProssimita,$H7)-(moscaX+MAX(IF(COUNTIFS($R$113:$R$212,$A7,$Q$113:$Q$212,$Q7,$S$113:$S$212,"&gt;0")=0,moscaYDefault,_xlfn.MAXIFS($S$113:$S$212,$R$113:$R$212,$A7,$Q$113:$Q$212,$Q7)/12),IF(ISNUMBER($L7),$L7,IFERROR(N(INDEX(ANA_Anni_Adeguamento,MATCH($A7,ANA_ID,0))),0))))),"")</f>
        <v/>
      </c>
      <c r="T7" t="str">
        <f t="shared" ref="T7:T26" si="3">IFERROR(IF(NOT(ISNUMBER($G7)),"",INDEX(anniProssimita,$G7)-(moscaX+MAX(IF(COUNTIFS($R$113:$R$212,$A7,$Q$113:$Q$212,$Q7,$T$113:$T$212,"&gt;0")=0,moscaYDefault,_xlfn.MAXIFS($T$113:$T$212,$R$113:$R$212,$A7,$Q$113:$Q$212,$Q7)/12),IF(ISNUMBER($K7),$K7,IFERROR(N(INDEX(ANA_Anni_Adeguamento,MATCH($A7,ANA_ID,0))),0))))),"")</f>
        <v/>
      </c>
      <c r="U7" t="str">
        <f t="shared" ref="U7:U26" si="4">IFERROR(IF(COUNT($D7,$F7,$H7)&lt;3,"",ROUND((pesoImpatto*$D7+pesoProbabilita*$F7+pesoProssimita*$H7+IF(ISNUMBER($J7),pesoVelocity*$J7,0))/(pesoImpatto+pesoProbabilita+pesoProssimita+IF(ISNUMBER($J7),pesoVelocity,0)),2)),"")</f>
        <v/>
      </c>
      <c r="V7" t="str">
        <f t="shared" ref="V7:V26" si="5">IFERROR(IF(COUNT($C7,$E7,$G7)&lt;3,"",ROUND((pesoImpatto*$C7+pesoProbabilita*$E7+pesoProssimita*$G7+IF(ISNUMBER($I7),pesoVelocity*$I7,0))/(pesoImpatto+pesoProbabilita+pesoProssimita+IF(ISNUMBER($I7),pesoVelocity,0)),2)),"")</f>
        <v/>
      </c>
      <c r="W7" s="137"/>
      <c r="X7" s="135"/>
      <c r="Y7" s="136"/>
    </row>
    <row r="8" spans="1:25" ht="27.65" hidden="1" customHeight="1" x14ac:dyDescent="0.4">
      <c r="A8" s="132"/>
      <c r="B8" s="133"/>
      <c r="C8" s="99"/>
      <c r="D8" s="100"/>
      <c r="E8" s="99"/>
      <c r="F8" s="100"/>
      <c r="G8" s="99"/>
      <c r="H8" s="100"/>
      <c r="I8" s="99"/>
      <c r="J8" s="100"/>
      <c r="K8" s="135"/>
      <c r="L8" s="100"/>
      <c r="M8" s="101"/>
      <c r="N8" s="102" t="str">
        <f t="shared" si="0"/>
        <v/>
      </c>
      <c r="O8" s="103" t="str">
        <f t="shared" si="1"/>
        <v/>
      </c>
      <c r="P8" s="137"/>
      <c r="Q8" s="134"/>
      <c r="S8" t="str">
        <f t="shared" si="2"/>
        <v/>
      </c>
      <c r="T8" t="str">
        <f t="shared" si="3"/>
        <v/>
      </c>
      <c r="U8" t="str">
        <f t="shared" si="4"/>
        <v/>
      </c>
      <c r="V8" t="str">
        <f t="shared" si="5"/>
        <v/>
      </c>
      <c r="W8" s="137"/>
      <c r="X8" s="135"/>
      <c r="Y8" s="136"/>
    </row>
    <row r="9" spans="1:25" ht="24" hidden="1" customHeight="1" x14ac:dyDescent="0.4">
      <c r="A9" s="132"/>
      <c r="B9" s="133"/>
      <c r="C9" s="99"/>
      <c r="D9" s="100"/>
      <c r="E9" s="99"/>
      <c r="F9" s="100"/>
      <c r="G9" s="99"/>
      <c r="H9" s="100"/>
      <c r="I9" s="99"/>
      <c r="J9" s="100"/>
      <c r="K9" s="135"/>
      <c r="L9" s="100"/>
      <c r="M9" s="101"/>
      <c r="N9" s="102" t="str">
        <f t="shared" si="0"/>
        <v/>
      </c>
      <c r="O9" s="103" t="str">
        <f t="shared" si="1"/>
        <v/>
      </c>
      <c r="P9" s="104"/>
      <c r="Q9" s="134"/>
      <c r="S9" t="str">
        <f t="shared" si="2"/>
        <v/>
      </c>
      <c r="T9" t="str">
        <f t="shared" si="3"/>
        <v/>
      </c>
      <c r="U9" t="str">
        <f t="shared" si="4"/>
        <v/>
      </c>
      <c r="V9" t="str">
        <f t="shared" si="5"/>
        <v/>
      </c>
      <c r="W9" s="137"/>
      <c r="X9" s="135"/>
      <c r="Y9" s="136"/>
    </row>
    <row r="10" spans="1:25" ht="24" hidden="1" customHeight="1" x14ac:dyDescent="0.4">
      <c r="A10" s="132"/>
      <c r="B10" s="133"/>
      <c r="C10" s="99"/>
      <c r="D10" s="100"/>
      <c r="E10" s="99"/>
      <c r="F10" s="100"/>
      <c r="G10" s="99"/>
      <c r="H10" s="100"/>
      <c r="I10" s="99"/>
      <c r="J10" s="100"/>
      <c r="K10" s="135"/>
      <c r="L10" s="100"/>
      <c r="M10" s="101"/>
      <c r="N10" s="102" t="str">
        <f t="shared" si="0"/>
        <v/>
      </c>
      <c r="O10" s="103" t="str">
        <f t="shared" si="1"/>
        <v/>
      </c>
      <c r="P10" s="104"/>
      <c r="Q10" s="134"/>
      <c r="S10" t="str">
        <f t="shared" si="2"/>
        <v/>
      </c>
      <c r="T10" t="str">
        <f t="shared" si="3"/>
        <v/>
      </c>
      <c r="U10" t="str">
        <f t="shared" si="4"/>
        <v/>
      </c>
      <c r="V10" t="str">
        <f t="shared" si="5"/>
        <v/>
      </c>
      <c r="W10" s="137"/>
      <c r="X10" s="135"/>
      <c r="Y10" s="136"/>
    </row>
    <row r="11" spans="1:25" ht="24" hidden="1" customHeight="1" x14ac:dyDescent="0.4">
      <c r="A11" s="132"/>
      <c r="B11" s="133"/>
      <c r="C11" s="99"/>
      <c r="D11" s="100"/>
      <c r="E11" s="99"/>
      <c r="F11" s="100"/>
      <c r="G11" s="99"/>
      <c r="H11" s="100"/>
      <c r="I11" s="99"/>
      <c r="J11" s="100"/>
      <c r="K11" s="135"/>
      <c r="L11" s="100"/>
      <c r="M11" s="101"/>
      <c r="N11" s="102" t="str">
        <f t="shared" si="0"/>
        <v/>
      </c>
      <c r="O11" s="103" t="str">
        <f t="shared" si="1"/>
        <v/>
      </c>
      <c r="P11" s="104"/>
      <c r="Q11" s="134"/>
      <c r="S11" t="str">
        <f t="shared" si="2"/>
        <v/>
      </c>
      <c r="T11" t="str">
        <f t="shared" si="3"/>
        <v/>
      </c>
      <c r="U11" t="str">
        <f t="shared" si="4"/>
        <v/>
      </c>
      <c r="V11" t="str">
        <f t="shared" si="5"/>
        <v/>
      </c>
      <c r="W11" s="137"/>
      <c r="X11" s="135"/>
      <c r="Y11" s="136"/>
    </row>
    <row r="12" spans="1:25" ht="30.35" hidden="1" customHeight="1" x14ac:dyDescent="0.4">
      <c r="A12" s="132"/>
      <c r="B12" s="133"/>
      <c r="C12" s="99"/>
      <c r="D12" s="100"/>
      <c r="E12" s="99"/>
      <c r="F12" s="100"/>
      <c r="G12" s="99"/>
      <c r="H12" s="100"/>
      <c r="I12" s="99"/>
      <c r="J12" s="100"/>
      <c r="K12" s="135"/>
      <c r="L12" s="100"/>
      <c r="M12" s="101"/>
      <c r="N12" s="102" t="str">
        <f t="shared" si="0"/>
        <v/>
      </c>
      <c r="O12" s="103" t="str">
        <f t="shared" si="1"/>
        <v/>
      </c>
      <c r="P12" s="137"/>
      <c r="Q12" s="134"/>
      <c r="S12" t="str">
        <f t="shared" si="2"/>
        <v/>
      </c>
      <c r="T12" t="str">
        <f t="shared" si="3"/>
        <v/>
      </c>
      <c r="U12" t="str">
        <f t="shared" si="4"/>
        <v/>
      </c>
      <c r="V12" t="str">
        <f t="shared" si="5"/>
        <v/>
      </c>
      <c r="W12" s="137"/>
      <c r="X12" s="135"/>
      <c r="Y12" s="136"/>
    </row>
    <row r="13" spans="1:25" ht="27.65" hidden="1" customHeight="1" x14ac:dyDescent="0.4">
      <c r="A13" s="132"/>
      <c r="B13" s="133"/>
      <c r="C13" s="99"/>
      <c r="D13" s="100"/>
      <c r="E13" s="99"/>
      <c r="F13" s="100"/>
      <c r="G13" s="99"/>
      <c r="H13" s="100"/>
      <c r="I13" s="99"/>
      <c r="J13" s="100"/>
      <c r="K13" s="135"/>
      <c r="L13" s="100"/>
      <c r="M13" s="101"/>
      <c r="N13" s="102" t="str">
        <f t="shared" si="0"/>
        <v/>
      </c>
      <c r="O13" s="103" t="str">
        <f t="shared" si="1"/>
        <v/>
      </c>
      <c r="P13" s="104"/>
      <c r="Q13" s="134"/>
      <c r="S13" t="str">
        <f t="shared" si="2"/>
        <v/>
      </c>
      <c r="T13" t="str">
        <f t="shared" si="3"/>
        <v/>
      </c>
      <c r="U13" t="str">
        <f t="shared" si="4"/>
        <v/>
      </c>
      <c r="V13" t="str">
        <f t="shared" si="5"/>
        <v/>
      </c>
      <c r="W13" s="137"/>
      <c r="X13" s="135"/>
      <c r="Y13" s="136"/>
    </row>
    <row r="14" spans="1:25" ht="24" hidden="1" customHeight="1" x14ac:dyDescent="0.4">
      <c r="A14" s="132"/>
      <c r="B14" s="133"/>
      <c r="C14" s="99"/>
      <c r="D14" s="100"/>
      <c r="E14" s="99"/>
      <c r="F14" s="100"/>
      <c r="G14" s="99"/>
      <c r="H14" s="100"/>
      <c r="I14" s="99"/>
      <c r="J14" s="100"/>
      <c r="K14" s="135"/>
      <c r="L14" s="100"/>
      <c r="M14" s="101"/>
      <c r="N14" s="102" t="str">
        <f t="shared" si="0"/>
        <v/>
      </c>
      <c r="O14" s="103" t="str">
        <f t="shared" si="1"/>
        <v/>
      </c>
      <c r="P14" s="104"/>
      <c r="Q14" s="134"/>
      <c r="S14" t="str">
        <f t="shared" si="2"/>
        <v/>
      </c>
      <c r="T14" t="str">
        <f t="shared" si="3"/>
        <v/>
      </c>
      <c r="U14" t="str">
        <f t="shared" si="4"/>
        <v/>
      </c>
      <c r="V14" t="str">
        <f t="shared" si="5"/>
        <v/>
      </c>
      <c r="W14" s="137"/>
      <c r="X14" s="135"/>
      <c r="Y14" s="136"/>
    </row>
    <row r="15" spans="1:25" ht="30.35" hidden="1" customHeight="1" x14ac:dyDescent="0.4">
      <c r="A15" s="132"/>
      <c r="B15" s="133"/>
      <c r="C15" s="99"/>
      <c r="D15" s="100"/>
      <c r="E15" s="99"/>
      <c r="F15" s="100"/>
      <c r="G15" s="99"/>
      <c r="H15" s="100"/>
      <c r="I15" s="99"/>
      <c r="J15" s="100"/>
      <c r="K15" s="135"/>
      <c r="L15" s="100"/>
      <c r="M15" s="101"/>
      <c r="N15" s="102" t="str">
        <f t="shared" si="0"/>
        <v/>
      </c>
      <c r="O15" s="103" t="str">
        <f t="shared" si="1"/>
        <v/>
      </c>
      <c r="P15" s="104"/>
      <c r="Q15" s="134"/>
      <c r="S15" t="str">
        <f t="shared" si="2"/>
        <v/>
      </c>
      <c r="T15" t="str">
        <f t="shared" si="3"/>
        <v/>
      </c>
      <c r="U15" t="str">
        <f t="shared" si="4"/>
        <v/>
      </c>
      <c r="V15" t="str">
        <f t="shared" si="5"/>
        <v/>
      </c>
      <c r="W15" s="137"/>
      <c r="X15" s="135"/>
      <c r="Y15" s="136"/>
    </row>
    <row r="16" spans="1:25" ht="30.35" hidden="1" customHeight="1" x14ac:dyDescent="0.4">
      <c r="A16" s="132"/>
      <c r="B16" s="133"/>
      <c r="C16" s="99"/>
      <c r="D16" s="100"/>
      <c r="E16" s="99"/>
      <c r="F16" s="100"/>
      <c r="G16" s="99"/>
      <c r="H16" s="100"/>
      <c r="I16" s="135"/>
      <c r="J16" s="100"/>
      <c r="K16" s="135"/>
      <c r="L16" s="100"/>
      <c r="M16" s="101"/>
      <c r="N16" s="102" t="str">
        <f t="shared" si="0"/>
        <v/>
      </c>
      <c r="O16" s="103" t="str">
        <f t="shared" si="1"/>
        <v/>
      </c>
      <c r="P16" s="104"/>
      <c r="Q16" s="134"/>
      <c r="S16" t="str">
        <f t="shared" si="2"/>
        <v/>
      </c>
      <c r="T16" t="str">
        <f t="shared" si="3"/>
        <v/>
      </c>
      <c r="U16" t="str">
        <f t="shared" si="4"/>
        <v/>
      </c>
      <c r="V16" t="str">
        <f t="shared" si="5"/>
        <v/>
      </c>
      <c r="W16" s="137"/>
      <c r="X16" s="135"/>
      <c r="Y16" s="136"/>
    </row>
    <row r="17" spans="1:25" ht="27.65" hidden="1" customHeight="1" x14ac:dyDescent="0.4">
      <c r="A17" s="132"/>
      <c r="B17" s="133"/>
      <c r="C17" s="99"/>
      <c r="D17" s="100"/>
      <c r="E17" s="99"/>
      <c r="F17" s="100"/>
      <c r="G17" s="99"/>
      <c r="H17" s="100"/>
      <c r="I17" s="99"/>
      <c r="J17" s="100"/>
      <c r="K17" s="99"/>
      <c r="L17" s="100"/>
      <c r="M17" s="101"/>
      <c r="N17" s="102" t="str">
        <f t="shared" si="0"/>
        <v/>
      </c>
      <c r="O17" s="103" t="str">
        <f t="shared" si="1"/>
        <v/>
      </c>
      <c r="P17" s="104"/>
      <c r="Q17" s="134"/>
      <c r="S17" t="str">
        <f t="shared" si="2"/>
        <v/>
      </c>
      <c r="T17" t="str">
        <f t="shared" si="3"/>
        <v/>
      </c>
      <c r="U17" t="str">
        <f t="shared" si="4"/>
        <v/>
      </c>
      <c r="V17" t="str">
        <f t="shared" si="5"/>
        <v/>
      </c>
      <c r="W17" s="137"/>
      <c r="X17" s="135"/>
      <c r="Y17" s="136"/>
    </row>
    <row r="18" spans="1:25" ht="24" hidden="1" customHeight="1" x14ac:dyDescent="0.4">
      <c r="A18" s="132"/>
      <c r="B18" s="133"/>
      <c r="C18" s="99"/>
      <c r="D18" s="100"/>
      <c r="E18" s="99"/>
      <c r="F18" s="100"/>
      <c r="G18" s="99"/>
      <c r="H18" s="100"/>
      <c r="I18" s="99"/>
      <c r="J18" s="100"/>
      <c r="K18" s="135"/>
      <c r="L18" s="100"/>
      <c r="M18" s="101"/>
      <c r="N18" s="102" t="str">
        <f t="shared" si="0"/>
        <v/>
      </c>
      <c r="O18" s="103" t="str">
        <f t="shared" si="1"/>
        <v/>
      </c>
      <c r="P18" s="104"/>
      <c r="Q18" s="134"/>
      <c r="S18" t="str">
        <f t="shared" si="2"/>
        <v/>
      </c>
      <c r="T18" t="str">
        <f t="shared" si="3"/>
        <v/>
      </c>
      <c r="U18" t="str">
        <f t="shared" si="4"/>
        <v/>
      </c>
      <c r="V18" t="str">
        <f t="shared" si="5"/>
        <v/>
      </c>
      <c r="W18" s="137"/>
      <c r="X18" s="135"/>
      <c r="Y18" s="136"/>
    </row>
    <row r="19" spans="1:25" ht="24" hidden="1" customHeight="1" x14ac:dyDescent="0.4">
      <c r="A19" s="132"/>
      <c r="B19" s="133"/>
      <c r="C19" s="99"/>
      <c r="D19" s="100"/>
      <c r="E19" s="99"/>
      <c r="F19" s="100"/>
      <c r="G19" s="99"/>
      <c r="H19" s="100"/>
      <c r="I19" s="135"/>
      <c r="J19" s="100"/>
      <c r="K19" s="135"/>
      <c r="L19" s="100"/>
      <c r="M19" s="101"/>
      <c r="N19" s="102" t="str">
        <f t="shared" si="0"/>
        <v/>
      </c>
      <c r="O19" s="103" t="str">
        <f t="shared" si="1"/>
        <v/>
      </c>
      <c r="P19" s="104"/>
      <c r="Q19" s="134"/>
      <c r="S19" t="str">
        <f t="shared" si="2"/>
        <v/>
      </c>
      <c r="T19" t="str">
        <f t="shared" si="3"/>
        <v/>
      </c>
      <c r="U19" t="str">
        <f t="shared" si="4"/>
        <v/>
      </c>
      <c r="V19" t="str">
        <f t="shared" si="5"/>
        <v/>
      </c>
      <c r="W19" s="137"/>
      <c r="X19" s="135"/>
      <c r="Y19" s="136"/>
    </row>
    <row r="20" spans="1:25" ht="24" hidden="1" customHeight="1" x14ac:dyDescent="0.4">
      <c r="A20" s="132"/>
      <c r="B20" s="133"/>
      <c r="C20" s="99"/>
      <c r="D20" s="100"/>
      <c r="E20" s="99"/>
      <c r="F20" s="100"/>
      <c r="G20" s="99"/>
      <c r="H20" s="100"/>
      <c r="I20" s="99"/>
      <c r="J20" s="100"/>
      <c r="K20" s="135"/>
      <c r="L20" s="100"/>
      <c r="M20" s="101"/>
      <c r="N20" s="102" t="str">
        <f t="shared" si="0"/>
        <v/>
      </c>
      <c r="O20" s="103" t="str">
        <f t="shared" si="1"/>
        <v/>
      </c>
      <c r="P20" s="104"/>
      <c r="Q20" s="134"/>
      <c r="S20" t="str">
        <f t="shared" si="2"/>
        <v/>
      </c>
      <c r="T20" t="str">
        <f t="shared" si="3"/>
        <v/>
      </c>
      <c r="U20" t="str">
        <f t="shared" si="4"/>
        <v/>
      </c>
      <c r="V20" t="str">
        <f t="shared" si="5"/>
        <v/>
      </c>
      <c r="W20" s="137"/>
      <c r="X20" s="135"/>
      <c r="Y20" s="136"/>
    </row>
    <row r="21" spans="1:25" ht="30.35" hidden="1" customHeight="1" x14ac:dyDescent="0.4">
      <c r="A21" s="132"/>
      <c r="B21" s="133"/>
      <c r="C21" s="99"/>
      <c r="D21" s="100"/>
      <c r="E21" s="99"/>
      <c r="F21" s="100"/>
      <c r="G21" s="99"/>
      <c r="H21" s="100"/>
      <c r="I21" s="135"/>
      <c r="J21" s="100"/>
      <c r="K21" s="135"/>
      <c r="L21" s="100"/>
      <c r="M21" s="101"/>
      <c r="N21" s="102" t="str">
        <f t="shared" si="0"/>
        <v/>
      </c>
      <c r="O21" s="103" t="str">
        <f t="shared" si="1"/>
        <v/>
      </c>
      <c r="P21" s="104"/>
      <c r="Q21" s="134"/>
      <c r="S21" t="str">
        <f t="shared" si="2"/>
        <v/>
      </c>
      <c r="T21" t="str">
        <f t="shared" si="3"/>
        <v/>
      </c>
      <c r="U21" t="str">
        <f t="shared" si="4"/>
        <v/>
      </c>
      <c r="V21" t="str">
        <f t="shared" si="5"/>
        <v/>
      </c>
      <c r="W21" s="137"/>
      <c r="X21" s="135"/>
      <c r="Y21" s="136"/>
    </row>
    <row r="22" spans="1:25" ht="30" hidden="1" customHeight="1" x14ac:dyDescent="0.4">
      <c r="A22" s="98"/>
      <c r="B22" s="15"/>
      <c r="C22" s="99"/>
      <c r="D22" s="100"/>
      <c r="E22" s="99"/>
      <c r="F22" s="100"/>
      <c r="G22" s="99"/>
      <c r="H22" s="100"/>
      <c r="I22" s="99"/>
      <c r="J22" s="100"/>
      <c r="K22" s="99"/>
      <c r="L22" s="100"/>
      <c r="M22" s="101"/>
      <c r="N22" s="102" t="str">
        <f t="shared" si="0"/>
        <v/>
      </c>
      <c r="O22" s="103" t="str">
        <f t="shared" si="1"/>
        <v/>
      </c>
      <c r="P22" s="104"/>
      <c r="S22" t="str">
        <f t="shared" si="2"/>
        <v/>
      </c>
      <c r="T22" t="str">
        <f t="shared" si="3"/>
        <v/>
      </c>
      <c r="U22" t="str">
        <f t="shared" si="4"/>
        <v/>
      </c>
      <c r="V22" t="str">
        <f t="shared" si="5"/>
        <v/>
      </c>
      <c r="W22" s="104"/>
      <c r="X22" s="99"/>
      <c r="Y22" s="100"/>
    </row>
    <row r="23" spans="1:25" ht="30" hidden="1" customHeight="1" x14ac:dyDescent="0.4">
      <c r="A23" s="98"/>
      <c r="B23" s="15"/>
      <c r="C23" s="99"/>
      <c r="D23" s="100"/>
      <c r="E23" s="99"/>
      <c r="F23" s="100"/>
      <c r="G23" s="99"/>
      <c r="H23" s="100"/>
      <c r="I23" s="99"/>
      <c r="J23" s="100"/>
      <c r="K23" s="99"/>
      <c r="L23" s="100"/>
      <c r="M23" s="101"/>
      <c r="N23" s="102" t="str">
        <f t="shared" si="0"/>
        <v/>
      </c>
      <c r="O23" s="103" t="str">
        <f t="shared" si="1"/>
        <v/>
      </c>
      <c r="P23" s="104"/>
      <c r="S23" t="str">
        <f t="shared" si="2"/>
        <v/>
      </c>
      <c r="T23" t="str">
        <f t="shared" si="3"/>
        <v/>
      </c>
      <c r="U23" t="str">
        <f t="shared" si="4"/>
        <v/>
      </c>
      <c r="V23" t="str">
        <f t="shared" si="5"/>
        <v/>
      </c>
      <c r="W23" s="104"/>
      <c r="X23" s="99"/>
      <c r="Y23" s="100"/>
    </row>
    <row r="24" spans="1:25" ht="30" hidden="1" customHeight="1" x14ac:dyDescent="0.4">
      <c r="A24" s="98"/>
      <c r="B24" s="15"/>
      <c r="C24" s="99"/>
      <c r="D24" s="100"/>
      <c r="E24" s="99"/>
      <c r="F24" s="100"/>
      <c r="G24" s="99"/>
      <c r="H24" s="100"/>
      <c r="I24" s="99"/>
      <c r="J24" s="100"/>
      <c r="K24" s="99"/>
      <c r="L24" s="100"/>
      <c r="M24" s="101"/>
      <c r="N24" s="102" t="str">
        <f t="shared" si="0"/>
        <v/>
      </c>
      <c r="O24" s="103" t="str">
        <f t="shared" si="1"/>
        <v/>
      </c>
      <c r="P24" s="104"/>
      <c r="S24" t="str">
        <f t="shared" si="2"/>
        <v/>
      </c>
      <c r="T24" t="str">
        <f t="shared" si="3"/>
        <v/>
      </c>
      <c r="U24" t="str">
        <f t="shared" si="4"/>
        <v/>
      </c>
      <c r="V24" t="str">
        <f t="shared" si="5"/>
        <v/>
      </c>
      <c r="W24" s="104"/>
      <c r="X24" s="99"/>
      <c r="Y24" s="100"/>
    </row>
    <row r="25" spans="1:25" ht="30" hidden="1" customHeight="1" x14ac:dyDescent="0.4">
      <c r="A25" s="98"/>
      <c r="B25" s="15"/>
      <c r="C25" s="99"/>
      <c r="D25" s="100"/>
      <c r="E25" s="99"/>
      <c r="F25" s="100"/>
      <c r="G25" s="99"/>
      <c r="H25" s="100"/>
      <c r="I25" s="99"/>
      <c r="J25" s="100"/>
      <c r="K25" s="99"/>
      <c r="L25" s="100"/>
      <c r="M25" s="101"/>
      <c r="N25" s="102" t="str">
        <f t="shared" si="0"/>
        <v/>
      </c>
      <c r="O25" s="103" t="str">
        <f t="shared" si="1"/>
        <v/>
      </c>
      <c r="P25" s="104"/>
      <c r="S25" t="str">
        <f t="shared" si="2"/>
        <v/>
      </c>
      <c r="T25" t="str">
        <f t="shared" si="3"/>
        <v/>
      </c>
      <c r="U25" t="str">
        <f t="shared" si="4"/>
        <v/>
      </c>
      <c r="V25" t="str">
        <f t="shared" si="5"/>
        <v/>
      </c>
      <c r="W25" s="104"/>
      <c r="X25" s="99"/>
      <c r="Y25" s="100"/>
    </row>
    <row r="26" spans="1:25" ht="30" hidden="1" customHeight="1" x14ac:dyDescent="0.4">
      <c r="A26" s="98"/>
      <c r="B26" s="15"/>
      <c r="C26" s="99"/>
      <c r="D26" s="100"/>
      <c r="E26" s="99"/>
      <c r="F26" s="100"/>
      <c r="G26" s="99"/>
      <c r="H26" s="100"/>
      <c r="I26" s="99"/>
      <c r="J26" s="100"/>
      <c r="K26" s="99"/>
      <c r="L26" s="100"/>
      <c r="M26" s="101"/>
      <c r="N26" s="102" t="str">
        <f t="shared" si="0"/>
        <v/>
      </c>
      <c r="O26" s="103" t="str">
        <f t="shared" si="1"/>
        <v/>
      </c>
      <c r="P26" s="104"/>
      <c r="S26" t="str">
        <f t="shared" si="2"/>
        <v/>
      </c>
      <c r="T26" t="str">
        <f t="shared" si="3"/>
        <v/>
      </c>
      <c r="U26" t="str">
        <f t="shared" si="4"/>
        <v/>
      </c>
      <c r="V26" t="str">
        <f t="shared" si="5"/>
        <v/>
      </c>
      <c r="W26" s="104"/>
      <c r="X26" s="99"/>
      <c r="Y26" s="100"/>
    </row>
    <row r="28" spans="1:25" ht="15.9" x14ac:dyDescent="0.45">
      <c r="A28" s="207" t="s">
        <v>1766</v>
      </c>
      <c r="B28" s="150"/>
      <c r="C28" s="150"/>
      <c r="D28" s="150"/>
      <c r="E28" s="150"/>
      <c r="F28" s="150"/>
      <c r="G28" s="150"/>
      <c r="H28" s="150"/>
      <c r="I28" s="150"/>
      <c r="J28" s="150"/>
      <c r="K28" s="150"/>
      <c r="L28" s="150"/>
      <c r="M28" s="150"/>
      <c r="N28" s="150"/>
      <c r="O28" s="150"/>
    </row>
    <row r="29" spans="1:25" ht="30" customHeight="1" x14ac:dyDescent="0.4">
      <c r="A29" s="94" t="s">
        <v>124</v>
      </c>
      <c r="B29" s="94" t="s">
        <v>528</v>
      </c>
      <c r="C29" s="94" t="s">
        <v>447</v>
      </c>
      <c r="D29" s="95" t="s">
        <v>529</v>
      </c>
      <c r="E29" s="96" t="s">
        <v>442</v>
      </c>
      <c r="F29" s="95" t="s">
        <v>530</v>
      </c>
      <c r="G29" s="96" t="s">
        <v>531</v>
      </c>
      <c r="H29" s="95" t="s">
        <v>532</v>
      </c>
      <c r="I29" s="96" t="s">
        <v>533</v>
      </c>
      <c r="J29" s="96" t="s">
        <v>534</v>
      </c>
      <c r="M29" s="96" t="s">
        <v>535</v>
      </c>
    </row>
    <row r="30" spans="1:25" ht="24" hidden="1" customHeight="1" x14ac:dyDescent="0.4">
      <c r="A30" s="132"/>
      <c r="B30" s="133"/>
      <c r="C30" s="138"/>
      <c r="D30" s="99"/>
      <c r="E30" s="100"/>
      <c r="F30" s="99"/>
      <c r="G30" s="100"/>
      <c r="H30" s="99"/>
      <c r="I30" s="100"/>
      <c r="J30" s="106"/>
      <c r="K30" s="16"/>
      <c r="L30" s="16"/>
      <c r="M30" s="101"/>
      <c r="N30" s="16"/>
      <c r="O30" s="16"/>
      <c r="Q30" s="134"/>
    </row>
    <row r="31" spans="1:25" ht="30.35" hidden="1" customHeight="1" x14ac:dyDescent="0.4">
      <c r="A31" s="132"/>
      <c r="B31" s="133"/>
      <c r="C31" s="138"/>
      <c r="D31" s="99"/>
      <c r="E31" s="100"/>
      <c r="F31" s="99"/>
      <c r="G31" s="100"/>
      <c r="H31" s="99"/>
      <c r="I31" s="100"/>
      <c r="J31" s="106"/>
      <c r="K31" s="16"/>
      <c r="L31" s="16"/>
      <c r="M31" s="101"/>
      <c r="N31" s="16"/>
      <c r="O31" s="16"/>
      <c r="Q31" s="134"/>
    </row>
    <row r="32" spans="1:25" ht="24" hidden="1" customHeight="1" x14ac:dyDescent="0.4">
      <c r="A32" s="132"/>
      <c r="B32" s="133"/>
      <c r="C32" s="138"/>
      <c r="D32" s="99"/>
      <c r="E32" s="100"/>
      <c r="F32" s="99"/>
      <c r="G32" s="100"/>
      <c r="H32" s="99"/>
      <c r="I32" s="100"/>
      <c r="J32" s="106"/>
      <c r="K32" s="16"/>
      <c r="L32" s="16"/>
      <c r="M32" s="101"/>
      <c r="N32" s="16"/>
      <c r="O32" s="16"/>
      <c r="Q32" s="134"/>
    </row>
    <row r="33" spans="1:17" ht="24" hidden="1" customHeight="1" x14ac:dyDescent="0.4">
      <c r="A33" s="132"/>
      <c r="B33" s="133"/>
      <c r="C33" s="138"/>
      <c r="D33" s="99"/>
      <c r="E33" s="100"/>
      <c r="F33" s="99"/>
      <c r="G33" s="100"/>
      <c r="H33" s="99"/>
      <c r="I33" s="100"/>
      <c r="J33" s="106"/>
      <c r="K33" s="16"/>
      <c r="L33" s="16"/>
      <c r="M33" s="101"/>
      <c r="N33" s="16"/>
      <c r="O33" s="16"/>
      <c r="Q33" s="134"/>
    </row>
    <row r="34" spans="1:17" ht="24" hidden="1" customHeight="1" x14ac:dyDescent="0.4">
      <c r="A34" s="132"/>
      <c r="B34" s="133"/>
      <c r="C34" s="138"/>
      <c r="D34" s="99"/>
      <c r="E34" s="100"/>
      <c r="F34" s="99"/>
      <c r="G34" s="100"/>
      <c r="H34" s="99"/>
      <c r="I34" s="100"/>
      <c r="J34" s="106"/>
      <c r="K34" s="16"/>
      <c r="L34" s="16"/>
      <c r="M34" s="101"/>
      <c r="N34" s="16"/>
      <c r="O34" s="16"/>
      <c r="Q34" s="134"/>
    </row>
    <row r="35" spans="1:17" ht="30.35" hidden="1" customHeight="1" x14ac:dyDescent="0.4">
      <c r="A35" s="132"/>
      <c r="B35" s="133"/>
      <c r="C35" s="138"/>
      <c r="D35" s="135"/>
      <c r="E35" s="100"/>
      <c r="F35" s="99"/>
      <c r="G35" s="100"/>
      <c r="H35" s="99"/>
      <c r="I35" s="100"/>
      <c r="J35" s="106"/>
      <c r="K35" s="16"/>
      <c r="L35" s="16"/>
      <c r="M35" s="101"/>
      <c r="N35" s="16"/>
      <c r="O35" s="16"/>
      <c r="Q35" s="134"/>
    </row>
    <row r="36" spans="1:17" ht="24" hidden="1" customHeight="1" x14ac:dyDescent="0.4">
      <c r="A36" s="132"/>
      <c r="B36" s="133"/>
      <c r="C36" s="138"/>
      <c r="D36" s="99"/>
      <c r="E36" s="100"/>
      <c r="F36" s="99"/>
      <c r="G36" s="100"/>
      <c r="H36" s="99"/>
      <c r="I36" s="100"/>
      <c r="J36" s="106"/>
      <c r="K36" s="16"/>
      <c r="L36" s="16"/>
      <c r="M36" s="101"/>
      <c r="N36" s="16"/>
      <c r="O36" s="16"/>
      <c r="Q36" s="134"/>
    </row>
    <row r="37" spans="1:17" ht="24" hidden="1" customHeight="1" x14ac:dyDescent="0.4">
      <c r="A37" s="132"/>
      <c r="B37" s="133"/>
      <c r="C37" s="138"/>
      <c r="D37" s="99"/>
      <c r="E37" s="100"/>
      <c r="F37" s="99"/>
      <c r="G37" s="100"/>
      <c r="H37" s="99"/>
      <c r="I37" s="100"/>
      <c r="J37" s="106"/>
      <c r="K37" s="16"/>
      <c r="L37" s="16"/>
      <c r="M37" s="101"/>
      <c r="N37" s="16"/>
      <c r="O37" s="16"/>
      <c r="Q37" s="134"/>
    </row>
    <row r="38" spans="1:17" ht="30.35" hidden="1" customHeight="1" x14ac:dyDescent="0.4">
      <c r="A38" s="132"/>
      <c r="B38" s="133"/>
      <c r="C38" s="138"/>
      <c r="D38" s="99"/>
      <c r="E38" s="100"/>
      <c r="F38" s="99"/>
      <c r="G38" s="100"/>
      <c r="H38" s="99"/>
      <c r="I38" s="100"/>
      <c r="J38" s="106"/>
      <c r="K38" s="16"/>
      <c r="L38" s="16"/>
      <c r="M38" s="101"/>
      <c r="N38" s="16"/>
      <c r="O38" s="16"/>
      <c r="Q38" s="134"/>
    </row>
    <row r="39" spans="1:17" ht="30.35" hidden="1" customHeight="1" x14ac:dyDescent="0.4">
      <c r="A39" s="132"/>
      <c r="B39" s="133"/>
      <c r="C39" s="138"/>
      <c r="D39" s="99"/>
      <c r="E39" s="100"/>
      <c r="F39" s="99"/>
      <c r="G39" s="100"/>
      <c r="H39" s="99"/>
      <c r="I39" s="100"/>
      <c r="J39" s="106"/>
      <c r="K39" s="16"/>
      <c r="L39" s="16"/>
      <c r="M39" s="101"/>
      <c r="N39" s="16"/>
      <c r="O39" s="16"/>
      <c r="Q39" s="134"/>
    </row>
    <row r="40" spans="1:17" ht="24" hidden="1" customHeight="1" x14ac:dyDescent="0.4">
      <c r="A40" s="132"/>
      <c r="B40" s="133"/>
      <c r="C40" s="138"/>
      <c r="D40" s="99"/>
      <c r="E40" s="100"/>
      <c r="F40" s="99"/>
      <c r="G40" s="100"/>
      <c r="H40" s="99"/>
      <c r="I40" s="100"/>
      <c r="J40" s="106"/>
      <c r="K40" s="16"/>
      <c r="L40" s="16"/>
      <c r="M40" s="101"/>
      <c r="N40" s="16"/>
      <c r="O40" s="16"/>
      <c r="Q40" s="134"/>
    </row>
    <row r="41" spans="1:17" ht="30.35" hidden="1" customHeight="1" x14ac:dyDescent="0.4">
      <c r="A41" s="132"/>
      <c r="B41" s="133"/>
      <c r="C41" s="138"/>
      <c r="D41" s="99"/>
      <c r="E41" s="100"/>
      <c r="F41" s="99"/>
      <c r="G41" s="100"/>
      <c r="H41" s="99"/>
      <c r="I41" s="100"/>
      <c r="J41" s="106"/>
      <c r="K41" s="16"/>
      <c r="L41" s="16"/>
      <c r="M41" s="101"/>
      <c r="N41" s="16"/>
      <c r="O41" s="16"/>
      <c r="Q41" s="134"/>
    </row>
    <row r="42" spans="1:17" ht="30.35" hidden="1" customHeight="1" x14ac:dyDescent="0.4">
      <c r="A42" s="132"/>
      <c r="B42" s="133"/>
      <c r="C42" s="138"/>
      <c r="D42" s="99"/>
      <c r="E42" s="100"/>
      <c r="F42" s="99"/>
      <c r="G42" s="100"/>
      <c r="H42" s="99"/>
      <c r="I42" s="100"/>
      <c r="J42" s="106"/>
      <c r="K42" s="16"/>
      <c r="L42" s="16"/>
      <c r="M42" s="101"/>
      <c r="N42" s="16"/>
      <c r="O42" s="16"/>
      <c r="Q42" s="134"/>
    </row>
    <row r="43" spans="1:17" ht="24" hidden="1" customHeight="1" x14ac:dyDescent="0.4">
      <c r="A43" s="132"/>
      <c r="B43" s="133"/>
      <c r="C43" s="138"/>
      <c r="D43" s="99"/>
      <c r="E43" s="100"/>
      <c r="F43" s="99"/>
      <c r="G43" s="100"/>
      <c r="H43" s="99"/>
      <c r="I43" s="100"/>
      <c r="J43" s="106"/>
      <c r="K43" s="16"/>
      <c r="L43" s="16"/>
      <c r="M43" s="101"/>
      <c r="N43" s="16"/>
      <c r="O43" s="16"/>
      <c r="Q43" s="134"/>
    </row>
    <row r="44" spans="1:17" ht="24" hidden="1" customHeight="1" x14ac:dyDescent="0.4">
      <c r="A44" s="132"/>
      <c r="B44" s="133"/>
      <c r="C44" s="138"/>
      <c r="D44" s="99"/>
      <c r="E44" s="100"/>
      <c r="F44" s="99"/>
      <c r="G44" s="100"/>
      <c r="H44" s="99"/>
      <c r="I44" s="100"/>
      <c r="J44" s="106"/>
      <c r="K44" s="16"/>
      <c r="L44" s="16"/>
      <c r="M44" s="101"/>
      <c r="N44" s="16"/>
      <c r="O44" s="16"/>
      <c r="Q44" s="134"/>
    </row>
    <row r="45" spans="1:17" ht="30.35" hidden="1" customHeight="1" x14ac:dyDescent="0.4">
      <c r="A45" s="132"/>
      <c r="B45" s="133"/>
      <c r="C45" s="138"/>
      <c r="D45" s="99"/>
      <c r="E45" s="100"/>
      <c r="F45" s="99"/>
      <c r="G45" s="100"/>
      <c r="H45" s="99"/>
      <c r="I45" s="100"/>
      <c r="J45" s="106"/>
      <c r="K45" s="16"/>
      <c r="L45" s="16"/>
      <c r="M45" s="101"/>
      <c r="N45" s="16"/>
      <c r="O45" s="16"/>
      <c r="Q45" s="134"/>
    </row>
    <row r="46" spans="1:17" ht="30.35" hidden="1" customHeight="1" x14ac:dyDescent="0.4">
      <c r="A46" s="132"/>
      <c r="B46" s="133"/>
      <c r="C46" s="138"/>
      <c r="D46" s="99"/>
      <c r="E46" s="100"/>
      <c r="F46" s="99"/>
      <c r="G46" s="100"/>
      <c r="H46" s="99"/>
      <c r="I46" s="100"/>
      <c r="J46" s="106"/>
      <c r="K46" s="16"/>
      <c r="L46" s="16"/>
      <c r="M46" s="101"/>
      <c r="N46" s="16"/>
      <c r="O46" s="16"/>
      <c r="Q46" s="134"/>
    </row>
    <row r="47" spans="1:17" ht="24" hidden="1" customHeight="1" x14ac:dyDescent="0.4">
      <c r="A47" s="132"/>
      <c r="B47" s="133"/>
      <c r="C47" s="138"/>
      <c r="D47" s="99"/>
      <c r="E47" s="100"/>
      <c r="F47" s="99"/>
      <c r="G47" s="100"/>
      <c r="H47" s="99"/>
      <c r="I47" s="100"/>
      <c r="J47" s="106"/>
      <c r="K47" s="16"/>
      <c r="L47" s="16"/>
      <c r="M47" s="101"/>
      <c r="N47" s="16"/>
      <c r="O47" s="16"/>
      <c r="Q47" s="134"/>
    </row>
    <row r="48" spans="1:17" ht="30.35" hidden="1" customHeight="1" x14ac:dyDescent="0.4">
      <c r="A48" s="132"/>
      <c r="B48" s="133"/>
      <c r="C48" s="138"/>
      <c r="D48" s="99"/>
      <c r="E48" s="100"/>
      <c r="F48" s="135"/>
      <c r="G48" s="100"/>
      <c r="H48" s="135"/>
      <c r="I48" s="100"/>
      <c r="J48" s="106"/>
      <c r="K48" s="16"/>
      <c r="L48" s="16"/>
      <c r="M48" s="101"/>
      <c r="N48" s="16"/>
      <c r="O48" s="16"/>
      <c r="Q48" s="134"/>
    </row>
    <row r="49" spans="1:17" ht="24" hidden="1" customHeight="1" x14ac:dyDescent="0.4">
      <c r="A49" s="132"/>
      <c r="B49" s="133"/>
      <c r="C49" s="138"/>
      <c r="D49" s="99"/>
      <c r="E49" s="100"/>
      <c r="F49" s="99"/>
      <c r="G49" s="100"/>
      <c r="H49" s="99"/>
      <c r="I49" s="100"/>
      <c r="J49" s="106"/>
      <c r="K49" s="16"/>
      <c r="L49" s="16"/>
      <c r="M49" s="101"/>
      <c r="N49" s="16"/>
      <c r="O49" s="16"/>
      <c r="Q49" s="134"/>
    </row>
    <row r="50" spans="1:17" ht="24" hidden="1" customHeight="1" x14ac:dyDescent="0.4">
      <c r="A50" s="132"/>
      <c r="B50" s="133"/>
      <c r="C50" s="138"/>
      <c r="D50" s="99"/>
      <c r="E50" s="100"/>
      <c r="F50" s="99"/>
      <c r="G50" s="100"/>
      <c r="H50" s="99"/>
      <c r="I50" s="100"/>
      <c r="J50" s="106"/>
      <c r="K50" s="16"/>
      <c r="L50" s="16"/>
      <c r="M50" s="101"/>
      <c r="N50" s="16"/>
      <c r="O50" s="16"/>
      <c r="Q50" s="134"/>
    </row>
    <row r="51" spans="1:17" ht="30.35" hidden="1" customHeight="1" x14ac:dyDescent="0.4">
      <c r="A51" s="132"/>
      <c r="B51" s="133"/>
      <c r="C51" s="138"/>
      <c r="D51" s="99"/>
      <c r="E51" s="100"/>
      <c r="F51" s="99"/>
      <c r="G51" s="100"/>
      <c r="H51" s="99"/>
      <c r="I51" s="100"/>
      <c r="J51" s="106"/>
      <c r="K51" s="16"/>
      <c r="L51" s="16"/>
      <c r="M51" s="101"/>
      <c r="N51" s="16"/>
      <c r="O51" s="16"/>
      <c r="Q51" s="134"/>
    </row>
    <row r="52" spans="1:17" ht="30.35" hidden="1" customHeight="1" x14ac:dyDescent="0.4">
      <c r="A52" s="132"/>
      <c r="B52" s="133"/>
      <c r="C52" s="138"/>
      <c r="D52" s="99"/>
      <c r="E52" s="100"/>
      <c r="F52" s="99"/>
      <c r="G52" s="100"/>
      <c r="H52" s="99"/>
      <c r="I52" s="100"/>
      <c r="J52" s="106"/>
      <c r="K52" s="16"/>
      <c r="L52" s="16"/>
      <c r="M52" s="101"/>
      <c r="N52" s="16"/>
      <c r="O52" s="16"/>
      <c r="Q52" s="134"/>
    </row>
    <row r="53" spans="1:17" ht="30.35" hidden="1" customHeight="1" x14ac:dyDescent="0.4">
      <c r="A53" s="132"/>
      <c r="B53" s="133"/>
      <c r="C53" s="138"/>
      <c r="D53" s="99"/>
      <c r="E53" s="100"/>
      <c r="F53" s="99"/>
      <c r="G53" s="100"/>
      <c r="H53" s="99"/>
      <c r="I53" s="100"/>
      <c r="J53" s="106"/>
      <c r="K53" s="16"/>
      <c r="L53" s="16"/>
      <c r="M53" s="101"/>
      <c r="N53" s="16"/>
      <c r="O53" s="16"/>
      <c r="Q53" s="134"/>
    </row>
    <row r="54" spans="1:17" ht="24" hidden="1" customHeight="1" x14ac:dyDescent="0.4">
      <c r="A54" s="132"/>
      <c r="B54" s="133"/>
      <c r="C54" s="138"/>
      <c r="D54" s="135"/>
      <c r="E54" s="100"/>
      <c r="F54" s="99"/>
      <c r="G54" s="100"/>
      <c r="H54" s="99"/>
      <c r="I54" s="100"/>
      <c r="J54" s="106"/>
      <c r="K54" s="16"/>
      <c r="L54" s="16"/>
      <c r="M54" s="101"/>
      <c r="N54" s="16"/>
      <c r="O54" s="16"/>
      <c r="Q54" s="134"/>
    </row>
    <row r="55" spans="1:17" ht="24" hidden="1" customHeight="1" x14ac:dyDescent="0.4">
      <c r="A55" s="132"/>
      <c r="B55" s="133"/>
      <c r="C55" s="138"/>
      <c r="D55" s="135"/>
      <c r="E55" s="100"/>
      <c r="F55" s="99"/>
      <c r="G55" s="100"/>
      <c r="H55" s="99"/>
      <c r="I55" s="100"/>
      <c r="J55" s="106"/>
      <c r="K55" s="16"/>
      <c r="L55" s="16"/>
      <c r="M55" s="101"/>
      <c r="N55" s="16"/>
      <c r="O55" s="16"/>
      <c r="Q55" s="134"/>
    </row>
    <row r="56" spans="1:17" ht="30" hidden="1" customHeight="1" x14ac:dyDescent="0.4">
      <c r="A56" s="98"/>
      <c r="B56" s="15"/>
      <c r="C56" s="105"/>
      <c r="D56" s="99"/>
      <c r="E56" s="100"/>
      <c r="F56" s="99"/>
      <c r="G56" s="100"/>
      <c r="H56" s="99"/>
      <c r="I56" s="100"/>
      <c r="J56" s="106"/>
      <c r="K56" s="16"/>
      <c r="L56" s="16"/>
      <c r="M56" s="101"/>
      <c r="N56" s="16"/>
      <c r="O56" s="16"/>
    </row>
    <row r="57" spans="1:17" ht="30" hidden="1" customHeight="1" x14ac:dyDescent="0.4">
      <c r="A57" s="98"/>
      <c r="B57" s="15"/>
      <c r="C57" s="105"/>
      <c r="D57" s="99"/>
      <c r="E57" s="100"/>
      <c r="F57" s="99"/>
      <c r="G57" s="100"/>
      <c r="H57" s="99"/>
      <c r="I57" s="100"/>
      <c r="J57" s="106"/>
      <c r="K57" s="16"/>
      <c r="L57" s="16"/>
      <c r="M57" s="101"/>
      <c r="N57" s="16"/>
      <c r="O57" s="16"/>
    </row>
    <row r="58" spans="1:17" ht="30" hidden="1" customHeight="1" x14ac:dyDescent="0.4">
      <c r="A58" s="98"/>
      <c r="B58" s="15"/>
      <c r="C58" s="105"/>
      <c r="D58" s="99"/>
      <c r="E58" s="100"/>
      <c r="F58" s="99"/>
      <c r="G58" s="100"/>
      <c r="H58" s="99"/>
      <c r="I58" s="100"/>
      <c r="J58" s="106"/>
      <c r="K58" s="16"/>
      <c r="L58" s="16"/>
      <c r="M58" s="101"/>
      <c r="N58" s="16"/>
      <c r="O58" s="16"/>
    </row>
    <row r="59" spans="1:17" ht="30" hidden="1" customHeight="1" x14ac:dyDescent="0.4">
      <c r="A59" s="98"/>
      <c r="B59" s="15"/>
      <c r="C59" s="105"/>
      <c r="D59" s="99"/>
      <c r="E59" s="100"/>
      <c r="F59" s="99"/>
      <c r="G59" s="100"/>
      <c r="H59" s="99"/>
      <c r="I59" s="100"/>
      <c r="J59" s="106"/>
      <c r="K59" s="16"/>
      <c r="L59" s="16"/>
      <c r="M59" s="101"/>
      <c r="N59" s="16"/>
      <c r="O59" s="16"/>
    </row>
    <row r="60" spans="1:17" ht="30" hidden="1" customHeight="1" x14ac:dyDescent="0.4">
      <c r="A60" s="98"/>
      <c r="B60" s="15"/>
      <c r="C60" s="105"/>
      <c r="D60" s="99"/>
      <c r="E60" s="100"/>
      <c r="F60" s="99"/>
      <c r="G60" s="100"/>
      <c r="H60" s="99"/>
      <c r="I60" s="100"/>
      <c r="J60" s="106"/>
      <c r="K60" s="16"/>
      <c r="L60" s="16"/>
      <c r="M60" s="101"/>
      <c r="N60" s="16"/>
      <c r="O60" s="16"/>
    </row>
    <row r="61" spans="1:17" ht="30" hidden="1" customHeight="1" x14ac:dyDescent="0.4">
      <c r="A61" s="98"/>
      <c r="B61" s="15"/>
      <c r="C61" s="105"/>
      <c r="D61" s="99"/>
      <c r="E61" s="100"/>
      <c r="F61" s="99"/>
      <c r="G61" s="100"/>
      <c r="H61" s="99"/>
      <c r="I61" s="100"/>
      <c r="J61" s="106"/>
      <c r="K61" s="16"/>
      <c r="L61" s="16"/>
      <c r="M61" s="101"/>
      <c r="N61" s="16"/>
      <c r="O61" s="16"/>
    </row>
    <row r="62" spans="1:17" ht="30" hidden="1" customHeight="1" x14ac:dyDescent="0.4">
      <c r="A62" s="98"/>
      <c r="B62" s="15"/>
      <c r="C62" s="105"/>
      <c r="D62" s="99"/>
      <c r="E62" s="100"/>
      <c r="F62" s="99"/>
      <c r="G62" s="100"/>
      <c r="H62" s="99"/>
      <c r="I62" s="100"/>
      <c r="J62" s="106"/>
      <c r="K62" s="16"/>
      <c r="L62" s="16"/>
      <c r="M62" s="101"/>
      <c r="N62" s="16"/>
      <c r="O62" s="16"/>
    </row>
    <row r="63" spans="1:17" ht="30" hidden="1" customHeight="1" x14ac:dyDescent="0.4">
      <c r="A63" s="98"/>
      <c r="B63" s="15"/>
      <c r="C63" s="105"/>
      <c r="D63" s="99"/>
      <c r="E63" s="100"/>
      <c r="F63" s="99"/>
      <c r="G63" s="100"/>
      <c r="H63" s="99"/>
      <c r="I63" s="100"/>
      <c r="J63" s="106"/>
      <c r="K63" s="16"/>
      <c r="L63" s="16"/>
      <c r="M63" s="101"/>
      <c r="N63" s="16"/>
      <c r="O63" s="16"/>
    </row>
    <row r="64" spans="1:17" ht="30" hidden="1" customHeight="1" x14ac:dyDescent="0.4">
      <c r="A64" s="98"/>
      <c r="B64" s="15"/>
      <c r="C64" s="105"/>
      <c r="D64" s="99"/>
      <c r="E64" s="100"/>
      <c r="F64" s="99"/>
      <c r="G64" s="100"/>
      <c r="H64" s="99"/>
      <c r="I64" s="100"/>
      <c r="J64" s="106"/>
      <c r="K64" s="16"/>
      <c r="L64" s="16"/>
      <c r="M64" s="101"/>
      <c r="N64" s="16"/>
      <c r="O64" s="16"/>
    </row>
    <row r="65" spans="1:15" ht="30" hidden="1" customHeight="1" x14ac:dyDescent="0.4">
      <c r="A65" s="98"/>
      <c r="B65" s="15"/>
      <c r="C65" s="105"/>
      <c r="D65" s="99"/>
      <c r="E65" s="100"/>
      <c r="F65" s="99"/>
      <c r="G65" s="100"/>
      <c r="H65" s="99"/>
      <c r="I65" s="100"/>
      <c r="J65" s="106"/>
      <c r="K65" s="16"/>
      <c r="L65" s="16"/>
      <c r="M65" s="101"/>
      <c r="N65" s="16"/>
      <c r="O65" s="16"/>
    </row>
    <row r="66" spans="1:15" ht="30" hidden="1" customHeight="1" x14ac:dyDescent="0.4">
      <c r="A66" s="98"/>
      <c r="B66" s="15"/>
      <c r="C66" s="105"/>
      <c r="D66" s="99"/>
      <c r="E66" s="100"/>
      <c r="F66" s="99"/>
      <c r="G66" s="100"/>
      <c r="H66" s="99"/>
      <c r="I66" s="100"/>
      <c r="J66" s="106"/>
      <c r="K66" s="16"/>
      <c r="L66" s="16"/>
      <c r="M66" s="101"/>
      <c r="N66" s="16"/>
      <c r="O66" s="16"/>
    </row>
    <row r="67" spans="1:15" ht="30" hidden="1" customHeight="1" x14ac:dyDescent="0.4">
      <c r="A67" s="98"/>
      <c r="B67" s="15"/>
      <c r="C67" s="105"/>
      <c r="D67" s="99"/>
      <c r="E67" s="100"/>
      <c r="F67" s="99"/>
      <c r="G67" s="100"/>
      <c r="H67" s="99"/>
      <c r="I67" s="100"/>
      <c r="J67" s="106"/>
      <c r="K67" s="16"/>
      <c r="L67" s="16"/>
      <c r="M67" s="101"/>
      <c r="N67" s="16"/>
      <c r="O67" s="16"/>
    </row>
    <row r="68" spans="1:15" ht="30" hidden="1" customHeight="1" x14ac:dyDescent="0.4">
      <c r="A68" s="98"/>
      <c r="B68" s="15"/>
      <c r="C68" s="105"/>
      <c r="D68" s="99"/>
      <c r="E68" s="100"/>
      <c r="F68" s="99"/>
      <c r="G68" s="100"/>
      <c r="H68" s="99"/>
      <c r="I68" s="100"/>
      <c r="J68" s="106"/>
      <c r="K68" s="16"/>
      <c r="L68" s="16"/>
      <c r="M68" s="101"/>
      <c r="N68" s="16"/>
      <c r="O68" s="16"/>
    </row>
    <row r="69" spans="1:15" ht="30" hidden="1" customHeight="1" x14ac:dyDescent="0.4">
      <c r="A69" s="98"/>
      <c r="B69" s="15"/>
      <c r="C69" s="105"/>
      <c r="D69" s="99"/>
      <c r="E69" s="100"/>
      <c r="F69" s="99"/>
      <c r="G69" s="100"/>
      <c r="H69" s="99"/>
      <c r="I69" s="100"/>
      <c r="J69" s="106"/>
      <c r="K69" s="16"/>
      <c r="L69" s="16"/>
      <c r="M69" s="101"/>
      <c r="N69" s="16"/>
      <c r="O69" s="16"/>
    </row>
    <row r="70" spans="1:15" ht="30" hidden="1" customHeight="1" x14ac:dyDescent="0.4">
      <c r="A70" s="98"/>
      <c r="B70" s="15"/>
      <c r="C70" s="105"/>
      <c r="D70" s="99"/>
      <c r="E70" s="100"/>
      <c r="F70" s="99"/>
      <c r="G70" s="100"/>
      <c r="H70" s="99"/>
      <c r="I70" s="100"/>
      <c r="J70" s="106"/>
      <c r="K70" s="16"/>
      <c r="L70" s="16"/>
      <c r="M70" s="101"/>
      <c r="N70" s="16"/>
      <c r="O70" s="16"/>
    </row>
    <row r="71" spans="1:15" ht="30" hidden="1" customHeight="1" x14ac:dyDescent="0.4">
      <c r="A71" s="98"/>
      <c r="B71" s="15"/>
      <c r="C71" s="105"/>
      <c r="D71" s="99"/>
      <c r="E71" s="100"/>
      <c r="F71" s="99"/>
      <c r="G71" s="100"/>
      <c r="H71" s="99"/>
      <c r="I71" s="100"/>
      <c r="J71" s="106"/>
      <c r="K71" s="16"/>
      <c r="L71" s="16"/>
      <c r="M71" s="101"/>
      <c r="N71" s="16"/>
      <c r="O71" s="16"/>
    </row>
    <row r="72" spans="1:15" ht="30" hidden="1" customHeight="1" x14ac:dyDescent="0.4">
      <c r="A72" s="98"/>
      <c r="B72" s="15"/>
      <c r="C72" s="105"/>
      <c r="D72" s="99"/>
      <c r="E72" s="100"/>
      <c r="F72" s="99"/>
      <c r="G72" s="100"/>
      <c r="H72" s="99"/>
      <c r="I72" s="100"/>
      <c r="J72" s="106"/>
      <c r="K72" s="16"/>
      <c r="L72" s="16"/>
      <c r="M72" s="101"/>
      <c r="N72" s="16"/>
      <c r="O72" s="16"/>
    </row>
    <row r="73" spans="1:15" ht="30" hidden="1" customHeight="1" x14ac:dyDescent="0.4">
      <c r="A73" s="98"/>
      <c r="B73" s="15"/>
      <c r="C73" s="105"/>
      <c r="D73" s="99"/>
      <c r="E73" s="100"/>
      <c r="F73" s="99"/>
      <c r="G73" s="100"/>
      <c r="H73" s="99"/>
      <c r="I73" s="100"/>
      <c r="J73" s="106"/>
      <c r="K73" s="16"/>
      <c r="L73" s="16"/>
      <c r="M73" s="101"/>
      <c r="N73" s="16"/>
      <c r="O73" s="16"/>
    </row>
    <row r="74" spans="1:15" ht="30" hidden="1" customHeight="1" x14ac:dyDescent="0.4">
      <c r="A74" s="98"/>
      <c r="B74" s="15"/>
      <c r="C74" s="105"/>
      <c r="D74" s="99"/>
      <c r="E74" s="100"/>
      <c r="F74" s="99"/>
      <c r="G74" s="100"/>
      <c r="H74" s="99"/>
      <c r="I74" s="100"/>
      <c r="J74" s="106"/>
      <c r="K74" s="16"/>
      <c r="L74" s="16"/>
      <c r="M74" s="101"/>
      <c r="N74" s="16"/>
      <c r="O74" s="16"/>
    </row>
    <row r="75" spans="1:15" ht="30" hidden="1" customHeight="1" x14ac:dyDescent="0.4">
      <c r="A75" s="98"/>
      <c r="B75" s="15"/>
      <c r="C75" s="105"/>
      <c r="D75" s="99"/>
      <c r="E75" s="100"/>
      <c r="F75" s="99"/>
      <c r="G75" s="100"/>
      <c r="H75" s="99"/>
      <c r="I75" s="100"/>
      <c r="J75" s="106"/>
      <c r="K75" s="16"/>
      <c r="L75" s="16"/>
      <c r="M75" s="101"/>
      <c r="N75" s="16"/>
      <c r="O75" s="16"/>
    </row>
    <row r="76" spans="1:15" ht="30" hidden="1" customHeight="1" x14ac:dyDescent="0.4">
      <c r="A76" s="98"/>
      <c r="B76" s="15"/>
      <c r="C76" s="105"/>
      <c r="D76" s="99"/>
      <c r="E76" s="100"/>
      <c r="F76" s="99"/>
      <c r="G76" s="100"/>
      <c r="H76" s="99"/>
      <c r="I76" s="100"/>
      <c r="J76" s="106"/>
      <c r="K76" s="16"/>
      <c r="L76" s="16"/>
      <c r="M76" s="101"/>
      <c r="N76" s="16"/>
      <c r="O76" s="16"/>
    </row>
    <row r="77" spans="1:15" ht="30" hidden="1" customHeight="1" x14ac:dyDescent="0.4">
      <c r="A77" s="98"/>
      <c r="B77" s="15"/>
      <c r="C77" s="105"/>
      <c r="D77" s="99"/>
      <c r="E77" s="100"/>
      <c r="F77" s="99"/>
      <c r="G77" s="100"/>
      <c r="H77" s="99"/>
      <c r="I77" s="100"/>
      <c r="J77" s="106"/>
      <c r="K77" s="16"/>
      <c r="L77" s="16"/>
      <c r="M77" s="101"/>
      <c r="N77" s="16"/>
      <c r="O77" s="16"/>
    </row>
    <row r="78" spans="1:15" ht="30" hidden="1" customHeight="1" x14ac:dyDescent="0.4">
      <c r="A78" s="98"/>
      <c r="B78" s="15"/>
      <c r="C78" s="105"/>
      <c r="D78" s="99"/>
      <c r="E78" s="100"/>
      <c r="F78" s="99"/>
      <c r="G78" s="100"/>
      <c r="H78" s="99"/>
      <c r="I78" s="100"/>
      <c r="J78" s="106"/>
      <c r="K78" s="16"/>
      <c r="L78" s="16"/>
      <c r="M78" s="101"/>
      <c r="N78" s="16"/>
      <c r="O78" s="16"/>
    </row>
    <row r="79" spans="1:15" ht="30" hidden="1" customHeight="1" x14ac:dyDescent="0.4">
      <c r="A79" s="98"/>
      <c r="B79" s="15"/>
      <c r="C79" s="105"/>
      <c r="D79" s="99"/>
      <c r="E79" s="100"/>
      <c r="F79" s="99"/>
      <c r="G79" s="100"/>
      <c r="H79" s="99"/>
      <c r="I79" s="100"/>
      <c r="J79" s="106"/>
      <c r="K79" s="16"/>
      <c r="L79" s="16"/>
      <c r="M79" s="101"/>
      <c r="N79" s="16"/>
      <c r="O79" s="16"/>
    </row>
    <row r="80" spans="1:15" ht="30" hidden="1" customHeight="1" x14ac:dyDescent="0.4">
      <c r="A80" s="98"/>
      <c r="B80" s="15"/>
      <c r="C80" s="105"/>
      <c r="D80" s="99"/>
      <c r="E80" s="100"/>
      <c r="F80" s="99"/>
      <c r="G80" s="100"/>
      <c r="H80" s="99"/>
      <c r="I80" s="100"/>
      <c r="J80" s="106"/>
      <c r="K80" s="16"/>
      <c r="L80" s="16"/>
      <c r="M80" s="101"/>
      <c r="N80" s="16"/>
      <c r="O80" s="16"/>
    </row>
    <row r="81" spans="1:15" ht="30" hidden="1" customHeight="1" x14ac:dyDescent="0.4">
      <c r="A81" s="98"/>
      <c r="B81" s="15"/>
      <c r="C81" s="105"/>
      <c r="D81" s="99"/>
      <c r="E81" s="100"/>
      <c r="F81" s="99"/>
      <c r="G81" s="100"/>
      <c r="H81" s="99"/>
      <c r="I81" s="100"/>
      <c r="J81" s="106"/>
      <c r="K81" s="16"/>
      <c r="L81" s="16"/>
      <c r="M81" s="101"/>
      <c r="N81" s="16"/>
      <c r="O81" s="16"/>
    </row>
    <row r="82" spans="1:15" ht="30" hidden="1" customHeight="1" x14ac:dyDescent="0.4">
      <c r="A82" s="98"/>
      <c r="B82" s="15"/>
      <c r="C82" s="105"/>
      <c r="D82" s="99"/>
      <c r="E82" s="100"/>
      <c r="F82" s="99"/>
      <c r="G82" s="100"/>
      <c r="H82" s="99"/>
      <c r="I82" s="100"/>
      <c r="J82" s="106"/>
      <c r="K82" s="16"/>
      <c r="L82" s="16"/>
      <c r="M82" s="101"/>
      <c r="N82" s="16"/>
      <c r="O82" s="16"/>
    </row>
    <row r="83" spans="1:15" ht="30" hidden="1" customHeight="1" x14ac:dyDescent="0.4">
      <c r="A83" s="98"/>
      <c r="B83" s="15"/>
      <c r="C83" s="105"/>
      <c r="D83" s="99"/>
      <c r="E83" s="100"/>
      <c r="F83" s="99"/>
      <c r="G83" s="100"/>
      <c r="H83" s="99"/>
      <c r="I83" s="100"/>
      <c r="J83" s="106"/>
      <c r="K83" s="16"/>
      <c r="L83" s="16"/>
      <c r="M83" s="101"/>
      <c r="N83" s="16"/>
      <c r="O83" s="16"/>
    </row>
    <row r="84" spans="1:15" ht="30" hidden="1" customHeight="1" x14ac:dyDescent="0.4">
      <c r="A84" s="98"/>
      <c r="B84" s="15"/>
      <c r="C84" s="105"/>
      <c r="D84" s="99"/>
      <c r="E84" s="100"/>
      <c r="F84" s="99"/>
      <c r="G84" s="100"/>
      <c r="H84" s="99"/>
      <c r="I84" s="100"/>
      <c r="J84" s="106"/>
      <c r="K84" s="16"/>
      <c r="L84" s="16"/>
      <c r="M84" s="101"/>
      <c r="N84" s="16"/>
      <c r="O84" s="16"/>
    </row>
    <row r="85" spans="1:15" ht="30" hidden="1" customHeight="1" x14ac:dyDescent="0.4">
      <c r="A85" s="98"/>
      <c r="B85" s="15"/>
      <c r="C85" s="105"/>
      <c r="D85" s="99"/>
      <c r="E85" s="100"/>
      <c r="F85" s="99"/>
      <c r="G85" s="100"/>
      <c r="H85" s="99"/>
      <c r="I85" s="100"/>
      <c r="J85" s="106"/>
      <c r="K85" s="16"/>
      <c r="L85" s="16"/>
      <c r="M85" s="101"/>
      <c r="N85" s="16"/>
      <c r="O85" s="16"/>
    </row>
    <row r="86" spans="1:15" ht="30" hidden="1" customHeight="1" x14ac:dyDescent="0.4">
      <c r="A86" s="98"/>
      <c r="B86" s="15"/>
      <c r="C86" s="105"/>
      <c r="D86" s="99"/>
      <c r="E86" s="100"/>
      <c r="F86" s="99"/>
      <c r="G86" s="100"/>
      <c r="H86" s="99"/>
      <c r="I86" s="100"/>
      <c r="J86" s="106"/>
      <c r="K86" s="16"/>
      <c r="L86" s="16"/>
      <c r="M86" s="101"/>
      <c r="N86" s="16"/>
      <c r="O86" s="16"/>
    </row>
    <row r="87" spans="1:15" ht="30" hidden="1" customHeight="1" x14ac:dyDescent="0.4">
      <c r="A87" s="98"/>
      <c r="B87" s="15"/>
      <c r="C87" s="105"/>
      <c r="D87" s="99"/>
      <c r="E87" s="100"/>
      <c r="F87" s="99"/>
      <c r="G87" s="100"/>
      <c r="H87" s="99"/>
      <c r="I87" s="100"/>
      <c r="J87" s="106"/>
      <c r="K87" s="16"/>
      <c r="L87" s="16"/>
      <c r="M87" s="101"/>
      <c r="N87" s="16"/>
      <c r="O87" s="16"/>
    </row>
    <row r="88" spans="1:15" ht="30" hidden="1" customHeight="1" x14ac:dyDescent="0.4">
      <c r="A88" s="98"/>
      <c r="B88" s="15"/>
      <c r="C88" s="105"/>
      <c r="D88" s="99"/>
      <c r="E88" s="100"/>
      <c r="F88" s="99"/>
      <c r="G88" s="100"/>
      <c r="H88" s="99"/>
      <c r="I88" s="100"/>
      <c r="J88" s="106"/>
      <c r="K88" s="16"/>
      <c r="L88" s="16"/>
      <c r="M88" s="101"/>
      <c r="N88" s="16"/>
      <c r="O88" s="16"/>
    </row>
    <row r="89" spans="1:15" ht="30" hidden="1" customHeight="1" x14ac:dyDescent="0.4">
      <c r="A89" s="98"/>
      <c r="B89" s="15"/>
      <c r="C89" s="105"/>
      <c r="D89" s="99"/>
      <c r="E89" s="100"/>
      <c r="F89" s="99"/>
      <c r="G89" s="100"/>
      <c r="H89" s="99"/>
      <c r="I89" s="100"/>
      <c r="J89" s="106"/>
      <c r="K89" s="16"/>
      <c r="L89" s="16"/>
      <c r="M89" s="101"/>
      <c r="N89" s="16"/>
      <c r="O89" s="16"/>
    </row>
    <row r="90" spans="1:15" ht="30" hidden="1" customHeight="1" x14ac:dyDescent="0.4">
      <c r="A90" s="98"/>
      <c r="B90" s="15"/>
      <c r="C90" s="105"/>
      <c r="D90" s="99"/>
      <c r="E90" s="100"/>
      <c r="F90" s="99"/>
      <c r="G90" s="100"/>
      <c r="H90" s="99"/>
      <c r="I90" s="100"/>
      <c r="J90" s="106"/>
      <c r="K90" s="16"/>
      <c r="L90" s="16"/>
      <c r="M90" s="101"/>
      <c r="N90" s="16"/>
      <c r="O90" s="16"/>
    </row>
    <row r="91" spans="1:15" ht="30" hidden="1" customHeight="1" x14ac:dyDescent="0.4">
      <c r="A91" s="98"/>
      <c r="B91" s="15"/>
      <c r="C91" s="105"/>
      <c r="D91" s="99"/>
      <c r="E91" s="100"/>
      <c r="F91" s="99"/>
      <c r="G91" s="100"/>
      <c r="H91" s="99"/>
      <c r="I91" s="100"/>
      <c r="J91" s="106"/>
      <c r="K91" s="16"/>
      <c r="L91" s="16"/>
      <c r="M91" s="101"/>
      <c r="N91" s="16"/>
      <c r="O91" s="16"/>
    </row>
    <row r="92" spans="1:15" ht="30" hidden="1" customHeight="1" x14ac:dyDescent="0.4">
      <c r="A92" s="98"/>
      <c r="B92" s="15"/>
      <c r="C92" s="105"/>
      <c r="D92" s="99"/>
      <c r="E92" s="100"/>
      <c r="F92" s="99"/>
      <c r="G92" s="100"/>
      <c r="H92" s="99"/>
      <c r="I92" s="100"/>
      <c r="J92" s="106"/>
      <c r="K92" s="16"/>
      <c r="L92" s="16"/>
      <c r="M92" s="101"/>
      <c r="N92" s="16"/>
      <c r="O92" s="16"/>
    </row>
    <row r="93" spans="1:15" ht="30" hidden="1" customHeight="1" x14ac:dyDescent="0.4">
      <c r="A93" s="98"/>
      <c r="B93" s="15"/>
      <c r="C93" s="105"/>
      <c r="D93" s="99"/>
      <c r="E93" s="100"/>
      <c r="F93" s="99"/>
      <c r="G93" s="100"/>
      <c r="H93" s="99"/>
      <c r="I93" s="100"/>
      <c r="J93" s="106"/>
      <c r="K93" s="16"/>
      <c r="L93" s="16"/>
      <c r="M93" s="101"/>
      <c r="N93" s="16"/>
      <c r="O93" s="16"/>
    </row>
    <row r="94" spans="1:15" ht="30" hidden="1" customHeight="1" x14ac:dyDescent="0.4">
      <c r="A94" s="98"/>
      <c r="B94" s="15"/>
      <c r="C94" s="105"/>
      <c r="D94" s="99"/>
      <c r="E94" s="100"/>
      <c r="F94" s="99"/>
      <c r="G94" s="100"/>
      <c r="H94" s="99"/>
      <c r="I94" s="100"/>
      <c r="J94" s="106"/>
      <c r="K94" s="16"/>
      <c r="L94" s="16"/>
      <c r="M94" s="101"/>
      <c r="N94" s="16"/>
      <c r="O94" s="16"/>
    </row>
    <row r="95" spans="1:15" ht="30" hidden="1" customHeight="1" x14ac:dyDescent="0.4">
      <c r="A95" s="98"/>
      <c r="B95" s="15"/>
      <c r="C95" s="105"/>
      <c r="D95" s="99"/>
      <c r="E95" s="100"/>
      <c r="F95" s="99"/>
      <c r="G95" s="100"/>
      <c r="H95" s="99"/>
      <c r="I95" s="100"/>
      <c r="J95" s="106"/>
      <c r="K95" s="16"/>
      <c r="L95" s="16"/>
      <c r="M95" s="101"/>
      <c r="N95" s="16"/>
      <c r="O95" s="16"/>
    </row>
    <row r="96" spans="1:15" ht="30" hidden="1" customHeight="1" x14ac:dyDescent="0.4">
      <c r="A96" s="98"/>
      <c r="B96" s="15"/>
      <c r="C96" s="105"/>
      <c r="D96" s="99"/>
      <c r="E96" s="100"/>
      <c r="F96" s="99"/>
      <c r="G96" s="100"/>
      <c r="H96" s="99"/>
      <c r="I96" s="100"/>
      <c r="J96" s="106"/>
      <c r="K96" s="16"/>
      <c r="L96" s="16"/>
      <c r="M96" s="101"/>
      <c r="N96" s="16"/>
      <c r="O96" s="16"/>
    </row>
    <row r="97" spans="1:15" ht="30" hidden="1" customHeight="1" x14ac:dyDescent="0.4">
      <c r="A97" s="98"/>
      <c r="B97" s="15"/>
      <c r="C97" s="105"/>
      <c r="D97" s="99"/>
      <c r="E97" s="100"/>
      <c r="F97" s="99"/>
      <c r="G97" s="100"/>
      <c r="H97" s="99"/>
      <c r="I97" s="100"/>
      <c r="J97" s="106"/>
      <c r="K97" s="16"/>
      <c r="L97" s="16"/>
      <c r="M97" s="101"/>
      <c r="N97" s="16"/>
      <c r="O97" s="16"/>
    </row>
    <row r="98" spans="1:15" ht="30" hidden="1" customHeight="1" x14ac:dyDescent="0.4">
      <c r="A98" s="98"/>
      <c r="B98" s="15"/>
      <c r="C98" s="105"/>
      <c r="D98" s="99"/>
      <c r="E98" s="100"/>
      <c r="F98" s="99"/>
      <c r="G98" s="100"/>
      <c r="H98" s="99"/>
      <c r="I98" s="100"/>
      <c r="J98" s="106"/>
      <c r="K98" s="16"/>
      <c r="L98" s="16"/>
      <c r="M98" s="101"/>
      <c r="N98" s="16"/>
      <c r="O98" s="16"/>
    </row>
    <row r="99" spans="1:15" ht="30" hidden="1" customHeight="1" x14ac:dyDescent="0.4">
      <c r="A99" s="98"/>
      <c r="B99" s="15"/>
      <c r="C99" s="105"/>
      <c r="D99" s="99"/>
      <c r="E99" s="100"/>
      <c r="F99" s="99"/>
      <c r="G99" s="100"/>
      <c r="H99" s="99"/>
      <c r="I99" s="100"/>
      <c r="J99" s="106"/>
      <c r="K99" s="16"/>
      <c r="L99" s="16"/>
      <c r="M99" s="101"/>
      <c r="N99" s="16"/>
      <c r="O99" s="16"/>
    </row>
    <row r="100" spans="1:15" ht="30" hidden="1" customHeight="1" x14ac:dyDescent="0.4">
      <c r="A100" s="98"/>
      <c r="B100" s="15"/>
      <c r="C100" s="105"/>
      <c r="D100" s="99"/>
      <c r="E100" s="100"/>
      <c r="F100" s="99"/>
      <c r="G100" s="100"/>
      <c r="H100" s="99"/>
      <c r="I100" s="100"/>
      <c r="J100" s="106"/>
      <c r="K100" s="16"/>
      <c r="L100" s="16"/>
      <c r="M100" s="101"/>
      <c r="N100" s="16"/>
      <c r="O100" s="16"/>
    </row>
    <row r="101" spans="1:15" ht="30" hidden="1" customHeight="1" x14ac:dyDescent="0.4">
      <c r="A101" s="98"/>
      <c r="B101" s="15"/>
      <c r="C101" s="105"/>
      <c r="D101" s="99"/>
      <c r="E101" s="100"/>
      <c r="F101" s="99"/>
      <c r="G101" s="100"/>
      <c r="H101" s="99"/>
      <c r="I101" s="100"/>
      <c r="J101" s="106"/>
      <c r="K101" s="16"/>
      <c r="L101" s="16"/>
      <c r="M101" s="101"/>
      <c r="N101" s="16"/>
      <c r="O101" s="16"/>
    </row>
    <row r="102" spans="1:15" ht="30" hidden="1" customHeight="1" x14ac:dyDescent="0.4">
      <c r="A102" s="98"/>
      <c r="B102" s="15"/>
      <c r="C102" s="105"/>
      <c r="D102" s="99"/>
      <c r="E102" s="100"/>
      <c r="F102" s="99"/>
      <c r="G102" s="100"/>
      <c r="H102" s="99"/>
      <c r="I102" s="100"/>
      <c r="J102" s="106"/>
      <c r="K102" s="16"/>
      <c r="L102" s="16"/>
      <c r="M102" s="101"/>
      <c r="N102" s="16"/>
      <c r="O102" s="16"/>
    </row>
    <row r="103" spans="1:15" ht="30" hidden="1" customHeight="1" x14ac:dyDescent="0.4">
      <c r="A103" s="98"/>
      <c r="B103" s="15"/>
      <c r="C103" s="105"/>
      <c r="D103" s="99"/>
      <c r="E103" s="100"/>
      <c r="F103" s="99"/>
      <c r="G103" s="100"/>
      <c r="H103" s="99"/>
      <c r="I103" s="100"/>
      <c r="J103" s="106"/>
      <c r="K103" s="16"/>
      <c r="L103" s="16"/>
      <c r="M103" s="101"/>
      <c r="N103" s="16"/>
      <c r="O103" s="16"/>
    </row>
    <row r="104" spans="1:15" ht="30" hidden="1" customHeight="1" x14ac:dyDescent="0.4">
      <c r="A104" s="98"/>
      <c r="B104" s="15"/>
      <c r="C104" s="105"/>
      <c r="D104" s="99"/>
      <c r="E104" s="100"/>
      <c r="F104" s="99"/>
      <c r="G104" s="100"/>
      <c r="H104" s="99"/>
      <c r="I104" s="100"/>
      <c r="J104" s="106"/>
      <c r="K104" s="16"/>
      <c r="L104" s="16"/>
      <c r="M104" s="101"/>
      <c r="N104" s="16"/>
      <c r="O104" s="16"/>
    </row>
    <row r="105" spans="1:15" ht="30" hidden="1" customHeight="1" x14ac:dyDescent="0.4">
      <c r="A105" s="98"/>
      <c r="B105" s="15"/>
      <c r="C105" s="105"/>
      <c r="D105" s="99"/>
      <c r="E105" s="100"/>
      <c r="F105" s="99"/>
      <c r="G105" s="100"/>
      <c r="H105" s="99"/>
      <c r="I105" s="100"/>
      <c r="J105" s="106"/>
      <c r="K105" s="16"/>
      <c r="L105" s="16"/>
      <c r="M105" s="101"/>
      <c r="N105" s="16"/>
      <c r="O105" s="16"/>
    </row>
    <row r="106" spans="1:15" ht="30" hidden="1" customHeight="1" x14ac:dyDescent="0.4">
      <c r="A106" s="98"/>
      <c r="B106" s="15"/>
      <c r="C106" s="105"/>
      <c r="D106" s="99"/>
      <c r="E106" s="100"/>
      <c r="F106" s="99"/>
      <c r="G106" s="100"/>
      <c r="H106" s="99"/>
      <c r="I106" s="100"/>
      <c r="J106" s="106"/>
      <c r="K106" s="16"/>
      <c r="L106" s="16"/>
      <c r="M106" s="101"/>
      <c r="N106" s="16"/>
      <c r="O106" s="16"/>
    </row>
    <row r="107" spans="1:15" ht="30" hidden="1" customHeight="1" x14ac:dyDescent="0.4">
      <c r="A107" s="98"/>
      <c r="B107" s="15"/>
      <c r="C107" s="105"/>
      <c r="D107" s="99"/>
      <c r="E107" s="100"/>
      <c r="F107" s="99"/>
      <c r="G107" s="100"/>
      <c r="H107" s="99"/>
      <c r="I107" s="100"/>
      <c r="J107" s="106"/>
      <c r="K107" s="16"/>
      <c r="L107" s="16"/>
      <c r="M107" s="101"/>
      <c r="N107" s="16"/>
      <c r="O107" s="16"/>
    </row>
    <row r="108" spans="1:15" ht="30" hidden="1" customHeight="1" x14ac:dyDescent="0.4">
      <c r="A108" s="98"/>
      <c r="B108" s="15"/>
      <c r="C108" s="105"/>
      <c r="D108" s="99"/>
      <c r="E108" s="100"/>
      <c r="F108" s="99"/>
      <c r="G108" s="100"/>
      <c r="H108" s="99"/>
      <c r="I108" s="100"/>
      <c r="J108" s="106"/>
      <c r="K108" s="16"/>
      <c r="L108" s="16"/>
      <c r="M108" s="101"/>
      <c r="N108" s="16"/>
      <c r="O108" s="16"/>
    </row>
    <row r="109" spans="1:15" ht="30" hidden="1" customHeight="1" x14ac:dyDescent="0.4">
      <c r="A109" s="98"/>
      <c r="B109" s="15"/>
      <c r="C109" s="105"/>
      <c r="D109" s="99"/>
      <c r="E109" s="100"/>
      <c r="F109" s="99"/>
      <c r="G109" s="100"/>
      <c r="H109" s="99"/>
      <c r="I109" s="100"/>
      <c r="J109" s="106"/>
      <c r="K109" s="16"/>
      <c r="L109" s="16"/>
      <c r="M109" s="101"/>
      <c r="N109" s="16"/>
      <c r="O109" s="16"/>
    </row>
    <row r="111" spans="1:15" ht="15.9" x14ac:dyDescent="0.45">
      <c r="A111" s="207" t="s">
        <v>1767</v>
      </c>
      <c r="B111" s="150"/>
      <c r="C111" s="150"/>
      <c r="D111" s="150"/>
      <c r="E111" s="150"/>
      <c r="F111" s="150"/>
      <c r="G111" s="150"/>
      <c r="H111" s="150"/>
      <c r="I111" s="150"/>
      <c r="J111" s="150"/>
      <c r="K111" s="150"/>
      <c r="L111" s="150"/>
      <c r="M111" s="150"/>
      <c r="N111" s="150"/>
      <c r="O111" s="150"/>
    </row>
    <row r="112" spans="1:15" ht="30" customHeight="1" x14ac:dyDescent="0.4">
      <c r="A112" s="94" t="s">
        <v>493</v>
      </c>
      <c r="B112" s="94" t="s">
        <v>536</v>
      </c>
      <c r="C112" s="210" t="s">
        <v>537</v>
      </c>
      <c r="D112" s="142"/>
      <c r="E112" s="209" t="s">
        <v>538</v>
      </c>
      <c r="F112" s="142"/>
      <c r="G112" s="95" t="s">
        <v>539</v>
      </c>
      <c r="H112" s="96" t="s">
        <v>267</v>
      </c>
      <c r="I112" s="96" t="s">
        <v>534</v>
      </c>
      <c r="M112" s="96" t="s">
        <v>535</v>
      </c>
    </row>
    <row r="113" spans="1:20" ht="33" hidden="1" customHeight="1" x14ac:dyDescent="0.4">
      <c r="A113" s="139"/>
      <c r="B113" s="133"/>
      <c r="C113" s="205"/>
      <c r="D113" s="202"/>
      <c r="E113" s="206"/>
      <c r="F113" s="202"/>
      <c r="G113" s="135"/>
      <c r="H113" s="136"/>
      <c r="I113" s="106"/>
      <c r="J113" s="16"/>
      <c r="K113" s="16"/>
      <c r="L113" s="16"/>
      <c r="M113" s="101"/>
      <c r="N113" s="16"/>
      <c r="O113" s="16"/>
      <c r="Q113" s="134"/>
      <c r="R113" s="134"/>
      <c r="S113" t="str">
        <f t="shared" ref="S113:S144" si="6">IF($A113="","",IF(OR($I113="Sì",$I113="Si"),0,IFERROR(VALUE(LEFT($H113,FIND(" ",$H113)-1)),0)))</f>
        <v/>
      </c>
      <c r="T113" t="str">
        <f t="shared" ref="T113:T144" si="7">IF($A113="","",IFERROR(VALUE(LEFT($G113,FIND(" ",$G113)-1)),0))</f>
        <v/>
      </c>
    </row>
    <row r="114" spans="1:20" ht="33" hidden="1" customHeight="1" x14ac:dyDescent="0.4">
      <c r="A114" s="139"/>
      <c r="B114" s="133"/>
      <c r="C114" s="205"/>
      <c r="D114" s="202"/>
      <c r="E114" s="206"/>
      <c r="F114" s="202"/>
      <c r="G114" s="135"/>
      <c r="H114" s="136"/>
      <c r="I114" s="106"/>
      <c r="J114" s="16"/>
      <c r="K114" s="16"/>
      <c r="L114" s="16"/>
      <c r="M114" s="101"/>
      <c r="N114" s="16"/>
      <c r="O114" s="16"/>
      <c r="Q114" s="134"/>
      <c r="R114" s="134"/>
      <c r="S114" t="str">
        <f t="shared" si="6"/>
        <v/>
      </c>
      <c r="T114" t="str">
        <f t="shared" si="7"/>
        <v/>
      </c>
    </row>
    <row r="115" spans="1:20" ht="33" hidden="1" customHeight="1" x14ac:dyDescent="0.4">
      <c r="A115" s="139"/>
      <c r="B115" s="133"/>
      <c r="C115" s="205"/>
      <c r="D115" s="202"/>
      <c r="E115" s="206"/>
      <c r="F115" s="202"/>
      <c r="G115" s="135"/>
      <c r="H115" s="136"/>
      <c r="I115" s="106"/>
      <c r="J115" s="16"/>
      <c r="K115" s="16"/>
      <c r="L115" s="16"/>
      <c r="M115" s="101"/>
      <c r="N115" s="16"/>
      <c r="O115" s="16"/>
      <c r="Q115" s="134"/>
      <c r="R115" s="134"/>
      <c r="S115" t="str">
        <f t="shared" si="6"/>
        <v/>
      </c>
      <c r="T115" t="str">
        <f t="shared" si="7"/>
        <v/>
      </c>
    </row>
    <row r="116" spans="1:20" ht="33" hidden="1" customHeight="1" x14ac:dyDescent="0.4">
      <c r="A116" s="139"/>
      <c r="B116" s="133"/>
      <c r="C116" s="205"/>
      <c r="D116" s="202"/>
      <c r="E116" s="206"/>
      <c r="F116" s="202"/>
      <c r="G116" s="135"/>
      <c r="H116" s="136"/>
      <c r="I116" s="106"/>
      <c r="J116" s="16"/>
      <c r="K116" s="16"/>
      <c r="L116" s="16"/>
      <c r="M116" s="101"/>
      <c r="N116" s="16"/>
      <c r="O116" s="16"/>
      <c r="Q116" s="134"/>
      <c r="R116" s="134"/>
      <c r="S116" t="str">
        <f t="shared" si="6"/>
        <v/>
      </c>
      <c r="T116" t="str">
        <f t="shared" si="7"/>
        <v/>
      </c>
    </row>
    <row r="117" spans="1:20" ht="42.45" hidden="1" customHeight="1" x14ac:dyDescent="0.4">
      <c r="A117" s="139"/>
      <c r="B117" s="133"/>
      <c r="C117" s="205"/>
      <c r="D117" s="202"/>
      <c r="E117" s="206"/>
      <c r="F117" s="202"/>
      <c r="G117" s="135"/>
      <c r="H117" s="136"/>
      <c r="I117" s="106"/>
      <c r="J117" s="16"/>
      <c r="K117" s="16"/>
      <c r="L117" s="16"/>
      <c r="M117" s="101"/>
      <c r="N117" s="16"/>
      <c r="O117" s="16"/>
      <c r="Q117" s="134"/>
      <c r="R117" s="134"/>
      <c r="S117" t="str">
        <f t="shared" si="6"/>
        <v/>
      </c>
      <c r="T117" t="str">
        <f t="shared" si="7"/>
        <v/>
      </c>
    </row>
    <row r="118" spans="1:20" ht="42.45" hidden="1" customHeight="1" x14ac:dyDescent="0.4">
      <c r="A118" s="139"/>
      <c r="B118" s="133"/>
      <c r="C118" s="205"/>
      <c r="D118" s="202"/>
      <c r="E118" s="206"/>
      <c r="F118" s="202"/>
      <c r="G118" s="135"/>
      <c r="H118" s="136"/>
      <c r="I118" s="106"/>
      <c r="J118" s="16"/>
      <c r="K118" s="16"/>
      <c r="L118" s="16"/>
      <c r="M118" s="101"/>
      <c r="N118" s="16"/>
      <c r="O118" s="16"/>
      <c r="Q118" s="134"/>
      <c r="R118" s="134"/>
      <c r="S118" t="str">
        <f t="shared" si="6"/>
        <v/>
      </c>
      <c r="T118" t="str">
        <f t="shared" si="7"/>
        <v/>
      </c>
    </row>
    <row r="119" spans="1:20" ht="42.45" hidden="1" customHeight="1" x14ac:dyDescent="0.4">
      <c r="A119" s="139"/>
      <c r="B119" s="133"/>
      <c r="C119" s="205"/>
      <c r="D119" s="202"/>
      <c r="E119" s="206"/>
      <c r="F119" s="202"/>
      <c r="G119" s="135"/>
      <c r="H119" s="136"/>
      <c r="I119" s="106"/>
      <c r="J119" s="16"/>
      <c r="K119" s="16"/>
      <c r="L119" s="16"/>
      <c r="M119" s="101"/>
      <c r="N119" s="16"/>
      <c r="O119" s="16"/>
      <c r="Q119" s="134"/>
      <c r="R119" s="134"/>
      <c r="S119" t="str">
        <f t="shared" si="6"/>
        <v/>
      </c>
      <c r="T119" t="str">
        <f t="shared" si="7"/>
        <v/>
      </c>
    </row>
    <row r="120" spans="1:20" ht="33" hidden="1" customHeight="1" x14ac:dyDescent="0.4">
      <c r="A120" s="139"/>
      <c r="B120" s="133"/>
      <c r="C120" s="205"/>
      <c r="D120" s="202"/>
      <c r="E120" s="206"/>
      <c r="F120" s="202"/>
      <c r="G120" s="135"/>
      <c r="H120" s="136"/>
      <c r="I120" s="106"/>
      <c r="J120" s="16"/>
      <c r="K120" s="16"/>
      <c r="L120" s="16"/>
      <c r="M120" s="101"/>
      <c r="N120" s="16"/>
      <c r="O120" s="16"/>
      <c r="Q120" s="134"/>
      <c r="R120" s="134"/>
      <c r="S120" t="str">
        <f t="shared" si="6"/>
        <v/>
      </c>
      <c r="T120" t="str">
        <f t="shared" si="7"/>
        <v/>
      </c>
    </row>
    <row r="121" spans="1:20" ht="30.35" hidden="1" customHeight="1" x14ac:dyDescent="0.4">
      <c r="A121" s="139"/>
      <c r="B121" s="133"/>
      <c r="C121" s="205"/>
      <c r="D121" s="202"/>
      <c r="E121" s="206"/>
      <c r="F121" s="202"/>
      <c r="G121" s="135"/>
      <c r="H121" s="136"/>
      <c r="I121" s="106"/>
      <c r="J121" s="16"/>
      <c r="K121" s="16"/>
      <c r="L121" s="16"/>
      <c r="M121" s="101"/>
      <c r="N121" s="16"/>
      <c r="O121" s="16"/>
      <c r="Q121" s="134"/>
      <c r="R121" s="134"/>
      <c r="S121" t="str">
        <f t="shared" si="6"/>
        <v/>
      </c>
      <c r="T121" t="str">
        <f t="shared" si="7"/>
        <v/>
      </c>
    </row>
    <row r="122" spans="1:20" ht="42.45" hidden="1" customHeight="1" x14ac:dyDescent="0.4">
      <c r="A122" s="139"/>
      <c r="B122" s="133"/>
      <c r="C122" s="205"/>
      <c r="D122" s="202"/>
      <c r="E122" s="206"/>
      <c r="F122" s="202"/>
      <c r="G122" s="135"/>
      <c r="H122" s="136"/>
      <c r="I122" s="106"/>
      <c r="J122" s="16"/>
      <c r="K122" s="16"/>
      <c r="L122" s="16"/>
      <c r="M122" s="101"/>
      <c r="N122" s="16"/>
      <c r="O122" s="16"/>
      <c r="Q122" s="134"/>
      <c r="R122" s="134"/>
      <c r="S122" t="str">
        <f t="shared" si="6"/>
        <v/>
      </c>
      <c r="T122" t="str">
        <f t="shared" si="7"/>
        <v/>
      </c>
    </row>
    <row r="123" spans="1:20" ht="42.45" hidden="1" customHeight="1" x14ac:dyDescent="0.4">
      <c r="A123" s="139"/>
      <c r="B123" s="133"/>
      <c r="C123" s="205"/>
      <c r="D123" s="202"/>
      <c r="E123" s="206"/>
      <c r="F123" s="202"/>
      <c r="G123" s="135"/>
      <c r="H123" s="136"/>
      <c r="I123" s="106"/>
      <c r="J123" s="16"/>
      <c r="K123" s="16"/>
      <c r="L123" s="16"/>
      <c r="M123" s="101"/>
      <c r="N123" s="16"/>
      <c r="O123" s="16"/>
      <c r="Q123" s="134"/>
      <c r="R123" s="134"/>
      <c r="S123" t="str">
        <f t="shared" si="6"/>
        <v/>
      </c>
      <c r="T123" t="str">
        <f t="shared" si="7"/>
        <v/>
      </c>
    </row>
    <row r="124" spans="1:20" ht="30.35" hidden="1" customHeight="1" x14ac:dyDescent="0.4">
      <c r="A124" s="139"/>
      <c r="B124" s="133"/>
      <c r="C124" s="205"/>
      <c r="D124" s="202"/>
      <c r="E124" s="206"/>
      <c r="F124" s="202"/>
      <c r="G124" s="135"/>
      <c r="H124" s="136"/>
      <c r="I124" s="106"/>
      <c r="J124" s="16"/>
      <c r="K124" s="16"/>
      <c r="L124" s="16"/>
      <c r="M124" s="101"/>
      <c r="N124" s="16"/>
      <c r="O124" s="16"/>
      <c r="Q124" s="134"/>
      <c r="R124" s="134"/>
      <c r="S124" t="str">
        <f t="shared" si="6"/>
        <v/>
      </c>
      <c r="T124" t="str">
        <f t="shared" si="7"/>
        <v/>
      </c>
    </row>
    <row r="125" spans="1:20" ht="30.35" hidden="1" customHeight="1" x14ac:dyDescent="0.4">
      <c r="A125" s="139"/>
      <c r="B125" s="133"/>
      <c r="C125" s="205"/>
      <c r="D125" s="202"/>
      <c r="E125" s="206"/>
      <c r="F125" s="202"/>
      <c r="G125" s="135"/>
      <c r="H125" s="136"/>
      <c r="I125" s="106"/>
      <c r="J125" s="16"/>
      <c r="K125" s="16"/>
      <c r="L125" s="16"/>
      <c r="M125" s="101"/>
      <c r="N125" s="16"/>
      <c r="O125" s="16"/>
      <c r="Q125" s="134"/>
      <c r="R125" s="134"/>
      <c r="S125" t="str">
        <f t="shared" si="6"/>
        <v/>
      </c>
      <c r="T125" t="str">
        <f t="shared" si="7"/>
        <v/>
      </c>
    </row>
    <row r="126" spans="1:20" ht="33" hidden="1" customHeight="1" x14ac:dyDescent="0.4">
      <c r="A126" s="139"/>
      <c r="B126" s="133"/>
      <c r="C126" s="205"/>
      <c r="D126" s="202"/>
      <c r="E126" s="206"/>
      <c r="F126" s="202"/>
      <c r="G126" s="135"/>
      <c r="H126" s="136"/>
      <c r="I126" s="106"/>
      <c r="J126" s="16"/>
      <c r="K126" s="16"/>
      <c r="L126" s="16"/>
      <c r="M126" s="101"/>
      <c r="N126" s="16"/>
      <c r="O126" s="16"/>
      <c r="Q126" s="134"/>
      <c r="R126" s="134"/>
      <c r="S126" t="str">
        <f t="shared" si="6"/>
        <v/>
      </c>
      <c r="T126" t="str">
        <f t="shared" si="7"/>
        <v/>
      </c>
    </row>
    <row r="127" spans="1:20" ht="42.45" hidden="1" customHeight="1" x14ac:dyDescent="0.4">
      <c r="A127" s="139"/>
      <c r="B127" s="133"/>
      <c r="C127" s="205"/>
      <c r="D127" s="202"/>
      <c r="E127" s="206"/>
      <c r="F127" s="202"/>
      <c r="G127" s="135"/>
      <c r="H127" s="136"/>
      <c r="I127" s="106"/>
      <c r="J127" s="16"/>
      <c r="K127" s="16"/>
      <c r="L127" s="16"/>
      <c r="M127" s="101"/>
      <c r="N127" s="16"/>
      <c r="O127" s="16"/>
      <c r="Q127" s="134"/>
      <c r="R127" s="134"/>
      <c r="S127" t="str">
        <f t="shared" si="6"/>
        <v/>
      </c>
      <c r="T127" t="str">
        <f t="shared" si="7"/>
        <v/>
      </c>
    </row>
    <row r="128" spans="1:20" ht="30" hidden="1" customHeight="1" x14ac:dyDescent="0.4">
      <c r="A128" s="107"/>
      <c r="B128" s="15"/>
      <c r="C128" s="204"/>
      <c r="D128" s="202"/>
      <c r="E128" s="203"/>
      <c r="F128" s="202"/>
      <c r="G128" s="99"/>
      <c r="H128" s="100"/>
      <c r="I128" s="106"/>
      <c r="J128" s="16"/>
      <c r="K128" s="16"/>
      <c r="L128" s="16"/>
      <c r="M128" s="101"/>
      <c r="N128" s="16"/>
      <c r="O128" s="16"/>
      <c r="S128" t="str">
        <f t="shared" si="6"/>
        <v/>
      </c>
      <c r="T128" t="str">
        <f t="shared" si="7"/>
        <v/>
      </c>
    </row>
    <row r="129" spans="1:20" ht="30" hidden="1" customHeight="1" x14ac:dyDescent="0.4">
      <c r="A129" s="107"/>
      <c r="B129" s="15"/>
      <c r="C129" s="204"/>
      <c r="D129" s="202"/>
      <c r="E129" s="203"/>
      <c r="F129" s="202"/>
      <c r="G129" s="99"/>
      <c r="H129" s="100"/>
      <c r="I129" s="106"/>
      <c r="J129" s="16"/>
      <c r="K129" s="16"/>
      <c r="L129" s="16"/>
      <c r="M129" s="101"/>
      <c r="N129" s="16"/>
      <c r="O129" s="16"/>
      <c r="S129" t="str">
        <f t="shared" si="6"/>
        <v/>
      </c>
      <c r="T129" t="str">
        <f t="shared" si="7"/>
        <v/>
      </c>
    </row>
    <row r="130" spans="1:20" ht="30" hidden="1" customHeight="1" x14ac:dyDescent="0.4">
      <c r="A130" s="107"/>
      <c r="B130" s="15"/>
      <c r="C130" s="204"/>
      <c r="D130" s="202"/>
      <c r="E130" s="203"/>
      <c r="F130" s="202"/>
      <c r="G130" s="99"/>
      <c r="H130" s="100"/>
      <c r="I130" s="106"/>
      <c r="J130" s="16"/>
      <c r="K130" s="16"/>
      <c r="L130" s="16"/>
      <c r="M130" s="101"/>
      <c r="N130" s="16"/>
      <c r="O130" s="16"/>
      <c r="S130" t="str">
        <f t="shared" si="6"/>
        <v/>
      </c>
      <c r="T130" t="str">
        <f t="shared" si="7"/>
        <v/>
      </c>
    </row>
    <row r="131" spans="1:20" ht="30" hidden="1" customHeight="1" x14ac:dyDescent="0.4">
      <c r="A131" s="107"/>
      <c r="B131" s="15"/>
      <c r="C131" s="204"/>
      <c r="D131" s="202"/>
      <c r="E131" s="203"/>
      <c r="F131" s="202"/>
      <c r="G131" s="99"/>
      <c r="H131" s="100"/>
      <c r="I131" s="106"/>
      <c r="J131" s="16"/>
      <c r="K131" s="16"/>
      <c r="L131" s="16"/>
      <c r="M131" s="101"/>
      <c r="N131" s="16"/>
      <c r="O131" s="16"/>
      <c r="S131" t="str">
        <f t="shared" si="6"/>
        <v/>
      </c>
      <c r="T131" t="str">
        <f t="shared" si="7"/>
        <v/>
      </c>
    </row>
    <row r="132" spans="1:20" ht="30" hidden="1" customHeight="1" x14ac:dyDescent="0.4">
      <c r="A132" s="107"/>
      <c r="B132" s="15"/>
      <c r="C132" s="204"/>
      <c r="D132" s="202"/>
      <c r="E132" s="203"/>
      <c r="F132" s="202"/>
      <c r="G132" s="99"/>
      <c r="H132" s="100"/>
      <c r="I132" s="106"/>
      <c r="J132" s="16"/>
      <c r="K132" s="16"/>
      <c r="L132" s="16"/>
      <c r="M132" s="101"/>
      <c r="N132" s="16"/>
      <c r="O132" s="16"/>
      <c r="S132" t="str">
        <f t="shared" si="6"/>
        <v/>
      </c>
      <c r="T132" t="str">
        <f t="shared" si="7"/>
        <v/>
      </c>
    </row>
    <row r="133" spans="1:20" ht="30" hidden="1" customHeight="1" x14ac:dyDescent="0.4">
      <c r="A133" s="107"/>
      <c r="B133" s="15"/>
      <c r="C133" s="204"/>
      <c r="D133" s="202"/>
      <c r="E133" s="203"/>
      <c r="F133" s="202"/>
      <c r="G133" s="99"/>
      <c r="H133" s="100"/>
      <c r="I133" s="106"/>
      <c r="J133" s="16"/>
      <c r="K133" s="16"/>
      <c r="L133" s="16"/>
      <c r="M133" s="101"/>
      <c r="N133" s="16"/>
      <c r="O133" s="16"/>
      <c r="S133" t="str">
        <f t="shared" si="6"/>
        <v/>
      </c>
      <c r="T133" t="str">
        <f t="shared" si="7"/>
        <v/>
      </c>
    </row>
    <row r="134" spans="1:20" ht="30" hidden="1" customHeight="1" x14ac:dyDescent="0.4">
      <c r="A134" s="107"/>
      <c r="B134" s="15"/>
      <c r="C134" s="204"/>
      <c r="D134" s="202"/>
      <c r="E134" s="203"/>
      <c r="F134" s="202"/>
      <c r="G134" s="99"/>
      <c r="H134" s="100"/>
      <c r="I134" s="106"/>
      <c r="J134" s="16"/>
      <c r="K134" s="16"/>
      <c r="L134" s="16"/>
      <c r="M134" s="101"/>
      <c r="N134" s="16"/>
      <c r="O134" s="16"/>
      <c r="S134" t="str">
        <f t="shared" si="6"/>
        <v/>
      </c>
      <c r="T134" t="str">
        <f t="shared" si="7"/>
        <v/>
      </c>
    </row>
    <row r="135" spans="1:20" ht="30" hidden="1" customHeight="1" x14ac:dyDescent="0.4">
      <c r="A135" s="107"/>
      <c r="B135" s="15"/>
      <c r="C135" s="204"/>
      <c r="D135" s="202"/>
      <c r="E135" s="203"/>
      <c r="F135" s="202"/>
      <c r="G135" s="99"/>
      <c r="H135" s="100"/>
      <c r="I135" s="106"/>
      <c r="J135" s="16"/>
      <c r="K135" s="16"/>
      <c r="L135" s="16"/>
      <c r="M135" s="101"/>
      <c r="N135" s="16"/>
      <c r="O135" s="16"/>
      <c r="S135" t="str">
        <f t="shared" si="6"/>
        <v/>
      </c>
      <c r="T135" t="str">
        <f t="shared" si="7"/>
        <v/>
      </c>
    </row>
    <row r="136" spans="1:20" ht="30" hidden="1" customHeight="1" x14ac:dyDescent="0.4">
      <c r="A136" s="107"/>
      <c r="B136" s="15"/>
      <c r="C136" s="204"/>
      <c r="D136" s="202"/>
      <c r="E136" s="203"/>
      <c r="F136" s="202"/>
      <c r="G136" s="99"/>
      <c r="H136" s="100"/>
      <c r="I136" s="106"/>
      <c r="J136" s="16"/>
      <c r="K136" s="16"/>
      <c r="L136" s="16"/>
      <c r="M136" s="101"/>
      <c r="N136" s="16"/>
      <c r="O136" s="16"/>
      <c r="S136" t="str">
        <f t="shared" si="6"/>
        <v/>
      </c>
      <c r="T136" t="str">
        <f t="shared" si="7"/>
        <v/>
      </c>
    </row>
    <row r="137" spans="1:20" ht="30" hidden="1" customHeight="1" x14ac:dyDescent="0.4">
      <c r="A137" s="107"/>
      <c r="B137" s="15"/>
      <c r="C137" s="204"/>
      <c r="D137" s="202"/>
      <c r="E137" s="203"/>
      <c r="F137" s="202"/>
      <c r="G137" s="99"/>
      <c r="H137" s="100"/>
      <c r="I137" s="106"/>
      <c r="J137" s="16"/>
      <c r="K137" s="16"/>
      <c r="L137" s="16"/>
      <c r="M137" s="101"/>
      <c r="N137" s="16"/>
      <c r="O137" s="16"/>
      <c r="S137" t="str">
        <f t="shared" si="6"/>
        <v/>
      </c>
      <c r="T137" t="str">
        <f t="shared" si="7"/>
        <v/>
      </c>
    </row>
    <row r="138" spans="1:20" ht="30" hidden="1" customHeight="1" x14ac:dyDescent="0.4">
      <c r="A138" s="107"/>
      <c r="B138" s="15"/>
      <c r="C138" s="204"/>
      <c r="D138" s="202"/>
      <c r="E138" s="203"/>
      <c r="F138" s="202"/>
      <c r="G138" s="99"/>
      <c r="H138" s="100"/>
      <c r="I138" s="106"/>
      <c r="J138" s="16"/>
      <c r="K138" s="16"/>
      <c r="L138" s="16"/>
      <c r="M138" s="101"/>
      <c r="N138" s="16"/>
      <c r="O138" s="16"/>
      <c r="S138" t="str">
        <f t="shared" si="6"/>
        <v/>
      </c>
      <c r="T138" t="str">
        <f t="shared" si="7"/>
        <v/>
      </c>
    </row>
    <row r="139" spans="1:20" ht="30" hidden="1" customHeight="1" x14ac:dyDescent="0.4">
      <c r="A139" s="107"/>
      <c r="B139" s="15"/>
      <c r="C139" s="204"/>
      <c r="D139" s="202"/>
      <c r="E139" s="203"/>
      <c r="F139" s="202"/>
      <c r="G139" s="99"/>
      <c r="H139" s="100"/>
      <c r="I139" s="106"/>
      <c r="J139" s="16"/>
      <c r="K139" s="16"/>
      <c r="L139" s="16"/>
      <c r="M139" s="101"/>
      <c r="N139" s="16"/>
      <c r="O139" s="16"/>
      <c r="S139" t="str">
        <f t="shared" si="6"/>
        <v/>
      </c>
      <c r="T139" t="str">
        <f t="shared" si="7"/>
        <v/>
      </c>
    </row>
    <row r="140" spans="1:20" ht="30" hidden="1" customHeight="1" x14ac:dyDescent="0.4">
      <c r="A140" s="107"/>
      <c r="B140" s="15"/>
      <c r="C140" s="204"/>
      <c r="D140" s="202"/>
      <c r="E140" s="203"/>
      <c r="F140" s="202"/>
      <c r="G140" s="99"/>
      <c r="H140" s="100"/>
      <c r="I140" s="106"/>
      <c r="J140" s="16"/>
      <c r="K140" s="16"/>
      <c r="L140" s="16"/>
      <c r="M140" s="101"/>
      <c r="N140" s="16"/>
      <c r="O140" s="16"/>
      <c r="S140" t="str">
        <f t="shared" si="6"/>
        <v/>
      </c>
      <c r="T140" t="str">
        <f t="shared" si="7"/>
        <v/>
      </c>
    </row>
    <row r="141" spans="1:20" ht="30" hidden="1" customHeight="1" x14ac:dyDescent="0.4">
      <c r="A141" s="107"/>
      <c r="B141" s="15"/>
      <c r="C141" s="204"/>
      <c r="D141" s="202"/>
      <c r="E141" s="203"/>
      <c r="F141" s="202"/>
      <c r="G141" s="99"/>
      <c r="H141" s="100"/>
      <c r="I141" s="106"/>
      <c r="J141" s="16"/>
      <c r="K141" s="16"/>
      <c r="L141" s="16"/>
      <c r="M141" s="101"/>
      <c r="N141" s="16"/>
      <c r="O141" s="16"/>
      <c r="S141" t="str">
        <f t="shared" si="6"/>
        <v/>
      </c>
      <c r="T141" t="str">
        <f t="shared" si="7"/>
        <v/>
      </c>
    </row>
    <row r="142" spans="1:20" ht="30" hidden="1" customHeight="1" x14ac:dyDescent="0.4">
      <c r="A142" s="107"/>
      <c r="B142" s="15"/>
      <c r="C142" s="204"/>
      <c r="D142" s="202"/>
      <c r="E142" s="203"/>
      <c r="F142" s="202"/>
      <c r="G142" s="99"/>
      <c r="H142" s="100"/>
      <c r="I142" s="106"/>
      <c r="J142" s="16"/>
      <c r="K142" s="16"/>
      <c r="L142" s="16"/>
      <c r="M142" s="101"/>
      <c r="N142" s="16"/>
      <c r="O142" s="16"/>
      <c r="S142" t="str">
        <f t="shared" si="6"/>
        <v/>
      </c>
      <c r="T142" t="str">
        <f t="shared" si="7"/>
        <v/>
      </c>
    </row>
    <row r="143" spans="1:20" ht="30" hidden="1" customHeight="1" x14ac:dyDescent="0.4">
      <c r="A143" s="107"/>
      <c r="B143" s="15"/>
      <c r="C143" s="204"/>
      <c r="D143" s="202"/>
      <c r="E143" s="203"/>
      <c r="F143" s="202"/>
      <c r="G143" s="99"/>
      <c r="H143" s="100"/>
      <c r="I143" s="106"/>
      <c r="J143" s="16"/>
      <c r="K143" s="16"/>
      <c r="L143" s="16"/>
      <c r="M143" s="101"/>
      <c r="N143" s="16"/>
      <c r="O143" s="16"/>
      <c r="S143" t="str">
        <f t="shared" si="6"/>
        <v/>
      </c>
      <c r="T143" t="str">
        <f t="shared" si="7"/>
        <v/>
      </c>
    </row>
    <row r="144" spans="1:20" ht="30" hidden="1" customHeight="1" x14ac:dyDescent="0.4">
      <c r="A144" s="107"/>
      <c r="B144" s="15"/>
      <c r="C144" s="204"/>
      <c r="D144" s="202"/>
      <c r="E144" s="203"/>
      <c r="F144" s="202"/>
      <c r="G144" s="99"/>
      <c r="H144" s="100"/>
      <c r="I144" s="106"/>
      <c r="J144" s="16"/>
      <c r="K144" s="16"/>
      <c r="L144" s="16"/>
      <c r="M144" s="101"/>
      <c r="N144" s="16"/>
      <c r="O144" s="16"/>
      <c r="S144" t="str">
        <f t="shared" si="6"/>
        <v/>
      </c>
      <c r="T144" t="str">
        <f t="shared" si="7"/>
        <v/>
      </c>
    </row>
    <row r="145" spans="1:20" ht="30" hidden="1" customHeight="1" x14ac:dyDescent="0.4">
      <c r="A145" s="107"/>
      <c r="B145" s="15"/>
      <c r="C145" s="204"/>
      <c r="D145" s="202"/>
      <c r="E145" s="203"/>
      <c r="F145" s="202"/>
      <c r="G145" s="99"/>
      <c r="H145" s="100"/>
      <c r="I145" s="106"/>
      <c r="J145" s="16"/>
      <c r="K145" s="16"/>
      <c r="L145" s="16"/>
      <c r="M145" s="101"/>
      <c r="N145" s="16"/>
      <c r="O145" s="16"/>
      <c r="S145" t="str">
        <f t="shared" ref="S145:S176" si="8">IF($A145="","",IF(OR($I145="Sì",$I145="Si"),0,IFERROR(VALUE(LEFT($H145,FIND(" ",$H145)-1)),0)))</f>
        <v/>
      </c>
      <c r="T145" t="str">
        <f t="shared" ref="T145:T176" si="9">IF($A145="","",IFERROR(VALUE(LEFT($G145,FIND(" ",$G145)-1)),0))</f>
        <v/>
      </c>
    </row>
    <row r="146" spans="1:20" ht="30" hidden="1" customHeight="1" x14ac:dyDescent="0.4">
      <c r="A146" s="107"/>
      <c r="B146" s="15"/>
      <c r="C146" s="204"/>
      <c r="D146" s="202"/>
      <c r="E146" s="203"/>
      <c r="F146" s="202"/>
      <c r="G146" s="99"/>
      <c r="H146" s="100"/>
      <c r="I146" s="106"/>
      <c r="J146" s="16"/>
      <c r="K146" s="16"/>
      <c r="L146" s="16"/>
      <c r="M146" s="101"/>
      <c r="N146" s="16"/>
      <c r="O146" s="16"/>
      <c r="S146" t="str">
        <f t="shared" si="8"/>
        <v/>
      </c>
      <c r="T146" t="str">
        <f t="shared" si="9"/>
        <v/>
      </c>
    </row>
    <row r="147" spans="1:20" ht="30" hidden="1" customHeight="1" x14ac:dyDescent="0.4">
      <c r="A147" s="107"/>
      <c r="B147" s="15"/>
      <c r="C147" s="204"/>
      <c r="D147" s="202"/>
      <c r="E147" s="203"/>
      <c r="F147" s="202"/>
      <c r="G147" s="99"/>
      <c r="H147" s="100"/>
      <c r="I147" s="106"/>
      <c r="J147" s="16"/>
      <c r="K147" s="16"/>
      <c r="L147" s="16"/>
      <c r="M147" s="101"/>
      <c r="N147" s="16"/>
      <c r="O147" s="16"/>
      <c r="S147" t="str">
        <f t="shared" si="8"/>
        <v/>
      </c>
      <c r="T147" t="str">
        <f t="shared" si="9"/>
        <v/>
      </c>
    </row>
    <row r="148" spans="1:20" ht="30" hidden="1" customHeight="1" x14ac:dyDescent="0.4">
      <c r="A148" s="107"/>
      <c r="B148" s="15"/>
      <c r="C148" s="204"/>
      <c r="D148" s="202"/>
      <c r="E148" s="203"/>
      <c r="F148" s="202"/>
      <c r="G148" s="99"/>
      <c r="H148" s="100"/>
      <c r="I148" s="106"/>
      <c r="J148" s="16"/>
      <c r="K148" s="16"/>
      <c r="L148" s="16"/>
      <c r="M148" s="101"/>
      <c r="N148" s="16"/>
      <c r="O148" s="16"/>
      <c r="S148" t="str">
        <f t="shared" si="8"/>
        <v/>
      </c>
      <c r="T148" t="str">
        <f t="shared" si="9"/>
        <v/>
      </c>
    </row>
    <row r="149" spans="1:20" ht="30" hidden="1" customHeight="1" x14ac:dyDescent="0.4">
      <c r="A149" s="107"/>
      <c r="B149" s="15"/>
      <c r="C149" s="204"/>
      <c r="D149" s="202"/>
      <c r="E149" s="203"/>
      <c r="F149" s="202"/>
      <c r="G149" s="99"/>
      <c r="H149" s="100"/>
      <c r="I149" s="106"/>
      <c r="J149" s="16"/>
      <c r="K149" s="16"/>
      <c r="L149" s="16"/>
      <c r="M149" s="101"/>
      <c r="N149" s="16"/>
      <c r="O149" s="16"/>
      <c r="S149" t="str">
        <f t="shared" si="8"/>
        <v/>
      </c>
      <c r="T149" t="str">
        <f t="shared" si="9"/>
        <v/>
      </c>
    </row>
    <row r="150" spans="1:20" ht="30" hidden="1" customHeight="1" x14ac:dyDescent="0.4">
      <c r="A150" s="107"/>
      <c r="B150" s="15"/>
      <c r="C150" s="204"/>
      <c r="D150" s="202"/>
      <c r="E150" s="203"/>
      <c r="F150" s="202"/>
      <c r="G150" s="99"/>
      <c r="H150" s="100"/>
      <c r="I150" s="106"/>
      <c r="J150" s="16"/>
      <c r="K150" s="16"/>
      <c r="L150" s="16"/>
      <c r="M150" s="101"/>
      <c r="N150" s="16"/>
      <c r="O150" s="16"/>
      <c r="S150" t="str">
        <f t="shared" si="8"/>
        <v/>
      </c>
      <c r="T150" t="str">
        <f t="shared" si="9"/>
        <v/>
      </c>
    </row>
    <row r="151" spans="1:20" ht="30" hidden="1" customHeight="1" x14ac:dyDescent="0.4">
      <c r="A151" s="107"/>
      <c r="B151" s="15"/>
      <c r="C151" s="204"/>
      <c r="D151" s="202"/>
      <c r="E151" s="203"/>
      <c r="F151" s="202"/>
      <c r="G151" s="99"/>
      <c r="H151" s="100"/>
      <c r="I151" s="106"/>
      <c r="J151" s="16"/>
      <c r="K151" s="16"/>
      <c r="L151" s="16"/>
      <c r="M151" s="101"/>
      <c r="N151" s="16"/>
      <c r="O151" s="16"/>
      <c r="S151" t="str">
        <f t="shared" si="8"/>
        <v/>
      </c>
      <c r="T151" t="str">
        <f t="shared" si="9"/>
        <v/>
      </c>
    </row>
    <row r="152" spans="1:20" ht="30" hidden="1" customHeight="1" x14ac:dyDescent="0.4">
      <c r="A152" s="107"/>
      <c r="B152" s="15"/>
      <c r="C152" s="204"/>
      <c r="D152" s="202"/>
      <c r="E152" s="203"/>
      <c r="F152" s="202"/>
      <c r="G152" s="99"/>
      <c r="H152" s="100"/>
      <c r="I152" s="106"/>
      <c r="J152" s="16"/>
      <c r="K152" s="16"/>
      <c r="L152" s="16"/>
      <c r="M152" s="101"/>
      <c r="N152" s="16"/>
      <c r="O152" s="16"/>
      <c r="S152" t="str">
        <f t="shared" si="8"/>
        <v/>
      </c>
      <c r="T152" t="str">
        <f t="shared" si="9"/>
        <v/>
      </c>
    </row>
    <row r="153" spans="1:20" ht="30" hidden="1" customHeight="1" x14ac:dyDescent="0.4">
      <c r="A153" s="107"/>
      <c r="B153" s="15"/>
      <c r="C153" s="204"/>
      <c r="D153" s="202"/>
      <c r="E153" s="203"/>
      <c r="F153" s="202"/>
      <c r="G153" s="99"/>
      <c r="H153" s="100"/>
      <c r="I153" s="106"/>
      <c r="J153" s="16"/>
      <c r="K153" s="16"/>
      <c r="L153" s="16"/>
      <c r="M153" s="101"/>
      <c r="N153" s="16"/>
      <c r="O153" s="16"/>
      <c r="S153" t="str">
        <f t="shared" si="8"/>
        <v/>
      </c>
      <c r="T153" t="str">
        <f t="shared" si="9"/>
        <v/>
      </c>
    </row>
    <row r="154" spans="1:20" ht="30" hidden="1" customHeight="1" x14ac:dyDescent="0.4">
      <c r="A154" s="107"/>
      <c r="B154" s="15"/>
      <c r="C154" s="204"/>
      <c r="D154" s="202"/>
      <c r="E154" s="203"/>
      <c r="F154" s="202"/>
      <c r="G154" s="99"/>
      <c r="H154" s="100"/>
      <c r="I154" s="106"/>
      <c r="J154" s="16"/>
      <c r="K154" s="16"/>
      <c r="L154" s="16"/>
      <c r="M154" s="101"/>
      <c r="N154" s="16"/>
      <c r="O154" s="16"/>
      <c r="S154" t="str">
        <f t="shared" si="8"/>
        <v/>
      </c>
      <c r="T154" t="str">
        <f t="shared" si="9"/>
        <v/>
      </c>
    </row>
    <row r="155" spans="1:20" ht="30" hidden="1" customHeight="1" x14ac:dyDescent="0.4">
      <c r="A155" s="107"/>
      <c r="B155" s="15"/>
      <c r="C155" s="204"/>
      <c r="D155" s="202"/>
      <c r="E155" s="203"/>
      <c r="F155" s="202"/>
      <c r="G155" s="99"/>
      <c r="H155" s="100"/>
      <c r="I155" s="106"/>
      <c r="J155" s="16"/>
      <c r="K155" s="16"/>
      <c r="L155" s="16"/>
      <c r="M155" s="101"/>
      <c r="N155" s="16"/>
      <c r="O155" s="16"/>
      <c r="S155" t="str">
        <f t="shared" si="8"/>
        <v/>
      </c>
      <c r="T155" t="str">
        <f t="shared" si="9"/>
        <v/>
      </c>
    </row>
    <row r="156" spans="1:20" ht="30" hidden="1" customHeight="1" x14ac:dyDescent="0.4">
      <c r="A156" s="107"/>
      <c r="B156" s="15"/>
      <c r="C156" s="204"/>
      <c r="D156" s="202"/>
      <c r="E156" s="203"/>
      <c r="F156" s="202"/>
      <c r="G156" s="99"/>
      <c r="H156" s="100"/>
      <c r="I156" s="106"/>
      <c r="J156" s="16"/>
      <c r="K156" s="16"/>
      <c r="L156" s="16"/>
      <c r="M156" s="101"/>
      <c r="N156" s="16"/>
      <c r="O156" s="16"/>
      <c r="S156" t="str">
        <f t="shared" si="8"/>
        <v/>
      </c>
      <c r="T156" t="str">
        <f t="shared" si="9"/>
        <v/>
      </c>
    </row>
    <row r="157" spans="1:20" ht="30" hidden="1" customHeight="1" x14ac:dyDescent="0.4">
      <c r="A157" s="107"/>
      <c r="B157" s="15"/>
      <c r="C157" s="204"/>
      <c r="D157" s="202"/>
      <c r="E157" s="203"/>
      <c r="F157" s="202"/>
      <c r="G157" s="99"/>
      <c r="H157" s="100"/>
      <c r="I157" s="106"/>
      <c r="J157" s="16"/>
      <c r="K157" s="16"/>
      <c r="L157" s="16"/>
      <c r="M157" s="101"/>
      <c r="N157" s="16"/>
      <c r="O157" s="16"/>
      <c r="S157" t="str">
        <f t="shared" si="8"/>
        <v/>
      </c>
      <c r="T157" t="str">
        <f t="shared" si="9"/>
        <v/>
      </c>
    </row>
    <row r="158" spans="1:20" ht="30" hidden="1" customHeight="1" x14ac:dyDescent="0.4">
      <c r="A158" s="107"/>
      <c r="B158" s="15"/>
      <c r="C158" s="204"/>
      <c r="D158" s="202"/>
      <c r="E158" s="203"/>
      <c r="F158" s="202"/>
      <c r="G158" s="99"/>
      <c r="H158" s="100"/>
      <c r="I158" s="106"/>
      <c r="J158" s="16"/>
      <c r="K158" s="16"/>
      <c r="L158" s="16"/>
      <c r="M158" s="101"/>
      <c r="N158" s="16"/>
      <c r="O158" s="16"/>
      <c r="S158" t="str">
        <f t="shared" si="8"/>
        <v/>
      </c>
      <c r="T158" t="str">
        <f t="shared" si="9"/>
        <v/>
      </c>
    </row>
    <row r="159" spans="1:20" ht="30" hidden="1" customHeight="1" x14ac:dyDescent="0.4">
      <c r="A159" s="107"/>
      <c r="B159" s="15"/>
      <c r="C159" s="204"/>
      <c r="D159" s="202"/>
      <c r="E159" s="203"/>
      <c r="F159" s="202"/>
      <c r="G159" s="99"/>
      <c r="H159" s="100"/>
      <c r="I159" s="106"/>
      <c r="J159" s="16"/>
      <c r="K159" s="16"/>
      <c r="L159" s="16"/>
      <c r="M159" s="101"/>
      <c r="N159" s="16"/>
      <c r="O159" s="16"/>
      <c r="S159" t="str">
        <f t="shared" si="8"/>
        <v/>
      </c>
      <c r="T159" t="str">
        <f t="shared" si="9"/>
        <v/>
      </c>
    </row>
    <row r="160" spans="1:20" ht="30" hidden="1" customHeight="1" x14ac:dyDescent="0.4">
      <c r="A160" s="107"/>
      <c r="B160" s="15"/>
      <c r="C160" s="204"/>
      <c r="D160" s="202"/>
      <c r="E160" s="203"/>
      <c r="F160" s="202"/>
      <c r="G160" s="99"/>
      <c r="H160" s="100"/>
      <c r="I160" s="106"/>
      <c r="J160" s="16"/>
      <c r="K160" s="16"/>
      <c r="L160" s="16"/>
      <c r="M160" s="101"/>
      <c r="N160" s="16"/>
      <c r="O160" s="16"/>
      <c r="S160" t="str">
        <f t="shared" si="8"/>
        <v/>
      </c>
      <c r="T160" t="str">
        <f t="shared" si="9"/>
        <v/>
      </c>
    </row>
    <row r="161" spans="1:20" ht="30" hidden="1" customHeight="1" x14ac:dyDescent="0.4">
      <c r="A161" s="107"/>
      <c r="B161" s="15"/>
      <c r="C161" s="204"/>
      <c r="D161" s="202"/>
      <c r="E161" s="203"/>
      <c r="F161" s="202"/>
      <c r="G161" s="99"/>
      <c r="H161" s="100"/>
      <c r="I161" s="106"/>
      <c r="J161" s="16"/>
      <c r="K161" s="16"/>
      <c r="L161" s="16"/>
      <c r="M161" s="101"/>
      <c r="N161" s="16"/>
      <c r="O161" s="16"/>
      <c r="S161" t="str">
        <f t="shared" si="8"/>
        <v/>
      </c>
      <c r="T161" t="str">
        <f t="shared" si="9"/>
        <v/>
      </c>
    </row>
    <row r="162" spans="1:20" ht="30" hidden="1" customHeight="1" x14ac:dyDescent="0.4">
      <c r="A162" s="107"/>
      <c r="B162" s="15"/>
      <c r="C162" s="204"/>
      <c r="D162" s="202"/>
      <c r="E162" s="203"/>
      <c r="F162" s="202"/>
      <c r="G162" s="99"/>
      <c r="H162" s="100"/>
      <c r="I162" s="106"/>
      <c r="J162" s="16"/>
      <c r="K162" s="16"/>
      <c r="L162" s="16"/>
      <c r="M162" s="101"/>
      <c r="N162" s="16"/>
      <c r="O162" s="16"/>
      <c r="S162" t="str">
        <f t="shared" si="8"/>
        <v/>
      </c>
      <c r="T162" t="str">
        <f t="shared" si="9"/>
        <v/>
      </c>
    </row>
    <row r="163" spans="1:20" ht="30" hidden="1" customHeight="1" x14ac:dyDescent="0.4">
      <c r="A163" s="107"/>
      <c r="B163" s="15"/>
      <c r="C163" s="204"/>
      <c r="D163" s="202"/>
      <c r="E163" s="203"/>
      <c r="F163" s="202"/>
      <c r="G163" s="99"/>
      <c r="H163" s="100"/>
      <c r="I163" s="106"/>
      <c r="J163" s="16"/>
      <c r="K163" s="16"/>
      <c r="L163" s="16"/>
      <c r="M163" s="101"/>
      <c r="N163" s="16"/>
      <c r="O163" s="16"/>
      <c r="S163" t="str">
        <f t="shared" si="8"/>
        <v/>
      </c>
      <c r="T163" t="str">
        <f t="shared" si="9"/>
        <v/>
      </c>
    </row>
    <row r="164" spans="1:20" ht="30" hidden="1" customHeight="1" x14ac:dyDescent="0.4">
      <c r="A164" s="107"/>
      <c r="B164" s="15"/>
      <c r="C164" s="204"/>
      <c r="D164" s="202"/>
      <c r="E164" s="203"/>
      <c r="F164" s="202"/>
      <c r="G164" s="99"/>
      <c r="H164" s="100"/>
      <c r="I164" s="106"/>
      <c r="J164" s="16"/>
      <c r="K164" s="16"/>
      <c r="L164" s="16"/>
      <c r="M164" s="101"/>
      <c r="N164" s="16"/>
      <c r="O164" s="16"/>
      <c r="S164" t="str">
        <f t="shared" si="8"/>
        <v/>
      </c>
      <c r="T164" t="str">
        <f t="shared" si="9"/>
        <v/>
      </c>
    </row>
    <row r="165" spans="1:20" ht="30" hidden="1" customHeight="1" x14ac:dyDescent="0.4">
      <c r="A165" s="107"/>
      <c r="B165" s="15"/>
      <c r="C165" s="204"/>
      <c r="D165" s="202"/>
      <c r="E165" s="203"/>
      <c r="F165" s="202"/>
      <c r="G165" s="99"/>
      <c r="H165" s="100"/>
      <c r="I165" s="106"/>
      <c r="J165" s="16"/>
      <c r="K165" s="16"/>
      <c r="L165" s="16"/>
      <c r="M165" s="101"/>
      <c r="N165" s="16"/>
      <c r="O165" s="16"/>
      <c r="S165" t="str">
        <f t="shared" si="8"/>
        <v/>
      </c>
      <c r="T165" t="str">
        <f t="shared" si="9"/>
        <v/>
      </c>
    </row>
    <row r="166" spans="1:20" ht="30" hidden="1" customHeight="1" x14ac:dyDescent="0.4">
      <c r="A166" s="107"/>
      <c r="B166" s="15"/>
      <c r="C166" s="204"/>
      <c r="D166" s="202"/>
      <c r="E166" s="203"/>
      <c r="F166" s="202"/>
      <c r="G166" s="99"/>
      <c r="H166" s="100"/>
      <c r="I166" s="106"/>
      <c r="J166" s="16"/>
      <c r="K166" s="16"/>
      <c r="L166" s="16"/>
      <c r="M166" s="101"/>
      <c r="N166" s="16"/>
      <c r="O166" s="16"/>
      <c r="S166" t="str">
        <f t="shared" si="8"/>
        <v/>
      </c>
      <c r="T166" t="str">
        <f t="shared" si="9"/>
        <v/>
      </c>
    </row>
    <row r="167" spans="1:20" ht="30" hidden="1" customHeight="1" x14ac:dyDescent="0.4">
      <c r="A167" s="107"/>
      <c r="B167" s="15"/>
      <c r="C167" s="204"/>
      <c r="D167" s="202"/>
      <c r="E167" s="203"/>
      <c r="F167" s="202"/>
      <c r="G167" s="99"/>
      <c r="H167" s="100"/>
      <c r="I167" s="106"/>
      <c r="J167" s="16"/>
      <c r="K167" s="16"/>
      <c r="L167" s="16"/>
      <c r="M167" s="101"/>
      <c r="N167" s="16"/>
      <c r="O167" s="16"/>
      <c r="S167" t="str">
        <f t="shared" si="8"/>
        <v/>
      </c>
      <c r="T167" t="str">
        <f t="shared" si="9"/>
        <v/>
      </c>
    </row>
    <row r="168" spans="1:20" ht="30" hidden="1" customHeight="1" x14ac:dyDescent="0.4">
      <c r="A168" s="107"/>
      <c r="B168" s="15"/>
      <c r="C168" s="204"/>
      <c r="D168" s="202"/>
      <c r="E168" s="203"/>
      <c r="F168" s="202"/>
      <c r="G168" s="99"/>
      <c r="H168" s="100"/>
      <c r="I168" s="106"/>
      <c r="J168" s="16"/>
      <c r="K168" s="16"/>
      <c r="L168" s="16"/>
      <c r="M168" s="101"/>
      <c r="N168" s="16"/>
      <c r="O168" s="16"/>
      <c r="S168" t="str">
        <f t="shared" si="8"/>
        <v/>
      </c>
      <c r="T168" t="str">
        <f t="shared" si="9"/>
        <v/>
      </c>
    </row>
    <row r="169" spans="1:20" ht="30" hidden="1" customHeight="1" x14ac:dyDescent="0.4">
      <c r="A169" s="107"/>
      <c r="B169" s="15"/>
      <c r="C169" s="204"/>
      <c r="D169" s="202"/>
      <c r="E169" s="203"/>
      <c r="F169" s="202"/>
      <c r="G169" s="99"/>
      <c r="H169" s="100"/>
      <c r="I169" s="106"/>
      <c r="J169" s="16"/>
      <c r="K169" s="16"/>
      <c r="L169" s="16"/>
      <c r="M169" s="101"/>
      <c r="N169" s="16"/>
      <c r="O169" s="16"/>
      <c r="S169" t="str">
        <f t="shared" si="8"/>
        <v/>
      </c>
      <c r="T169" t="str">
        <f t="shared" si="9"/>
        <v/>
      </c>
    </row>
    <row r="170" spans="1:20" ht="30" hidden="1" customHeight="1" x14ac:dyDescent="0.4">
      <c r="A170" s="107"/>
      <c r="B170" s="15"/>
      <c r="C170" s="204"/>
      <c r="D170" s="202"/>
      <c r="E170" s="203"/>
      <c r="F170" s="202"/>
      <c r="G170" s="99"/>
      <c r="H170" s="100"/>
      <c r="I170" s="106"/>
      <c r="J170" s="16"/>
      <c r="K170" s="16"/>
      <c r="L170" s="16"/>
      <c r="M170" s="101"/>
      <c r="N170" s="16"/>
      <c r="O170" s="16"/>
      <c r="S170" t="str">
        <f t="shared" si="8"/>
        <v/>
      </c>
      <c r="T170" t="str">
        <f t="shared" si="9"/>
        <v/>
      </c>
    </row>
    <row r="171" spans="1:20" ht="30" hidden="1" customHeight="1" x14ac:dyDescent="0.4">
      <c r="A171" s="107"/>
      <c r="B171" s="15"/>
      <c r="C171" s="204"/>
      <c r="D171" s="202"/>
      <c r="E171" s="203"/>
      <c r="F171" s="202"/>
      <c r="G171" s="99"/>
      <c r="H171" s="100"/>
      <c r="I171" s="106"/>
      <c r="J171" s="16"/>
      <c r="K171" s="16"/>
      <c r="L171" s="16"/>
      <c r="M171" s="101"/>
      <c r="N171" s="16"/>
      <c r="O171" s="16"/>
      <c r="S171" t="str">
        <f t="shared" si="8"/>
        <v/>
      </c>
      <c r="T171" t="str">
        <f t="shared" si="9"/>
        <v/>
      </c>
    </row>
    <row r="172" spans="1:20" ht="30" hidden="1" customHeight="1" x14ac:dyDescent="0.4">
      <c r="A172" s="107"/>
      <c r="B172" s="15"/>
      <c r="C172" s="204"/>
      <c r="D172" s="202"/>
      <c r="E172" s="203"/>
      <c r="F172" s="202"/>
      <c r="G172" s="99"/>
      <c r="H172" s="100"/>
      <c r="I172" s="106"/>
      <c r="J172" s="16"/>
      <c r="K172" s="16"/>
      <c r="L172" s="16"/>
      <c r="M172" s="101"/>
      <c r="N172" s="16"/>
      <c r="O172" s="16"/>
      <c r="S172" t="str">
        <f t="shared" si="8"/>
        <v/>
      </c>
      <c r="T172" t="str">
        <f t="shared" si="9"/>
        <v/>
      </c>
    </row>
    <row r="173" spans="1:20" ht="30" hidden="1" customHeight="1" x14ac:dyDescent="0.4">
      <c r="A173" s="107"/>
      <c r="B173" s="15"/>
      <c r="C173" s="204"/>
      <c r="D173" s="202"/>
      <c r="E173" s="203"/>
      <c r="F173" s="202"/>
      <c r="G173" s="99"/>
      <c r="H173" s="100"/>
      <c r="I173" s="106"/>
      <c r="J173" s="16"/>
      <c r="K173" s="16"/>
      <c r="L173" s="16"/>
      <c r="M173" s="101"/>
      <c r="N173" s="16"/>
      <c r="O173" s="16"/>
      <c r="S173" t="str">
        <f t="shared" si="8"/>
        <v/>
      </c>
      <c r="T173" t="str">
        <f t="shared" si="9"/>
        <v/>
      </c>
    </row>
    <row r="174" spans="1:20" ht="30" hidden="1" customHeight="1" x14ac:dyDescent="0.4">
      <c r="A174" s="107"/>
      <c r="B174" s="15"/>
      <c r="C174" s="204"/>
      <c r="D174" s="202"/>
      <c r="E174" s="203"/>
      <c r="F174" s="202"/>
      <c r="G174" s="99"/>
      <c r="H174" s="100"/>
      <c r="I174" s="106"/>
      <c r="J174" s="16"/>
      <c r="K174" s="16"/>
      <c r="L174" s="16"/>
      <c r="M174" s="101"/>
      <c r="N174" s="16"/>
      <c r="O174" s="16"/>
      <c r="S174" t="str">
        <f t="shared" si="8"/>
        <v/>
      </c>
      <c r="T174" t="str">
        <f t="shared" si="9"/>
        <v/>
      </c>
    </row>
    <row r="175" spans="1:20" ht="30" hidden="1" customHeight="1" x14ac:dyDescent="0.4">
      <c r="A175" s="107"/>
      <c r="B175" s="15"/>
      <c r="C175" s="204"/>
      <c r="D175" s="202"/>
      <c r="E175" s="203"/>
      <c r="F175" s="202"/>
      <c r="G175" s="99"/>
      <c r="H175" s="100"/>
      <c r="I175" s="106"/>
      <c r="J175" s="16"/>
      <c r="K175" s="16"/>
      <c r="L175" s="16"/>
      <c r="M175" s="101"/>
      <c r="N175" s="16"/>
      <c r="O175" s="16"/>
      <c r="S175" t="str">
        <f t="shared" si="8"/>
        <v/>
      </c>
      <c r="T175" t="str">
        <f t="shared" si="9"/>
        <v/>
      </c>
    </row>
    <row r="176" spans="1:20" ht="30" hidden="1" customHeight="1" x14ac:dyDescent="0.4">
      <c r="A176" s="107"/>
      <c r="B176" s="15"/>
      <c r="C176" s="204"/>
      <c r="D176" s="202"/>
      <c r="E176" s="203"/>
      <c r="F176" s="202"/>
      <c r="G176" s="99"/>
      <c r="H176" s="100"/>
      <c r="I176" s="106"/>
      <c r="J176" s="16"/>
      <c r="K176" s="16"/>
      <c r="L176" s="16"/>
      <c r="M176" s="101"/>
      <c r="N176" s="16"/>
      <c r="O176" s="16"/>
      <c r="S176" t="str">
        <f t="shared" si="8"/>
        <v/>
      </c>
      <c r="T176" t="str">
        <f t="shared" si="9"/>
        <v/>
      </c>
    </row>
    <row r="177" spans="1:20" ht="30" hidden="1" customHeight="1" x14ac:dyDescent="0.4">
      <c r="A177" s="107"/>
      <c r="B177" s="15"/>
      <c r="C177" s="204"/>
      <c r="D177" s="202"/>
      <c r="E177" s="203"/>
      <c r="F177" s="202"/>
      <c r="G177" s="99"/>
      <c r="H177" s="100"/>
      <c r="I177" s="106"/>
      <c r="J177" s="16"/>
      <c r="K177" s="16"/>
      <c r="L177" s="16"/>
      <c r="M177" s="101"/>
      <c r="N177" s="16"/>
      <c r="O177" s="16"/>
      <c r="S177" t="str">
        <f t="shared" ref="S177:S212" si="10">IF($A177="","",IF(OR($I177="Sì",$I177="Si"),0,IFERROR(VALUE(LEFT($H177,FIND(" ",$H177)-1)),0)))</f>
        <v/>
      </c>
      <c r="T177" t="str">
        <f t="shared" ref="T177:T212" si="11">IF($A177="","",IFERROR(VALUE(LEFT($G177,FIND(" ",$G177)-1)),0))</f>
        <v/>
      </c>
    </row>
    <row r="178" spans="1:20" ht="30" hidden="1" customHeight="1" x14ac:dyDescent="0.4">
      <c r="A178" s="107"/>
      <c r="B178" s="15"/>
      <c r="C178" s="204"/>
      <c r="D178" s="202"/>
      <c r="E178" s="203"/>
      <c r="F178" s="202"/>
      <c r="G178" s="99"/>
      <c r="H178" s="100"/>
      <c r="I178" s="106"/>
      <c r="J178" s="16"/>
      <c r="K178" s="16"/>
      <c r="L178" s="16"/>
      <c r="M178" s="101"/>
      <c r="N178" s="16"/>
      <c r="O178" s="16"/>
      <c r="S178" t="str">
        <f t="shared" si="10"/>
        <v/>
      </c>
      <c r="T178" t="str">
        <f t="shared" si="11"/>
        <v/>
      </c>
    </row>
    <row r="179" spans="1:20" ht="30" hidden="1" customHeight="1" x14ac:dyDescent="0.4">
      <c r="A179" s="107"/>
      <c r="B179" s="15"/>
      <c r="C179" s="204"/>
      <c r="D179" s="202"/>
      <c r="E179" s="203"/>
      <c r="F179" s="202"/>
      <c r="G179" s="99"/>
      <c r="H179" s="100"/>
      <c r="I179" s="106"/>
      <c r="J179" s="16"/>
      <c r="K179" s="16"/>
      <c r="L179" s="16"/>
      <c r="M179" s="101"/>
      <c r="N179" s="16"/>
      <c r="O179" s="16"/>
      <c r="S179" t="str">
        <f t="shared" si="10"/>
        <v/>
      </c>
      <c r="T179" t="str">
        <f t="shared" si="11"/>
        <v/>
      </c>
    </row>
    <row r="180" spans="1:20" ht="30" hidden="1" customHeight="1" x14ac:dyDescent="0.4">
      <c r="A180" s="107"/>
      <c r="B180" s="15"/>
      <c r="C180" s="204"/>
      <c r="D180" s="202"/>
      <c r="E180" s="203"/>
      <c r="F180" s="202"/>
      <c r="G180" s="99"/>
      <c r="H180" s="100"/>
      <c r="I180" s="106"/>
      <c r="J180" s="16"/>
      <c r="K180" s="16"/>
      <c r="L180" s="16"/>
      <c r="M180" s="101"/>
      <c r="N180" s="16"/>
      <c r="O180" s="16"/>
      <c r="S180" t="str">
        <f t="shared" si="10"/>
        <v/>
      </c>
      <c r="T180" t="str">
        <f t="shared" si="11"/>
        <v/>
      </c>
    </row>
    <row r="181" spans="1:20" ht="30" hidden="1" customHeight="1" x14ac:dyDescent="0.4">
      <c r="A181" s="107"/>
      <c r="B181" s="15"/>
      <c r="C181" s="204"/>
      <c r="D181" s="202"/>
      <c r="E181" s="203"/>
      <c r="F181" s="202"/>
      <c r="G181" s="99"/>
      <c r="H181" s="100"/>
      <c r="I181" s="106"/>
      <c r="J181" s="16"/>
      <c r="K181" s="16"/>
      <c r="L181" s="16"/>
      <c r="M181" s="101"/>
      <c r="N181" s="16"/>
      <c r="O181" s="16"/>
      <c r="S181" t="str">
        <f t="shared" si="10"/>
        <v/>
      </c>
      <c r="T181" t="str">
        <f t="shared" si="11"/>
        <v/>
      </c>
    </row>
    <row r="182" spans="1:20" ht="30" hidden="1" customHeight="1" x14ac:dyDescent="0.4">
      <c r="A182" s="107"/>
      <c r="B182" s="15"/>
      <c r="C182" s="204"/>
      <c r="D182" s="202"/>
      <c r="E182" s="203"/>
      <c r="F182" s="202"/>
      <c r="G182" s="99"/>
      <c r="H182" s="100"/>
      <c r="I182" s="106"/>
      <c r="J182" s="16"/>
      <c r="K182" s="16"/>
      <c r="L182" s="16"/>
      <c r="M182" s="101"/>
      <c r="N182" s="16"/>
      <c r="O182" s="16"/>
      <c r="S182" t="str">
        <f t="shared" si="10"/>
        <v/>
      </c>
      <c r="T182" t="str">
        <f t="shared" si="11"/>
        <v/>
      </c>
    </row>
    <row r="183" spans="1:20" ht="30" hidden="1" customHeight="1" x14ac:dyDescent="0.4">
      <c r="A183" s="107"/>
      <c r="B183" s="15"/>
      <c r="C183" s="204"/>
      <c r="D183" s="202"/>
      <c r="E183" s="203"/>
      <c r="F183" s="202"/>
      <c r="G183" s="99"/>
      <c r="H183" s="100"/>
      <c r="I183" s="106"/>
      <c r="J183" s="16"/>
      <c r="K183" s="16"/>
      <c r="L183" s="16"/>
      <c r="M183" s="101"/>
      <c r="N183" s="16"/>
      <c r="O183" s="16"/>
      <c r="S183" t="str">
        <f t="shared" si="10"/>
        <v/>
      </c>
      <c r="T183" t="str">
        <f t="shared" si="11"/>
        <v/>
      </c>
    </row>
    <row r="184" spans="1:20" ht="30" hidden="1" customHeight="1" x14ac:dyDescent="0.4">
      <c r="A184" s="107"/>
      <c r="B184" s="15"/>
      <c r="C184" s="204"/>
      <c r="D184" s="202"/>
      <c r="E184" s="203"/>
      <c r="F184" s="202"/>
      <c r="G184" s="99"/>
      <c r="H184" s="100"/>
      <c r="I184" s="106"/>
      <c r="J184" s="16"/>
      <c r="K184" s="16"/>
      <c r="L184" s="16"/>
      <c r="M184" s="101"/>
      <c r="N184" s="16"/>
      <c r="O184" s="16"/>
      <c r="S184" t="str">
        <f t="shared" si="10"/>
        <v/>
      </c>
      <c r="T184" t="str">
        <f t="shared" si="11"/>
        <v/>
      </c>
    </row>
    <row r="185" spans="1:20" ht="30" hidden="1" customHeight="1" x14ac:dyDescent="0.4">
      <c r="A185" s="107"/>
      <c r="B185" s="15"/>
      <c r="C185" s="204"/>
      <c r="D185" s="202"/>
      <c r="E185" s="203"/>
      <c r="F185" s="202"/>
      <c r="G185" s="99"/>
      <c r="H185" s="100"/>
      <c r="I185" s="106"/>
      <c r="J185" s="16"/>
      <c r="K185" s="16"/>
      <c r="L185" s="16"/>
      <c r="M185" s="101"/>
      <c r="N185" s="16"/>
      <c r="O185" s="16"/>
      <c r="S185" t="str">
        <f t="shared" si="10"/>
        <v/>
      </c>
      <c r="T185" t="str">
        <f t="shared" si="11"/>
        <v/>
      </c>
    </row>
    <row r="186" spans="1:20" ht="30" hidden="1" customHeight="1" x14ac:dyDescent="0.4">
      <c r="A186" s="107"/>
      <c r="B186" s="15"/>
      <c r="C186" s="204"/>
      <c r="D186" s="202"/>
      <c r="E186" s="203"/>
      <c r="F186" s="202"/>
      <c r="G186" s="99"/>
      <c r="H186" s="100"/>
      <c r="I186" s="106"/>
      <c r="J186" s="16"/>
      <c r="K186" s="16"/>
      <c r="L186" s="16"/>
      <c r="M186" s="101"/>
      <c r="N186" s="16"/>
      <c r="O186" s="16"/>
      <c r="S186" t="str">
        <f t="shared" si="10"/>
        <v/>
      </c>
      <c r="T186" t="str">
        <f t="shared" si="11"/>
        <v/>
      </c>
    </row>
    <row r="187" spans="1:20" ht="30" hidden="1" customHeight="1" x14ac:dyDescent="0.4">
      <c r="A187" s="107"/>
      <c r="B187" s="15"/>
      <c r="C187" s="204"/>
      <c r="D187" s="202"/>
      <c r="E187" s="203"/>
      <c r="F187" s="202"/>
      <c r="G187" s="99"/>
      <c r="H187" s="100"/>
      <c r="I187" s="106"/>
      <c r="J187" s="16"/>
      <c r="K187" s="16"/>
      <c r="L187" s="16"/>
      <c r="M187" s="101"/>
      <c r="N187" s="16"/>
      <c r="O187" s="16"/>
      <c r="S187" t="str">
        <f t="shared" si="10"/>
        <v/>
      </c>
      <c r="T187" t="str">
        <f t="shared" si="11"/>
        <v/>
      </c>
    </row>
    <row r="188" spans="1:20" ht="30" hidden="1" customHeight="1" x14ac:dyDescent="0.4">
      <c r="A188" s="107"/>
      <c r="B188" s="15"/>
      <c r="C188" s="204"/>
      <c r="D188" s="202"/>
      <c r="E188" s="203"/>
      <c r="F188" s="202"/>
      <c r="G188" s="99"/>
      <c r="H188" s="100"/>
      <c r="I188" s="106"/>
      <c r="J188" s="16"/>
      <c r="K188" s="16"/>
      <c r="L188" s="16"/>
      <c r="M188" s="101"/>
      <c r="N188" s="16"/>
      <c r="O188" s="16"/>
      <c r="S188" t="str">
        <f t="shared" si="10"/>
        <v/>
      </c>
      <c r="T188" t="str">
        <f t="shared" si="11"/>
        <v/>
      </c>
    </row>
    <row r="189" spans="1:20" ht="30" hidden="1" customHeight="1" x14ac:dyDescent="0.4">
      <c r="A189" s="107"/>
      <c r="B189" s="15"/>
      <c r="C189" s="204"/>
      <c r="D189" s="202"/>
      <c r="E189" s="203"/>
      <c r="F189" s="202"/>
      <c r="G189" s="99"/>
      <c r="H189" s="100"/>
      <c r="I189" s="106"/>
      <c r="J189" s="16"/>
      <c r="K189" s="16"/>
      <c r="L189" s="16"/>
      <c r="M189" s="101"/>
      <c r="N189" s="16"/>
      <c r="O189" s="16"/>
      <c r="S189" t="str">
        <f t="shared" si="10"/>
        <v/>
      </c>
      <c r="T189" t="str">
        <f t="shared" si="11"/>
        <v/>
      </c>
    </row>
    <row r="190" spans="1:20" ht="30" hidden="1" customHeight="1" x14ac:dyDescent="0.4">
      <c r="A190" s="107"/>
      <c r="B190" s="15"/>
      <c r="C190" s="204"/>
      <c r="D190" s="202"/>
      <c r="E190" s="203"/>
      <c r="F190" s="202"/>
      <c r="G190" s="99"/>
      <c r="H190" s="100"/>
      <c r="I190" s="106"/>
      <c r="J190" s="16"/>
      <c r="K190" s="16"/>
      <c r="L190" s="16"/>
      <c r="M190" s="101"/>
      <c r="N190" s="16"/>
      <c r="O190" s="16"/>
      <c r="S190" t="str">
        <f t="shared" si="10"/>
        <v/>
      </c>
      <c r="T190" t="str">
        <f t="shared" si="11"/>
        <v/>
      </c>
    </row>
    <row r="191" spans="1:20" ht="30" hidden="1" customHeight="1" x14ac:dyDescent="0.4">
      <c r="A191" s="107"/>
      <c r="B191" s="15"/>
      <c r="C191" s="204"/>
      <c r="D191" s="202"/>
      <c r="E191" s="203"/>
      <c r="F191" s="202"/>
      <c r="G191" s="99"/>
      <c r="H191" s="100"/>
      <c r="I191" s="106"/>
      <c r="J191" s="16"/>
      <c r="K191" s="16"/>
      <c r="L191" s="16"/>
      <c r="M191" s="101"/>
      <c r="N191" s="16"/>
      <c r="O191" s="16"/>
      <c r="S191" t="str">
        <f t="shared" si="10"/>
        <v/>
      </c>
      <c r="T191" t="str">
        <f t="shared" si="11"/>
        <v/>
      </c>
    </row>
    <row r="192" spans="1:20" ht="30" hidden="1" customHeight="1" x14ac:dyDescent="0.4">
      <c r="A192" s="107"/>
      <c r="B192" s="15"/>
      <c r="C192" s="204"/>
      <c r="D192" s="202"/>
      <c r="E192" s="203"/>
      <c r="F192" s="202"/>
      <c r="G192" s="99"/>
      <c r="H192" s="100"/>
      <c r="I192" s="106"/>
      <c r="J192" s="16"/>
      <c r="K192" s="16"/>
      <c r="L192" s="16"/>
      <c r="M192" s="101"/>
      <c r="N192" s="16"/>
      <c r="O192" s="16"/>
      <c r="S192" t="str">
        <f t="shared" si="10"/>
        <v/>
      </c>
      <c r="T192" t="str">
        <f t="shared" si="11"/>
        <v/>
      </c>
    </row>
    <row r="193" spans="1:20" ht="30" hidden="1" customHeight="1" x14ac:dyDescent="0.4">
      <c r="A193" s="107"/>
      <c r="B193" s="15"/>
      <c r="C193" s="204"/>
      <c r="D193" s="202"/>
      <c r="E193" s="203"/>
      <c r="F193" s="202"/>
      <c r="G193" s="99"/>
      <c r="H193" s="100"/>
      <c r="I193" s="106"/>
      <c r="J193" s="16"/>
      <c r="K193" s="16"/>
      <c r="L193" s="16"/>
      <c r="M193" s="101"/>
      <c r="N193" s="16"/>
      <c r="O193" s="16"/>
      <c r="S193" t="str">
        <f t="shared" si="10"/>
        <v/>
      </c>
      <c r="T193" t="str">
        <f t="shared" si="11"/>
        <v/>
      </c>
    </row>
    <row r="194" spans="1:20" ht="30" hidden="1" customHeight="1" x14ac:dyDescent="0.4">
      <c r="A194" s="107"/>
      <c r="B194" s="15"/>
      <c r="C194" s="204"/>
      <c r="D194" s="202"/>
      <c r="E194" s="203"/>
      <c r="F194" s="202"/>
      <c r="G194" s="99"/>
      <c r="H194" s="100"/>
      <c r="I194" s="106"/>
      <c r="J194" s="16"/>
      <c r="K194" s="16"/>
      <c r="L194" s="16"/>
      <c r="M194" s="101"/>
      <c r="N194" s="16"/>
      <c r="O194" s="16"/>
      <c r="S194" t="str">
        <f t="shared" si="10"/>
        <v/>
      </c>
      <c r="T194" t="str">
        <f t="shared" si="11"/>
        <v/>
      </c>
    </row>
    <row r="195" spans="1:20" ht="30" hidden="1" customHeight="1" x14ac:dyDescent="0.4">
      <c r="A195" s="107"/>
      <c r="B195" s="15"/>
      <c r="C195" s="204"/>
      <c r="D195" s="202"/>
      <c r="E195" s="203"/>
      <c r="F195" s="202"/>
      <c r="G195" s="99"/>
      <c r="H195" s="100"/>
      <c r="I195" s="106"/>
      <c r="J195" s="16"/>
      <c r="K195" s="16"/>
      <c r="L195" s="16"/>
      <c r="M195" s="101"/>
      <c r="N195" s="16"/>
      <c r="O195" s="16"/>
      <c r="S195" t="str">
        <f t="shared" si="10"/>
        <v/>
      </c>
      <c r="T195" t="str">
        <f t="shared" si="11"/>
        <v/>
      </c>
    </row>
    <row r="196" spans="1:20" ht="30" hidden="1" customHeight="1" x14ac:dyDescent="0.4">
      <c r="A196" s="107"/>
      <c r="B196" s="15"/>
      <c r="C196" s="204"/>
      <c r="D196" s="202"/>
      <c r="E196" s="203"/>
      <c r="F196" s="202"/>
      <c r="G196" s="99"/>
      <c r="H196" s="100"/>
      <c r="I196" s="106"/>
      <c r="J196" s="16"/>
      <c r="K196" s="16"/>
      <c r="L196" s="16"/>
      <c r="M196" s="101"/>
      <c r="N196" s="16"/>
      <c r="O196" s="16"/>
      <c r="S196" t="str">
        <f t="shared" si="10"/>
        <v/>
      </c>
      <c r="T196" t="str">
        <f t="shared" si="11"/>
        <v/>
      </c>
    </row>
    <row r="197" spans="1:20" ht="30" hidden="1" customHeight="1" x14ac:dyDescent="0.4">
      <c r="A197" s="107"/>
      <c r="B197" s="15"/>
      <c r="C197" s="204"/>
      <c r="D197" s="202"/>
      <c r="E197" s="203"/>
      <c r="F197" s="202"/>
      <c r="G197" s="99"/>
      <c r="H197" s="100"/>
      <c r="I197" s="106"/>
      <c r="J197" s="16"/>
      <c r="K197" s="16"/>
      <c r="L197" s="16"/>
      <c r="M197" s="101"/>
      <c r="N197" s="16"/>
      <c r="O197" s="16"/>
      <c r="S197" t="str">
        <f t="shared" si="10"/>
        <v/>
      </c>
      <c r="T197" t="str">
        <f t="shared" si="11"/>
        <v/>
      </c>
    </row>
    <row r="198" spans="1:20" ht="30" hidden="1" customHeight="1" x14ac:dyDescent="0.4">
      <c r="A198" s="107"/>
      <c r="B198" s="15"/>
      <c r="C198" s="204"/>
      <c r="D198" s="202"/>
      <c r="E198" s="203"/>
      <c r="F198" s="202"/>
      <c r="G198" s="99"/>
      <c r="H198" s="100"/>
      <c r="I198" s="106"/>
      <c r="J198" s="16"/>
      <c r="K198" s="16"/>
      <c r="L198" s="16"/>
      <c r="M198" s="101"/>
      <c r="N198" s="16"/>
      <c r="O198" s="16"/>
      <c r="S198" t="str">
        <f t="shared" si="10"/>
        <v/>
      </c>
      <c r="T198" t="str">
        <f t="shared" si="11"/>
        <v/>
      </c>
    </row>
    <row r="199" spans="1:20" ht="30" hidden="1" customHeight="1" x14ac:dyDescent="0.4">
      <c r="A199" s="107"/>
      <c r="B199" s="15"/>
      <c r="C199" s="204"/>
      <c r="D199" s="202"/>
      <c r="E199" s="203"/>
      <c r="F199" s="202"/>
      <c r="G199" s="99"/>
      <c r="H199" s="100"/>
      <c r="I199" s="106"/>
      <c r="J199" s="16"/>
      <c r="K199" s="16"/>
      <c r="L199" s="16"/>
      <c r="M199" s="101"/>
      <c r="N199" s="16"/>
      <c r="O199" s="16"/>
      <c r="S199" t="str">
        <f t="shared" si="10"/>
        <v/>
      </c>
      <c r="T199" t="str">
        <f t="shared" si="11"/>
        <v/>
      </c>
    </row>
    <row r="200" spans="1:20" ht="30" hidden="1" customHeight="1" x14ac:dyDescent="0.4">
      <c r="A200" s="107"/>
      <c r="B200" s="15"/>
      <c r="C200" s="204"/>
      <c r="D200" s="202"/>
      <c r="E200" s="203"/>
      <c r="F200" s="202"/>
      <c r="G200" s="99"/>
      <c r="H200" s="100"/>
      <c r="I200" s="106"/>
      <c r="J200" s="16"/>
      <c r="K200" s="16"/>
      <c r="L200" s="16"/>
      <c r="M200" s="101"/>
      <c r="N200" s="16"/>
      <c r="O200" s="16"/>
      <c r="S200" t="str">
        <f t="shared" si="10"/>
        <v/>
      </c>
      <c r="T200" t="str">
        <f t="shared" si="11"/>
        <v/>
      </c>
    </row>
    <row r="201" spans="1:20" ht="30" hidden="1" customHeight="1" x14ac:dyDescent="0.4">
      <c r="A201" s="107"/>
      <c r="B201" s="15"/>
      <c r="C201" s="204"/>
      <c r="D201" s="202"/>
      <c r="E201" s="203"/>
      <c r="F201" s="202"/>
      <c r="G201" s="99"/>
      <c r="H201" s="100"/>
      <c r="I201" s="106"/>
      <c r="J201" s="16"/>
      <c r="K201" s="16"/>
      <c r="L201" s="16"/>
      <c r="M201" s="101"/>
      <c r="N201" s="16"/>
      <c r="O201" s="16"/>
      <c r="S201" t="str">
        <f t="shared" si="10"/>
        <v/>
      </c>
      <c r="T201" t="str">
        <f t="shared" si="11"/>
        <v/>
      </c>
    </row>
    <row r="202" spans="1:20" ht="30" hidden="1" customHeight="1" x14ac:dyDescent="0.4">
      <c r="A202" s="107"/>
      <c r="B202" s="15"/>
      <c r="C202" s="204"/>
      <c r="D202" s="202"/>
      <c r="E202" s="203"/>
      <c r="F202" s="202"/>
      <c r="G202" s="99"/>
      <c r="H202" s="100"/>
      <c r="I202" s="106"/>
      <c r="J202" s="16"/>
      <c r="K202" s="16"/>
      <c r="L202" s="16"/>
      <c r="M202" s="101"/>
      <c r="N202" s="16"/>
      <c r="O202" s="16"/>
      <c r="S202" t="str">
        <f t="shared" si="10"/>
        <v/>
      </c>
      <c r="T202" t="str">
        <f t="shared" si="11"/>
        <v/>
      </c>
    </row>
    <row r="203" spans="1:20" ht="30" hidden="1" customHeight="1" x14ac:dyDescent="0.4">
      <c r="A203" s="107"/>
      <c r="B203" s="15"/>
      <c r="C203" s="204"/>
      <c r="D203" s="202"/>
      <c r="E203" s="203"/>
      <c r="F203" s="202"/>
      <c r="G203" s="99"/>
      <c r="H203" s="100"/>
      <c r="I203" s="106"/>
      <c r="J203" s="16"/>
      <c r="K203" s="16"/>
      <c r="L203" s="16"/>
      <c r="M203" s="101"/>
      <c r="N203" s="16"/>
      <c r="O203" s="16"/>
      <c r="S203" t="str">
        <f t="shared" si="10"/>
        <v/>
      </c>
      <c r="T203" t="str">
        <f t="shared" si="11"/>
        <v/>
      </c>
    </row>
    <row r="204" spans="1:20" ht="30" hidden="1" customHeight="1" x14ac:dyDescent="0.4">
      <c r="A204" s="107"/>
      <c r="B204" s="15"/>
      <c r="C204" s="204"/>
      <c r="D204" s="202"/>
      <c r="E204" s="203"/>
      <c r="F204" s="202"/>
      <c r="G204" s="99"/>
      <c r="H204" s="100"/>
      <c r="I204" s="106"/>
      <c r="J204" s="16"/>
      <c r="K204" s="16"/>
      <c r="L204" s="16"/>
      <c r="M204" s="101"/>
      <c r="N204" s="16"/>
      <c r="O204" s="16"/>
      <c r="S204" t="str">
        <f t="shared" si="10"/>
        <v/>
      </c>
      <c r="T204" t="str">
        <f t="shared" si="11"/>
        <v/>
      </c>
    </row>
    <row r="205" spans="1:20" ht="30" hidden="1" customHeight="1" x14ac:dyDescent="0.4">
      <c r="A205" s="107"/>
      <c r="B205" s="15"/>
      <c r="C205" s="204"/>
      <c r="D205" s="202"/>
      <c r="E205" s="203"/>
      <c r="F205" s="202"/>
      <c r="G205" s="99"/>
      <c r="H205" s="100"/>
      <c r="I205" s="106"/>
      <c r="J205" s="16"/>
      <c r="K205" s="16"/>
      <c r="L205" s="16"/>
      <c r="M205" s="101"/>
      <c r="N205" s="16"/>
      <c r="O205" s="16"/>
      <c r="S205" t="str">
        <f t="shared" si="10"/>
        <v/>
      </c>
      <c r="T205" t="str">
        <f t="shared" si="11"/>
        <v/>
      </c>
    </row>
    <row r="206" spans="1:20" ht="30" hidden="1" customHeight="1" x14ac:dyDescent="0.4">
      <c r="A206" s="107"/>
      <c r="B206" s="15"/>
      <c r="C206" s="204"/>
      <c r="D206" s="202"/>
      <c r="E206" s="203"/>
      <c r="F206" s="202"/>
      <c r="G206" s="99"/>
      <c r="H206" s="100"/>
      <c r="I206" s="106"/>
      <c r="J206" s="16"/>
      <c r="K206" s="16"/>
      <c r="L206" s="16"/>
      <c r="M206" s="101"/>
      <c r="N206" s="16"/>
      <c r="O206" s="16"/>
      <c r="S206" t="str">
        <f t="shared" si="10"/>
        <v/>
      </c>
      <c r="T206" t="str">
        <f t="shared" si="11"/>
        <v/>
      </c>
    </row>
    <row r="207" spans="1:20" ht="30" hidden="1" customHeight="1" x14ac:dyDescent="0.4">
      <c r="A207" s="107"/>
      <c r="B207" s="15"/>
      <c r="C207" s="204"/>
      <c r="D207" s="202"/>
      <c r="E207" s="203"/>
      <c r="F207" s="202"/>
      <c r="G207" s="99"/>
      <c r="H207" s="100"/>
      <c r="I207" s="106"/>
      <c r="J207" s="16"/>
      <c r="K207" s="16"/>
      <c r="L207" s="16"/>
      <c r="M207" s="101"/>
      <c r="N207" s="16"/>
      <c r="O207" s="16"/>
      <c r="S207" t="str">
        <f t="shared" si="10"/>
        <v/>
      </c>
      <c r="T207" t="str">
        <f t="shared" si="11"/>
        <v/>
      </c>
    </row>
    <row r="208" spans="1:20" ht="30" hidden="1" customHeight="1" x14ac:dyDescent="0.4">
      <c r="A208" s="107"/>
      <c r="B208" s="15"/>
      <c r="C208" s="204"/>
      <c r="D208" s="202"/>
      <c r="E208" s="203"/>
      <c r="F208" s="202"/>
      <c r="G208" s="99"/>
      <c r="H208" s="100"/>
      <c r="I208" s="106"/>
      <c r="J208" s="16"/>
      <c r="K208" s="16"/>
      <c r="L208" s="16"/>
      <c r="M208" s="101"/>
      <c r="N208" s="16"/>
      <c r="O208" s="16"/>
      <c r="S208" t="str">
        <f t="shared" si="10"/>
        <v/>
      </c>
      <c r="T208" t="str">
        <f t="shared" si="11"/>
        <v/>
      </c>
    </row>
    <row r="209" spans="1:20" ht="30" hidden="1" customHeight="1" x14ac:dyDescent="0.4">
      <c r="A209" s="107"/>
      <c r="B209" s="15"/>
      <c r="C209" s="204"/>
      <c r="D209" s="202"/>
      <c r="E209" s="203"/>
      <c r="F209" s="202"/>
      <c r="G209" s="99"/>
      <c r="H209" s="100"/>
      <c r="I209" s="106"/>
      <c r="J209" s="16"/>
      <c r="K209" s="16"/>
      <c r="L209" s="16"/>
      <c r="M209" s="101"/>
      <c r="N209" s="16"/>
      <c r="O209" s="16"/>
      <c r="S209" t="str">
        <f t="shared" si="10"/>
        <v/>
      </c>
      <c r="T209" t="str">
        <f t="shared" si="11"/>
        <v/>
      </c>
    </row>
    <row r="210" spans="1:20" ht="30" hidden="1" customHeight="1" x14ac:dyDescent="0.4">
      <c r="A210" s="107"/>
      <c r="B210" s="15"/>
      <c r="C210" s="204"/>
      <c r="D210" s="202"/>
      <c r="E210" s="203"/>
      <c r="F210" s="202"/>
      <c r="G210" s="99"/>
      <c r="H210" s="100"/>
      <c r="I210" s="106"/>
      <c r="J210" s="16"/>
      <c r="K210" s="16"/>
      <c r="L210" s="16"/>
      <c r="M210" s="101"/>
      <c r="N210" s="16"/>
      <c r="O210" s="16"/>
      <c r="S210" t="str">
        <f t="shared" si="10"/>
        <v/>
      </c>
      <c r="T210" t="str">
        <f t="shared" si="11"/>
        <v/>
      </c>
    </row>
    <row r="211" spans="1:20" ht="30" hidden="1" customHeight="1" x14ac:dyDescent="0.4">
      <c r="A211" s="107"/>
      <c r="B211" s="15"/>
      <c r="C211" s="204"/>
      <c r="D211" s="202"/>
      <c r="E211" s="203"/>
      <c r="F211" s="202"/>
      <c r="G211" s="99"/>
      <c r="H211" s="100"/>
      <c r="I211" s="106"/>
      <c r="J211" s="16"/>
      <c r="K211" s="16"/>
      <c r="L211" s="16"/>
      <c r="M211" s="101"/>
      <c r="N211" s="16"/>
      <c r="O211" s="16"/>
      <c r="S211" t="str">
        <f t="shared" si="10"/>
        <v/>
      </c>
      <c r="T211" t="str">
        <f t="shared" si="11"/>
        <v/>
      </c>
    </row>
    <row r="212" spans="1:20" ht="30" hidden="1" customHeight="1" x14ac:dyDescent="0.4">
      <c r="A212" s="107"/>
      <c r="B212" s="15"/>
      <c r="C212" s="204"/>
      <c r="D212" s="202"/>
      <c r="E212" s="203"/>
      <c r="F212" s="202"/>
      <c r="G212" s="99"/>
      <c r="H212" s="100"/>
      <c r="I212" s="106"/>
      <c r="J212" s="16"/>
      <c r="K212" s="16"/>
      <c r="L212" s="16"/>
      <c r="M212" s="101"/>
      <c r="N212" s="16"/>
      <c r="O212" s="16"/>
      <c r="S212" t="str">
        <f t="shared" si="10"/>
        <v/>
      </c>
      <c r="T212" t="str">
        <f t="shared" si="11"/>
        <v/>
      </c>
    </row>
    <row r="214" spans="1:20" ht="15.9" x14ac:dyDescent="0.45">
      <c r="A214" s="207" t="s">
        <v>1777</v>
      </c>
      <c r="B214" s="150"/>
      <c r="C214" s="150"/>
      <c r="D214" s="150"/>
      <c r="E214" s="150"/>
      <c r="F214" s="150"/>
      <c r="G214" s="150"/>
      <c r="H214" s="150"/>
      <c r="I214" s="150"/>
      <c r="J214" s="150"/>
      <c r="K214" s="150"/>
      <c r="L214" s="150"/>
      <c r="M214" s="150"/>
      <c r="N214" s="150"/>
      <c r="O214" s="150"/>
    </row>
    <row r="215" spans="1:20" ht="30" customHeight="1" x14ac:dyDescent="0.4">
      <c r="A215" s="94" t="s">
        <v>540</v>
      </c>
      <c r="B215" s="94" t="s">
        <v>541</v>
      </c>
      <c r="C215" s="210" t="s">
        <v>542</v>
      </c>
      <c r="D215" s="142"/>
      <c r="E215" s="209" t="s">
        <v>18</v>
      </c>
      <c r="F215" s="142"/>
      <c r="G215" s="95" t="s">
        <v>543</v>
      </c>
      <c r="H215" s="96" t="s">
        <v>544</v>
      </c>
      <c r="I215" s="96" t="s">
        <v>534</v>
      </c>
      <c r="J215" s="94" t="s">
        <v>483</v>
      </c>
      <c r="M215" s="96" t="s">
        <v>535</v>
      </c>
    </row>
    <row r="216" spans="1:20" ht="30.35" customHeight="1" x14ac:dyDescent="0.4">
      <c r="A216" s="139" t="s">
        <v>1768</v>
      </c>
      <c r="B216" s="133" t="s">
        <v>1769</v>
      </c>
      <c r="C216" s="205" t="s">
        <v>554</v>
      </c>
      <c r="D216" s="202"/>
      <c r="E216" s="206" t="s">
        <v>554</v>
      </c>
      <c r="F216" s="202"/>
      <c r="G216" s="135" t="s">
        <v>883</v>
      </c>
      <c r="H216" s="136" t="s">
        <v>883</v>
      </c>
      <c r="I216" s="106"/>
      <c r="J216" s="138" t="s">
        <v>1776</v>
      </c>
      <c r="K216" s="16"/>
      <c r="L216" s="16"/>
      <c r="M216" s="101"/>
      <c r="N216" s="16"/>
      <c r="O216" s="16"/>
      <c r="Q216" s="134" t="s">
        <v>1774</v>
      </c>
    </row>
    <row r="217" spans="1:20" ht="30.35" hidden="1" customHeight="1" x14ac:dyDescent="0.4">
      <c r="A217" s="139"/>
      <c r="B217" s="133"/>
      <c r="C217" s="205"/>
      <c r="D217" s="202"/>
      <c r="E217" s="206"/>
      <c r="F217" s="202"/>
      <c r="G217" s="135"/>
      <c r="H217" s="136"/>
      <c r="I217" s="106"/>
      <c r="J217" s="138"/>
      <c r="K217" s="16"/>
      <c r="L217" s="16"/>
      <c r="M217" s="101"/>
      <c r="N217" s="16"/>
      <c r="O217" s="16"/>
      <c r="Q217" s="134"/>
    </row>
    <row r="218" spans="1:20" ht="30.35" hidden="1" customHeight="1" x14ac:dyDescent="0.4">
      <c r="A218" s="139"/>
      <c r="B218" s="133"/>
      <c r="C218" s="205"/>
      <c r="D218" s="202"/>
      <c r="E218" s="206"/>
      <c r="F218" s="202"/>
      <c r="G218" s="135"/>
      <c r="H218" s="136"/>
      <c r="I218" s="106"/>
      <c r="J218" s="138"/>
      <c r="K218" s="16"/>
      <c r="L218" s="16"/>
      <c r="M218" s="101"/>
      <c r="N218" s="16"/>
      <c r="O218" s="16"/>
      <c r="Q218" s="134"/>
    </row>
    <row r="219" spans="1:20" ht="24" hidden="1" customHeight="1" x14ac:dyDescent="0.4">
      <c r="A219" s="139"/>
      <c r="B219" s="133"/>
      <c r="C219" s="205"/>
      <c r="D219" s="202"/>
      <c r="E219" s="206"/>
      <c r="F219" s="202"/>
      <c r="G219" s="135"/>
      <c r="H219" s="136"/>
      <c r="I219" s="106"/>
      <c r="J219" s="138"/>
      <c r="K219" s="16"/>
      <c r="L219" s="16"/>
      <c r="M219" s="101"/>
      <c r="N219" s="16"/>
      <c r="O219" s="16"/>
      <c r="Q219" s="134"/>
    </row>
    <row r="220" spans="1:20" ht="30.35" hidden="1" customHeight="1" x14ac:dyDescent="0.4">
      <c r="A220" s="139"/>
      <c r="B220" s="133"/>
      <c r="C220" s="205"/>
      <c r="D220" s="202"/>
      <c r="E220" s="206"/>
      <c r="F220" s="202"/>
      <c r="G220" s="135"/>
      <c r="H220" s="136"/>
      <c r="I220" s="106"/>
      <c r="J220" s="138"/>
      <c r="K220" s="16"/>
      <c r="L220" s="16"/>
      <c r="M220" s="101"/>
      <c r="N220" s="16"/>
      <c r="O220" s="16"/>
      <c r="Q220" s="134"/>
    </row>
    <row r="221" spans="1:20" ht="30" hidden="1" customHeight="1" x14ac:dyDescent="0.4">
      <c r="A221" s="107"/>
      <c r="B221" s="15"/>
      <c r="C221" s="204"/>
      <c r="D221" s="202"/>
      <c r="E221" s="203"/>
      <c r="F221" s="202"/>
      <c r="G221" s="99"/>
      <c r="H221" s="100"/>
      <c r="I221" s="106"/>
      <c r="J221" s="105"/>
      <c r="K221" s="16"/>
      <c r="L221" s="16"/>
      <c r="M221" s="101"/>
      <c r="N221" s="16"/>
      <c r="O221" s="16"/>
    </row>
    <row r="222" spans="1:20" ht="30" hidden="1" customHeight="1" x14ac:dyDescent="0.4">
      <c r="A222" s="107"/>
      <c r="B222" s="15"/>
      <c r="C222" s="204"/>
      <c r="D222" s="202"/>
      <c r="E222" s="203"/>
      <c r="F222" s="202"/>
      <c r="G222" s="99"/>
      <c r="H222" s="100"/>
      <c r="I222" s="106"/>
      <c r="J222" s="105"/>
      <c r="K222" s="16"/>
      <c r="L222" s="16"/>
      <c r="M222" s="101"/>
      <c r="N222" s="16"/>
      <c r="O222" s="16"/>
    </row>
    <row r="223" spans="1:20" ht="30" hidden="1" customHeight="1" x14ac:dyDescent="0.4">
      <c r="A223" s="107"/>
      <c r="B223" s="15"/>
      <c r="C223" s="204"/>
      <c r="D223" s="202"/>
      <c r="E223" s="203"/>
      <c r="F223" s="202"/>
      <c r="G223" s="99"/>
      <c r="H223" s="100"/>
      <c r="I223" s="106"/>
      <c r="J223" s="105"/>
      <c r="K223" s="16"/>
      <c r="L223" s="16"/>
      <c r="M223" s="101"/>
      <c r="N223" s="16"/>
      <c r="O223" s="16"/>
    </row>
    <row r="224" spans="1:20" ht="30" hidden="1" customHeight="1" x14ac:dyDescent="0.4">
      <c r="A224" s="107"/>
      <c r="B224" s="15"/>
      <c r="C224" s="204"/>
      <c r="D224" s="202"/>
      <c r="E224" s="203"/>
      <c r="F224" s="202"/>
      <c r="G224" s="99"/>
      <c r="H224" s="100"/>
      <c r="I224" s="106"/>
      <c r="J224" s="105"/>
      <c r="K224" s="16"/>
      <c r="L224" s="16"/>
      <c r="M224" s="101"/>
      <c r="N224" s="16"/>
      <c r="O224" s="16"/>
    </row>
    <row r="225" spans="1:15" ht="30" hidden="1" customHeight="1" x14ac:dyDescent="0.4">
      <c r="A225" s="107"/>
      <c r="B225" s="15"/>
      <c r="C225" s="204"/>
      <c r="D225" s="202"/>
      <c r="E225" s="203"/>
      <c r="F225" s="202"/>
      <c r="G225" s="99"/>
      <c r="H225" s="100"/>
      <c r="I225" s="106"/>
      <c r="J225" s="105"/>
      <c r="K225" s="16"/>
      <c r="L225" s="16"/>
      <c r="M225" s="101"/>
      <c r="N225" s="16"/>
      <c r="O225" s="16"/>
    </row>
    <row r="226" spans="1:15" ht="30" hidden="1" customHeight="1" x14ac:dyDescent="0.4">
      <c r="A226" s="107"/>
      <c r="B226" s="15"/>
      <c r="C226" s="204"/>
      <c r="D226" s="202"/>
      <c r="E226" s="203"/>
      <c r="F226" s="202"/>
      <c r="G226" s="99"/>
      <c r="H226" s="100"/>
      <c r="I226" s="106"/>
      <c r="J226" s="105"/>
      <c r="K226" s="16"/>
      <c r="L226" s="16"/>
      <c r="M226" s="101"/>
      <c r="N226" s="16"/>
      <c r="O226" s="16"/>
    </row>
    <row r="227" spans="1:15" ht="30" hidden="1" customHeight="1" x14ac:dyDescent="0.4">
      <c r="A227" s="107"/>
      <c r="B227" s="15"/>
      <c r="C227" s="204"/>
      <c r="D227" s="202"/>
      <c r="E227" s="203"/>
      <c r="F227" s="202"/>
      <c r="G227" s="99"/>
      <c r="H227" s="100"/>
      <c r="I227" s="106"/>
      <c r="J227" s="105"/>
      <c r="K227" s="16"/>
      <c r="L227" s="16"/>
      <c r="M227" s="101"/>
      <c r="N227" s="16"/>
      <c r="O227" s="16"/>
    </row>
    <row r="228" spans="1:15" ht="30" hidden="1" customHeight="1" x14ac:dyDescent="0.4">
      <c r="A228" s="107"/>
      <c r="B228" s="15"/>
      <c r="C228" s="204"/>
      <c r="D228" s="202"/>
      <c r="E228" s="203"/>
      <c r="F228" s="202"/>
      <c r="G228" s="99"/>
      <c r="H228" s="100"/>
      <c r="I228" s="106"/>
      <c r="J228" s="105"/>
      <c r="K228" s="16"/>
      <c r="L228" s="16"/>
      <c r="M228" s="101"/>
      <c r="N228" s="16"/>
      <c r="O228" s="16"/>
    </row>
    <row r="229" spans="1:15" ht="30" hidden="1" customHeight="1" x14ac:dyDescent="0.4">
      <c r="A229" s="107"/>
      <c r="B229" s="15"/>
      <c r="C229" s="204"/>
      <c r="D229" s="202"/>
      <c r="E229" s="203"/>
      <c r="F229" s="202"/>
      <c r="G229" s="99"/>
      <c r="H229" s="100"/>
      <c r="I229" s="106"/>
      <c r="J229" s="105"/>
      <c r="K229" s="16"/>
      <c r="L229" s="16"/>
      <c r="M229" s="101"/>
      <c r="N229" s="16"/>
      <c r="O229" s="16"/>
    </row>
    <row r="230" spans="1:15" ht="30" hidden="1" customHeight="1" x14ac:dyDescent="0.4">
      <c r="A230" s="107"/>
      <c r="B230" s="15"/>
      <c r="C230" s="204"/>
      <c r="D230" s="202"/>
      <c r="E230" s="203"/>
      <c r="F230" s="202"/>
      <c r="G230" s="99"/>
      <c r="H230" s="100"/>
      <c r="I230" s="106"/>
      <c r="J230" s="105"/>
      <c r="K230" s="16"/>
      <c r="L230" s="16"/>
      <c r="M230" s="101"/>
      <c r="N230" s="16"/>
      <c r="O230" s="16"/>
    </row>
    <row r="231" spans="1:15" ht="30" hidden="1" customHeight="1" x14ac:dyDescent="0.4">
      <c r="A231" s="107"/>
      <c r="B231" s="15"/>
      <c r="C231" s="204"/>
      <c r="D231" s="202"/>
      <c r="E231" s="203"/>
      <c r="F231" s="202"/>
      <c r="G231" s="99"/>
      <c r="H231" s="100"/>
      <c r="I231" s="106"/>
      <c r="J231" s="105"/>
      <c r="K231" s="16"/>
      <c r="L231" s="16"/>
      <c r="M231" s="101"/>
      <c r="N231" s="16"/>
      <c r="O231" s="16"/>
    </row>
    <row r="232" spans="1:15" ht="30" hidden="1" customHeight="1" x14ac:dyDescent="0.4">
      <c r="A232" s="107"/>
      <c r="B232" s="15"/>
      <c r="C232" s="204"/>
      <c r="D232" s="202"/>
      <c r="E232" s="203"/>
      <c r="F232" s="202"/>
      <c r="G232" s="99"/>
      <c r="H232" s="100"/>
      <c r="I232" s="106"/>
      <c r="J232" s="105"/>
      <c r="K232" s="16"/>
      <c r="L232" s="16"/>
      <c r="M232" s="101"/>
      <c r="N232" s="16"/>
      <c r="O232" s="16"/>
    </row>
    <row r="233" spans="1:15" ht="30" hidden="1" customHeight="1" x14ac:dyDescent="0.4">
      <c r="A233" s="107"/>
      <c r="B233" s="15"/>
      <c r="C233" s="204"/>
      <c r="D233" s="202"/>
      <c r="E233" s="203"/>
      <c r="F233" s="202"/>
      <c r="G233" s="99"/>
      <c r="H233" s="100"/>
      <c r="I233" s="106"/>
      <c r="J233" s="105"/>
      <c r="K233" s="16"/>
      <c r="L233" s="16"/>
      <c r="M233" s="101"/>
      <c r="N233" s="16"/>
      <c r="O233" s="16"/>
    </row>
    <row r="234" spans="1:15" ht="30" hidden="1" customHeight="1" x14ac:dyDescent="0.4">
      <c r="A234" s="107"/>
      <c r="B234" s="15"/>
      <c r="C234" s="204"/>
      <c r="D234" s="202"/>
      <c r="E234" s="203"/>
      <c r="F234" s="202"/>
      <c r="G234" s="99"/>
      <c r="H234" s="100"/>
      <c r="I234" s="106"/>
      <c r="J234" s="105"/>
      <c r="K234" s="16"/>
      <c r="L234" s="16"/>
      <c r="M234" s="101"/>
      <c r="N234" s="16"/>
      <c r="O234" s="16"/>
    </row>
    <row r="235" spans="1:15" ht="30" hidden="1" customHeight="1" x14ac:dyDescent="0.4">
      <c r="A235" s="107"/>
      <c r="B235" s="15"/>
      <c r="C235" s="204"/>
      <c r="D235" s="202"/>
      <c r="E235" s="203"/>
      <c r="F235" s="202"/>
      <c r="G235" s="99"/>
      <c r="H235" s="100"/>
      <c r="I235" s="106"/>
      <c r="J235" s="105"/>
      <c r="K235" s="16"/>
      <c r="L235" s="16"/>
      <c r="M235" s="101"/>
      <c r="N235" s="16"/>
      <c r="O235" s="16"/>
    </row>
    <row r="236" spans="1:15" ht="30" hidden="1" customHeight="1" x14ac:dyDescent="0.4">
      <c r="A236" s="107"/>
      <c r="B236" s="15"/>
      <c r="C236" s="204"/>
      <c r="D236" s="202"/>
      <c r="E236" s="203"/>
      <c r="F236" s="202"/>
      <c r="G236" s="99"/>
      <c r="H236" s="100"/>
      <c r="I236" s="106"/>
      <c r="J236" s="105"/>
      <c r="K236" s="16"/>
      <c r="L236" s="16"/>
      <c r="M236" s="101"/>
      <c r="N236" s="16"/>
      <c r="O236" s="16"/>
    </row>
    <row r="237" spans="1:15" ht="30" hidden="1" customHeight="1" x14ac:dyDescent="0.4">
      <c r="A237" s="107"/>
      <c r="B237" s="15"/>
      <c r="C237" s="204"/>
      <c r="D237" s="202"/>
      <c r="E237" s="203"/>
      <c r="F237" s="202"/>
      <c r="G237" s="99"/>
      <c r="H237" s="100"/>
      <c r="I237" s="106"/>
      <c r="J237" s="105"/>
      <c r="K237" s="16"/>
      <c r="L237" s="16"/>
      <c r="M237" s="101"/>
      <c r="N237" s="16"/>
      <c r="O237" s="16"/>
    </row>
    <row r="238" spans="1:15" ht="30" hidden="1" customHeight="1" x14ac:dyDescent="0.4">
      <c r="A238" s="107"/>
      <c r="B238" s="15"/>
      <c r="C238" s="204"/>
      <c r="D238" s="202"/>
      <c r="E238" s="203"/>
      <c r="F238" s="202"/>
      <c r="G238" s="99"/>
      <c r="H238" s="100"/>
      <c r="I238" s="106"/>
      <c r="J238" s="105"/>
      <c r="K238" s="16"/>
      <c r="L238" s="16"/>
      <c r="M238" s="101"/>
      <c r="N238" s="16"/>
      <c r="O238" s="16"/>
    </row>
    <row r="239" spans="1:15" ht="30" hidden="1" customHeight="1" x14ac:dyDescent="0.4">
      <c r="A239" s="107"/>
      <c r="B239" s="15"/>
      <c r="C239" s="204"/>
      <c r="D239" s="202"/>
      <c r="E239" s="203"/>
      <c r="F239" s="202"/>
      <c r="G239" s="99"/>
      <c r="H239" s="100"/>
      <c r="I239" s="106"/>
      <c r="J239" s="105"/>
      <c r="K239" s="16"/>
      <c r="L239" s="16"/>
      <c r="M239" s="101"/>
      <c r="N239" s="16"/>
      <c r="O239" s="16"/>
    </row>
    <row r="240" spans="1:15" ht="30" hidden="1" customHeight="1" x14ac:dyDescent="0.4">
      <c r="A240" s="107"/>
      <c r="B240" s="15"/>
      <c r="C240" s="204"/>
      <c r="D240" s="202"/>
      <c r="E240" s="203"/>
      <c r="F240" s="202"/>
      <c r="G240" s="99"/>
      <c r="H240" s="100"/>
      <c r="I240" s="106"/>
      <c r="J240" s="105"/>
      <c r="K240" s="16"/>
      <c r="L240" s="16"/>
      <c r="M240" s="101"/>
      <c r="N240" s="16"/>
      <c r="O240" s="16"/>
    </row>
    <row r="241" spans="1:15" ht="30" hidden="1" customHeight="1" x14ac:dyDescent="0.4">
      <c r="A241" s="107"/>
      <c r="B241" s="15"/>
      <c r="C241" s="204"/>
      <c r="D241" s="202"/>
      <c r="E241" s="203"/>
      <c r="F241" s="202"/>
      <c r="G241" s="99"/>
      <c r="H241" s="100"/>
      <c r="I241" s="106"/>
      <c r="J241" s="105"/>
      <c r="K241" s="16"/>
      <c r="L241" s="16"/>
      <c r="M241" s="101"/>
      <c r="N241" s="16"/>
      <c r="O241" s="16"/>
    </row>
    <row r="242" spans="1:15" ht="30" hidden="1" customHeight="1" x14ac:dyDescent="0.4">
      <c r="A242" s="107"/>
      <c r="B242" s="15"/>
      <c r="C242" s="204"/>
      <c r="D242" s="202"/>
      <c r="E242" s="203"/>
      <c r="F242" s="202"/>
      <c r="G242" s="99"/>
      <c r="H242" s="100"/>
      <c r="I242" s="106"/>
      <c r="J242" s="105"/>
      <c r="K242" s="16"/>
      <c r="L242" s="16"/>
      <c r="M242" s="101"/>
      <c r="N242" s="16"/>
      <c r="O242" s="16"/>
    </row>
    <row r="243" spans="1:15" ht="30" hidden="1" customHeight="1" x14ac:dyDescent="0.4">
      <c r="A243" s="107"/>
      <c r="B243" s="15"/>
      <c r="C243" s="204"/>
      <c r="D243" s="202"/>
      <c r="E243" s="203"/>
      <c r="F243" s="202"/>
      <c r="G243" s="99"/>
      <c r="H243" s="100"/>
      <c r="I243" s="106"/>
      <c r="J243" s="105"/>
      <c r="K243" s="16"/>
      <c r="L243" s="16"/>
      <c r="M243" s="101"/>
      <c r="N243" s="16"/>
      <c r="O243" s="16"/>
    </row>
    <row r="244" spans="1:15" ht="30" hidden="1" customHeight="1" x14ac:dyDescent="0.4">
      <c r="A244" s="107"/>
      <c r="B244" s="15"/>
      <c r="C244" s="204"/>
      <c r="D244" s="202"/>
      <c r="E244" s="203"/>
      <c r="F244" s="202"/>
      <c r="G244" s="99"/>
      <c r="H244" s="100"/>
      <c r="I244" s="106"/>
      <c r="J244" s="105"/>
      <c r="K244" s="16"/>
      <c r="L244" s="16"/>
      <c r="M244" s="101"/>
      <c r="N244" s="16"/>
      <c r="O244" s="16"/>
    </row>
    <row r="245" spans="1:15" ht="30" hidden="1" customHeight="1" x14ac:dyDescent="0.4">
      <c r="A245" s="107"/>
      <c r="B245" s="15"/>
      <c r="C245" s="204"/>
      <c r="D245" s="202"/>
      <c r="E245" s="203"/>
      <c r="F245" s="202"/>
      <c r="G245" s="99"/>
      <c r="H245" s="100"/>
      <c r="I245" s="106"/>
      <c r="J245" s="105"/>
      <c r="K245" s="16"/>
      <c r="L245" s="16"/>
      <c r="M245" s="101"/>
      <c r="N245" s="16"/>
      <c r="O245" s="16"/>
    </row>
    <row r="246" spans="1:15" ht="30" hidden="1" customHeight="1" x14ac:dyDescent="0.4">
      <c r="A246" s="107"/>
      <c r="B246" s="15"/>
      <c r="C246" s="204"/>
      <c r="D246" s="202"/>
      <c r="E246" s="203"/>
      <c r="F246" s="202"/>
      <c r="G246" s="99"/>
      <c r="H246" s="100"/>
      <c r="I246" s="106"/>
      <c r="J246" s="105"/>
      <c r="K246" s="16"/>
      <c r="L246" s="16"/>
      <c r="M246" s="101"/>
      <c r="N246" s="16"/>
      <c r="O246" s="16"/>
    </row>
    <row r="247" spans="1:15" ht="30" hidden="1" customHeight="1" x14ac:dyDescent="0.4">
      <c r="A247" s="107"/>
      <c r="B247" s="15"/>
      <c r="C247" s="204"/>
      <c r="D247" s="202"/>
      <c r="E247" s="203"/>
      <c r="F247" s="202"/>
      <c r="G247" s="99"/>
      <c r="H247" s="100"/>
      <c r="I247" s="106"/>
      <c r="J247" s="105"/>
      <c r="K247" s="16"/>
      <c r="L247" s="16"/>
      <c r="M247" s="101"/>
      <c r="N247" s="16"/>
      <c r="O247" s="16"/>
    </row>
    <row r="248" spans="1:15" ht="30" hidden="1" customHeight="1" x14ac:dyDescent="0.4">
      <c r="A248" s="107"/>
      <c r="B248" s="15"/>
      <c r="C248" s="204"/>
      <c r="D248" s="202"/>
      <c r="E248" s="203"/>
      <c r="F248" s="202"/>
      <c r="G248" s="99"/>
      <c r="H248" s="100"/>
      <c r="I248" s="106"/>
      <c r="J248" s="105"/>
      <c r="K248" s="16"/>
      <c r="L248" s="16"/>
      <c r="M248" s="101"/>
      <c r="N248" s="16"/>
      <c r="O248" s="16"/>
    </row>
    <row r="249" spans="1:15" ht="30" hidden="1" customHeight="1" x14ac:dyDescent="0.4">
      <c r="A249" s="107"/>
      <c r="B249" s="15"/>
      <c r="C249" s="204"/>
      <c r="D249" s="202"/>
      <c r="E249" s="203"/>
      <c r="F249" s="202"/>
      <c r="G249" s="99"/>
      <c r="H249" s="100"/>
      <c r="I249" s="106"/>
      <c r="J249" s="105"/>
      <c r="K249" s="16"/>
      <c r="L249" s="16"/>
      <c r="M249" s="101"/>
      <c r="N249" s="16"/>
      <c r="O249" s="16"/>
    </row>
    <row r="250" spans="1:15" ht="30" hidden="1" customHeight="1" x14ac:dyDescent="0.4">
      <c r="A250" s="107"/>
      <c r="B250" s="15"/>
      <c r="C250" s="204"/>
      <c r="D250" s="202"/>
      <c r="E250" s="203"/>
      <c r="F250" s="202"/>
      <c r="G250" s="99"/>
      <c r="H250" s="100"/>
      <c r="I250" s="106"/>
      <c r="J250" s="105"/>
      <c r="K250" s="16"/>
      <c r="L250" s="16"/>
      <c r="M250" s="101"/>
      <c r="N250" s="16"/>
      <c r="O250" s="16"/>
    </row>
    <row r="251" spans="1:15" ht="30" hidden="1" customHeight="1" x14ac:dyDescent="0.4">
      <c r="A251" s="107"/>
      <c r="B251" s="15"/>
      <c r="C251" s="204"/>
      <c r="D251" s="202"/>
      <c r="E251" s="203"/>
      <c r="F251" s="202"/>
      <c r="G251" s="99"/>
      <c r="H251" s="100"/>
      <c r="I251" s="106"/>
      <c r="J251" s="105"/>
      <c r="K251" s="16"/>
      <c r="L251" s="16"/>
      <c r="M251" s="101"/>
      <c r="N251" s="16"/>
      <c r="O251" s="16"/>
    </row>
    <row r="252" spans="1:15" ht="30" hidden="1" customHeight="1" x14ac:dyDescent="0.4">
      <c r="A252" s="107"/>
      <c r="B252" s="15"/>
      <c r="C252" s="204"/>
      <c r="D252" s="202"/>
      <c r="E252" s="203"/>
      <c r="F252" s="202"/>
      <c r="G252" s="99"/>
      <c r="H252" s="100"/>
      <c r="I252" s="106"/>
      <c r="J252" s="105"/>
      <c r="K252" s="16"/>
      <c r="L252" s="16"/>
      <c r="M252" s="101"/>
      <c r="N252" s="16"/>
      <c r="O252" s="16"/>
    </row>
    <row r="253" spans="1:15" ht="30" hidden="1" customHeight="1" x14ac:dyDescent="0.4">
      <c r="A253" s="107"/>
      <c r="B253" s="15"/>
      <c r="C253" s="204"/>
      <c r="D253" s="202"/>
      <c r="E253" s="203"/>
      <c r="F253" s="202"/>
      <c r="G253" s="99"/>
      <c r="H253" s="100"/>
      <c r="I253" s="106"/>
      <c r="J253" s="105"/>
      <c r="K253" s="16"/>
      <c r="L253" s="16"/>
      <c r="M253" s="101"/>
      <c r="N253" s="16"/>
      <c r="O253" s="16"/>
    </row>
    <row r="254" spans="1:15" ht="30" hidden="1" customHeight="1" x14ac:dyDescent="0.4">
      <c r="A254" s="107"/>
      <c r="B254" s="15"/>
      <c r="C254" s="204"/>
      <c r="D254" s="202"/>
      <c r="E254" s="203"/>
      <c r="F254" s="202"/>
      <c r="G254" s="99"/>
      <c r="H254" s="100"/>
      <c r="I254" s="106"/>
      <c r="J254" s="105"/>
      <c r="K254" s="16"/>
      <c r="L254" s="16"/>
      <c r="M254" s="101"/>
      <c r="N254" s="16"/>
      <c r="O254" s="16"/>
    </row>
    <row r="255" spans="1:15" ht="30" hidden="1" customHeight="1" x14ac:dyDescent="0.4">
      <c r="A255" s="107"/>
      <c r="B255" s="15"/>
      <c r="C255" s="204"/>
      <c r="D255" s="202"/>
      <c r="E255" s="203"/>
      <c r="F255" s="202"/>
      <c r="G255" s="99"/>
      <c r="H255" s="100"/>
      <c r="I255" s="106"/>
      <c r="J255" s="105"/>
      <c r="K255" s="16"/>
      <c r="L255" s="16"/>
      <c r="M255" s="101"/>
      <c r="N255" s="16"/>
      <c r="O255" s="16"/>
    </row>
    <row r="256" spans="1:15" ht="30" hidden="1" customHeight="1" x14ac:dyDescent="0.4">
      <c r="A256" s="107"/>
      <c r="B256" s="15"/>
      <c r="C256" s="204"/>
      <c r="D256" s="202"/>
      <c r="E256" s="203"/>
      <c r="F256" s="202"/>
      <c r="G256" s="99"/>
      <c r="H256" s="100"/>
      <c r="I256" s="106"/>
      <c r="J256" s="105"/>
      <c r="K256" s="16"/>
      <c r="L256" s="16"/>
      <c r="M256" s="101"/>
      <c r="N256" s="16"/>
      <c r="O256" s="16"/>
    </row>
    <row r="257" spans="1:15" ht="30" hidden="1" customHeight="1" x14ac:dyDescent="0.4">
      <c r="A257" s="107"/>
      <c r="B257" s="15"/>
      <c r="C257" s="204"/>
      <c r="D257" s="202"/>
      <c r="E257" s="203"/>
      <c r="F257" s="202"/>
      <c r="G257" s="99"/>
      <c r="H257" s="100"/>
      <c r="I257" s="106"/>
      <c r="J257" s="105"/>
      <c r="K257" s="16"/>
      <c r="L257" s="16"/>
      <c r="M257" s="101"/>
      <c r="N257" s="16"/>
      <c r="O257" s="16"/>
    </row>
    <row r="258" spans="1:15" ht="30" hidden="1" customHeight="1" x14ac:dyDescent="0.4">
      <c r="A258" s="107"/>
      <c r="B258" s="15"/>
      <c r="C258" s="204"/>
      <c r="D258" s="202"/>
      <c r="E258" s="203"/>
      <c r="F258" s="202"/>
      <c r="G258" s="99"/>
      <c r="H258" s="100"/>
      <c r="I258" s="106"/>
      <c r="J258" s="105"/>
      <c r="K258" s="16"/>
      <c r="L258" s="16"/>
      <c r="M258" s="101"/>
      <c r="N258" s="16"/>
      <c r="O258" s="16"/>
    </row>
    <row r="259" spans="1:15" ht="30" hidden="1" customHeight="1" x14ac:dyDescent="0.4">
      <c r="A259" s="107"/>
      <c r="B259" s="15"/>
      <c r="C259" s="204"/>
      <c r="D259" s="202"/>
      <c r="E259" s="203"/>
      <c r="F259" s="202"/>
      <c r="G259" s="99"/>
      <c r="H259" s="100"/>
      <c r="I259" s="106"/>
      <c r="J259" s="105"/>
      <c r="K259" s="16"/>
      <c r="L259" s="16"/>
      <c r="M259" s="101"/>
      <c r="N259" s="16"/>
      <c r="O259" s="16"/>
    </row>
    <row r="260" spans="1:15" ht="30" hidden="1" customHeight="1" x14ac:dyDescent="0.4">
      <c r="A260" s="107"/>
      <c r="B260" s="15"/>
      <c r="C260" s="204"/>
      <c r="D260" s="202"/>
      <c r="E260" s="203"/>
      <c r="F260" s="202"/>
      <c r="G260" s="99"/>
      <c r="H260" s="100"/>
      <c r="I260" s="106"/>
      <c r="J260" s="105"/>
      <c r="K260" s="16"/>
      <c r="L260" s="16"/>
      <c r="M260" s="101"/>
      <c r="N260" s="16"/>
      <c r="O260" s="16"/>
    </row>
    <row r="261" spans="1:15" ht="30" hidden="1" customHeight="1" x14ac:dyDescent="0.4">
      <c r="A261" s="107"/>
      <c r="B261" s="15"/>
      <c r="C261" s="204"/>
      <c r="D261" s="202"/>
      <c r="E261" s="203"/>
      <c r="F261" s="202"/>
      <c r="G261" s="99"/>
      <c r="H261" s="100"/>
      <c r="I261" s="106"/>
      <c r="J261" s="105"/>
      <c r="K261" s="16"/>
      <c r="L261" s="16"/>
      <c r="M261" s="101"/>
      <c r="N261" s="16"/>
      <c r="O261" s="16"/>
    </row>
    <row r="262" spans="1:15" ht="30" hidden="1" customHeight="1" x14ac:dyDescent="0.4">
      <c r="A262" s="107"/>
      <c r="B262" s="15"/>
      <c r="C262" s="204"/>
      <c r="D262" s="202"/>
      <c r="E262" s="203"/>
      <c r="F262" s="202"/>
      <c r="G262" s="99"/>
      <c r="H262" s="100"/>
      <c r="I262" s="106"/>
      <c r="J262" s="105"/>
      <c r="K262" s="16"/>
      <c r="L262" s="16"/>
      <c r="M262" s="101"/>
      <c r="N262" s="16"/>
      <c r="O262" s="16"/>
    </row>
    <row r="263" spans="1:15" ht="30" hidden="1" customHeight="1" x14ac:dyDescent="0.4">
      <c r="A263" s="107"/>
      <c r="B263" s="15"/>
      <c r="C263" s="204"/>
      <c r="D263" s="202"/>
      <c r="E263" s="203"/>
      <c r="F263" s="202"/>
      <c r="G263" s="99"/>
      <c r="H263" s="100"/>
      <c r="I263" s="106"/>
      <c r="J263" s="105"/>
      <c r="K263" s="16"/>
      <c r="L263" s="16"/>
      <c r="M263" s="101"/>
      <c r="N263" s="16"/>
      <c r="O263" s="16"/>
    </row>
    <row r="264" spans="1:15" ht="30" hidden="1" customHeight="1" x14ac:dyDescent="0.4">
      <c r="A264" s="107"/>
      <c r="B264" s="15"/>
      <c r="C264" s="204"/>
      <c r="D264" s="202"/>
      <c r="E264" s="203"/>
      <c r="F264" s="202"/>
      <c r="G264" s="99"/>
      <c r="H264" s="100"/>
      <c r="I264" s="106"/>
      <c r="J264" s="105"/>
      <c r="K264" s="16"/>
      <c r="L264" s="16"/>
      <c r="M264" s="101"/>
      <c r="N264" s="16"/>
      <c r="O264" s="16"/>
    </row>
    <row r="265" spans="1:15" ht="30" hidden="1" customHeight="1" x14ac:dyDescent="0.4">
      <c r="A265" s="107"/>
      <c r="B265" s="15"/>
      <c r="C265" s="204"/>
      <c r="D265" s="202"/>
      <c r="E265" s="203"/>
      <c r="F265" s="202"/>
      <c r="G265" s="99"/>
      <c r="H265" s="100"/>
      <c r="I265" s="106"/>
      <c r="J265" s="105"/>
      <c r="K265" s="16"/>
      <c r="L265" s="16"/>
      <c r="M265" s="101"/>
      <c r="N265" s="16"/>
      <c r="O265" s="16"/>
    </row>
    <row r="266" spans="1:15" ht="30" hidden="1" customHeight="1" x14ac:dyDescent="0.4">
      <c r="A266" s="107"/>
      <c r="B266" s="15"/>
      <c r="C266" s="204"/>
      <c r="D266" s="202"/>
      <c r="E266" s="203"/>
      <c r="F266" s="202"/>
      <c r="G266" s="99"/>
      <c r="H266" s="100"/>
      <c r="I266" s="106"/>
      <c r="J266" s="105"/>
      <c r="K266" s="16"/>
      <c r="L266" s="16"/>
      <c r="M266" s="101"/>
      <c r="N266" s="16"/>
      <c r="O266" s="16"/>
    </row>
    <row r="267" spans="1:15" ht="30" hidden="1" customHeight="1" x14ac:dyDescent="0.4">
      <c r="A267" s="107"/>
      <c r="B267" s="15"/>
      <c r="C267" s="204"/>
      <c r="D267" s="202"/>
      <c r="E267" s="203"/>
      <c r="F267" s="202"/>
      <c r="G267" s="99"/>
      <c r="H267" s="100"/>
      <c r="I267" s="106"/>
      <c r="J267" s="105"/>
      <c r="K267" s="16"/>
      <c r="L267" s="16"/>
      <c r="M267" s="101"/>
      <c r="N267" s="16"/>
      <c r="O267" s="16"/>
    </row>
    <row r="268" spans="1:15" ht="30" hidden="1" customHeight="1" x14ac:dyDescent="0.4">
      <c r="A268" s="107"/>
      <c r="B268" s="15"/>
      <c r="C268" s="204"/>
      <c r="D268" s="202"/>
      <c r="E268" s="203"/>
      <c r="F268" s="202"/>
      <c r="G268" s="99"/>
      <c r="H268" s="100"/>
      <c r="I268" s="106"/>
      <c r="J268" s="105"/>
      <c r="K268" s="16"/>
      <c r="L268" s="16"/>
      <c r="M268" s="101"/>
      <c r="N268" s="16"/>
      <c r="O268" s="16"/>
    </row>
    <row r="269" spans="1:15" ht="30" hidden="1" customHeight="1" x14ac:dyDescent="0.4">
      <c r="A269" s="107"/>
      <c r="B269" s="15"/>
      <c r="C269" s="204"/>
      <c r="D269" s="202"/>
      <c r="E269" s="203"/>
      <c r="F269" s="202"/>
      <c r="G269" s="99"/>
      <c r="H269" s="100"/>
      <c r="I269" s="106"/>
      <c r="J269" s="105"/>
      <c r="K269" s="16"/>
      <c r="L269" s="16"/>
      <c r="M269" s="101"/>
      <c r="N269" s="16"/>
      <c r="O269" s="16"/>
    </row>
    <row r="270" spans="1:15" ht="30" hidden="1" customHeight="1" x14ac:dyDescent="0.4">
      <c r="A270" s="107"/>
      <c r="B270" s="15"/>
      <c r="C270" s="204"/>
      <c r="D270" s="202"/>
      <c r="E270" s="203"/>
      <c r="F270" s="202"/>
      <c r="G270" s="99"/>
      <c r="H270" s="100"/>
      <c r="I270" s="106"/>
      <c r="J270" s="105"/>
      <c r="K270" s="16"/>
      <c r="L270" s="16"/>
      <c r="M270" s="101"/>
      <c r="N270" s="16"/>
      <c r="O270" s="16"/>
    </row>
    <row r="271" spans="1:15" ht="30" hidden="1" customHeight="1" x14ac:dyDescent="0.4">
      <c r="A271" s="107"/>
      <c r="B271" s="15"/>
      <c r="C271" s="204"/>
      <c r="D271" s="202"/>
      <c r="E271" s="203"/>
      <c r="F271" s="202"/>
      <c r="G271" s="99"/>
      <c r="H271" s="100"/>
      <c r="I271" s="106"/>
      <c r="J271" s="105"/>
      <c r="K271" s="16"/>
      <c r="L271" s="16"/>
      <c r="M271" s="101"/>
      <c r="N271" s="16"/>
      <c r="O271" s="16"/>
    </row>
    <row r="272" spans="1:15" ht="30" hidden="1" customHeight="1" x14ac:dyDescent="0.4">
      <c r="A272" s="107"/>
      <c r="B272" s="15"/>
      <c r="C272" s="204"/>
      <c r="D272" s="202"/>
      <c r="E272" s="203"/>
      <c r="F272" s="202"/>
      <c r="G272" s="99"/>
      <c r="H272" s="100"/>
      <c r="I272" s="106"/>
      <c r="J272" s="105"/>
      <c r="K272" s="16"/>
      <c r="L272" s="16"/>
      <c r="M272" s="101"/>
      <c r="N272" s="16"/>
      <c r="O272" s="16"/>
    </row>
    <row r="273" spans="1:15" ht="30" hidden="1" customHeight="1" x14ac:dyDescent="0.4">
      <c r="A273" s="107"/>
      <c r="B273" s="15"/>
      <c r="C273" s="204"/>
      <c r="D273" s="202"/>
      <c r="E273" s="203"/>
      <c r="F273" s="202"/>
      <c r="G273" s="99"/>
      <c r="H273" s="100"/>
      <c r="I273" s="106"/>
      <c r="J273" s="105"/>
      <c r="K273" s="16"/>
      <c r="L273" s="16"/>
      <c r="M273" s="101"/>
      <c r="N273" s="16"/>
      <c r="O273" s="16"/>
    </row>
    <row r="274" spans="1:15" ht="30" hidden="1" customHeight="1" x14ac:dyDescent="0.4">
      <c r="A274" s="107"/>
      <c r="B274" s="15"/>
      <c r="C274" s="204"/>
      <c r="D274" s="202"/>
      <c r="E274" s="203"/>
      <c r="F274" s="202"/>
      <c r="G274" s="99"/>
      <c r="H274" s="100"/>
      <c r="I274" s="106"/>
      <c r="J274" s="105"/>
      <c r="K274" s="16"/>
      <c r="L274" s="16"/>
      <c r="M274" s="101"/>
      <c r="N274" s="16"/>
      <c r="O274" s="16"/>
    </row>
    <row r="275" spans="1:15" ht="30" hidden="1" customHeight="1" x14ac:dyDescent="0.4">
      <c r="A275" s="107"/>
      <c r="B275" s="15"/>
      <c r="C275" s="204"/>
      <c r="D275" s="202"/>
      <c r="E275" s="203"/>
      <c r="F275" s="202"/>
      <c r="G275" s="99"/>
      <c r="H275" s="100"/>
      <c r="I275" s="106"/>
      <c r="J275" s="105"/>
      <c r="K275" s="16"/>
      <c r="L275" s="16"/>
      <c r="M275" s="101"/>
      <c r="N275" s="16"/>
      <c r="O275" s="16"/>
    </row>
    <row r="276" spans="1:15" ht="30" hidden="1" customHeight="1" x14ac:dyDescent="0.4">
      <c r="A276" s="107"/>
      <c r="B276" s="15"/>
      <c r="C276" s="204"/>
      <c r="D276" s="202"/>
      <c r="E276" s="203"/>
      <c r="F276" s="202"/>
      <c r="G276" s="99"/>
      <c r="H276" s="100"/>
      <c r="I276" s="106"/>
      <c r="J276" s="105"/>
      <c r="K276" s="16"/>
      <c r="L276" s="16"/>
      <c r="M276" s="101"/>
      <c r="N276" s="16"/>
      <c r="O276" s="16"/>
    </row>
    <row r="277" spans="1:15" ht="30" hidden="1" customHeight="1" x14ac:dyDescent="0.4">
      <c r="A277" s="107"/>
      <c r="B277" s="15"/>
      <c r="C277" s="204"/>
      <c r="D277" s="202"/>
      <c r="E277" s="203"/>
      <c r="F277" s="202"/>
      <c r="G277" s="99"/>
      <c r="H277" s="100"/>
      <c r="I277" s="106"/>
      <c r="J277" s="105"/>
      <c r="K277" s="16"/>
      <c r="L277" s="16"/>
      <c r="M277" s="101"/>
      <c r="N277" s="16"/>
      <c r="O277" s="16"/>
    </row>
    <row r="278" spans="1:15" ht="30" hidden="1" customHeight="1" x14ac:dyDescent="0.4">
      <c r="A278" s="107"/>
      <c r="B278" s="15"/>
      <c r="C278" s="204"/>
      <c r="D278" s="202"/>
      <c r="E278" s="203"/>
      <c r="F278" s="202"/>
      <c r="G278" s="99"/>
      <c r="H278" s="100"/>
      <c r="I278" s="106"/>
      <c r="J278" s="105"/>
      <c r="K278" s="16"/>
      <c r="L278" s="16"/>
      <c r="M278" s="101"/>
      <c r="N278" s="16"/>
      <c r="O278" s="16"/>
    </row>
    <row r="279" spans="1:15" ht="30" hidden="1" customHeight="1" x14ac:dyDescent="0.4">
      <c r="A279" s="107"/>
      <c r="B279" s="15"/>
      <c r="C279" s="204"/>
      <c r="D279" s="202"/>
      <c r="E279" s="203"/>
      <c r="F279" s="202"/>
      <c r="G279" s="99"/>
      <c r="H279" s="100"/>
      <c r="I279" s="106"/>
      <c r="J279" s="105"/>
      <c r="K279" s="16"/>
      <c r="L279" s="16"/>
      <c r="M279" s="101"/>
      <c r="N279" s="16"/>
      <c r="O279" s="16"/>
    </row>
    <row r="280" spans="1:15" ht="30" hidden="1" customHeight="1" x14ac:dyDescent="0.4">
      <c r="A280" s="107"/>
      <c r="B280" s="15"/>
      <c r="C280" s="204"/>
      <c r="D280" s="202"/>
      <c r="E280" s="203"/>
      <c r="F280" s="202"/>
      <c r="G280" s="99"/>
      <c r="H280" s="100"/>
      <c r="I280" s="106"/>
      <c r="J280" s="105"/>
      <c r="K280" s="16"/>
      <c r="L280" s="16"/>
      <c r="M280" s="101"/>
      <c r="N280" s="16"/>
      <c r="O280" s="16"/>
    </row>
    <row r="281" spans="1:15" ht="30" hidden="1" customHeight="1" x14ac:dyDescent="0.4">
      <c r="A281" s="107"/>
      <c r="B281" s="15"/>
      <c r="C281" s="204"/>
      <c r="D281" s="202"/>
      <c r="E281" s="203"/>
      <c r="F281" s="202"/>
      <c r="G281" s="99"/>
      <c r="H281" s="100"/>
      <c r="I281" s="106"/>
      <c r="J281" s="105"/>
      <c r="K281" s="16"/>
      <c r="L281" s="16"/>
      <c r="M281" s="101"/>
      <c r="N281" s="16"/>
      <c r="O281" s="16"/>
    </row>
    <row r="282" spans="1:15" ht="30" hidden="1" customHeight="1" x14ac:dyDescent="0.4">
      <c r="A282" s="107"/>
      <c r="B282" s="15"/>
      <c r="C282" s="204"/>
      <c r="D282" s="202"/>
      <c r="E282" s="203"/>
      <c r="F282" s="202"/>
      <c r="G282" s="99"/>
      <c r="H282" s="100"/>
      <c r="I282" s="106"/>
      <c r="J282" s="105"/>
      <c r="K282" s="16"/>
      <c r="L282" s="16"/>
      <c r="M282" s="101"/>
      <c r="N282" s="16"/>
      <c r="O282" s="16"/>
    </row>
    <row r="283" spans="1:15" ht="30" hidden="1" customHeight="1" x14ac:dyDescent="0.4">
      <c r="A283" s="107"/>
      <c r="B283" s="15"/>
      <c r="C283" s="204"/>
      <c r="D283" s="202"/>
      <c r="E283" s="203"/>
      <c r="F283" s="202"/>
      <c r="G283" s="99"/>
      <c r="H283" s="100"/>
      <c r="I283" s="106"/>
      <c r="J283" s="105"/>
      <c r="K283" s="16"/>
      <c r="L283" s="16"/>
      <c r="M283" s="101"/>
      <c r="N283" s="16"/>
      <c r="O283" s="16"/>
    </row>
    <row r="284" spans="1:15" ht="30" hidden="1" customHeight="1" x14ac:dyDescent="0.4">
      <c r="A284" s="107"/>
      <c r="B284" s="15"/>
      <c r="C284" s="204"/>
      <c r="D284" s="202"/>
      <c r="E284" s="203"/>
      <c r="F284" s="202"/>
      <c r="G284" s="99"/>
      <c r="H284" s="100"/>
      <c r="I284" s="106"/>
      <c r="J284" s="105"/>
      <c r="K284" s="16"/>
      <c r="L284" s="16"/>
      <c r="M284" s="101"/>
      <c r="N284" s="16"/>
      <c r="O284" s="16"/>
    </row>
    <row r="285" spans="1:15" ht="30" hidden="1" customHeight="1" x14ac:dyDescent="0.4">
      <c r="A285" s="107"/>
      <c r="B285" s="15"/>
      <c r="C285" s="204"/>
      <c r="D285" s="202"/>
      <c r="E285" s="203"/>
      <c r="F285" s="202"/>
      <c r="G285" s="99"/>
      <c r="H285" s="100"/>
      <c r="I285" s="106"/>
      <c r="J285" s="105"/>
      <c r="K285" s="16"/>
      <c r="L285" s="16"/>
      <c r="M285" s="101"/>
      <c r="N285" s="16"/>
      <c r="O285" s="16"/>
    </row>
    <row r="286" spans="1:15" ht="30" hidden="1" customHeight="1" x14ac:dyDescent="0.4">
      <c r="A286" s="107"/>
      <c r="B286" s="15"/>
      <c r="C286" s="204"/>
      <c r="D286" s="202"/>
      <c r="E286" s="203"/>
      <c r="F286" s="202"/>
      <c r="G286" s="99"/>
      <c r="H286" s="100"/>
      <c r="I286" s="106"/>
      <c r="J286" s="105"/>
      <c r="K286" s="16"/>
      <c r="L286" s="16"/>
      <c r="M286" s="101"/>
      <c r="N286" s="16"/>
      <c r="O286" s="16"/>
    </row>
    <row r="287" spans="1:15" ht="30" hidden="1" customHeight="1" x14ac:dyDescent="0.4">
      <c r="A287" s="107"/>
      <c r="B287" s="15"/>
      <c r="C287" s="204"/>
      <c r="D287" s="202"/>
      <c r="E287" s="203"/>
      <c r="F287" s="202"/>
      <c r="G287" s="99"/>
      <c r="H287" s="100"/>
      <c r="I287" s="106"/>
      <c r="J287" s="105"/>
      <c r="K287" s="16"/>
      <c r="L287" s="16"/>
      <c r="M287" s="101"/>
      <c r="N287" s="16"/>
      <c r="O287" s="16"/>
    </row>
    <row r="288" spans="1:15" ht="30" hidden="1" customHeight="1" x14ac:dyDescent="0.4">
      <c r="A288" s="107"/>
      <c r="B288" s="15"/>
      <c r="C288" s="204"/>
      <c r="D288" s="202"/>
      <c r="E288" s="203"/>
      <c r="F288" s="202"/>
      <c r="G288" s="99"/>
      <c r="H288" s="100"/>
      <c r="I288" s="106"/>
      <c r="J288" s="105"/>
      <c r="K288" s="16"/>
      <c r="L288" s="16"/>
      <c r="M288" s="101"/>
      <c r="N288" s="16"/>
      <c r="O288" s="16"/>
    </row>
    <row r="289" spans="1:15" ht="30" hidden="1" customHeight="1" x14ac:dyDescent="0.4">
      <c r="A289" s="107"/>
      <c r="B289" s="15"/>
      <c r="C289" s="204"/>
      <c r="D289" s="202"/>
      <c r="E289" s="203"/>
      <c r="F289" s="202"/>
      <c r="G289" s="99"/>
      <c r="H289" s="100"/>
      <c r="I289" s="106"/>
      <c r="J289" s="105"/>
      <c r="K289" s="16"/>
      <c r="L289" s="16"/>
      <c r="M289" s="101"/>
      <c r="N289" s="16"/>
      <c r="O289" s="16"/>
    </row>
    <row r="290" spans="1:15" ht="30" hidden="1" customHeight="1" x14ac:dyDescent="0.4">
      <c r="A290" s="107"/>
      <c r="B290" s="15"/>
      <c r="C290" s="204"/>
      <c r="D290" s="202"/>
      <c r="E290" s="203"/>
      <c r="F290" s="202"/>
      <c r="G290" s="99"/>
      <c r="H290" s="100"/>
      <c r="I290" s="106"/>
      <c r="J290" s="105"/>
      <c r="K290" s="16"/>
      <c r="L290" s="16"/>
      <c r="M290" s="101"/>
      <c r="N290" s="16"/>
      <c r="O290" s="16"/>
    </row>
    <row r="291" spans="1:15" ht="30" hidden="1" customHeight="1" x14ac:dyDescent="0.4">
      <c r="A291" s="107"/>
      <c r="B291" s="15"/>
      <c r="C291" s="204"/>
      <c r="D291" s="202"/>
      <c r="E291" s="203"/>
      <c r="F291" s="202"/>
      <c r="G291" s="99"/>
      <c r="H291" s="100"/>
      <c r="I291" s="106"/>
      <c r="J291" s="105"/>
      <c r="K291" s="16"/>
      <c r="L291" s="16"/>
      <c r="M291" s="101"/>
      <c r="N291" s="16"/>
      <c r="O291" s="16"/>
    </row>
    <row r="292" spans="1:15" ht="30" hidden="1" customHeight="1" x14ac:dyDescent="0.4">
      <c r="A292" s="107"/>
      <c r="B292" s="15"/>
      <c r="C292" s="204"/>
      <c r="D292" s="202"/>
      <c r="E292" s="203"/>
      <c r="F292" s="202"/>
      <c r="G292" s="99"/>
      <c r="H292" s="100"/>
      <c r="I292" s="106"/>
      <c r="J292" s="105"/>
      <c r="K292" s="16"/>
      <c r="L292" s="16"/>
      <c r="M292" s="101"/>
      <c r="N292" s="16"/>
      <c r="O292" s="16"/>
    </row>
    <row r="293" spans="1:15" ht="30" hidden="1" customHeight="1" x14ac:dyDescent="0.4">
      <c r="A293" s="107"/>
      <c r="B293" s="15"/>
      <c r="C293" s="204"/>
      <c r="D293" s="202"/>
      <c r="E293" s="203"/>
      <c r="F293" s="202"/>
      <c r="G293" s="99"/>
      <c r="H293" s="100"/>
      <c r="I293" s="106"/>
      <c r="J293" s="105"/>
      <c r="K293" s="16"/>
      <c r="L293" s="16"/>
      <c r="M293" s="101"/>
      <c r="N293" s="16"/>
      <c r="O293" s="16"/>
    </row>
    <row r="294" spans="1:15" ht="30" hidden="1" customHeight="1" x14ac:dyDescent="0.4">
      <c r="A294" s="107"/>
      <c r="B294" s="15"/>
      <c r="C294" s="204"/>
      <c r="D294" s="202"/>
      <c r="E294" s="203"/>
      <c r="F294" s="202"/>
      <c r="G294" s="99"/>
      <c r="H294" s="100"/>
      <c r="I294" s="106"/>
      <c r="J294" s="105"/>
      <c r="K294" s="16"/>
      <c r="L294" s="16"/>
      <c r="M294" s="101"/>
      <c r="N294" s="16"/>
      <c r="O294" s="16"/>
    </row>
    <row r="295" spans="1:15" ht="30" hidden="1" customHeight="1" x14ac:dyDescent="0.4">
      <c r="A295" s="107"/>
      <c r="B295" s="15"/>
      <c r="C295" s="204"/>
      <c r="D295" s="202"/>
      <c r="E295" s="203"/>
      <c r="F295" s="202"/>
      <c r="G295" s="99"/>
      <c r="H295" s="100"/>
      <c r="I295" s="106"/>
      <c r="J295" s="105"/>
      <c r="K295" s="16"/>
      <c r="L295" s="16"/>
      <c r="M295" s="101"/>
      <c r="N295" s="16"/>
      <c r="O295" s="16"/>
    </row>
    <row r="296" spans="1:15" ht="30" hidden="1" customHeight="1" x14ac:dyDescent="0.4">
      <c r="A296" s="107"/>
      <c r="B296" s="15"/>
      <c r="C296" s="204"/>
      <c r="D296" s="202"/>
      <c r="E296" s="203"/>
      <c r="F296" s="202"/>
      <c r="G296" s="99"/>
      <c r="H296" s="100"/>
      <c r="I296" s="106"/>
      <c r="J296" s="105"/>
      <c r="K296" s="16"/>
      <c r="L296" s="16"/>
      <c r="M296" s="101"/>
      <c r="N296" s="16"/>
      <c r="O296" s="16"/>
    </row>
    <row r="297" spans="1:15" ht="30" hidden="1" customHeight="1" x14ac:dyDescent="0.4">
      <c r="A297" s="107"/>
      <c r="B297" s="15"/>
      <c r="C297" s="204"/>
      <c r="D297" s="202"/>
      <c r="E297" s="203"/>
      <c r="F297" s="202"/>
      <c r="G297" s="99"/>
      <c r="H297" s="100"/>
      <c r="I297" s="106"/>
      <c r="J297" s="105"/>
      <c r="K297" s="16"/>
      <c r="L297" s="16"/>
      <c r="M297" s="101"/>
      <c r="N297" s="16"/>
      <c r="O297" s="16"/>
    </row>
    <row r="298" spans="1:15" ht="30" hidden="1" customHeight="1" x14ac:dyDescent="0.4">
      <c r="A298" s="107"/>
      <c r="B298" s="15"/>
      <c r="C298" s="204"/>
      <c r="D298" s="202"/>
      <c r="E298" s="203"/>
      <c r="F298" s="202"/>
      <c r="G298" s="99"/>
      <c r="H298" s="100"/>
      <c r="I298" s="106"/>
      <c r="J298" s="105"/>
      <c r="K298" s="16"/>
      <c r="L298" s="16"/>
      <c r="M298" s="101"/>
      <c r="N298" s="16"/>
      <c r="O298" s="16"/>
    </row>
    <row r="299" spans="1:15" ht="30" hidden="1" customHeight="1" x14ac:dyDescent="0.4">
      <c r="A299" s="107"/>
      <c r="B299" s="15"/>
      <c r="C299" s="204"/>
      <c r="D299" s="202"/>
      <c r="E299" s="203"/>
      <c r="F299" s="202"/>
      <c r="G299" s="99"/>
      <c r="H299" s="100"/>
      <c r="I299" s="106"/>
      <c r="J299" s="105"/>
      <c r="K299" s="16"/>
      <c r="L299" s="16"/>
      <c r="M299" s="101"/>
      <c r="N299" s="16"/>
      <c r="O299" s="16"/>
    </row>
    <row r="300" spans="1:15" ht="30" hidden="1" customHeight="1" x14ac:dyDescent="0.4">
      <c r="A300" s="107"/>
      <c r="B300" s="15"/>
      <c r="C300" s="204"/>
      <c r="D300" s="202"/>
      <c r="E300" s="203"/>
      <c r="F300" s="202"/>
      <c r="G300" s="99"/>
      <c r="H300" s="100"/>
      <c r="I300" s="106"/>
      <c r="J300" s="105"/>
      <c r="K300" s="16"/>
      <c r="L300" s="16"/>
      <c r="M300" s="101"/>
      <c r="N300" s="16"/>
      <c r="O300" s="16"/>
    </row>
    <row r="301" spans="1:15" ht="30" hidden="1" customHeight="1" x14ac:dyDescent="0.4">
      <c r="A301" s="107"/>
      <c r="B301" s="15"/>
      <c r="C301" s="204"/>
      <c r="D301" s="202"/>
      <c r="E301" s="203"/>
      <c r="F301" s="202"/>
      <c r="G301" s="99"/>
      <c r="H301" s="100"/>
      <c r="I301" s="106"/>
      <c r="J301" s="105"/>
      <c r="K301" s="16"/>
      <c r="L301" s="16"/>
      <c r="M301" s="101"/>
      <c r="N301" s="16"/>
      <c r="O301" s="16"/>
    </row>
    <row r="302" spans="1:15" ht="30" hidden="1" customHeight="1" x14ac:dyDescent="0.4">
      <c r="A302" s="107"/>
      <c r="B302" s="15"/>
      <c r="C302" s="204"/>
      <c r="D302" s="202"/>
      <c r="E302" s="203"/>
      <c r="F302" s="202"/>
      <c r="G302" s="99"/>
      <c r="H302" s="100"/>
      <c r="I302" s="106"/>
      <c r="J302" s="105"/>
      <c r="K302" s="16"/>
      <c r="L302" s="16"/>
      <c r="M302" s="101"/>
      <c r="N302" s="16"/>
      <c r="O302" s="16"/>
    </row>
    <row r="303" spans="1:15" ht="30" hidden="1" customHeight="1" x14ac:dyDescent="0.4">
      <c r="A303" s="107"/>
      <c r="B303" s="15"/>
      <c r="C303" s="204"/>
      <c r="D303" s="202"/>
      <c r="E303" s="203"/>
      <c r="F303" s="202"/>
      <c r="G303" s="99"/>
      <c r="H303" s="100"/>
      <c r="I303" s="106"/>
      <c r="J303" s="105"/>
      <c r="K303" s="16"/>
      <c r="L303" s="16"/>
      <c r="M303" s="101"/>
      <c r="N303" s="16"/>
      <c r="O303" s="16"/>
    </row>
    <row r="304" spans="1:15" ht="30" hidden="1" customHeight="1" x14ac:dyDescent="0.4">
      <c r="A304" s="107"/>
      <c r="B304" s="15"/>
      <c r="C304" s="204"/>
      <c r="D304" s="202"/>
      <c r="E304" s="203"/>
      <c r="F304" s="202"/>
      <c r="G304" s="99"/>
      <c r="H304" s="100"/>
      <c r="I304" s="106"/>
      <c r="J304" s="105"/>
      <c r="K304" s="16"/>
      <c r="L304" s="16"/>
      <c r="M304" s="101"/>
      <c r="N304" s="16"/>
      <c r="O304" s="16"/>
    </row>
    <row r="305" spans="1:15" ht="30" hidden="1" customHeight="1" x14ac:dyDescent="0.4">
      <c r="A305" s="107"/>
      <c r="B305" s="15"/>
      <c r="C305" s="204"/>
      <c r="D305" s="202"/>
      <c r="E305" s="203"/>
      <c r="F305" s="202"/>
      <c r="G305" s="99"/>
      <c r="H305" s="100"/>
      <c r="I305" s="106"/>
      <c r="J305" s="105"/>
      <c r="K305" s="16"/>
      <c r="L305" s="16"/>
      <c r="M305" s="101"/>
      <c r="N305" s="16"/>
      <c r="O305" s="16"/>
    </row>
    <row r="306" spans="1:15" ht="30" hidden="1" customHeight="1" x14ac:dyDescent="0.4">
      <c r="A306" s="107"/>
      <c r="B306" s="15"/>
      <c r="C306" s="204"/>
      <c r="D306" s="202"/>
      <c r="E306" s="203"/>
      <c r="F306" s="202"/>
      <c r="G306" s="99"/>
      <c r="H306" s="100"/>
      <c r="I306" s="106"/>
      <c r="J306" s="105"/>
      <c r="K306" s="16"/>
      <c r="L306" s="16"/>
      <c r="M306" s="101"/>
      <c r="N306" s="16"/>
      <c r="O306" s="16"/>
    </row>
    <row r="307" spans="1:15" ht="30" hidden="1" customHeight="1" x14ac:dyDescent="0.4">
      <c r="A307" s="107"/>
      <c r="B307" s="15"/>
      <c r="C307" s="204"/>
      <c r="D307" s="202"/>
      <c r="E307" s="203"/>
      <c r="F307" s="202"/>
      <c r="G307" s="99"/>
      <c r="H307" s="100"/>
      <c r="I307" s="106"/>
      <c r="J307" s="105"/>
      <c r="K307" s="16"/>
      <c r="L307" s="16"/>
      <c r="M307" s="101"/>
      <c r="N307" s="16"/>
      <c r="O307" s="16"/>
    </row>
    <row r="308" spans="1:15" ht="30" hidden="1" customHeight="1" x14ac:dyDescent="0.4">
      <c r="A308" s="107"/>
      <c r="B308" s="15"/>
      <c r="C308" s="204"/>
      <c r="D308" s="202"/>
      <c r="E308" s="203"/>
      <c r="F308" s="202"/>
      <c r="G308" s="99"/>
      <c r="H308" s="100"/>
      <c r="I308" s="106"/>
      <c r="J308" s="105"/>
      <c r="K308" s="16"/>
      <c r="L308" s="16"/>
      <c r="M308" s="101"/>
      <c r="N308" s="16"/>
      <c r="O308" s="16"/>
    </row>
    <row r="309" spans="1:15" ht="30" hidden="1" customHeight="1" x14ac:dyDescent="0.4">
      <c r="A309" s="107"/>
      <c r="B309" s="15"/>
      <c r="C309" s="204"/>
      <c r="D309" s="202"/>
      <c r="E309" s="203"/>
      <c r="F309" s="202"/>
      <c r="G309" s="99"/>
      <c r="H309" s="100"/>
      <c r="I309" s="106"/>
      <c r="J309" s="105"/>
      <c r="K309" s="16"/>
      <c r="L309" s="16"/>
      <c r="M309" s="101"/>
      <c r="N309" s="16"/>
      <c r="O309" s="16"/>
    </row>
    <row r="310" spans="1:15" ht="30" hidden="1" customHeight="1" x14ac:dyDescent="0.4">
      <c r="A310" s="107"/>
      <c r="B310" s="15"/>
      <c r="C310" s="204"/>
      <c r="D310" s="202"/>
      <c r="E310" s="203"/>
      <c r="F310" s="202"/>
      <c r="G310" s="99"/>
      <c r="H310" s="100"/>
      <c r="I310" s="106"/>
      <c r="J310" s="105"/>
      <c r="K310" s="16"/>
      <c r="L310" s="16"/>
      <c r="M310" s="101"/>
      <c r="N310" s="16"/>
      <c r="O310" s="16"/>
    </row>
    <row r="311" spans="1:15" ht="30" hidden="1" customHeight="1" x14ac:dyDescent="0.4">
      <c r="A311" s="107"/>
      <c r="B311" s="15"/>
      <c r="C311" s="204"/>
      <c r="D311" s="202"/>
      <c r="E311" s="203"/>
      <c r="F311" s="202"/>
      <c r="G311" s="99"/>
      <c r="H311" s="100"/>
      <c r="I311" s="106"/>
      <c r="J311" s="105"/>
      <c r="K311" s="16"/>
      <c r="L311" s="16"/>
      <c r="M311" s="101"/>
      <c r="N311" s="16"/>
      <c r="O311" s="16"/>
    </row>
    <row r="312" spans="1:15" ht="30" hidden="1" customHeight="1" x14ac:dyDescent="0.4">
      <c r="A312" s="107"/>
      <c r="B312" s="15"/>
      <c r="C312" s="204"/>
      <c r="D312" s="202"/>
      <c r="E312" s="203"/>
      <c r="F312" s="202"/>
      <c r="G312" s="99"/>
      <c r="H312" s="100"/>
      <c r="I312" s="106"/>
      <c r="J312" s="105"/>
      <c r="K312" s="16"/>
      <c r="L312" s="16"/>
      <c r="M312" s="101"/>
      <c r="N312" s="16"/>
      <c r="O312" s="16"/>
    </row>
    <row r="313" spans="1:15" ht="30" hidden="1" customHeight="1" x14ac:dyDescent="0.4">
      <c r="A313" s="107"/>
      <c r="B313" s="15"/>
      <c r="C313" s="204"/>
      <c r="D313" s="202"/>
      <c r="E313" s="203"/>
      <c r="F313" s="202"/>
      <c r="G313" s="99"/>
      <c r="H313" s="100"/>
      <c r="I313" s="106"/>
      <c r="J313" s="105"/>
      <c r="K313" s="16"/>
      <c r="L313" s="16"/>
      <c r="M313" s="101"/>
      <c r="N313" s="16"/>
      <c r="O313" s="16"/>
    </row>
    <row r="314" spans="1:15" ht="30" hidden="1" customHeight="1" x14ac:dyDescent="0.4">
      <c r="A314" s="107"/>
      <c r="B314" s="15"/>
      <c r="C314" s="204"/>
      <c r="D314" s="202"/>
      <c r="E314" s="203"/>
      <c r="F314" s="202"/>
      <c r="G314" s="99"/>
      <c r="H314" s="100"/>
      <c r="I314" s="106"/>
      <c r="J314" s="105"/>
      <c r="K314" s="16"/>
      <c r="L314" s="16"/>
      <c r="M314" s="101"/>
      <c r="N314" s="16"/>
      <c r="O314" s="16"/>
    </row>
    <row r="315" spans="1:15" ht="30" hidden="1" customHeight="1" x14ac:dyDescent="0.4">
      <c r="A315" s="107"/>
      <c r="B315" s="15"/>
      <c r="C315" s="204"/>
      <c r="D315" s="202"/>
      <c r="E315" s="203"/>
      <c r="F315" s="202"/>
      <c r="G315" s="99"/>
      <c r="H315" s="100"/>
      <c r="I315" s="106"/>
      <c r="J315" s="105"/>
      <c r="K315" s="16"/>
      <c r="L315" s="16"/>
      <c r="M315" s="101"/>
      <c r="N315" s="16"/>
      <c r="O315" s="16"/>
    </row>
    <row r="316" spans="1:15" ht="30" hidden="1" customHeight="1" x14ac:dyDescent="0.4">
      <c r="A316" s="107"/>
      <c r="B316" s="15"/>
      <c r="C316" s="204"/>
      <c r="D316" s="202"/>
      <c r="E316" s="203"/>
      <c r="F316" s="202"/>
      <c r="G316" s="99"/>
      <c r="H316" s="100"/>
      <c r="I316" s="106"/>
      <c r="J316" s="105"/>
      <c r="K316" s="16"/>
      <c r="L316" s="16"/>
      <c r="M316" s="101"/>
      <c r="N316" s="16"/>
      <c r="O316" s="16"/>
    </row>
    <row r="317" spans="1:15" ht="30" hidden="1" customHeight="1" x14ac:dyDescent="0.4">
      <c r="A317" s="107"/>
      <c r="B317" s="15"/>
      <c r="C317" s="204"/>
      <c r="D317" s="202"/>
      <c r="E317" s="203"/>
      <c r="F317" s="202"/>
      <c r="G317" s="99"/>
      <c r="H317" s="100"/>
      <c r="I317" s="106"/>
      <c r="J317" s="105"/>
      <c r="K317" s="16"/>
      <c r="L317" s="16"/>
      <c r="M317" s="101"/>
      <c r="N317" s="16"/>
      <c r="O317" s="16"/>
    </row>
    <row r="318" spans="1:15" ht="30" hidden="1" customHeight="1" x14ac:dyDescent="0.4">
      <c r="A318" s="107"/>
      <c r="B318" s="15"/>
      <c r="C318" s="204"/>
      <c r="D318" s="202"/>
      <c r="E318" s="203"/>
      <c r="F318" s="202"/>
      <c r="G318" s="99"/>
      <c r="H318" s="100"/>
      <c r="I318" s="106"/>
      <c r="J318" s="105"/>
      <c r="K318" s="16"/>
      <c r="L318" s="16"/>
      <c r="M318" s="101"/>
      <c r="N318" s="16"/>
      <c r="O318" s="16"/>
    </row>
    <row r="319" spans="1:15" ht="30" hidden="1" customHeight="1" x14ac:dyDescent="0.4">
      <c r="A319" s="107"/>
      <c r="B319" s="15"/>
      <c r="C319" s="204"/>
      <c r="D319" s="202"/>
      <c r="E319" s="203"/>
      <c r="F319" s="202"/>
      <c r="G319" s="99"/>
      <c r="H319" s="100"/>
      <c r="I319" s="106"/>
      <c r="J319" s="105"/>
      <c r="K319" s="16"/>
      <c r="L319" s="16"/>
      <c r="M319" s="101"/>
      <c r="N319" s="16"/>
      <c r="O319" s="16"/>
    </row>
    <row r="320" spans="1:15" ht="30" hidden="1" customHeight="1" x14ac:dyDescent="0.4">
      <c r="A320" s="107"/>
      <c r="B320" s="15"/>
      <c r="C320" s="204"/>
      <c r="D320" s="202"/>
      <c r="E320" s="203"/>
      <c r="F320" s="202"/>
      <c r="G320" s="99"/>
      <c r="H320" s="100"/>
      <c r="I320" s="106"/>
      <c r="J320" s="105"/>
      <c r="K320" s="16"/>
      <c r="L320" s="16"/>
      <c r="M320" s="101"/>
      <c r="N320" s="16"/>
      <c r="O320" s="16"/>
    </row>
    <row r="321" spans="1:15" ht="30" hidden="1" customHeight="1" x14ac:dyDescent="0.4">
      <c r="A321" s="107"/>
      <c r="B321" s="15"/>
      <c r="C321" s="204"/>
      <c r="D321" s="202"/>
      <c r="E321" s="203"/>
      <c r="F321" s="202"/>
      <c r="G321" s="99"/>
      <c r="H321" s="100"/>
      <c r="I321" s="106"/>
      <c r="J321" s="105"/>
      <c r="K321" s="16"/>
      <c r="L321" s="16"/>
      <c r="M321" s="101"/>
      <c r="N321" s="16"/>
      <c r="O321" s="16"/>
    </row>
    <row r="322" spans="1:15" ht="30" hidden="1" customHeight="1" x14ac:dyDescent="0.4">
      <c r="A322" s="107"/>
      <c r="B322" s="15"/>
      <c r="C322" s="204"/>
      <c r="D322" s="202"/>
      <c r="E322" s="203"/>
      <c r="F322" s="202"/>
      <c r="G322" s="99"/>
      <c r="H322" s="100"/>
      <c r="I322" s="106"/>
      <c r="J322" s="105"/>
      <c r="K322" s="16"/>
      <c r="L322" s="16"/>
      <c r="M322" s="101"/>
      <c r="N322" s="16"/>
      <c r="O322" s="16"/>
    </row>
    <row r="323" spans="1:15" ht="30" hidden="1" customHeight="1" x14ac:dyDescent="0.4">
      <c r="A323" s="107"/>
      <c r="B323" s="15"/>
      <c r="C323" s="204"/>
      <c r="D323" s="202"/>
      <c r="E323" s="203"/>
      <c r="F323" s="202"/>
      <c r="G323" s="99"/>
      <c r="H323" s="100"/>
      <c r="I323" s="106"/>
      <c r="J323" s="105"/>
      <c r="K323" s="16"/>
      <c r="L323" s="16"/>
      <c r="M323" s="101"/>
      <c r="N323" s="16"/>
      <c r="O323" s="16"/>
    </row>
    <row r="324" spans="1:15" ht="30" hidden="1" customHeight="1" x14ac:dyDescent="0.4">
      <c r="A324" s="107"/>
      <c r="B324" s="15"/>
      <c r="C324" s="204"/>
      <c r="D324" s="202"/>
      <c r="E324" s="203"/>
      <c r="F324" s="202"/>
      <c r="G324" s="99"/>
      <c r="H324" s="100"/>
      <c r="I324" s="106"/>
      <c r="J324" s="105"/>
      <c r="K324" s="16"/>
      <c r="L324" s="16"/>
      <c r="M324" s="101"/>
      <c r="N324" s="16"/>
      <c r="O324" s="16"/>
    </row>
    <row r="325" spans="1:15" ht="30" hidden="1" customHeight="1" x14ac:dyDescent="0.4">
      <c r="A325" s="107"/>
      <c r="B325" s="15"/>
      <c r="C325" s="204"/>
      <c r="D325" s="202"/>
      <c r="E325" s="203"/>
      <c r="F325" s="202"/>
      <c r="G325" s="99"/>
      <c r="H325" s="100"/>
      <c r="I325" s="106"/>
      <c r="J325" s="105"/>
      <c r="K325" s="16"/>
      <c r="L325" s="16"/>
      <c r="M325" s="101"/>
      <c r="N325" s="16"/>
      <c r="O325" s="16"/>
    </row>
    <row r="326" spans="1:15" ht="30" hidden="1" customHeight="1" x14ac:dyDescent="0.4">
      <c r="A326" s="107"/>
      <c r="B326" s="15"/>
      <c r="C326" s="204"/>
      <c r="D326" s="202"/>
      <c r="E326" s="203"/>
      <c r="F326" s="202"/>
      <c r="G326" s="99"/>
      <c r="H326" s="100"/>
      <c r="I326" s="106"/>
      <c r="J326" s="105"/>
      <c r="K326" s="16"/>
      <c r="L326" s="16"/>
      <c r="M326" s="101"/>
      <c r="N326" s="16"/>
      <c r="O326" s="16"/>
    </row>
    <row r="327" spans="1:15" ht="30" hidden="1" customHeight="1" x14ac:dyDescent="0.4">
      <c r="A327" s="107"/>
      <c r="B327" s="15"/>
      <c r="C327" s="204"/>
      <c r="D327" s="202"/>
      <c r="E327" s="203"/>
      <c r="F327" s="202"/>
      <c r="G327" s="99"/>
      <c r="H327" s="100"/>
      <c r="I327" s="106"/>
      <c r="J327" s="105"/>
      <c r="K327" s="16"/>
      <c r="L327" s="16"/>
      <c r="M327" s="101"/>
      <c r="N327" s="16"/>
      <c r="O327" s="16"/>
    </row>
    <row r="328" spans="1:15" ht="30" hidden="1" customHeight="1" x14ac:dyDescent="0.4">
      <c r="A328" s="107"/>
      <c r="B328" s="15"/>
      <c r="C328" s="204"/>
      <c r="D328" s="202"/>
      <c r="E328" s="203"/>
      <c r="F328" s="202"/>
      <c r="G328" s="99"/>
      <c r="H328" s="100"/>
      <c r="I328" s="106"/>
      <c r="J328" s="105"/>
      <c r="K328" s="16"/>
      <c r="L328" s="16"/>
      <c r="M328" s="101"/>
      <c r="N328" s="16"/>
      <c r="O328" s="16"/>
    </row>
    <row r="329" spans="1:15" ht="30" hidden="1" customHeight="1" x14ac:dyDescent="0.4">
      <c r="A329" s="107"/>
      <c r="B329" s="15"/>
      <c r="C329" s="204"/>
      <c r="D329" s="202"/>
      <c r="E329" s="203"/>
      <c r="F329" s="202"/>
      <c r="G329" s="99"/>
      <c r="H329" s="100"/>
      <c r="I329" s="106"/>
      <c r="J329" s="105"/>
      <c r="K329" s="16"/>
      <c r="L329" s="16"/>
      <c r="M329" s="101"/>
      <c r="N329" s="16"/>
      <c r="O329" s="16"/>
    </row>
    <row r="330" spans="1:15" ht="30" hidden="1" customHeight="1" x14ac:dyDescent="0.4">
      <c r="A330" s="107"/>
      <c r="B330" s="15"/>
      <c r="C330" s="204"/>
      <c r="D330" s="202"/>
      <c r="E330" s="203"/>
      <c r="F330" s="202"/>
      <c r="G330" s="99"/>
      <c r="H330" s="100"/>
      <c r="I330" s="106"/>
      <c r="J330" s="105"/>
      <c r="K330" s="16"/>
      <c r="L330" s="16"/>
      <c r="M330" s="101"/>
      <c r="N330" s="16"/>
      <c r="O330" s="16"/>
    </row>
    <row r="331" spans="1:15" ht="30" hidden="1" customHeight="1" x14ac:dyDescent="0.4">
      <c r="A331" s="107"/>
      <c r="B331" s="15"/>
      <c r="C331" s="204"/>
      <c r="D331" s="202"/>
      <c r="E331" s="203"/>
      <c r="F331" s="202"/>
      <c r="G331" s="99"/>
      <c r="H331" s="100"/>
      <c r="I331" s="106"/>
      <c r="J331" s="105"/>
      <c r="K331" s="16"/>
      <c r="L331" s="16"/>
      <c r="M331" s="101"/>
      <c r="N331" s="16"/>
      <c r="O331" s="16"/>
    </row>
    <row r="332" spans="1:15" ht="30" hidden="1" customHeight="1" x14ac:dyDescent="0.4">
      <c r="A332" s="107"/>
      <c r="B332" s="15"/>
      <c r="C332" s="204"/>
      <c r="D332" s="202"/>
      <c r="E332" s="203"/>
      <c r="F332" s="202"/>
      <c r="G332" s="99"/>
      <c r="H332" s="100"/>
      <c r="I332" s="106"/>
      <c r="J332" s="105"/>
      <c r="K332" s="16"/>
      <c r="L332" s="16"/>
      <c r="M332" s="101"/>
      <c r="N332" s="16"/>
      <c r="O332" s="16"/>
    </row>
    <row r="333" spans="1:15" ht="30" hidden="1" customHeight="1" x14ac:dyDescent="0.4">
      <c r="A333" s="107"/>
      <c r="B333" s="15"/>
      <c r="C333" s="204"/>
      <c r="D333" s="202"/>
      <c r="E333" s="203"/>
      <c r="F333" s="202"/>
      <c r="G333" s="99"/>
      <c r="H333" s="100"/>
      <c r="I333" s="106"/>
      <c r="J333" s="105"/>
      <c r="K333" s="16"/>
      <c r="L333" s="16"/>
      <c r="M333" s="101"/>
      <c r="N333" s="16"/>
      <c r="O333" s="16"/>
    </row>
    <row r="334" spans="1:15" ht="30" hidden="1" customHeight="1" x14ac:dyDescent="0.4">
      <c r="A334" s="107"/>
      <c r="B334" s="15"/>
      <c r="C334" s="204"/>
      <c r="D334" s="202"/>
      <c r="E334" s="203"/>
      <c r="F334" s="202"/>
      <c r="G334" s="99"/>
      <c r="H334" s="100"/>
      <c r="I334" s="106"/>
      <c r="J334" s="105"/>
      <c r="K334" s="16"/>
      <c r="L334" s="16"/>
      <c r="M334" s="101"/>
      <c r="N334" s="16"/>
      <c r="O334" s="16"/>
    </row>
    <row r="335" spans="1:15" ht="30" hidden="1" customHeight="1" x14ac:dyDescent="0.4">
      <c r="A335" s="107"/>
      <c r="B335" s="15"/>
      <c r="C335" s="204"/>
      <c r="D335" s="202"/>
      <c r="E335" s="203"/>
      <c r="F335" s="202"/>
      <c r="G335" s="99"/>
      <c r="H335" s="100"/>
      <c r="I335" s="106"/>
      <c r="J335" s="105"/>
      <c r="K335" s="16"/>
      <c r="L335" s="16"/>
      <c r="M335" s="101"/>
      <c r="N335" s="16"/>
      <c r="O335" s="16"/>
    </row>
    <row r="336" spans="1:15" ht="30" hidden="1" customHeight="1" x14ac:dyDescent="0.4">
      <c r="A336" s="107"/>
      <c r="B336" s="15"/>
      <c r="C336" s="204"/>
      <c r="D336" s="202"/>
      <c r="E336" s="203"/>
      <c r="F336" s="202"/>
      <c r="G336" s="99"/>
      <c r="H336" s="100"/>
      <c r="I336" s="106"/>
      <c r="J336" s="105"/>
      <c r="K336" s="16"/>
      <c r="L336" s="16"/>
      <c r="M336" s="101"/>
      <c r="N336" s="16"/>
      <c r="O336" s="16"/>
    </row>
    <row r="337" spans="1:15" ht="30" hidden="1" customHeight="1" x14ac:dyDescent="0.4">
      <c r="A337" s="107"/>
      <c r="B337" s="15"/>
      <c r="C337" s="204"/>
      <c r="D337" s="202"/>
      <c r="E337" s="203"/>
      <c r="F337" s="202"/>
      <c r="G337" s="99"/>
      <c r="H337" s="100"/>
      <c r="I337" s="106"/>
      <c r="J337" s="105"/>
      <c r="K337" s="16"/>
      <c r="L337" s="16"/>
      <c r="M337" s="101"/>
      <c r="N337" s="16"/>
      <c r="O337" s="16"/>
    </row>
    <row r="338" spans="1:15" ht="30" hidden="1" customHeight="1" x14ac:dyDescent="0.4">
      <c r="A338" s="107"/>
      <c r="B338" s="15"/>
      <c r="C338" s="204"/>
      <c r="D338" s="202"/>
      <c r="E338" s="203"/>
      <c r="F338" s="202"/>
      <c r="G338" s="99"/>
      <c r="H338" s="100"/>
      <c r="I338" s="106"/>
      <c r="J338" s="105"/>
      <c r="K338" s="16"/>
      <c r="L338" s="16"/>
      <c r="M338" s="101"/>
      <c r="N338" s="16"/>
      <c r="O338" s="16"/>
    </row>
    <row r="339" spans="1:15" ht="30" hidden="1" customHeight="1" x14ac:dyDescent="0.4">
      <c r="A339" s="107"/>
      <c r="B339" s="15"/>
      <c r="C339" s="204"/>
      <c r="D339" s="202"/>
      <c r="E339" s="203"/>
      <c r="F339" s="202"/>
      <c r="G339" s="99"/>
      <c r="H339" s="100"/>
      <c r="I339" s="106"/>
      <c r="J339" s="105"/>
      <c r="K339" s="16"/>
      <c r="L339" s="16"/>
      <c r="M339" s="101"/>
      <c r="N339" s="16"/>
      <c r="O339" s="16"/>
    </row>
    <row r="340" spans="1:15" ht="30" hidden="1" customHeight="1" x14ac:dyDescent="0.4">
      <c r="A340" s="107"/>
      <c r="B340" s="15"/>
      <c r="C340" s="204"/>
      <c r="D340" s="202"/>
      <c r="E340" s="203"/>
      <c r="F340" s="202"/>
      <c r="G340" s="99"/>
      <c r="H340" s="100"/>
      <c r="I340" s="106"/>
      <c r="J340" s="105"/>
      <c r="K340" s="16"/>
      <c r="L340" s="16"/>
      <c r="M340" s="101"/>
      <c r="N340" s="16"/>
      <c r="O340" s="16"/>
    </row>
    <row r="341" spans="1:15" ht="30" hidden="1" customHeight="1" x14ac:dyDescent="0.4">
      <c r="A341" s="107"/>
      <c r="B341" s="15"/>
      <c r="C341" s="204"/>
      <c r="D341" s="202"/>
      <c r="E341" s="203"/>
      <c r="F341" s="202"/>
      <c r="G341" s="99"/>
      <c r="H341" s="100"/>
      <c r="I341" s="106"/>
      <c r="J341" s="105"/>
      <c r="K341" s="16"/>
      <c r="L341" s="16"/>
      <c r="M341" s="101"/>
      <c r="N341" s="16"/>
      <c r="O341" s="16"/>
    </row>
    <row r="342" spans="1:15" ht="30" hidden="1" customHeight="1" x14ac:dyDescent="0.4">
      <c r="A342" s="107"/>
      <c r="B342" s="15"/>
      <c r="C342" s="204"/>
      <c r="D342" s="202"/>
      <c r="E342" s="203"/>
      <c r="F342" s="202"/>
      <c r="G342" s="99"/>
      <c r="H342" s="100"/>
      <c r="I342" s="106"/>
      <c r="J342" s="105"/>
      <c r="K342" s="16"/>
      <c r="L342" s="16"/>
      <c r="M342" s="101"/>
      <c r="N342" s="16"/>
      <c r="O342" s="16"/>
    </row>
    <row r="343" spans="1:15" ht="30" hidden="1" customHeight="1" x14ac:dyDescent="0.4">
      <c r="A343" s="107"/>
      <c r="B343" s="15"/>
      <c r="C343" s="204"/>
      <c r="D343" s="202"/>
      <c r="E343" s="203"/>
      <c r="F343" s="202"/>
      <c r="G343" s="99"/>
      <c r="H343" s="100"/>
      <c r="I343" s="106"/>
      <c r="J343" s="105"/>
      <c r="K343" s="16"/>
      <c r="L343" s="16"/>
      <c r="M343" s="101"/>
      <c r="N343" s="16"/>
      <c r="O343" s="16"/>
    </row>
    <row r="344" spans="1:15" ht="30" hidden="1" customHeight="1" x14ac:dyDescent="0.4">
      <c r="A344" s="107"/>
      <c r="B344" s="15"/>
      <c r="C344" s="204"/>
      <c r="D344" s="202"/>
      <c r="E344" s="203"/>
      <c r="F344" s="202"/>
      <c r="G344" s="99"/>
      <c r="H344" s="100"/>
      <c r="I344" s="106"/>
      <c r="J344" s="105"/>
      <c r="K344" s="16"/>
      <c r="L344" s="16"/>
      <c r="M344" s="101"/>
      <c r="N344" s="16"/>
      <c r="O344" s="16"/>
    </row>
    <row r="345" spans="1:15" ht="30" hidden="1" customHeight="1" x14ac:dyDescent="0.4">
      <c r="A345" s="107"/>
      <c r="B345" s="15"/>
      <c r="C345" s="204"/>
      <c r="D345" s="202"/>
      <c r="E345" s="203"/>
      <c r="F345" s="202"/>
      <c r="G345" s="99"/>
      <c r="H345" s="100"/>
      <c r="I345" s="106"/>
      <c r="J345" s="105"/>
      <c r="K345" s="16"/>
      <c r="L345" s="16"/>
      <c r="M345" s="101"/>
      <c r="N345" s="16"/>
      <c r="O345" s="16"/>
    </row>
    <row r="346" spans="1:15" ht="30" hidden="1" customHeight="1" x14ac:dyDescent="0.4">
      <c r="A346" s="107"/>
      <c r="B346" s="15"/>
      <c r="C346" s="204"/>
      <c r="D346" s="202"/>
      <c r="E346" s="203"/>
      <c r="F346" s="202"/>
      <c r="G346" s="99"/>
      <c r="H346" s="100"/>
      <c r="I346" s="106"/>
      <c r="J346" s="105"/>
      <c r="K346" s="16"/>
      <c r="L346" s="16"/>
      <c r="M346" s="101"/>
      <c r="N346" s="16"/>
      <c r="O346" s="16"/>
    </row>
    <row r="347" spans="1:15" ht="30" hidden="1" customHeight="1" x14ac:dyDescent="0.4">
      <c r="A347" s="107"/>
      <c r="B347" s="15"/>
      <c r="C347" s="204"/>
      <c r="D347" s="202"/>
      <c r="E347" s="203"/>
      <c r="F347" s="202"/>
      <c r="G347" s="99"/>
      <c r="H347" s="100"/>
      <c r="I347" s="106"/>
      <c r="J347" s="105"/>
      <c r="K347" s="16"/>
      <c r="L347" s="16"/>
      <c r="M347" s="101"/>
      <c r="N347" s="16"/>
      <c r="O347" s="16"/>
    </row>
    <row r="348" spans="1:15" ht="30" hidden="1" customHeight="1" x14ac:dyDescent="0.4">
      <c r="A348" s="107"/>
      <c r="B348" s="15"/>
      <c r="C348" s="204"/>
      <c r="D348" s="202"/>
      <c r="E348" s="203"/>
      <c r="F348" s="202"/>
      <c r="G348" s="99"/>
      <c r="H348" s="100"/>
      <c r="I348" s="106"/>
      <c r="J348" s="105"/>
      <c r="K348" s="16"/>
      <c r="L348" s="16"/>
      <c r="M348" s="101"/>
      <c r="N348" s="16"/>
      <c r="O348" s="16"/>
    </row>
    <row r="349" spans="1:15" ht="30" hidden="1" customHeight="1" x14ac:dyDescent="0.4">
      <c r="A349" s="107"/>
      <c r="B349" s="15"/>
      <c r="C349" s="204"/>
      <c r="D349" s="202"/>
      <c r="E349" s="203"/>
      <c r="F349" s="202"/>
      <c r="G349" s="99"/>
      <c r="H349" s="100"/>
      <c r="I349" s="106"/>
      <c r="J349" s="105"/>
      <c r="K349" s="16"/>
      <c r="L349" s="16"/>
      <c r="M349" s="101"/>
      <c r="N349" s="16"/>
      <c r="O349" s="16"/>
    </row>
    <row r="350" spans="1:15" ht="30" hidden="1" customHeight="1" x14ac:dyDescent="0.4">
      <c r="A350" s="107"/>
      <c r="B350" s="15"/>
      <c r="C350" s="204"/>
      <c r="D350" s="202"/>
      <c r="E350" s="203"/>
      <c r="F350" s="202"/>
      <c r="G350" s="99"/>
      <c r="H350" s="100"/>
      <c r="I350" s="106"/>
      <c r="J350" s="105"/>
      <c r="K350" s="16"/>
      <c r="L350" s="16"/>
      <c r="M350" s="101"/>
      <c r="N350" s="16"/>
      <c r="O350" s="16"/>
    </row>
    <row r="351" spans="1:15" ht="30" hidden="1" customHeight="1" x14ac:dyDescent="0.4">
      <c r="A351" s="107"/>
      <c r="B351" s="15"/>
      <c r="C351" s="204"/>
      <c r="D351" s="202"/>
      <c r="E351" s="203"/>
      <c r="F351" s="202"/>
      <c r="G351" s="99"/>
      <c r="H351" s="100"/>
      <c r="I351" s="106"/>
      <c r="J351" s="105"/>
      <c r="K351" s="16"/>
      <c r="L351" s="16"/>
      <c r="M351" s="101"/>
      <c r="N351" s="16"/>
      <c r="O351" s="16"/>
    </row>
    <row r="352" spans="1:15" ht="30" hidden="1" customHeight="1" x14ac:dyDescent="0.4">
      <c r="A352" s="107"/>
      <c r="B352" s="15"/>
      <c r="C352" s="204"/>
      <c r="D352" s="202"/>
      <c r="E352" s="203"/>
      <c r="F352" s="202"/>
      <c r="G352" s="99"/>
      <c r="H352" s="100"/>
      <c r="I352" s="106"/>
      <c r="J352" s="105"/>
      <c r="K352" s="16"/>
      <c r="L352" s="16"/>
      <c r="M352" s="101"/>
      <c r="N352" s="16"/>
      <c r="O352" s="16"/>
    </row>
    <row r="353" spans="1:15" ht="30" hidden="1" customHeight="1" x14ac:dyDescent="0.4">
      <c r="A353" s="107"/>
      <c r="B353" s="15"/>
      <c r="C353" s="204"/>
      <c r="D353" s="202"/>
      <c r="E353" s="203"/>
      <c r="F353" s="202"/>
      <c r="G353" s="99"/>
      <c r="H353" s="100"/>
      <c r="I353" s="106"/>
      <c r="J353" s="105"/>
      <c r="K353" s="16"/>
      <c r="L353" s="16"/>
      <c r="M353" s="101"/>
      <c r="N353" s="16"/>
      <c r="O353" s="16"/>
    </row>
    <row r="354" spans="1:15" ht="30" hidden="1" customHeight="1" x14ac:dyDescent="0.4">
      <c r="A354" s="107"/>
      <c r="B354" s="15"/>
      <c r="C354" s="204"/>
      <c r="D354" s="202"/>
      <c r="E354" s="203"/>
      <c r="F354" s="202"/>
      <c r="G354" s="99"/>
      <c r="H354" s="100"/>
      <c r="I354" s="106"/>
      <c r="J354" s="105"/>
      <c r="K354" s="16"/>
      <c r="L354" s="16"/>
      <c r="M354" s="101"/>
      <c r="N354" s="16"/>
      <c r="O354" s="16"/>
    </row>
    <row r="355" spans="1:15" ht="30" hidden="1" customHeight="1" x14ac:dyDescent="0.4">
      <c r="A355" s="107"/>
      <c r="B355" s="15"/>
      <c r="C355" s="204"/>
      <c r="D355" s="202"/>
      <c r="E355" s="203"/>
      <c r="F355" s="202"/>
      <c r="G355" s="99"/>
      <c r="H355" s="100"/>
      <c r="I355" s="106"/>
      <c r="J355" s="105"/>
      <c r="K355" s="16"/>
      <c r="L355" s="16"/>
      <c r="M355" s="101"/>
      <c r="N355" s="16"/>
      <c r="O355" s="16"/>
    </row>
    <row r="356" spans="1:15" ht="30" hidden="1" customHeight="1" x14ac:dyDescent="0.4">
      <c r="A356" s="107"/>
      <c r="B356" s="15"/>
      <c r="C356" s="204"/>
      <c r="D356" s="202"/>
      <c r="E356" s="203"/>
      <c r="F356" s="202"/>
      <c r="G356" s="99"/>
      <c r="H356" s="100"/>
      <c r="I356" s="106"/>
      <c r="J356" s="105"/>
      <c r="K356" s="16"/>
      <c r="L356" s="16"/>
      <c r="M356" s="101"/>
      <c r="N356" s="16"/>
      <c r="O356" s="16"/>
    </row>
    <row r="357" spans="1:15" ht="30" hidden="1" customHeight="1" x14ac:dyDescent="0.4">
      <c r="A357" s="107"/>
      <c r="B357" s="15"/>
      <c r="C357" s="204"/>
      <c r="D357" s="202"/>
      <c r="E357" s="203"/>
      <c r="F357" s="202"/>
      <c r="G357" s="99"/>
      <c r="H357" s="100"/>
      <c r="I357" s="106"/>
      <c r="J357" s="105"/>
      <c r="K357" s="16"/>
      <c r="L357" s="16"/>
      <c r="M357" s="101"/>
      <c r="N357" s="16"/>
      <c r="O357" s="16"/>
    </row>
    <row r="358" spans="1:15" ht="30" hidden="1" customHeight="1" x14ac:dyDescent="0.4">
      <c r="A358" s="107"/>
      <c r="B358" s="15"/>
      <c r="C358" s="204"/>
      <c r="D358" s="202"/>
      <c r="E358" s="203"/>
      <c r="F358" s="202"/>
      <c r="G358" s="99"/>
      <c r="H358" s="100"/>
      <c r="I358" s="106"/>
      <c r="J358" s="105"/>
      <c r="K358" s="16"/>
      <c r="L358" s="16"/>
      <c r="M358" s="101"/>
      <c r="N358" s="16"/>
      <c r="O358" s="16"/>
    </row>
    <row r="359" spans="1:15" ht="30" hidden="1" customHeight="1" x14ac:dyDescent="0.4">
      <c r="A359" s="107"/>
      <c r="B359" s="15"/>
      <c r="C359" s="204"/>
      <c r="D359" s="202"/>
      <c r="E359" s="203"/>
      <c r="F359" s="202"/>
      <c r="G359" s="99"/>
      <c r="H359" s="100"/>
      <c r="I359" s="106"/>
      <c r="J359" s="105"/>
      <c r="K359" s="16"/>
      <c r="L359" s="16"/>
      <c r="M359" s="101"/>
      <c r="N359" s="16"/>
      <c r="O359" s="16"/>
    </row>
    <row r="360" spans="1:15" ht="30" hidden="1" customHeight="1" x14ac:dyDescent="0.4">
      <c r="A360" s="107"/>
      <c r="B360" s="15"/>
      <c r="C360" s="204"/>
      <c r="D360" s="202"/>
      <c r="E360" s="203"/>
      <c r="F360" s="202"/>
      <c r="G360" s="99"/>
      <c r="H360" s="100"/>
      <c r="I360" s="106"/>
      <c r="J360" s="105"/>
      <c r="K360" s="16"/>
      <c r="L360" s="16"/>
      <c r="M360" s="101"/>
      <c r="N360" s="16"/>
      <c r="O360" s="16"/>
    </row>
    <row r="361" spans="1:15" ht="30" hidden="1" customHeight="1" x14ac:dyDescent="0.4">
      <c r="A361" s="107"/>
      <c r="B361" s="15"/>
      <c r="C361" s="204"/>
      <c r="D361" s="202"/>
      <c r="E361" s="203"/>
      <c r="F361" s="202"/>
      <c r="G361" s="99"/>
      <c r="H361" s="100"/>
      <c r="I361" s="106"/>
      <c r="J361" s="105"/>
      <c r="K361" s="16"/>
      <c r="L361" s="16"/>
      <c r="M361" s="101"/>
      <c r="N361" s="16"/>
      <c r="O361" s="16"/>
    </row>
    <row r="362" spans="1:15" ht="30" hidden="1" customHeight="1" x14ac:dyDescent="0.4">
      <c r="A362" s="107"/>
      <c r="B362" s="15"/>
      <c r="C362" s="204"/>
      <c r="D362" s="202"/>
      <c r="E362" s="203"/>
      <c r="F362" s="202"/>
      <c r="G362" s="99"/>
      <c r="H362" s="100"/>
      <c r="I362" s="106"/>
      <c r="J362" s="105"/>
      <c r="K362" s="16"/>
      <c r="L362" s="16"/>
      <c r="M362" s="101"/>
      <c r="N362" s="16"/>
      <c r="O362" s="16"/>
    </row>
    <row r="363" spans="1:15" ht="30" hidden="1" customHeight="1" x14ac:dyDescent="0.4">
      <c r="A363" s="107"/>
      <c r="B363" s="15"/>
      <c r="C363" s="204"/>
      <c r="D363" s="202"/>
      <c r="E363" s="203"/>
      <c r="F363" s="202"/>
      <c r="G363" s="99"/>
      <c r="H363" s="100"/>
      <c r="I363" s="106"/>
      <c r="J363" s="105"/>
      <c r="K363" s="16"/>
      <c r="L363" s="16"/>
      <c r="M363" s="101"/>
      <c r="N363" s="16"/>
      <c r="O363" s="16"/>
    </row>
    <row r="364" spans="1:15" ht="30" hidden="1" customHeight="1" x14ac:dyDescent="0.4">
      <c r="A364" s="107"/>
      <c r="B364" s="15"/>
      <c r="C364" s="204"/>
      <c r="D364" s="202"/>
      <c r="E364" s="203"/>
      <c r="F364" s="202"/>
      <c r="G364" s="99"/>
      <c r="H364" s="100"/>
      <c r="I364" s="106"/>
      <c r="J364" s="105"/>
      <c r="K364" s="16"/>
      <c r="L364" s="16"/>
      <c r="M364" s="101"/>
      <c r="N364" s="16"/>
      <c r="O364" s="16"/>
    </row>
    <row r="365" spans="1:15" ht="30" hidden="1" customHeight="1" x14ac:dyDescent="0.4">
      <c r="A365" s="107"/>
      <c r="B365" s="15"/>
      <c r="C365" s="204"/>
      <c r="D365" s="202"/>
      <c r="E365" s="203"/>
      <c r="F365" s="202"/>
      <c r="G365" s="99"/>
      <c r="H365" s="100"/>
      <c r="I365" s="106"/>
      <c r="J365" s="105"/>
      <c r="K365" s="16"/>
      <c r="L365" s="16"/>
      <c r="M365" s="101"/>
      <c r="N365" s="16"/>
      <c r="O365" s="16"/>
    </row>
    <row r="366" spans="1:15" ht="30" hidden="1" customHeight="1" x14ac:dyDescent="0.4">
      <c r="A366" s="107"/>
      <c r="B366" s="15"/>
      <c r="C366" s="204"/>
      <c r="D366" s="202"/>
      <c r="E366" s="203"/>
      <c r="F366" s="202"/>
      <c r="G366" s="99"/>
      <c r="H366" s="100"/>
      <c r="I366" s="106"/>
      <c r="J366" s="105"/>
      <c r="K366" s="16"/>
      <c r="L366" s="16"/>
      <c r="M366" s="101"/>
      <c r="N366" s="16"/>
      <c r="O366" s="16"/>
    </row>
    <row r="367" spans="1:15" ht="30" hidden="1" customHeight="1" x14ac:dyDescent="0.4">
      <c r="A367" s="107"/>
      <c r="B367" s="15"/>
      <c r="C367" s="204"/>
      <c r="D367" s="202"/>
      <c r="E367" s="203"/>
      <c r="F367" s="202"/>
      <c r="G367" s="99"/>
      <c r="H367" s="100"/>
      <c r="I367" s="106"/>
      <c r="J367" s="105"/>
      <c r="K367" s="16"/>
      <c r="L367" s="16"/>
      <c r="M367" s="101"/>
      <c r="N367" s="16"/>
      <c r="O367" s="16"/>
    </row>
    <row r="368" spans="1:15" ht="30" hidden="1" customHeight="1" x14ac:dyDescent="0.4">
      <c r="A368" s="107"/>
      <c r="B368" s="15"/>
      <c r="C368" s="204"/>
      <c r="D368" s="202"/>
      <c r="E368" s="203"/>
      <c r="F368" s="202"/>
      <c r="G368" s="99"/>
      <c r="H368" s="100"/>
      <c r="I368" s="106"/>
      <c r="J368" s="105"/>
      <c r="K368" s="16"/>
      <c r="L368" s="16"/>
      <c r="M368" s="101"/>
      <c r="N368" s="16"/>
      <c r="O368" s="16"/>
    </row>
    <row r="369" spans="1:15" ht="30" hidden="1" customHeight="1" x14ac:dyDescent="0.4">
      <c r="A369" s="107"/>
      <c r="B369" s="15"/>
      <c r="C369" s="204"/>
      <c r="D369" s="202"/>
      <c r="E369" s="203"/>
      <c r="F369" s="202"/>
      <c r="G369" s="99"/>
      <c r="H369" s="100"/>
      <c r="I369" s="106"/>
      <c r="J369" s="105"/>
      <c r="K369" s="16"/>
      <c r="L369" s="16"/>
      <c r="M369" s="101"/>
      <c r="N369" s="16"/>
      <c r="O369" s="16"/>
    </row>
    <row r="370" spans="1:15" ht="30" hidden="1" customHeight="1" x14ac:dyDescent="0.4">
      <c r="A370" s="107"/>
      <c r="B370" s="15"/>
      <c r="C370" s="204"/>
      <c r="D370" s="202"/>
      <c r="E370" s="203"/>
      <c r="F370" s="202"/>
      <c r="G370" s="99"/>
      <c r="H370" s="100"/>
      <c r="I370" s="106"/>
      <c r="J370" s="105"/>
      <c r="K370" s="16"/>
      <c r="L370" s="16"/>
      <c r="M370" s="101"/>
      <c r="N370" s="16"/>
      <c r="O370" s="16"/>
    </row>
    <row r="371" spans="1:15" ht="30" hidden="1" customHeight="1" x14ac:dyDescent="0.4">
      <c r="A371" s="107"/>
      <c r="B371" s="15"/>
      <c r="C371" s="204"/>
      <c r="D371" s="202"/>
      <c r="E371" s="203"/>
      <c r="F371" s="202"/>
      <c r="G371" s="99"/>
      <c r="H371" s="100"/>
      <c r="I371" s="106"/>
      <c r="J371" s="105"/>
      <c r="K371" s="16"/>
      <c r="L371" s="16"/>
      <c r="M371" s="101"/>
      <c r="N371" s="16"/>
      <c r="O371" s="16"/>
    </row>
    <row r="372" spans="1:15" ht="30" hidden="1" customHeight="1" x14ac:dyDescent="0.4">
      <c r="A372" s="107"/>
      <c r="B372" s="15"/>
      <c r="C372" s="204"/>
      <c r="D372" s="202"/>
      <c r="E372" s="203"/>
      <c r="F372" s="202"/>
      <c r="G372" s="99"/>
      <c r="H372" s="100"/>
      <c r="I372" s="106"/>
      <c r="J372" s="105"/>
      <c r="K372" s="16"/>
      <c r="L372" s="16"/>
      <c r="M372" s="101"/>
      <c r="N372" s="16"/>
      <c r="O372" s="16"/>
    </row>
    <row r="373" spans="1:15" ht="30" hidden="1" customHeight="1" x14ac:dyDescent="0.4">
      <c r="A373" s="107"/>
      <c r="B373" s="15"/>
      <c r="C373" s="204"/>
      <c r="D373" s="202"/>
      <c r="E373" s="203"/>
      <c r="F373" s="202"/>
      <c r="G373" s="99"/>
      <c r="H373" s="100"/>
      <c r="I373" s="106"/>
      <c r="J373" s="105"/>
      <c r="K373" s="16"/>
      <c r="L373" s="16"/>
      <c r="M373" s="101"/>
      <c r="N373" s="16"/>
      <c r="O373" s="16"/>
    </row>
    <row r="374" spans="1:15" ht="30" hidden="1" customHeight="1" x14ac:dyDescent="0.4">
      <c r="A374" s="107"/>
      <c r="B374" s="15"/>
      <c r="C374" s="204"/>
      <c r="D374" s="202"/>
      <c r="E374" s="203"/>
      <c r="F374" s="202"/>
      <c r="G374" s="99"/>
      <c r="H374" s="100"/>
      <c r="I374" s="106"/>
      <c r="J374" s="105"/>
      <c r="K374" s="16"/>
      <c r="L374" s="16"/>
      <c r="M374" s="101"/>
      <c r="N374" s="16"/>
      <c r="O374" s="16"/>
    </row>
    <row r="375" spans="1:15" ht="30" hidden="1" customHeight="1" x14ac:dyDescent="0.4">
      <c r="A375" s="107"/>
      <c r="B375" s="15"/>
      <c r="C375" s="204"/>
      <c r="D375" s="202"/>
      <c r="E375" s="203"/>
      <c r="F375" s="202"/>
      <c r="G375" s="99"/>
      <c r="H375" s="100"/>
      <c r="I375" s="106"/>
      <c r="J375" s="105"/>
      <c r="K375" s="16"/>
      <c r="L375" s="16"/>
      <c r="M375" s="101"/>
      <c r="N375" s="16"/>
      <c r="O375" s="16"/>
    </row>
    <row r="376" spans="1:15" ht="30" hidden="1" customHeight="1" x14ac:dyDescent="0.4">
      <c r="A376" s="107"/>
      <c r="B376" s="15"/>
      <c r="C376" s="204"/>
      <c r="D376" s="202"/>
      <c r="E376" s="203"/>
      <c r="F376" s="202"/>
      <c r="G376" s="99"/>
      <c r="H376" s="100"/>
      <c r="I376" s="106"/>
      <c r="J376" s="105"/>
      <c r="K376" s="16"/>
      <c r="L376" s="16"/>
      <c r="M376" s="101"/>
      <c r="N376" s="16"/>
      <c r="O376" s="16"/>
    </row>
    <row r="377" spans="1:15" ht="30" hidden="1" customHeight="1" x14ac:dyDescent="0.4">
      <c r="A377" s="107"/>
      <c r="B377" s="15"/>
      <c r="C377" s="204"/>
      <c r="D377" s="202"/>
      <c r="E377" s="203"/>
      <c r="F377" s="202"/>
      <c r="G377" s="99"/>
      <c r="H377" s="100"/>
      <c r="I377" s="106"/>
      <c r="J377" s="105"/>
      <c r="K377" s="16"/>
      <c r="L377" s="16"/>
      <c r="M377" s="101"/>
      <c r="N377" s="16"/>
      <c r="O377" s="16"/>
    </row>
    <row r="378" spans="1:15" ht="30" hidden="1" customHeight="1" x14ac:dyDescent="0.4">
      <c r="A378" s="107"/>
      <c r="B378" s="15"/>
      <c r="C378" s="204"/>
      <c r="D378" s="202"/>
      <c r="E378" s="203"/>
      <c r="F378" s="202"/>
      <c r="G378" s="99"/>
      <c r="H378" s="100"/>
      <c r="I378" s="106"/>
      <c r="J378" s="105"/>
      <c r="K378" s="16"/>
      <c r="L378" s="16"/>
      <c r="M378" s="101"/>
      <c r="N378" s="16"/>
      <c r="O378" s="16"/>
    </row>
    <row r="379" spans="1:15" ht="30" hidden="1" customHeight="1" x14ac:dyDescent="0.4">
      <c r="A379" s="107"/>
      <c r="B379" s="15"/>
      <c r="C379" s="204"/>
      <c r="D379" s="202"/>
      <c r="E379" s="203"/>
      <c r="F379" s="202"/>
      <c r="G379" s="99"/>
      <c r="H379" s="100"/>
      <c r="I379" s="106"/>
      <c r="J379" s="105"/>
      <c r="K379" s="16"/>
      <c r="L379" s="16"/>
      <c r="M379" s="101"/>
      <c r="N379" s="16"/>
      <c r="O379" s="16"/>
    </row>
    <row r="380" spans="1:15" ht="30" hidden="1" customHeight="1" x14ac:dyDescent="0.4">
      <c r="A380" s="107"/>
      <c r="B380" s="15"/>
      <c r="C380" s="204"/>
      <c r="D380" s="202"/>
      <c r="E380" s="203"/>
      <c r="F380" s="202"/>
      <c r="G380" s="99"/>
      <c r="H380" s="100"/>
      <c r="I380" s="106"/>
      <c r="J380" s="105"/>
      <c r="K380" s="16"/>
      <c r="L380" s="16"/>
      <c r="M380" s="101"/>
      <c r="N380" s="16"/>
      <c r="O380" s="16"/>
    </row>
    <row r="381" spans="1:15" ht="30" hidden="1" customHeight="1" x14ac:dyDescent="0.4">
      <c r="A381" s="107"/>
      <c r="B381" s="15"/>
      <c r="C381" s="204"/>
      <c r="D381" s="202"/>
      <c r="E381" s="203"/>
      <c r="F381" s="202"/>
      <c r="G381" s="99"/>
      <c r="H381" s="100"/>
      <c r="I381" s="106"/>
      <c r="J381" s="105"/>
      <c r="K381" s="16"/>
      <c r="L381" s="16"/>
      <c r="M381" s="101"/>
      <c r="N381" s="16"/>
      <c r="O381" s="16"/>
    </row>
    <row r="382" spans="1:15" ht="30" hidden="1" customHeight="1" x14ac:dyDescent="0.4">
      <c r="A382" s="107"/>
      <c r="B382" s="15"/>
      <c r="C382" s="204"/>
      <c r="D382" s="202"/>
      <c r="E382" s="203"/>
      <c r="F382" s="202"/>
      <c r="G382" s="99"/>
      <c r="H382" s="100"/>
      <c r="I382" s="106"/>
      <c r="J382" s="105"/>
      <c r="K382" s="16"/>
      <c r="L382" s="16"/>
      <c r="M382" s="101"/>
      <c r="N382" s="16"/>
      <c r="O382" s="16"/>
    </row>
    <row r="383" spans="1:15" ht="30" hidden="1" customHeight="1" x14ac:dyDescent="0.4">
      <c r="A383" s="107"/>
      <c r="B383" s="15"/>
      <c r="C383" s="204"/>
      <c r="D383" s="202"/>
      <c r="E383" s="203"/>
      <c r="F383" s="202"/>
      <c r="G383" s="99"/>
      <c r="H383" s="100"/>
      <c r="I383" s="106"/>
      <c r="J383" s="105"/>
      <c r="K383" s="16"/>
      <c r="L383" s="16"/>
      <c r="M383" s="101"/>
      <c r="N383" s="16"/>
      <c r="O383" s="16"/>
    </row>
    <row r="384" spans="1:15" ht="30" hidden="1" customHeight="1" x14ac:dyDescent="0.4">
      <c r="A384" s="107"/>
      <c r="B384" s="15"/>
      <c r="C384" s="204"/>
      <c r="D384" s="202"/>
      <c r="E384" s="203"/>
      <c r="F384" s="202"/>
      <c r="G384" s="99"/>
      <c r="H384" s="100"/>
      <c r="I384" s="106"/>
      <c r="J384" s="105"/>
      <c r="K384" s="16"/>
      <c r="L384" s="16"/>
      <c r="M384" s="101"/>
      <c r="N384" s="16"/>
      <c r="O384" s="16"/>
    </row>
    <row r="385" spans="1:15" ht="30" hidden="1" customHeight="1" x14ac:dyDescent="0.4">
      <c r="A385" s="107"/>
      <c r="B385" s="15"/>
      <c r="C385" s="204"/>
      <c r="D385" s="202"/>
      <c r="E385" s="203"/>
      <c r="F385" s="202"/>
      <c r="G385" s="99"/>
      <c r="H385" s="100"/>
      <c r="I385" s="106"/>
      <c r="J385" s="105"/>
      <c r="K385" s="16"/>
      <c r="L385" s="16"/>
      <c r="M385" s="101"/>
      <c r="N385" s="16"/>
      <c r="O385" s="16"/>
    </row>
    <row r="386" spans="1:15" ht="30" hidden="1" customHeight="1" x14ac:dyDescent="0.4">
      <c r="A386" s="107"/>
      <c r="B386" s="15"/>
      <c r="C386" s="204"/>
      <c r="D386" s="202"/>
      <c r="E386" s="203"/>
      <c r="F386" s="202"/>
      <c r="G386" s="99"/>
      <c r="H386" s="100"/>
      <c r="I386" s="106"/>
      <c r="J386" s="105"/>
      <c r="K386" s="16"/>
      <c r="L386" s="16"/>
      <c r="M386" s="101"/>
      <c r="N386" s="16"/>
      <c r="O386" s="16"/>
    </row>
    <row r="387" spans="1:15" ht="30" hidden="1" customHeight="1" x14ac:dyDescent="0.4">
      <c r="A387" s="107"/>
      <c r="B387" s="15"/>
      <c r="C387" s="204"/>
      <c r="D387" s="202"/>
      <c r="E387" s="203"/>
      <c r="F387" s="202"/>
      <c r="G387" s="99"/>
      <c r="H387" s="100"/>
      <c r="I387" s="106"/>
      <c r="J387" s="105"/>
      <c r="K387" s="16"/>
      <c r="L387" s="16"/>
      <c r="M387" s="101"/>
      <c r="N387" s="16"/>
      <c r="O387" s="16"/>
    </row>
    <row r="388" spans="1:15" ht="30" hidden="1" customHeight="1" x14ac:dyDescent="0.4">
      <c r="A388" s="107"/>
      <c r="B388" s="15"/>
      <c r="C388" s="204"/>
      <c r="D388" s="202"/>
      <c r="E388" s="203"/>
      <c r="F388" s="202"/>
      <c r="G388" s="99"/>
      <c r="H388" s="100"/>
      <c r="I388" s="106"/>
      <c r="J388" s="105"/>
      <c r="K388" s="16"/>
      <c r="L388" s="16"/>
      <c r="M388" s="101"/>
      <c r="N388" s="16"/>
      <c r="O388" s="16"/>
    </row>
    <row r="389" spans="1:15" ht="30" hidden="1" customHeight="1" x14ac:dyDescent="0.4">
      <c r="A389" s="107"/>
      <c r="B389" s="15"/>
      <c r="C389" s="204"/>
      <c r="D389" s="202"/>
      <c r="E389" s="203"/>
      <c r="F389" s="202"/>
      <c r="G389" s="99"/>
      <c r="H389" s="100"/>
      <c r="I389" s="106"/>
      <c r="J389" s="105"/>
      <c r="K389" s="16"/>
      <c r="L389" s="16"/>
      <c r="M389" s="101"/>
      <c r="N389" s="16"/>
      <c r="O389" s="16"/>
    </row>
    <row r="390" spans="1:15" ht="30" hidden="1" customHeight="1" x14ac:dyDescent="0.4">
      <c r="A390" s="107"/>
      <c r="B390" s="15"/>
      <c r="C390" s="204"/>
      <c r="D390" s="202"/>
      <c r="E390" s="203"/>
      <c r="F390" s="202"/>
      <c r="G390" s="99"/>
      <c r="H390" s="100"/>
      <c r="I390" s="106"/>
      <c r="J390" s="105"/>
      <c r="K390" s="16"/>
      <c r="L390" s="16"/>
      <c r="M390" s="101"/>
      <c r="N390" s="16"/>
      <c r="O390" s="16"/>
    </row>
    <row r="391" spans="1:15" ht="30" hidden="1" customHeight="1" x14ac:dyDescent="0.4">
      <c r="A391" s="107"/>
      <c r="B391" s="15"/>
      <c r="C391" s="204"/>
      <c r="D391" s="202"/>
      <c r="E391" s="203"/>
      <c r="F391" s="202"/>
      <c r="G391" s="99"/>
      <c r="H391" s="100"/>
      <c r="I391" s="106"/>
      <c r="J391" s="105"/>
      <c r="K391" s="16"/>
      <c r="L391" s="16"/>
      <c r="M391" s="101"/>
      <c r="N391" s="16"/>
      <c r="O391" s="16"/>
    </row>
    <row r="392" spans="1:15" ht="30" hidden="1" customHeight="1" x14ac:dyDescent="0.4">
      <c r="A392" s="107"/>
      <c r="B392" s="15"/>
      <c r="C392" s="204"/>
      <c r="D392" s="202"/>
      <c r="E392" s="203"/>
      <c r="F392" s="202"/>
      <c r="G392" s="99"/>
      <c r="H392" s="100"/>
      <c r="I392" s="106"/>
      <c r="J392" s="105"/>
      <c r="K392" s="16"/>
      <c r="L392" s="16"/>
      <c r="M392" s="101"/>
      <c r="N392" s="16"/>
      <c r="O392" s="16"/>
    </row>
    <row r="393" spans="1:15" ht="30" hidden="1" customHeight="1" x14ac:dyDescent="0.4">
      <c r="A393" s="107"/>
      <c r="B393" s="15"/>
      <c r="C393" s="204"/>
      <c r="D393" s="202"/>
      <c r="E393" s="203"/>
      <c r="F393" s="202"/>
      <c r="G393" s="99"/>
      <c r="H393" s="100"/>
      <c r="I393" s="106"/>
      <c r="J393" s="105"/>
      <c r="K393" s="16"/>
      <c r="L393" s="16"/>
      <c r="M393" s="101"/>
      <c r="N393" s="16"/>
      <c r="O393" s="16"/>
    </row>
    <row r="394" spans="1:15" ht="30" hidden="1" customHeight="1" x14ac:dyDescent="0.4">
      <c r="A394" s="107"/>
      <c r="B394" s="15"/>
      <c r="C394" s="204"/>
      <c r="D394" s="202"/>
      <c r="E394" s="203"/>
      <c r="F394" s="202"/>
      <c r="G394" s="99"/>
      <c r="H394" s="100"/>
      <c r="I394" s="106"/>
      <c r="J394" s="105"/>
      <c r="K394" s="16"/>
      <c r="L394" s="16"/>
      <c r="M394" s="101"/>
      <c r="N394" s="16"/>
      <c r="O394" s="16"/>
    </row>
    <row r="395" spans="1:15" ht="30" hidden="1" customHeight="1" x14ac:dyDescent="0.4">
      <c r="A395" s="107"/>
      <c r="B395" s="15"/>
      <c r="C395" s="204"/>
      <c r="D395" s="202"/>
      <c r="E395" s="203"/>
      <c r="F395" s="202"/>
      <c r="G395" s="99"/>
      <c r="H395" s="100"/>
      <c r="I395" s="106"/>
      <c r="J395" s="105"/>
      <c r="K395" s="16"/>
      <c r="L395" s="16"/>
      <c r="M395" s="101"/>
      <c r="N395" s="16"/>
      <c r="O395" s="16"/>
    </row>
    <row r="396" spans="1:15" ht="30" hidden="1" customHeight="1" x14ac:dyDescent="0.4">
      <c r="A396" s="107"/>
      <c r="B396" s="15"/>
      <c r="C396" s="204"/>
      <c r="D396" s="202"/>
      <c r="E396" s="203"/>
      <c r="F396" s="202"/>
      <c r="G396" s="99"/>
      <c r="H396" s="100"/>
      <c r="I396" s="106"/>
      <c r="J396" s="105"/>
      <c r="K396" s="16"/>
      <c r="L396" s="16"/>
      <c r="M396" s="101"/>
      <c r="N396" s="16"/>
      <c r="O396" s="16"/>
    </row>
    <row r="397" spans="1:15" ht="30" hidden="1" customHeight="1" x14ac:dyDescent="0.4">
      <c r="A397" s="107"/>
      <c r="B397" s="15"/>
      <c r="C397" s="204"/>
      <c r="D397" s="202"/>
      <c r="E397" s="203"/>
      <c r="F397" s="202"/>
      <c r="G397" s="99"/>
      <c r="H397" s="100"/>
      <c r="I397" s="106"/>
      <c r="J397" s="105"/>
      <c r="K397" s="16"/>
      <c r="L397" s="16"/>
      <c r="M397" s="101"/>
      <c r="N397" s="16"/>
      <c r="O397" s="16"/>
    </row>
    <row r="398" spans="1:15" ht="30" hidden="1" customHeight="1" x14ac:dyDescent="0.4">
      <c r="A398" s="107"/>
      <c r="B398" s="15"/>
      <c r="C398" s="204"/>
      <c r="D398" s="202"/>
      <c r="E398" s="203"/>
      <c r="F398" s="202"/>
      <c r="G398" s="99"/>
      <c r="H398" s="100"/>
      <c r="I398" s="106"/>
      <c r="J398" s="105"/>
      <c r="K398" s="16"/>
      <c r="L398" s="16"/>
      <c r="M398" s="101"/>
      <c r="N398" s="16"/>
      <c r="O398" s="16"/>
    </row>
    <row r="399" spans="1:15" ht="30" hidden="1" customHeight="1" x14ac:dyDescent="0.4">
      <c r="A399" s="107"/>
      <c r="B399" s="15"/>
      <c r="C399" s="204"/>
      <c r="D399" s="202"/>
      <c r="E399" s="203"/>
      <c r="F399" s="202"/>
      <c r="G399" s="99"/>
      <c r="H399" s="100"/>
      <c r="I399" s="106"/>
      <c r="J399" s="105"/>
      <c r="K399" s="16"/>
      <c r="L399" s="16"/>
      <c r="M399" s="101"/>
      <c r="N399" s="16"/>
      <c r="O399" s="16"/>
    </row>
    <row r="400" spans="1:15" ht="30" hidden="1" customHeight="1" x14ac:dyDescent="0.4">
      <c r="A400" s="107"/>
      <c r="B400" s="15"/>
      <c r="C400" s="204"/>
      <c r="D400" s="202"/>
      <c r="E400" s="203"/>
      <c r="F400" s="202"/>
      <c r="G400" s="99"/>
      <c r="H400" s="100"/>
      <c r="I400" s="106"/>
      <c r="J400" s="105"/>
      <c r="K400" s="16"/>
      <c r="L400" s="16"/>
      <c r="M400" s="101"/>
      <c r="N400" s="16"/>
      <c r="O400" s="16"/>
    </row>
    <row r="401" spans="1:15" ht="30" hidden="1" customHeight="1" x14ac:dyDescent="0.4">
      <c r="A401" s="107"/>
      <c r="B401" s="15"/>
      <c r="C401" s="204"/>
      <c r="D401" s="202"/>
      <c r="E401" s="203"/>
      <c r="F401" s="202"/>
      <c r="G401" s="99"/>
      <c r="H401" s="100"/>
      <c r="I401" s="106"/>
      <c r="J401" s="105"/>
      <c r="K401" s="16"/>
      <c r="L401" s="16"/>
      <c r="M401" s="101"/>
      <c r="N401" s="16"/>
      <c r="O401" s="16"/>
    </row>
    <row r="402" spans="1:15" ht="30" hidden="1" customHeight="1" x14ac:dyDescent="0.4">
      <c r="A402" s="107"/>
      <c r="B402" s="15"/>
      <c r="C402" s="204"/>
      <c r="D402" s="202"/>
      <c r="E402" s="203"/>
      <c r="F402" s="202"/>
      <c r="G402" s="99"/>
      <c r="H402" s="100"/>
      <c r="I402" s="106"/>
      <c r="J402" s="105"/>
      <c r="K402" s="16"/>
      <c r="L402" s="16"/>
      <c r="M402" s="101"/>
      <c r="N402" s="16"/>
      <c r="O402" s="16"/>
    </row>
    <row r="403" spans="1:15" ht="30" hidden="1" customHeight="1" x14ac:dyDescent="0.4">
      <c r="A403" s="107"/>
      <c r="B403" s="15"/>
      <c r="C403" s="204"/>
      <c r="D403" s="202"/>
      <c r="E403" s="203"/>
      <c r="F403" s="202"/>
      <c r="G403" s="99"/>
      <c r="H403" s="100"/>
      <c r="I403" s="106"/>
      <c r="J403" s="105"/>
      <c r="K403" s="16"/>
      <c r="L403" s="16"/>
      <c r="M403" s="101"/>
      <c r="N403" s="16"/>
      <c r="O403" s="16"/>
    </row>
    <row r="404" spans="1:15" ht="30" hidden="1" customHeight="1" x14ac:dyDescent="0.4">
      <c r="A404" s="107"/>
      <c r="B404" s="15"/>
      <c r="C404" s="204"/>
      <c r="D404" s="202"/>
      <c r="E404" s="203"/>
      <c r="F404" s="202"/>
      <c r="G404" s="99"/>
      <c r="H404" s="100"/>
      <c r="I404" s="106"/>
      <c r="J404" s="105"/>
      <c r="K404" s="16"/>
      <c r="L404" s="16"/>
      <c r="M404" s="101"/>
      <c r="N404" s="16"/>
      <c r="O404" s="16"/>
    </row>
    <row r="405" spans="1:15" ht="30" hidden="1" customHeight="1" x14ac:dyDescent="0.4">
      <c r="A405" s="107"/>
      <c r="B405" s="15"/>
      <c r="C405" s="204"/>
      <c r="D405" s="202"/>
      <c r="E405" s="203"/>
      <c r="F405" s="202"/>
      <c r="G405" s="99"/>
      <c r="H405" s="100"/>
      <c r="I405" s="106"/>
      <c r="J405" s="105"/>
      <c r="K405" s="16"/>
      <c r="L405" s="16"/>
      <c r="M405" s="101"/>
      <c r="N405" s="16"/>
      <c r="O405" s="16"/>
    </row>
    <row r="406" spans="1:15" ht="30" hidden="1" customHeight="1" x14ac:dyDescent="0.4">
      <c r="A406" s="107"/>
      <c r="B406" s="15"/>
      <c r="C406" s="204"/>
      <c r="D406" s="202"/>
      <c r="E406" s="203"/>
      <c r="F406" s="202"/>
      <c r="G406" s="99"/>
      <c r="H406" s="100"/>
      <c r="I406" s="106"/>
      <c r="J406" s="105"/>
      <c r="K406" s="16"/>
      <c r="L406" s="16"/>
      <c r="M406" s="101"/>
      <c r="N406" s="16"/>
      <c r="O406" s="16"/>
    </row>
    <row r="407" spans="1:15" ht="30" hidden="1" customHeight="1" x14ac:dyDescent="0.4">
      <c r="A407" s="107"/>
      <c r="B407" s="15"/>
      <c r="C407" s="204"/>
      <c r="D407" s="202"/>
      <c r="E407" s="203"/>
      <c r="F407" s="202"/>
      <c r="G407" s="99"/>
      <c r="H407" s="100"/>
      <c r="I407" s="106"/>
      <c r="J407" s="105"/>
      <c r="K407" s="16"/>
      <c r="L407" s="16"/>
      <c r="M407" s="101"/>
      <c r="N407" s="16"/>
      <c r="O407" s="16"/>
    </row>
    <row r="408" spans="1:15" ht="30" hidden="1" customHeight="1" x14ac:dyDescent="0.4">
      <c r="A408" s="107"/>
      <c r="B408" s="15"/>
      <c r="C408" s="204"/>
      <c r="D408" s="202"/>
      <c r="E408" s="203"/>
      <c r="F408" s="202"/>
      <c r="G408" s="99"/>
      <c r="H408" s="100"/>
      <c r="I408" s="106"/>
      <c r="J408" s="105"/>
      <c r="K408" s="16"/>
      <c r="L408" s="16"/>
      <c r="M408" s="101"/>
      <c r="N408" s="16"/>
      <c r="O408" s="16"/>
    </row>
    <row r="409" spans="1:15" ht="30" hidden="1" customHeight="1" x14ac:dyDescent="0.4">
      <c r="A409" s="107"/>
      <c r="B409" s="15"/>
      <c r="C409" s="204"/>
      <c r="D409" s="202"/>
      <c r="E409" s="203"/>
      <c r="F409" s="202"/>
      <c r="G409" s="99"/>
      <c r="H409" s="100"/>
      <c r="I409" s="106"/>
      <c r="J409" s="105"/>
      <c r="K409" s="16"/>
      <c r="L409" s="16"/>
      <c r="M409" s="101"/>
      <c r="N409" s="16"/>
      <c r="O409" s="16"/>
    </row>
    <row r="410" spans="1:15" ht="30" hidden="1" customHeight="1" x14ac:dyDescent="0.4">
      <c r="A410" s="107"/>
      <c r="B410" s="15"/>
      <c r="C410" s="204"/>
      <c r="D410" s="202"/>
      <c r="E410" s="203"/>
      <c r="F410" s="202"/>
      <c r="G410" s="99"/>
      <c r="H410" s="100"/>
      <c r="I410" s="106"/>
      <c r="J410" s="105"/>
      <c r="K410" s="16"/>
      <c r="L410" s="16"/>
      <c r="M410" s="101"/>
      <c r="N410" s="16"/>
      <c r="O410" s="16"/>
    </row>
    <row r="411" spans="1:15" ht="30" hidden="1" customHeight="1" x14ac:dyDescent="0.4">
      <c r="A411" s="107"/>
      <c r="B411" s="15"/>
      <c r="C411" s="204"/>
      <c r="D411" s="202"/>
      <c r="E411" s="203"/>
      <c r="F411" s="202"/>
      <c r="G411" s="99"/>
      <c r="H411" s="100"/>
      <c r="I411" s="106"/>
      <c r="J411" s="105"/>
      <c r="K411" s="16"/>
      <c r="L411" s="16"/>
      <c r="M411" s="101"/>
      <c r="N411" s="16"/>
      <c r="O411" s="16"/>
    </row>
    <row r="412" spans="1:15" ht="30" hidden="1" customHeight="1" x14ac:dyDescent="0.4">
      <c r="A412" s="107"/>
      <c r="B412" s="15"/>
      <c r="C412" s="204"/>
      <c r="D412" s="202"/>
      <c r="E412" s="203"/>
      <c r="F412" s="202"/>
      <c r="G412" s="99"/>
      <c r="H412" s="100"/>
      <c r="I412" s="106"/>
      <c r="J412" s="105"/>
      <c r="K412" s="16"/>
      <c r="L412" s="16"/>
      <c r="M412" s="101"/>
      <c r="N412" s="16"/>
      <c r="O412" s="16"/>
    </row>
    <row r="413" spans="1:15" ht="30" hidden="1" customHeight="1" x14ac:dyDescent="0.4">
      <c r="A413" s="107"/>
      <c r="B413" s="15"/>
      <c r="C413" s="204"/>
      <c r="D413" s="202"/>
      <c r="E413" s="203"/>
      <c r="F413" s="202"/>
      <c r="G413" s="99"/>
      <c r="H413" s="100"/>
      <c r="I413" s="106"/>
      <c r="J413" s="105"/>
      <c r="K413" s="16"/>
      <c r="L413" s="16"/>
      <c r="M413" s="101"/>
      <c r="N413" s="16"/>
      <c r="O413" s="16"/>
    </row>
    <row r="414" spans="1:15" ht="30" hidden="1" customHeight="1" x14ac:dyDescent="0.4">
      <c r="A414" s="107"/>
      <c r="B414" s="15"/>
      <c r="C414" s="204"/>
      <c r="D414" s="202"/>
      <c r="E414" s="203"/>
      <c r="F414" s="202"/>
      <c r="G414" s="99"/>
      <c r="H414" s="100"/>
      <c r="I414" s="106"/>
      <c r="J414" s="105"/>
      <c r="K414" s="16"/>
      <c r="L414" s="16"/>
      <c r="M414" s="101"/>
      <c r="N414" s="16"/>
      <c r="O414" s="16"/>
    </row>
    <row r="415" spans="1:15" ht="30" hidden="1" customHeight="1" x14ac:dyDescent="0.4">
      <c r="A415" s="107"/>
      <c r="B415" s="15"/>
      <c r="C415" s="204"/>
      <c r="D415" s="202"/>
      <c r="E415" s="203"/>
      <c r="F415" s="202"/>
      <c r="G415" s="99"/>
      <c r="H415" s="100"/>
      <c r="I415" s="106"/>
      <c r="J415" s="105"/>
      <c r="K415" s="16"/>
      <c r="L415" s="16"/>
      <c r="M415" s="101"/>
      <c r="N415" s="16"/>
      <c r="O415" s="16"/>
    </row>
    <row r="417" spans="1:15" ht="24" customHeight="1" x14ac:dyDescent="0.4">
      <c r="A417" s="208" t="s">
        <v>545</v>
      </c>
      <c r="B417" s="142"/>
      <c r="C417" s="142"/>
      <c r="D417" s="142"/>
      <c r="E417" s="142"/>
      <c r="F417" s="142"/>
      <c r="G417" s="142"/>
      <c r="H417" s="142"/>
      <c r="I417" s="142"/>
      <c r="J417" s="142"/>
      <c r="K417" s="142"/>
      <c r="L417" s="142"/>
      <c r="M417" s="142"/>
      <c r="N417" s="142"/>
      <c r="O417" s="142"/>
    </row>
  </sheetData>
  <mergeCells count="612">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C221:D221"/>
    <mergeCell ref="C196:D196"/>
    <mergeCell ref="E408:F408"/>
    <mergeCell ref="E402:F402"/>
    <mergeCell ref="E373:F373"/>
    <mergeCell ref="C152:D152"/>
    <mergeCell ref="E352:F352"/>
    <mergeCell ref="E152:F152"/>
    <mergeCell ref="E279:F279"/>
    <mergeCell ref="E339:F339"/>
    <mergeCell ref="E118:F118"/>
    <mergeCell ref="C297:D297"/>
    <mergeCell ref="E226:F226"/>
    <mergeCell ref="E398:F398"/>
    <mergeCell ref="C392:D392"/>
    <mergeCell ref="E221:F221"/>
    <mergeCell ref="C236:D236"/>
    <mergeCell ref="C223:D223"/>
    <mergeCell ref="C198:D198"/>
    <mergeCell ref="C394:D394"/>
    <mergeCell ref="C300:D300"/>
    <mergeCell ref="E300:F300"/>
    <mergeCell ref="E360:F360"/>
    <mergeCell ref="C287:D287"/>
    <mergeCell ref="E216:F216"/>
    <mergeCell ref="E287:F287"/>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281:F281"/>
    <mergeCell ref="C289:D289"/>
    <mergeCell ref="E218:F218"/>
    <mergeCell ref="E345:F345"/>
    <mergeCell ref="E282:F282"/>
    <mergeCell ref="E124:F124"/>
    <mergeCell ref="C360:D360"/>
    <mergeCell ref="C362:D362"/>
    <mergeCell ref="E120:F120"/>
    <mergeCell ref="C355:D355"/>
    <mergeCell ref="C155:D155"/>
    <mergeCell ref="C293:D293"/>
    <mergeCell ref="E184:F184"/>
    <mergeCell ref="C220:D220"/>
    <mergeCell ref="C342:D342"/>
    <mergeCell ref="C249:D249"/>
    <mergeCell ref="C314:D314"/>
    <mergeCell ref="E328:F328"/>
    <mergeCell ref="E132:F132"/>
    <mergeCell ref="E224:F224"/>
    <mergeCell ref="C143:D143"/>
    <mergeCell ref="E143:F143"/>
    <mergeCell ref="E288:F288"/>
    <mergeCell ref="C255:D255"/>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C412:D412"/>
    <mergeCell ref="C257:D257"/>
    <mergeCell ref="E257:F257"/>
    <mergeCell ref="E191:F191"/>
    <mergeCell ref="E384:F384"/>
    <mergeCell ref="C178:D178"/>
    <mergeCell ref="E378:F378"/>
    <mergeCell ref="E178:F178"/>
    <mergeCell ref="C272:D272"/>
    <mergeCell ref="E315:F315"/>
    <mergeCell ref="C209:D209"/>
    <mergeCell ref="E396:F396"/>
    <mergeCell ref="C267:D267"/>
    <mergeCell ref="C338:D338"/>
    <mergeCell ref="E267:F267"/>
    <mergeCell ref="C204:D204"/>
    <mergeCell ref="C275:D275"/>
    <mergeCell ref="E204:F204"/>
    <mergeCell ref="C269:D269"/>
    <mergeCell ref="C340:D340"/>
    <mergeCell ref="E269:F269"/>
    <mergeCell ref="C231:D231"/>
    <mergeCell ref="C206:D206"/>
    <mergeCell ref="E231:F231"/>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E144:F144"/>
    <mergeCell ref="C140:D140"/>
    <mergeCell ref="E206:F206"/>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E262:F262"/>
    <mergeCell ref="C333:D333"/>
    <mergeCell ref="E333:F333"/>
    <mergeCell ref="C270:D270"/>
    <mergeCell ref="E245:F245"/>
    <mergeCell ref="E310:F310"/>
    <mergeCell ref="C295:D295"/>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317:F317"/>
    <mergeCell ref="E377:F377"/>
    <mergeCell ref="C304:D304"/>
    <mergeCell ref="E233:F233"/>
    <mergeCell ref="E298:F298"/>
    <mergeCell ref="C254:D254"/>
    <mergeCell ref="C248:D248"/>
    <mergeCell ref="C319:D319"/>
    <mergeCell ref="E248:F248"/>
    <mergeCell ref="C398:D398"/>
    <mergeCell ref="E349:F349"/>
    <mergeCell ref="E153:F153"/>
    <mergeCell ref="C177:D177"/>
    <mergeCell ref="E128:F128"/>
    <mergeCell ref="C226:D226"/>
    <mergeCell ref="E155:F155"/>
    <mergeCell ref="C164:D164"/>
    <mergeCell ref="C335:D335"/>
    <mergeCell ref="C364:D364"/>
    <mergeCell ref="E364:F364"/>
    <mergeCell ref="E220:F220"/>
    <mergeCell ref="E146:F146"/>
    <mergeCell ref="C175:D175"/>
    <mergeCell ref="C235:D235"/>
    <mergeCell ref="E175:F175"/>
    <mergeCell ref="E297:F297"/>
    <mergeCell ref="E235:F235"/>
    <mergeCell ref="E368:F368"/>
    <mergeCell ref="C185:D185"/>
    <mergeCell ref="E247:F247"/>
    <mergeCell ref="E185:F185"/>
    <mergeCell ref="E312:F312"/>
    <mergeCell ref="E299:F299"/>
    <mergeCell ref="C396:D396"/>
    <mergeCell ref="E347:F347"/>
    <mergeCell ref="C116:D116"/>
    <mergeCell ref="C187:D187"/>
    <mergeCell ref="C368:D368"/>
    <mergeCell ref="C306:D306"/>
    <mergeCell ref="C162:D162"/>
    <mergeCell ref="E362:F362"/>
    <mergeCell ref="C349:D349"/>
    <mergeCell ref="E156:F156"/>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67:D167"/>
    <mergeCell ref="C238:D238"/>
    <mergeCell ref="E167:F167"/>
    <mergeCell ref="E367:F367"/>
    <mergeCell ref="C232:D232"/>
    <mergeCell ref="C403:D403"/>
    <mergeCell ref="C303:D303"/>
    <mergeCell ref="E112:F112"/>
    <mergeCell ref="E283:F283"/>
    <mergeCell ref="C348:D348"/>
    <mergeCell ref="E277:F277"/>
    <mergeCell ref="E348:F348"/>
    <mergeCell ref="E404:F404"/>
    <mergeCell ref="C298:D298"/>
    <mergeCell ref="C154:D154"/>
    <mergeCell ref="C285:D285"/>
    <mergeCell ref="C390:D390"/>
    <mergeCell ref="E285:F285"/>
    <mergeCell ref="E341:F341"/>
    <mergeCell ref="C118:D118"/>
    <mergeCell ref="E232:F232"/>
    <mergeCell ref="C207:D207"/>
    <mergeCell ref="C182:D182"/>
    <mergeCell ref="E207:F207"/>
    <mergeCell ref="C169:D169"/>
    <mergeCell ref="E169:F169"/>
    <mergeCell ref="E225:F225"/>
    <mergeCell ref="E296:F296"/>
    <mergeCell ref="E271:F271"/>
    <mergeCell ref="C233:D233"/>
    <mergeCell ref="E227:F227"/>
    <mergeCell ref="C380:D380"/>
    <mergeCell ref="C359:D359"/>
    <mergeCell ref="C219:D219"/>
    <mergeCell ref="E359:F359"/>
    <mergeCell ref="C346:D346"/>
    <mergeCell ref="E346:F346"/>
    <mergeCell ref="C125:D125"/>
    <mergeCell ref="C296:D296"/>
    <mergeCell ref="E125:F125"/>
    <mergeCell ref="C161:D161"/>
    <mergeCell ref="E212:F212"/>
    <mergeCell ref="C283:D283"/>
    <mergeCell ref="E273:F273"/>
    <mergeCell ref="C354:D354"/>
    <mergeCell ref="C132:D132"/>
    <mergeCell ref="C130:D130"/>
    <mergeCell ref="E323:F323"/>
    <mergeCell ref="C268:D268"/>
    <mergeCell ref="E197:F197"/>
    <mergeCell ref="C376:D376"/>
    <mergeCell ref="C141:D141"/>
    <mergeCell ref="E141:F141"/>
    <mergeCell ref="C377:D377"/>
    <mergeCell ref="E135:F135"/>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C216:D216"/>
    <mergeCell ref="C387:D387"/>
    <mergeCell ref="C343:D343"/>
    <mergeCell ref="C281:D281"/>
    <mergeCell ref="E343:F343"/>
    <mergeCell ref="E403:F403"/>
    <mergeCell ref="C353:D353"/>
    <mergeCell ref="E209:F209"/>
    <mergeCell ref="C218:D218"/>
    <mergeCell ref="C274:D274"/>
    <mergeCell ref="C280:D280"/>
    <mergeCell ref="C414:D414"/>
    <mergeCell ref="C352:D352"/>
    <mergeCell ref="C208:D208"/>
    <mergeCell ref="E159:F159"/>
    <mergeCell ref="E208:F208"/>
    <mergeCell ref="C339:D339"/>
    <mergeCell ref="C366:D366"/>
    <mergeCell ref="E401:F401"/>
    <mergeCell ref="E395:F395"/>
    <mergeCell ref="C406:D406"/>
    <mergeCell ref="C210:D210"/>
    <mergeCell ref="E272:F272"/>
    <mergeCell ref="E210:F210"/>
    <mergeCell ref="C381:D381"/>
    <mergeCell ref="E406:F406"/>
    <mergeCell ref="E203:F203"/>
    <mergeCell ref="C305:D305"/>
    <mergeCell ref="C286:D286"/>
    <mergeCell ref="E261:F261"/>
    <mergeCell ref="C163:D163"/>
    <mergeCell ref="C350:D350"/>
    <mergeCell ref="E350:F350"/>
    <mergeCell ref="E325:F325"/>
    <mergeCell ref="C361:D361"/>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145:D145"/>
    <mergeCell ref="E145:F145"/>
    <mergeCell ref="E139:F139"/>
    <mergeCell ref="C134:D134"/>
    <mergeCell ref="C138:D138"/>
    <mergeCell ref="C119:D119"/>
    <mergeCell ref="E119:F119"/>
    <mergeCell ref="E116:F116"/>
    <mergeCell ref="E122:F122"/>
    <mergeCell ref="C147:D147"/>
    <mergeCell ref="E147:F147"/>
    <mergeCell ref="A1:O1"/>
    <mergeCell ref="E164:F164"/>
    <mergeCell ref="C131:D131"/>
    <mergeCell ref="C258:D258"/>
    <mergeCell ref="E258:F258"/>
    <mergeCell ref="C245:D245"/>
    <mergeCell ref="C195:D195"/>
    <mergeCell ref="C266:D266"/>
    <mergeCell ref="E195:F195"/>
    <mergeCell ref="C260:D260"/>
    <mergeCell ref="C259:D259"/>
    <mergeCell ref="C126:D126"/>
    <mergeCell ref="E188:F188"/>
    <mergeCell ref="E259:F259"/>
    <mergeCell ref="C197:D197"/>
    <mergeCell ref="E126:F126"/>
    <mergeCell ref="E253:F253"/>
    <mergeCell ref="E180:F180"/>
    <mergeCell ref="E240:F240"/>
    <mergeCell ref="A2:O2"/>
    <mergeCell ref="C211:D211"/>
    <mergeCell ref="E211:F211"/>
    <mergeCell ref="E186:F186"/>
    <mergeCell ref="C165:D165"/>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E410:F410"/>
    <mergeCell ref="C189:D189"/>
    <mergeCell ref="E251:F251"/>
    <mergeCell ref="E189:F189"/>
    <mergeCell ref="E238:F238"/>
    <mergeCell ref="C397:D397"/>
    <mergeCell ref="C334:D334"/>
    <mergeCell ref="C128:D128"/>
    <mergeCell ref="C309:D309"/>
    <mergeCell ref="E306:F306"/>
    <mergeCell ref="E162:F162"/>
    <mergeCell ref="C322:D322"/>
    <mergeCell ref="E322:F322"/>
    <mergeCell ref="E382:F382"/>
    <mergeCell ref="E309:F309"/>
    <mergeCell ref="C324:D324"/>
    <mergeCell ref="E324:F324"/>
    <mergeCell ref="E274:F274"/>
    <mergeCell ref="E280:F280"/>
    <mergeCell ref="C345:D345"/>
    <mergeCell ref="C382:D382"/>
    <mergeCell ref="C282:D282"/>
    <mergeCell ref="E338:F338"/>
    <mergeCell ref="E275:F275"/>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117:F117"/>
    <mergeCell ref="E353:F353"/>
    <mergeCell ref="E303:F303"/>
    <mergeCell ref="C290:D290"/>
    <mergeCell ref="E219:F219"/>
    <mergeCell ref="E290:F290"/>
    <mergeCell ref="C384:D384"/>
    <mergeCell ref="E161:F161"/>
    <mergeCell ref="C321:D321"/>
    <mergeCell ref="C242:D242"/>
    <mergeCell ref="E301:F301"/>
    <mergeCell ref="E239:F239"/>
    <mergeCell ref="E340:F340"/>
    <mergeCell ref="C371:D371"/>
    <mergeCell ref="C358:D358"/>
    <mergeCell ref="C308:D308"/>
    <mergeCell ref="C229:D229"/>
    <mergeCell ref="C351:D351"/>
    <mergeCell ref="E351:F351"/>
    <mergeCell ref="C375:D375"/>
    <mergeCell ref="C179:D179"/>
    <mergeCell ref="E130:F130"/>
    <mergeCell ref="C310:D310"/>
    <mergeCell ref="C166:D166"/>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C160:D160"/>
    <mergeCell ref="C402:D402"/>
    <mergeCell ref="E160:F160"/>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s>
  <conditionalFormatting sqref="D7:D26">
    <cfRule type="expression" dxfId="47" priority="1">
      <formula>AND($C7&lt;&gt;"n.v.",$C7&lt;&gt;"—",D7&lt;&gt;$C7)</formula>
    </cfRule>
    <cfRule type="expression" dxfId="46" priority="2">
      <formula>AND(OR($C7="n.v.",$C7="—"),D7&lt;&gt;"")</formula>
    </cfRule>
  </conditionalFormatting>
  <conditionalFormatting sqref="E30:E109">
    <cfRule type="expression" dxfId="45" priority="17">
      <formula>AND($D30&lt;&gt;"n.v.",$D30&lt;&gt;"—",E30&lt;&gt;$D30)</formula>
    </cfRule>
    <cfRule type="expression" dxfId="44" priority="18">
      <formula>AND(OR($D30="n.v.",$D30="—"),E30&lt;&gt;"")</formula>
    </cfRule>
  </conditionalFormatting>
  <conditionalFormatting sqref="E113:E212">
    <cfRule type="expression" dxfId="43" priority="25">
      <formula>AND($C113&lt;&gt;"n.v.",$C113&lt;&gt;"—",E113&lt;&gt;$C113)</formula>
    </cfRule>
    <cfRule type="expression" dxfId="42" priority="26">
      <formula>AND(OR($C113="n.v.",$C113="—"),E113&lt;&gt;"")</formula>
    </cfRule>
  </conditionalFormatting>
  <conditionalFormatting sqref="E216:E415">
    <cfRule type="expression" dxfId="41" priority="31">
      <formula>AND($C216&lt;&gt;"n.v.",$C216&lt;&gt;"—",E216&lt;&gt;$C216)</formula>
    </cfRule>
    <cfRule type="expression" dxfId="40" priority="32">
      <formula>AND(OR($C216="n.v.",$C216="—"),E216&lt;&gt;"")</formula>
    </cfRule>
  </conditionalFormatting>
  <conditionalFormatting sqref="F7:F26">
    <cfRule type="expression" dxfId="39" priority="7">
      <formula>AND($E7&lt;&gt;"n.v.",$E7&lt;&gt;"—",F7&lt;&gt;$E7)</formula>
    </cfRule>
    <cfRule type="expression" dxfId="38" priority="8">
      <formula>AND(OR($E7="n.v.",$E7="—"),F7&lt;&gt;"")</formula>
    </cfRule>
  </conditionalFormatting>
  <conditionalFormatting sqref="G30:G109">
    <cfRule type="expression" dxfId="37" priority="19">
      <formula>AND($F30&lt;&gt;"n.v.",$F30&lt;&gt;"—",G30&lt;&gt;$F30)</formula>
    </cfRule>
    <cfRule type="expression" dxfId="36" priority="20">
      <formula>AND(OR($F30="n.v.",$F30="—"),G30&lt;&gt;"")</formula>
    </cfRule>
  </conditionalFormatting>
  <conditionalFormatting sqref="H7:H26">
    <cfRule type="expression" dxfId="35" priority="5">
      <formula>AND($G7&lt;&gt;"n.v.",$G7&lt;&gt;"—",H7&lt;&gt;$G7)</formula>
    </cfRule>
    <cfRule type="expression" dxfId="34" priority="6">
      <formula>AND(OR($G7="n.v.",$G7="—"),H7&lt;&gt;"")</formula>
    </cfRule>
  </conditionalFormatting>
  <conditionalFormatting sqref="H113:H212">
    <cfRule type="expression" dxfId="33" priority="27">
      <formula>AND($G113&lt;&gt;"n.v.",$G113&lt;&gt;"—",H113&lt;&gt;$G113)</formula>
    </cfRule>
    <cfRule type="expression" dxfId="32" priority="28">
      <formula>AND(OR($G113="n.v.",$G113="—"),H113&lt;&gt;"")</formula>
    </cfRule>
  </conditionalFormatting>
  <conditionalFormatting sqref="H216:H415">
    <cfRule type="expression" dxfId="31" priority="33">
      <formula>AND($G216&lt;&gt;"n.v.",$G216&lt;&gt;"—",H216&lt;&gt;$G216)</formula>
    </cfRule>
    <cfRule type="expression" dxfId="30" priority="34">
      <formula>AND(OR($G216="n.v.",$G216="—"),H216&lt;&gt;"")</formula>
    </cfRule>
  </conditionalFormatting>
  <conditionalFormatting sqref="I30:I109">
    <cfRule type="expression" dxfId="29" priority="21">
      <formula>AND($H30&lt;&gt;"n.v.",$H30&lt;&gt;"—",I30&lt;&gt;$H30)</formula>
    </cfRule>
    <cfRule type="expression" dxfId="28" priority="22">
      <formula>AND(OR($H30="n.v.",$H30="—"),I30&lt;&gt;"")</formula>
    </cfRule>
  </conditionalFormatting>
  <conditionalFormatting sqref="I113:I212">
    <cfRule type="expression" dxfId="27" priority="29">
      <formula>OR($I113="Sì",$I113="Si")</formula>
    </cfRule>
  </conditionalFormatting>
  <conditionalFormatting sqref="I216:I415">
    <cfRule type="expression" dxfId="26" priority="35">
      <formula>OR($I216="Sì",$I216="Si")</formula>
    </cfRule>
  </conditionalFormatting>
  <conditionalFormatting sqref="J7:J26">
    <cfRule type="expression" dxfId="25" priority="3">
      <formula>AND($I7&lt;&gt;"n.v.",$I7&lt;&gt;"—",J7&lt;&gt;$I7)</formula>
    </cfRule>
    <cfRule type="expression" dxfId="24" priority="4">
      <formula>AND(OR($I7="n.v.",$I7="—"),J7&lt;&gt;"")</formula>
    </cfRule>
  </conditionalFormatting>
  <conditionalFormatting sqref="J30:J109">
    <cfRule type="expression" dxfId="23" priority="23">
      <formula>OR($J30="Sì",$J30="Si")</formula>
    </cfRule>
  </conditionalFormatting>
  <conditionalFormatting sqref="L7:L26">
    <cfRule type="expression" dxfId="22" priority="9">
      <formula>AND($K7&lt;&gt;"n.v.",$K7&lt;&gt;"—",L7&lt;&gt;$K7)</formula>
    </cfRule>
    <cfRule type="expression" dxfId="21" priority="10">
      <formula>AND(OR($K7="n.v.",$K7="—"),L7&lt;&gt;"")</formula>
    </cfRule>
  </conditionalFormatting>
  <conditionalFormatting sqref="M7:M26">
    <cfRule type="expression" dxfId="20" priority="14">
      <formula>AND($A7&lt;&gt;"",OR(IF(OR($C7="n.v.",$C7="—"),$D7&lt;&gt;"",$D7&lt;&gt;$C7),IF(OR($I7="n.v.",$I7="—"),$J7&lt;&gt;"",$J7&lt;&gt;$I7),IF(OR($G7="n.v.",$G7="—"),$H7&lt;&gt;"",$H7&lt;&gt;$G7),IF(OR($E7="n.v.",$E7="—"),$F7&lt;&gt;"",$F7&lt;&gt;$E7),IF(OR($K7="n.v.",$K7="—"),$L7&lt;&gt;"",$L7&lt;&gt;$K7),IF(OR($X7="n.v.",$X7="—"),$Y7&lt;&gt;"",$Y7&lt;&gt;$X7),$R7=1),LEN(M7)&lt;10)</formula>
    </cfRule>
  </conditionalFormatting>
  <conditionalFormatting sqref="M30:M109">
    <cfRule type="expression" dxfId="19" priority="24">
      <formula>AND($A30&lt;&gt;"",OR(IF(OR($D30="n.v.",$D30="—"),$E30&lt;&gt;"",$E30&lt;&gt;$D30),IF(OR($F30="n.v.",$F30="—"),$G30&lt;&gt;"",$G30&lt;&gt;$F30),IF(OR($H30="n.v.",$H30="—"),$I30&lt;&gt;"",$I30&lt;&gt;$H30),OR($J30="Sì",$J30="Si")),LEN(M30)&lt;10)</formula>
    </cfRule>
  </conditionalFormatting>
  <conditionalFormatting sqref="M113:M212">
    <cfRule type="expression" dxfId="18" priority="30">
      <formula>AND($A113&lt;&gt;"",OR(IF(OR($C113="n.v.",$C113="—"),$E113&lt;&gt;"",$E113&lt;&gt;$C113),IF(OR($G113="n.v.",$G113="—"),$H113&lt;&gt;"",$H113&lt;&gt;$G113),OR($I113="Sì",$I113="Si")),LEN(M113)&lt;10)</formula>
    </cfRule>
  </conditionalFormatting>
  <conditionalFormatting sqref="M216:M415">
    <cfRule type="expression" dxfId="17" priority="36">
      <formula>AND($A216&lt;&gt;"",OR(IF(OR($C216="n.v.",$C216="—"),$E216&lt;&gt;"",$E216&lt;&gt;$C216),IF(OR($G216="n.v.",$G216="—"),$H216&lt;&gt;"",$H216&lt;&gt;$G216),OR($I216="Sì",$I216="Si")),LEN(M216)&lt;10)</formula>
    </cfRule>
  </conditionalFormatting>
  <conditionalFormatting sqref="N7:N26">
    <cfRule type="expression" dxfId="16" priority="40">
      <formula>ISNUMBER(SEARCH("(era",N7))</formula>
    </cfRule>
  </conditionalFormatting>
  <conditionalFormatting sqref="O7:O26">
    <cfRule type="expression" dxfId="15" priority="37">
      <formula>LEFT(O7,9)="AGIRE ORA"</formula>
    </cfRule>
    <cfRule type="expression" dxfId="14" priority="38">
      <formula>LEFT(O7,5)="Entro"</formula>
    </cfRule>
    <cfRule type="expression" dxfId="13" priority="39">
      <formula>LEFT(O7,7)="Margine"</formula>
    </cfRule>
  </conditionalFormatting>
  <conditionalFormatting sqref="P7:P26">
    <cfRule type="expression" dxfId="12" priority="13">
      <formula>ISNUMBER(SEARCH("DA MOTIVARE",P7))</formula>
    </cfRule>
  </conditionalFormatting>
  <conditionalFormatting sqref="W7:W26">
    <cfRule type="expression" dxfId="11" priority="15">
      <formula>LEFT(W7,12)="Osservazione"</formula>
    </cfRule>
    <cfRule type="expression" dxfId="10" priority="16">
      <formula>LEFT(W7,16)="Radar, in uscita"</formula>
    </cfRule>
  </conditionalFormatting>
  <conditionalFormatting sqref="Y7:Y26">
    <cfRule type="expression" dxfId="9" priority="11">
      <formula>AND($X7&lt;&gt;"n.v.",$X7&lt;&gt;"—",Y7&lt;&gt;$X7)</formula>
    </cfRule>
    <cfRule type="expression" dxfId="8" priority="12">
      <formula>AND(OR($X7="n.v.",$X7="—"),Y7&lt;&gt;"")</formula>
    </cfRule>
  </conditionalFormatting>
  <dataValidations count="6">
    <dataValidation type="whole" allowBlank="1" showErrorMessage="1" error="Un intero da 1 a 5 (la Velocity puo' restare vuota = non valutata)." sqref="D7:D26 F7:F26 H7:H26 J7:J26" xr:uid="{00000000-0002-0000-0E00-000000000000}">
      <formula1>1</formula1>
      <formula2>5</formula2>
    </dataValidation>
    <dataValidation type="decimal" allowBlank="1" showErrorMessage="1" error="Anni di adeguamento: un numero da 0 a 30, oppure vuoto." sqref="L7:L26" xr:uid="{00000000-0002-0000-0E00-000001000000}">
      <formula1>0</formula1>
      <formula2>30</formula2>
    </dataValidation>
    <dataValidation type="list" allowBlank="1" sqref="Y7:Y26" xr:uid="{00000000-0002-0000-0E00-000002000000}">
      <formula1>"Automatico,Radar,Osservazione"</formula1>
    </dataValidation>
    <dataValidation type="list" allowBlank="1" sqref="J30:J109 I216:I415 I113:I212" xr:uid="{00000000-0002-0000-0E00-000003000000}">
      <formula1>"Sì"</formula1>
    </dataValidation>
    <dataValidation type="list" allowBlank="1" sqref="H113:H212" xr:uid="{00000000-0002-0000-0E00-000005000000}">
      <formula1>"3 mesi,6 mesi,12 mesi"</formula1>
    </dataValidation>
    <dataValidation type="list" allowBlank="1" sqref="H216:H415" xr:uid="{00000000-0002-0000-0E00-000007000000}">
      <formula1>"Peggiorativo,Migliorativo,Neutro,Non rilevante"</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E75B6"/>
    <pageSetUpPr fitToPage="1"/>
  </sheetPr>
  <dimension ref="A1:O75"/>
  <sheetViews>
    <sheetView showGridLines="0" workbookViewId="0"/>
  </sheetViews>
  <sheetFormatPr defaultRowHeight="14.6" x14ac:dyDescent="0.4"/>
  <cols>
    <col min="1" max="1" width="38" customWidth="1"/>
    <col min="2" max="2" width="14" customWidth="1"/>
    <col min="3" max="3" width="26" customWidth="1"/>
    <col min="5" max="5" width="10" customWidth="1"/>
    <col min="6" max="6" width="50" customWidth="1"/>
    <col min="8" max="8" width="10" customWidth="1"/>
    <col min="9" max="9" width="50" customWidth="1"/>
    <col min="10" max="10" width="10" customWidth="1"/>
    <col min="11" max="11" width="18" customWidth="1"/>
    <col min="12" max="12" width="34" customWidth="1"/>
    <col min="13" max="14" width="13" customWidth="1"/>
    <col min="15" max="15" width="15" customWidth="1"/>
  </cols>
  <sheetData>
    <row r="1" spans="1:15" ht="28" customHeight="1" x14ac:dyDescent="0.4">
      <c r="A1" s="161" t="str">
        <f>"Horizon Scan NFR — Parametri: pesi, soglie, urgenza e anagrafica dei rischi   ·   "&amp;etichettaCiclo</f>
        <v>Horizon Scan NFR — Parametri: pesi, soglie, urgenza e anagrafica dei rischi   ·   Ciclo 2026Q4 · dati al 31/12/2026 · validato · Uso interno</v>
      </c>
      <c r="B1" s="162"/>
      <c r="C1" s="162"/>
      <c r="D1" s="162"/>
      <c r="E1" s="162"/>
      <c r="F1" s="162"/>
      <c r="G1" s="162"/>
      <c r="H1" s="162"/>
      <c r="I1" s="162"/>
      <c r="J1" s="162"/>
      <c r="K1" s="162"/>
      <c r="L1" s="162"/>
      <c r="M1" s="162"/>
      <c r="N1" s="162"/>
    </row>
    <row r="2" spans="1:15" ht="65.05" customHeight="1" x14ac:dyDescent="0.4">
      <c r="A2" s="198" t="s">
        <v>546</v>
      </c>
      <c r="B2" s="142"/>
      <c r="C2" s="142"/>
      <c r="D2" s="142"/>
      <c r="E2" s="142"/>
      <c r="F2" s="142"/>
      <c r="H2" s="212" t="s">
        <v>547</v>
      </c>
      <c r="I2" s="142"/>
      <c r="J2" s="142"/>
      <c r="K2" s="142"/>
      <c r="L2" s="142"/>
      <c r="M2" s="142"/>
      <c r="N2" s="142"/>
      <c r="O2" s="142"/>
    </row>
    <row r="3" spans="1:15" ht="30" customHeight="1" x14ac:dyDescent="0.4">
      <c r="A3" s="61" t="s">
        <v>548</v>
      </c>
      <c r="E3" s="61" t="s">
        <v>549</v>
      </c>
      <c r="H3" s="4" t="s">
        <v>173</v>
      </c>
      <c r="I3" s="4" t="s">
        <v>174</v>
      </c>
      <c r="J3" s="4" t="s">
        <v>550</v>
      </c>
      <c r="K3" s="4" t="s">
        <v>269</v>
      </c>
      <c r="L3" s="5" t="s">
        <v>181</v>
      </c>
      <c r="M3" s="5" t="s">
        <v>551</v>
      </c>
      <c r="N3" s="5" t="s">
        <v>552</v>
      </c>
      <c r="O3" s="5" t="s">
        <v>553</v>
      </c>
    </row>
    <row r="4" spans="1:15" x14ac:dyDescent="0.4">
      <c r="A4" t="s">
        <v>203</v>
      </c>
      <c r="B4" s="108">
        <v>0.35</v>
      </c>
      <c r="E4" t="s">
        <v>461</v>
      </c>
      <c r="F4" t="s">
        <v>462</v>
      </c>
      <c r="H4" s="129" t="s">
        <v>554</v>
      </c>
      <c r="I4" s="129" t="s">
        <v>555</v>
      </c>
      <c r="J4" s="129" t="s">
        <v>469</v>
      </c>
      <c r="K4" s="129" t="s">
        <v>556</v>
      </c>
      <c r="L4" s="131" t="s">
        <v>557</v>
      </c>
      <c r="M4" s="74"/>
      <c r="N4" s="131" t="s">
        <v>558</v>
      </c>
      <c r="O4" s="131" t="s">
        <v>559</v>
      </c>
    </row>
    <row r="5" spans="1:15" x14ac:dyDescent="0.4">
      <c r="A5" t="s">
        <v>204</v>
      </c>
      <c r="B5" s="108">
        <v>0.25</v>
      </c>
      <c r="E5" t="s">
        <v>463</v>
      </c>
      <c r="F5" t="s">
        <v>464</v>
      </c>
      <c r="H5" s="129" t="s">
        <v>560</v>
      </c>
      <c r="I5" s="129" t="s">
        <v>561</v>
      </c>
      <c r="J5" s="129" t="s">
        <v>474</v>
      </c>
      <c r="K5" s="129" t="s">
        <v>562</v>
      </c>
      <c r="L5" s="131" t="s">
        <v>563</v>
      </c>
      <c r="M5" s="74"/>
      <c r="N5" s="131" t="s">
        <v>558</v>
      </c>
      <c r="O5" s="131" t="s">
        <v>559</v>
      </c>
    </row>
    <row r="6" spans="1:15" x14ac:dyDescent="0.4">
      <c r="A6" t="s">
        <v>565</v>
      </c>
      <c r="B6" s="108">
        <v>0.2</v>
      </c>
      <c r="E6" t="s">
        <v>465</v>
      </c>
      <c r="F6" t="s">
        <v>466</v>
      </c>
      <c r="H6" s="129" t="s">
        <v>566</v>
      </c>
      <c r="I6" s="129" t="s">
        <v>567</v>
      </c>
      <c r="J6" s="129" t="s">
        <v>461</v>
      </c>
      <c r="K6" s="129" t="s">
        <v>568</v>
      </c>
      <c r="L6" s="131" t="s">
        <v>569</v>
      </c>
      <c r="M6" s="74"/>
      <c r="N6" s="131" t="s">
        <v>570</v>
      </c>
      <c r="O6" s="131" t="s">
        <v>564</v>
      </c>
    </row>
    <row r="7" spans="1:15" x14ac:dyDescent="0.4">
      <c r="A7" t="s">
        <v>571</v>
      </c>
      <c r="B7" s="108">
        <v>0.2</v>
      </c>
      <c r="E7" t="s">
        <v>467</v>
      </c>
      <c r="F7" t="s">
        <v>468</v>
      </c>
      <c r="H7" s="129" t="s">
        <v>572</v>
      </c>
      <c r="I7" s="129" t="s">
        <v>573</v>
      </c>
      <c r="J7" s="129" t="s">
        <v>471</v>
      </c>
      <c r="K7" s="129" t="s">
        <v>574</v>
      </c>
      <c r="L7" s="131" t="s">
        <v>575</v>
      </c>
      <c r="M7" s="74"/>
      <c r="N7" s="131" t="s">
        <v>570</v>
      </c>
      <c r="O7" s="131" t="s">
        <v>564</v>
      </c>
    </row>
    <row r="8" spans="1:15" x14ac:dyDescent="0.4">
      <c r="A8" t="s">
        <v>313</v>
      </c>
      <c r="B8">
        <f>SUM(B4:B7)</f>
        <v>1</v>
      </c>
      <c r="C8" t="str">
        <f>IF(ROUND(B8,6)=1,"OK","I PESI NON SOMMANO A 1")</f>
        <v>OK</v>
      </c>
      <c r="E8" t="s">
        <v>469</v>
      </c>
      <c r="F8" t="s">
        <v>470</v>
      </c>
      <c r="H8" s="129" t="s">
        <v>576</v>
      </c>
      <c r="I8" s="129" t="s">
        <v>577</v>
      </c>
      <c r="J8" s="129" t="s">
        <v>478</v>
      </c>
      <c r="K8" s="129" t="s">
        <v>578</v>
      </c>
      <c r="L8" s="131" t="s">
        <v>579</v>
      </c>
      <c r="M8" s="74"/>
      <c r="N8" s="131" t="s">
        <v>570</v>
      </c>
      <c r="O8" s="131" t="s">
        <v>580</v>
      </c>
    </row>
    <row r="9" spans="1:15" x14ac:dyDescent="0.4">
      <c r="E9" t="s">
        <v>471</v>
      </c>
      <c r="F9" t="s">
        <v>472</v>
      </c>
      <c r="H9" s="129" t="s">
        <v>581</v>
      </c>
      <c r="I9" s="129" t="s">
        <v>582</v>
      </c>
      <c r="J9" s="129" t="s">
        <v>469</v>
      </c>
      <c r="K9" s="129" t="s">
        <v>583</v>
      </c>
      <c r="L9" s="131" t="s">
        <v>584</v>
      </c>
      <c r="M9" s="74">
        <v>1</v>
      </c>
      <c r="N9" s="131" t="s">
        <v>570</v>
      </c>
      <c r="O9" s="131" t="s">
        <v>585</v>
      </c>
    </row>
    <row r="10" spans="1:15" x14ac:dyDescent="0.4">
      <c r="A10" s="61" t="s">
        <v>586</v>
      </c>
      <c r="E10" t="s">
        <v>474</v>
      </c>
      <c r="F10" t="s">
        <v>475</v>
      </c>
      <c r="H10" s="129" t="s">
        <v>587</v>
      </c>
      <c r="I10" s="129" t="s">
        <v>588</v>
      </c>
      <c r="J10" s="129" t="s">
        <v>474</v>
      </c>
      <c r="K10" s="129" t="s">
        <v>589</v>
      </c>
      <c r="L10" s="131" t="s">
        <v>563</v>
      </c>
      <c r="M10" s="74"/>
      <c r="N10" s="131" t="s">
        <v>558</v>
      </c>
      <c r="O10" s="131" t="s">
        <v>559</v>
      </c>
    </row>
    <row r="11" spans="1:15" x14ac:dyDescent="0.4">
      <c r="A11" t="s">
        <v>590</v>
      </c>
      <c r="B11" s="74">
        <v>2</v>
      </c>
      <c r="E11" t="s">
        <v>476</v>
      </c>
      <c r="F11" t="s">
        <v>477</v>
      </c>
      <c r="H11" s="129" t="s">
        <v>591</v>
      </c>
      <c r="I11" s="129" t="s">
        <v>592</v>
      </c>
      <c r="J11" s="129" t="s">
        <v>469</v>
      </c>
      <c r="K11" s="129" t="s">
        <v>593</v>
      </c>
      <c r="L11" s="131" t="s">
        <v>584</v>
      </c>
      <c r="M11" s="74"/>
      <c r="N11" s="131" t="s">
        <v>570</v>
      </c>
      <c r="O11" s="131" t="s">
        <v>564</v>
      </c>
    </row>
    <row r="12" spans="1:15" x14ac:dyDescent="0.4">
      <c r="A12" t="s">
        <v>594</v>
      </c>
      <c r="B12" s="108">
        <v>0.3</v>
      </c>
      <c r="E12" t="s">
        <v>478</v>
      </c>
      <c r="F12" t="s">
        <v>479</v>
      </c>
      <c r="H12" s="129" t="s">
        <v>595</v>
      </c>
      <c r="I12" s="129" t="s">
        <v>596</v>
      </c>
      <c r="J12" s="129" t="s">
        <v>463</v>
      </c>
      <c r="K12" s="129" t="s">
        <v>597</v>
      </c>
      <c r="L12" s="131" t="s">
        <v>569</v>
      </c>
      <c r="M12" s="74"/>
      <c r="N12" s="131" t="s">
        <v>558</v>
      </c>
      <c r="O12" s="131" t="s">
        <v>564</v>
      </c>
    </row>
    <row r="13" spans="1:15" x14ac:dyDescent="0.4">
      <c r="H13" s="129" t="s">
        <v>598</v>
      </c>
      <c r="I13" s="129" t="s">
        <v>599</v>
      </c>
      <c r="J13" s="129" t="s">
        <v>461</v>
      </c>
      <c r="K13" s="129" t="s">
        <v>600</v>
      </c>
      <c r="L13" s="131" t="s">
        <v>601</v>
      </c>
      <c r="M13" s="74"/>
      <c r="N13" s="131" t="s">
        <v>570</v>
      </c>
      <c r="O13" s="131" t="s">
        <v>564</v>
      </c>
    </row>
    <row r="14" spans="1:15" x14ac:dyDescent="0.4">
      <c r="A14" s="61" t="s">
        <v>602</v>
      </c>
      <c r="E14" s="61" t="s">
        <v>603</v>
      </c>
      <c r="H14" s="129" t="s">
        <v>604</v>
      </c>
      <c r="I14" s="129" t="s">
        <v>605</v>
      </c>
      <c r="J14" s="129" t="s">
        <v>467</v>
      </c>
      <c r="K14" s="129" t="s">
        <v>578</v>
      </c>
      <c r="L14" s="131" t="s">
        <v>606</v>
      </c>
      <c r="M14" s="74">
        <v>3</v>
      </c>
      <c r="N14" s="131" t="s">
        <v>570</v>
      </c>
      <c r="O14" s="131" t="s">
        <v>585</v>
      </c>
    </row>
    <row r="15" spans="1:15" x14ac:dyDescent="0.4">
      <c r="A15" t="s">
        <v>607</v>
      </c>
      <c r="B15" s="131" t="s">
        <v>1650</v>
      </c>
      <c r="E15" t="s">
        <v>609</v>
      </c>
      <c r="F15" t="s">
        <v>610</v>
      </c>
      <c r="H15" s="129" t="s">
        <v>611</v>
      </c>
      <c r="I15" s="129" t="s">
        <v>612</v>
      </c>
      <c r="J15" s="129" t="s">
        <v>478</v>
      </c>
      <c r="K15" s="129" t="s">
        <v>578</v>
      </c>
      <c r="L15" s="131" t="s">
        <v>579</v>
      </c>
      <c r="M15" s="74"/>
      <c r="N15" s="131" t="s">
        <v>570</v>
      </c>
      <c r="O15" s="131" t="s">
        <v>559</v>
      </c>
    </row>
    <row r="16" spans="1:15" x14ac:dyDescent="0.4">
      <c r="A16" t="s">
        <v>613</v>
      </c>
      <c r="B16" s="134" t="s">
        <v>1505</v>
      </c>
      <c r="E16" t="s">
        <v>615</v>
      </c>
      <c r="F16" t="s">
        <v>475</v>
      </c>
      <c r="H16" s="134" t="s">
        <v>1567</v>
      </c>
      <c r="I16" s="134" t="s">
        <v>1568</v>
      </c>
      <c r="J16" s="134" t="s">
        <v>476</v>
      </c>
      <c r="K16" s="134" t="s">
        <v>1569</v>
      </c>
      <c r="L16" s="131" t="s">
        <v>1573</v>
      </c>
      <c r="M16" s="74"/>
      <c r="N16" s="74"/>
      <c r="O16" s="131" t="s">
        <v>564</v>
      </c>
    </row>
    <row r="17" spans="1:15" x14ac:dyDescent="0.4">
      <c r="A17" t="s">
        <v>616</v>
      </c>
      <c r="B17" s="134" t="s">
        <v>608</v>
      </c>
      <c r="E17" t="s">
        <v>618</v>
      </c>
      <c r="F17" t="s">
        <v>619</v>
      </c>
      <c r="L17" s="74"/>
      <c r="M17" s="74"/>
      <c r="N17" s="74"/>
      <c r="O17" s="74"/>
    </row>
    <row r="18" spans="1:15" x14ac:dyDescent="0.4">
      <c r="A18" t="s">
        <v>620</v>
      </c>
      <c r="B18" s="77">
        <v>46387</v>
      </c>
      <c r="E18" t="s">
        <v>574</v>
      </c>
      <c r="F18" t="s">
        <v>621</v>
      </c>
      <c r="L18" s="74"/>
      <c r="M18" s="74"/>
      <c r="N18" s="74"/>
      <c r="O18" s="74"/>
    </row>
    <row r="19" spans="1:15" x14ac:dyDescent="0.4">
      <c r="A19" s="61" t="s">
        <v>622</v>
      </c>
      <c r="E19" t="s">
        <v>623</v>
      </c>
      <c r="F19" t="s">
        <v>462</v>
      </c>
      <c r="L19" s="74"/>
      <c r="M19" s="74"/>
      <c r="N19" s="74"/>
      <c r="O19" s="74"/>
    </row>
    <row r="20" spans="1:15" x14ac:dyDescent="0.4">
      <c r="A20" t="s">
        <v>624</v>
      </c>
      <c r="B20" s="134" t="s">
        <v>629</v>
      </c>
      <c r="E20" t="s">
        <v>597</v>
      </c>
      <c r="F20" t="s">
        <v>625</v>
      </c>
      <c r="L20" s="74"/>
      <c r="M20" s="74"/>
      <c r="N20" s="74"/>
      <c r="O20" s="74"/>
    </row>
    <row r="21" spans="1:15" x14ac:dyDescent="0.4">
      <c r="A21" t="s">
        <v>626</v>
      </c>
      <c r="B21" s="134" t="s">
        <v>633</v>
      </c>
      <c r="E21" t="s">
        <v>578</v>
      </c>
      <c r="F21" t="s">
        <v>627</v>
      </c>
      <c r="L21" s="74"/>
      <c r="M21" s="74"/>
      <c r="N21" s="74"/>
      <c r="O21" s="74"/>
    </row>
    <row r="22" spans="1:15" x14ac:dyDescent="0.4">
      <c r="A22" t="s">
        <v>628</v>
      </c>
      <c r="B22" s="134" t="s">
        <v>635</v>
      </c>
      <c r="E22" t="s">
        <v>630</v>
      </c>
      <c r="F22" t="s">
        <v>631</v>
      </c>
      <c r="L22" s="74"/>
      <c r="M22" s="74"/>
      <c r="N22" s="74"/>
      <c r="O22" s="74"/>
    </row>
    <row r="23" spans="1:15" x14ac:dyDescent="0.4">
      <c r="A23" t="s">
        <v>632</v>
      </c>
      <c r="B23" s="134" t="s">
        <v>617</v>
      </c>
      <c r="L23" s="74"/>
      <c r="M23" s="74"/>
      <c r="N23" s="74"/>
      <c r="O23" s="74"/>
    </row>
    <row r="24" spans="1:15" x14ac:dyDescent="0.4">
      <c r="A24" t="s">
        <v>634</v>
      </c>
      <c r="B24" s="134" t="s">
        <v>614</v>
      </c>
    </row>
    <row r="25" spans="1:15" x14ac:dyDescent="0.4">
      <c r="A25" t="s">
        <v>636</v>
      </c>
      <c r="B25" s="134" t="s">
        <v>608</v>
      </c>
    </row>
    <row r="26" spans="1:15" x14ac:dyDescent="0.4">
      <c r="A26" t="s">
        <v>637</v>
      </c>
      <c r="B26" s="134" t="s">
        <v>1505</v>
      </c>
    </row>
    <row r="27" spans="1:15" x14ac:dyDescent="0.4">
      <c r="A27" t="s">
        <v>638</v>
      </c>
      <c r="B27" s="134" t="s">
        <v>1650</v>
      </c>
    </row>
    <row r="29" spans="1:15" x14ac:dyDescent="0.4">
      <c r="A29" s="61" t="s">
        <v>639</v>
      </c>
    </row>
    <row r="30" spans="1:15" x14ac:dyDescent="0.4">
      <c r="A30" t="s">
        <v>640</v>
      </c>
      <c r="B30" s="110">
        <v>46342</v>
      </c>
    </row>
    <row r="31" spans="1:15" x14ac:dyDescent="0.4">
      <c r="A31" t="s">
        <v>641</v>
      </c>
      <c r="B31" s="77">
        <f>settimanaCorrente-21</f>
        <v>46321</v>
      </c>
    </row>
    <row r="33" spans="1:2" x14ac:dyDescent="0.4">
      <c r="A33" s="61" t="s">
        <v>642</v>
      </c>
    </row>
    <row r="34" spans="1:2" x14ac:dyDescent="0.4">
      <c r="B34" s="77">
        <f>settimanaCorrente-7*11</f>
        <v>46265</v>
      </c>
    </row>
    <row r="35" spans="1:2" x14ac:dyDescent="0.4">
      <c r="B35" s="77">
        <f>settimanaCorrente-7*10</f>
        <v>46272</v>
      </c>
    </row>
    <row r="36" spans="1:2" x14ac:dyDescent="0.4">
      <c r="B36" s="77">
        <f>settimanaCorrente-7*9</f>
        <v>46279</v>
      </c>
    </row>
    <row r="37" spans="1:2" x14ac:dyDescent="0.4">
      <c r="B37" s="77">
        <f>settimanaCorrente-7*8</f>
        <v>46286</v>
      </c>
    </row>
    <row r="38" spans="1:2" x14ac:dyDescent="0.4">
      <c r="B38" s="77">
        <f>settimanaCorrente-7*7</f>
        <v>46293</v>
      </c>
    </row>
    <row r="39" spans="1:2" x14ac:dyDescent="0.4">
      <c r="B39" s="77">
        <f>settimanaCorrente-7*6</f>
        <v>46300</v>
      </c>
    </row>
    <row r="40" spans="1:2" x14ac:dyDescent="0.4">
      <c r="B40" s="77">
        <f>settimanaCorrente-7*5</f>
        <v>46307</v>
      </c>
    </row>
    <row r="41" spans="1:2" x14ac:dyDescent="0.4">
      <c r="B41" s="77">
        <f>settimanaCorrente-7*4</f>
        <v>46314</v>
      </c>
    </row>
    <row r="42" spans="1:2" x14ac:dyDescent="0.4">
      <c r="B42" s="77">
        <f>settimanaCorrente-7*3</f>
        <v>46321</v>
      </c>
    </row>
    <row r="43" spans="1:2" x14ac:dyDescent="0.4">
      <c r="B43" s="77">
        <f>settimanaCorrente-7*2</f>
        <v>46328</v>
      </c>
    </row>
    <row r="44" spans="1:2" x14ac:dyDescent="0.4">
      <c r="B44" s="77">
        <f>settimanaCorrente-7*1</f>
        <v>46335</v>
      </c>
    </row>
    <row r="45" spans="1:2" x14ac:dyDescent="0.4">
      <c r="B45" s="77">
        <f>settimanaCorrente-7*0</f>
        <v>46342</v>
      </c>
    </row>
    <row r="47" spans="1:2" x14ac:dyDescent="0.4">
      <c r="A47" s="61" t="s">
        <v>643</v>
      </c>
    </row>
    <row r="48" spans="1:2" x14ac:dyDescent="0.4">
      <c r="A48" t="s">
        <v>644</v>
      </c>
      <c r="B48" s="74">
        <v>0.25</v>
      </c>
    </row>
    <row r="49" spans="1:2" x14ac:dyDescent="0.4">
      <c r="A49" t="s">
        <v>645</v>
      </c>
      <c r="B49" s="74">
        <v>1</v>
      </c>
    </row>
    <row r="50" spans="1:2" x14ac:dyDescent="0.4">
      <c r="A50" s="61" t="s">
        <v>646</v>
      </c>
    </row>
    <row r="51" spans="1:2" x14ac:dyDescent="0.4">
      <c r="A51" t="s">
        <v>647</v>
      </c>
      <c r="B51" s="74">
        <v>3.5</v>
      </c>
    </row>
    <row r="52" spans="1:2" x14ac:dyDescent="0.4">
      <c r="A52" t="s">
        <v>648</v>
      </c>
      <c r="B52" s="74">
        <v>2.5</v>
      </c>
    </row>
    <row r="53" spans="1:2" x14ac:dyDescent="0.4">
      <c r="A53" t="s">
        <v>649</v>
      </c>
      <c r="B53" s="74">
        <v>1.5</v>
      </c>
    </row>
    <row r="54" spans="1:2" x14ac:dyDescent="0.4">
      <c r="A54" t="s">
        <v>650</v>
      </c>
      <c r="B54" s="74">
        <v>0.5</v>
      </c>
    </row>
    <row r="55" spans="1:2" x14ac:dyDescent="0.4">
      <c r="A55" t="s">
        <v>651</v>
      </c>
      <c r="B55" s="74">
        <v>0</v>
      </c>
    </row>
    <row r="57" spans="1:2" x14ac:dyDescent="0.4">
      <c r="A57" s="61" t="s">
        <v>652</v>
      </c>
      <c r="B57" t="str">
        <f>IF(cicloCorrente="","nessun ciclo",IF(ISNUMBER(SEARCH("-S",cicloCorrente)),"Ciclo straordinario ","Ciclo ")&amp;cicloCorrente&amp;IF(ISNUMBER(dataRiferimento)," · dati al "&amp;DAY(dataRiferimento)&amp;"/"&amp;RIGHT("0"&amp;MONTH(dataRiferimento),2)&amp;"/"&amp;YEAR(dataRiferimento),"")&amp;" · "&amp;IF(decisioniDaPrendere&gt;0,"da validare","validato"))&amp;" · Uso interno"</f>
        <v>Ciclo 2026Q4 · dati al 31/12/2026 · validato · Uso interno</v>
      </c>
    </row>
    <row r="59" spans="1:2" x14ac:dyDescent="0.4">
      <c r="A59" s="61" t="s">
        <v>653</v>
      </c>
    </row>
    <row r="60" spans="1:2" x14ac:dyDescent="0.4">
      <c r="A60" t="s">
        <v>654</v>
      </c>
      <c r="B60" s="111">
        <v>12</v>
      </c>
    </row>
    <row r="61" spans="1:2" x14ac:dyDescent="0.4">
      <c r="A61" t="s">
        <v>655</v>
      </c>
      <c r="B61" s="112">
        <v>0.5</v>
      </c>
    </row>
    <row r="62" spans="1:2" x14ac:dyDescent="0.4">
      <c r="A62" t="s">
        <v>656</v>
      </c>
      <c r="B62" s="108">
        <v>1</v>
      </c>
    </row>
    <row r="63" spans="1:2" x14ac:dyDescent="0.4">
      <c r="A63" t="s">
        <v>657</v>
      </c>
      <c r="B63" s="111">
        <v>2</v>
      </c>
    </row>
    <row r="65" spans="1:3" x14ac:dyDescent="0.4">
      <c r="A65" s="61" t="s">
        <v>658</v>
      </c>
    </row>
    <row r="66" spans="1:3" x14ac:dyDescent="0.4">
      <c r="A66" t="s">
        <v>659</v>
      </c>
      <c r="B66" s="74">
        <v>15</v>
      </c>
      <c r="C66" s="79" t="s">
        <v>660</v>
      </c>
    </row>
    <row r="67" spans="1:3" x14ac:dyDescent="0.4">
      <c r="A67" t="s">
        <v>661</v>
      </c>
      <c r="B67" s="74">
        <v>2</v>
      </c>
      <c r="C67" s="79" t="s">
        <v>662</v>
      </c>
    </row>
    <row r="68" spans="1:3" x14ac:dyDescent="0.4">
      <c r="A68" t="s">
        <v>663</v>
      </c>
      <c r="B68" s="74">
        <v>2</v>
      </c>
      <c r="C68" s="79" t="s">
        <v>664</v>
      </c>
    </row>
    <row r="69" spans="1:3" x14ac:dyDescent="0.4">
      <c r="A69" t="s">
        <v>665</v>
      </c>
      <c r="B69" s="74">
        <v>2</v>
      </c>
      <c r="C69" s="79" t="s">
        <v>666</v>
      </c>
    </row>
    <row r="70" spans="1:3" x14ac:dyDescent="0.4">
      <c r="A70" t="s">
        <v>667</v>
      </c>
      <c r="B70">
        <v>20</v>
      </c>
      <c r="C70" s="79" t="s">
        <v>668</v>
      </c>
    </row>
    <row r="71" spans="1:3" ht="30" customHeight="1" x14ac:dyDescent="0.4">
      <c r="A71" s="175" t="s">
        <v>669</v>
      </c>
      <c r="B71" s="142"/>
      <c r="C71" s="142"/>
    </row>
    <row r="72" spans="1:3" ht="30" customHeight="1" x14ac:dyDescent="0.4">
      <c r="A72" s="142"/>
      <c r="B72" s="142"/>
      <c r="C72" s="142"/>
    </row>
    <row r="73" spans="1:3" ht="30" customHeight="1" x14ac:dyDescent="0.4">
      <c r="A73" s="142"/>
      <c r="B73" s="142"/>
      <c r="C73" s="142"/>
    </row>
    <row r="74" spans="1:3" ht="30" customHeight="1" x14ac:dyDescent="0.4">
      <c r="A74" s="142"/>
      <c r="B74" s="142"/>
      <c r="C74" s="142"/>
    </row>
    <row r="75" spans="1:3" ht="30" customHeight="1" x14ac:dyDescent="0.4">
      <c r="A75" s="142"/>
      <c r="B75" s="142"/>
      <c r="C75" s="142"/>
    </row>
  </sheetData>
  <mergeCells count="4">
    <mergeCell ref="A71:C75"/>
    <mergeCell ref="A2:F2"/>
    <mergeCell ref="H2:O2"/>
    <mergeCell ref="A1:N1"/>
  </mergeCells>
  <dataValidations count="8">
    <dataValidation type="whole" showErrorMessage="1" error="Capienza del radar (fino a 20): un intero da 1 a 20." sqref="B66" xr:uid="{00000000-0002-0000-0F00-000000000000}">
      <formula1>1</formula1>
      <formula2>20</formula2>
    </dataValidation>
    <dataValidation type="whole" showErrorMessage="1" error="Soglia di Prossimita' per entrare: un intero da 1 a 5." sqref="B67" xr:uid="{00000000-0002-0000-0F00-000001000000}">
      <formula1>1</formula1>
      <formula2>5</formula2>
    </dataValidation>
    <dataValidation type="whole" showErrorMessage="1" error="Soglia di Probabilita' per entrare: un intero da 1 a 5." sqref="B68" xr:uid="{00000000-0002-0000-0F00-000002000000}">
      <formula1>1</formula1>
      <formula2>5</formula2>
    </dataValidation>
    <dataValidation type="whole" showErrorMessage="1" error="Cicli sotto la soglia prima di uscire: un intero da 1 a 2." sqref="B69" xr:uid="{00000000-0002-0000-0F00-000003000000}">
      <formula1>1</formula1>
      <formula2>2</formula2>
    </dataValidation>
    <dataValidation type="decimal" allowBlank="1" showErrorMessage="1" error="Anni di adeguamento: un numero da 0 a 30, oppure vuoto." sqref="M4:M23" xr:uid="{00000000-0002-0000-0F00-000004000000}">
      <formula1>0</formula1>
      <formula2>30</formula2>
    </dataValidation>
    <dataValidation type="list" allowBlank="1" sqref="N4:N23" xr:uid="{00000000-0002-0000-0F00-000005000000}">
      <formula1>"Sì,No"</formula1>
    </dataValidation>
    <dataValidation type="list" allowBlank="1" sqref="O4:O23" xr:uid="{00000000-0002-0000-0F00-000006000000}">
      <formula1>"Non verificato,Adeguato,Parziale,Assente"</formula1>
    </dataValidation>
    <dataValidation type="list" allowBlank="1" sqref="J4:J23" xr:uid="{00000000-0002-0000-0F00-000007000000}">
      <formula1>codiciL1</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2E75B6"/>
  </sheetPr>
  <dimension ref="A1:G147"/>
  <sheetViews>
    <sheetView showGridLines="0" workbookViewId="0">
      <pane xSplit="1" ySplit="4" topLeftCell="B5" activePane="bottomRight" state="frozen"/>
      <selection pane="topRight"/>
      <selection pane="bottomLeft"/>
      <selection pane="bottomRight"/>
    </sheetView>
  </sheetViews>
  <sheetFormatPr defaultRowHeight="14.6" x14ac:dyDescent="0.4"/>
  <cols>
    <col min="1" max="1" width="22" customWidth="1"/>
    <col min="2" max="2" width="19" customWidth="1"/>
    <col min="3" max="3" width="24" customWidth="1"/>
    <col min="4" max="4" width="38" customWidth="1"/>
    <col min="5" max="5" width="56" customWidth="1"/>
    <col min="6" max="6" width="14" customWidth="1"/>
    <col min="7" max="7" width="22" customWidth="1"/>
  </cols>
  <sheetData>
    <row r="1" spans="1:7" ht="28" customHeight="1" x14ac:dyDescent="0.4">
      <c r="A1" s="161" t="str">
        <f>"Horizon Scan NFR — Dizionario dei dati   ·   "&amp;etichettaCiclo</f>
        <v>Horizon Scan NFR — Dizionario dei dati   ·   Ciclo 2026Q4 · dati al 31/12/2026 · validato · Uso interno</v>
      </c>
      <c r="B1" s="162"/>
      <c r="C1" s="162"/>
      <c r="D1" s="162"/>
      <c r="E1" s="162"/>
      <c r="F1" s="162"/>
      <c r="G1" s="162"/>
    </row>
    <row r="2" spans="1:7" ht="32.049999999999997" customHeight="1" x14ac:dyDescent="0.4">
      <c r="A2" s="188" t="s">
        <v>670</v>
      </c>
      <c r="B2" s="142"/>
      <c r="C2" s="142"/>
      <c r="D2" s="142"/>
      <c r="E2" s="142"/>
      <c r="F2" s="142"/>
      <c r="G2" s="142"/>
    </row>
    <row r="4" spans="1:7" x14ac:dyDescent="0.4">
      <c r="A4" s="113" t="s">
        <v>671</v>
      </c>
      <c r="B4" s="113" t="s">
        <v>672</v>
      </c>
      <c r="C4" s="113" t="s">
        <v>673</v>
      </c>
      <c r="D4" s="113" t="s">
        <v>674</v>
      </c>
      <c r="E4" s="113" t="s">
        <v>675</v>
      </c>
      <c r="F4" s="113" t="s">
        <v>676</v>
      </c>
      <c r="G4" s="113" t="s">
        <v>677</v>
      </c>
    </row>
    <row r="5" spans="1:7" x14ac:dyDescent="0.4">
      <c r="A5" s="213" t="s">
        <v>678</v>
      </c>
      <c r="B5" s="142"/>
      <c r="C5" s="142"/>
      <c r="D5" s="142"/>
      <c r="E5" s="142"/>
      <c r="F5" s="142"/>
      <c r="G5" s="142"/>
    </row>
    <row r="6" spans="1:7" ht="28" customHeight="1" x14ac:dyDescent="0.4">
      <c r="A6" s="89" t="s">
        <v>451</v>
      </c>
      <c r="B6" s="90" t="s">
        <v>117</v>
      </c>
      <c r="C6" s="114" t="s">
        <v>679</v>
      </c>
      <c r="D6" s="90" t="s">
        <v>680</v>
      </c>
      <c r="E6" s="90" t="s">
        <v>681</v>
      </c>
      <c r="F6" s="90" t="s">
        <v>682</v>
      </c>
      <c r="G6" s="90" t="s">
        <v>608</v>
      </c>
    </row>
    <row r="7" spans="1:7" ht="28" customHeight="1" x14ac:dyDescent="0.4">
      <c r="A7" s="89" t="s">
        <v>683</v>
      </c>
      <c r="B7" s="90" t="s">
        <v>117</v>
      </c>
      <c r="C7" s="114" t="s">
        <v>679</v>
      </c>
      <c r="D7" s="90" t="s">
        <v>684</v>
      </c>
      <c r="E7" s="90" t="s">
        <v>685</v>
      </c>
      <c r="F7" s="90" t="s">
        <v>686</v>
      </c>
      <c r="G7" s="90" t="s">
        <v>687</v>
      </c>
    </row>
    <row r="8" spans="1:7" ht="28" customHeight="1" x14ac:dyDescent="0.4">
      <c r="A8" s="89" t="s">
        <v>688</v>
      </c>
      <c r="B8" s="90" t="s">
        <v>117</v>
      </c>
      <c r="C8" s="114" t="s">
        <v>679</v>
      </c>
      <c r="D8" s="90" t="s">
        <v>689</v>
      </c>
      <c r="E8" s="90" t="s">
        <v>690</v>
      </c>
      <c r="F8" s="90" t="s">
        <v>691</v>
      </c>
      <c r="G8" s="90" t="s">
        <v>554</v>
      </c>
    </row>
    <row r="9" spans="1:7" ht="28" customHeight="1" x14ac:dyDescent="0.4">
      <c r="A9" s="89" t="s">
        <v>174</v>
      </c>
      <c r="B9" s="90" t="s">
        <v>117</v>
      </c>
      <c r="C9" s="114" t="s">
        <v>679</v>
      </c>
      <c r="D9" s="90" t="s">
        <v>692</v>
      </c>
      <c r="E9" s="90" t="s">
        <v>690</v>
      </c>
      <c r="F9" s="90" t="s">
        <v>691</v>
      </c>
      <c r="G9" s="90" t="s">
        <v>693</v>
      </c>
    </row>
    <row r="10" spans="1:7" ht="88" customHeight="1" x14ac:dyDescent="0.4">
      <c r="A10" s="89" t="s">
        <v>550</v>
      </c>
      <c r="B10" s="90" t="s">
        <v>117</v>
      </c>
      <c r="C10" s="114" t="s">
        <v>679</v>
      </c>
      <c r="D10" s="90" t="s">
        <v>694</v>
      </c>
      <c r="E10" s="90" t="s">
        <v>690</v>
      </c>
      <c r="F10" s="90" t="s">
        <v>695</v>
      </c>
      <c r="G10" s="90" t="s">
        <v>469</v>
      </c>
    </row>
    <row r="11" spans="1:7" ht="28" customHeight="1" x14ac:dyDescent="0.4">
      <c r="A11" s="89" t="s">
        <v>269</v>
      </c>
      <c r="B11" s="90" t="s">
        <v>117</v>
      </c>
      <c r="C11" s="114" t="s">
        <v>679</v>
      </c>
      <c r="D11" s="90" t="s">
        <v>696</v>
      </c>
      <c r="E11" s="90" t="s">
        <v>690</v>
      </c>
      <c r="F11" s="90" t="s">
        <v>691</v>
      </c>
      <c r="G11" s="90" t="s">
        <v>556</v>
      </c>
    </row>
    <row r="12" spans="1:7" ht="28" customHeight="1" x14ac:dyDescent="0.4">
      <c r="A12" s="89" t="s">
        <v>203</v>
      </c>
      <c r="B12" s="90" t="s">
        <v>117</v>
      </c>
      <c r="C12" s="114" t="s">
        <v>679</v>
      </c>
      <c r="D12" s="90" t="s">
        <v>697</v>
      </c>
      <c r="E12" s="90" t="s">
        <v>698</v>
      </c>
      <c r="F12" s="90" t="s">
        <v>699</v>
      </c>
      <c r="G12" s="90" t="s">
        <v>27</v>
      </c>
    </row>
    <row r="13" spans="1:7" ht="52" customHeight="1" x14ac:dyDescent="0.4">
      <c r="A13" s="89" t="s">
        <v>300</v>
      </c>
      <c r="B13" s="90" t="s">
        <v>117</v>
      </c>
      <c r="C13" s="114" t="s">
        <v>679</v>
      </c>
      <c r="D13" s="90" t="s">
        <v>700</v>
      </c>
      <c r="E13" s="90" t="s">
        <v>701</v>
      </c>
      <c r="F13" s="90" t="s">
        <v>702</v>
      </c>
      <c r="G13" s="90" t="s">
        <v>703</v>
      </c>
    </row>
    <row r="14" spans="1:7" ht="28" customHeight="1" x14ac:dyDescent="0.4">
      <c r="A14" s="89" t="s">
        <v>206</v>
      </c>
      <c r="B14" s="90" t="s">
        <v>117</v>
      </c>
      <c r="C14" s="114" t="s">
        <v>679</v>
      </c>
      <c r="D14" s="90" t="s">
        <v>704</v>
      </c>
      <c r="E14" s="90" t="s">
        <v>705</v>
      </c>
      <c r="F14" s="90" t="s">
        <v>699</v>
      </c>
      <c r="G14" s="90" t="s">
        <v>27</v>
      </c>
    </row>
    <row r="15" spans="1:7" ht="52" customHeight="1" x14ac:dyDescent="0.4">
      <c r="A15" s="89" t="s">
        <v>706</v>
      </c>
      <c r="B15" s="90" t="s">
        <v>117</v>
      </c>
      <c r="C15" s="115" t="s">
        <v>707</v>
      </c>
      <c r="D15" s="90" t="s">
        <v>708</v>
      </c>
      <c r="E15" s="90" t="s">
        <v>709</v>
      </c>
      <c r="F15" s="90" t="s">
        <v>710</v>
      </c>
      <c r="G15" s="90" t="s">
        <v>711</v>
      </c>
    </row>
    <row r="16" spans="1:7" ht="40" customHeight="1" x14ac:dyDescent="0.4">
      <c r="A16" s="89" t="s">
        <v>204</v>
      </c>
      <c r="B16" s="90" t="s">
        <v>117</v>
      </c>
      <c r="C16" s="114" t="s">
        <v>679</v>
      </c>
      <c r="D16" s="90" t="s">
        <v>712</v>
      </c>
      <c r="E16" s="90" t="s">
        <v>713</v>
      </c>
      <c r="F16" s="90" t="s">
        <v>699</v>
      </c>
      <c r="G16" s="90" t="s">
        <v>27</v>
      </c>
    </row>
    <row r="17" spans="1:7" ht="52" customHeight="1" x14ac:dyDescent="0.4">
      <c r="A17" s="89" t="s">
        <v>551</v>
      </c>
      <c r="B17" s="90" t="s">
        <v>117</v>
      </c>
      <c r="C17" s="114" t="s">
        <v>679</v>
      </c>
      <c r="D17" s="90" t="s">
        <v>714</v>
      </c>
      <c r="E17" s="90" t="s">
        <v>715</v>
      </c>
      <c r="F17" s="90" t="s">
        <v>716</v>
      </c>
      <c r="G17" s="90"/>
    </row>
    <row r="18" spans="1:7" ht="64" customHeight="1" x14ac:dyDescent="0.4">
      <c r="A18" s="89" t="s">
        <v>178</v>
      </c>
      <c r="B18" s="90" t="s">
        <v>117</v>
      </c>
      <c r="C18" s="115" t="s">
        <v>717</v>
      </c>
      <c r="D18" s="90" t="s">
        <v>718</v>
      </c>
      <c r="E18" s="90" t="s">
        <v>719</v>
      </c>
      <c r="F18" s="90" t="s">
        <v>720</v>
      </c>
      <c r="G18" s="90" t="s">
        <v>721</v>
      </c>
    </row>
    <row r="19" spans="1:7" ht="28" customHeight="1" x14ac:dyDescent="0.4">
      <c r="A19" s="89" t="s">
        <v>536</v>
      </c>
      <c r="B19" s="90" t="s">
        <v>117</v>
      </c>
      <c r="C19" s="114" t="s">
        <v>679</v>
      </c>
      <c r="D19" s="90" t="s">
        <v>722</v>
      </c>
      <c r="E19" s="90" t="s">
        <v>690</v>
      </c>
      <c r="F19" s="90" t="s">
        <v>691</v>
      </c>
      <c r="G19" s="90" t="s">
        <v>723</v>
      </c>
    </row>
    <row r="20" spans="1:7" ht="76" customHeight="1" x14ac:dyDescent="0.4">
      <c r="A20" s="89" t="s">
        <v>724</v>
      </c>
      <c r="B20" s="90" t="s">
        <v>117</v>
      </c>
      <c r="C20" s="114" t="s">
        <v>679</v>
      </c>
      <c r="D20" s="90" t="s">
        <v>725</v>
      </c>
      <c r="E20" s="90" t="s">
        <v>690</v>
      </c>
      <c r="F20" s="90" t="s">
        <v>691</v>
      </c>
      <c r="G20" s="90" t="s">
        <v>726</v>
      </c>
    </row>
    <row r="21" spans="1:7" ht="40" customHeight="1" x14ac:dyDescent="0.4">
      <c r="A21" s="89" t="s">
        <v>727</v>
      </c>
      <c r="B21" s="90" t="s">
        <v>117</v>
      </c>
      <c r="C21" s="114" t="s">
        <v>679</v>
      </c>
      <c r="D21" s="90" t="s">
        <v>728</v>
      </c>
      <c r="E21" s="90" t="s">
        <v>729</v>
      </c>
      <c r="F21" s="90" t="s">
        <v>691</v>
      </c>
      <c r="G21" s="90" t="s">
        <v>730</v>
      </c>
    </row>
    <row r="22" spans="1:7" ht="52" customHeight="1" x14ac:dyDescent="0.4">
      <c r="A22" s="89" t="s">
        <v>731</v>
      </c>
      <c r="B22" s="90" t="s">
        <v>117</v>
      </c>
      <c r="C22" s="114" t="s">
        <v>679</v>
      </c>
      <c r="D22" s="90" t="s">
        <v>732</v>
      </c>
      <c r="E22" s="90" t="s">
        <v>733</v>
      </c>
      <c r="F22" s="90" t="s">
        <v>691</v>
      </c>
      <c r="G22" s="90" t="s">
        <v>734</v>
      </c>
    </row>
    <row r="23" spans="1:7" ht="76" customHeight="1" x14ac:dyDescent="0.4">
      <c r="A23" s="89" t="s">
        <v>422</v>
      </c>
      <c r="B23" s="90" t="s">
        <v>117</v>
      </c>
      <c r="C23" s="115" t="s">
        <v>717</v>
      </c>
      <c r="D23" s="90" t="s">
        <v>735</v>
      </c>
      <c r="E23" s="90" t="s">
        <v>736</v>
      </c>
      <c r="F23" s="90" t="s">
        <v>691</v>
      </c>
      <c r="G23" s="90"/>
    </row>
    <row r="24" spans="1:7" ht="28" customHeight="1" x14ac:dyDescent="0.4">
      <c r="A24" s="89" t="s">
        <v>181</v>
      </c>
      <c r="B24" s="90" t="s">
        <v>117</v>
      </c>
      <c r="C24" s="115" t="s">
        <v>717</v>
      </c>
      <c r="D24" s="90" t="s">
        <v>737</v>
      </c>
      <c r="E24" s="90" t="s">
        <v>738</v>
      </c>
      <c r="F24" s="90" t="s">
        <v>691</v>
      </c>
      <c r="G24" s="90" t="s">
        <v>557</v>
      </c>
    </row>
    <row r="25" spans="1:7" ht="28" customHeight="1" x14ac:dyDescent="0.4">
      <c r="A25" s="89" t="s">
        <v>250</v>
      </c>
      <c r="B25" s="90" t="s">
        <v>117</v>
      </c>
      <c r="C25" s="115" t="s">
        <v>707</v>
      </c>
      <c r="D25" s="90" t="s">
        <v>739</v>
      </c>
      <c r="E25" s="90" t="s">
        <v>740</v>
      </c>
      <c r="F25" s="90" t="s">
        <v>691</v>
      </c>
      <c r="G25" s="90" t="s">
        <v>741</v>
      </c>
    </row>
    <row r="26" spans="1:7" ht="28" customHeight="1" x14ac:dyDescent="0.4">
      <c r="A26" s="89" t="s">
        <v>742</v>
      </c>
      <c r="B26" s="90" t="s">
        <v>117</v>
      </c>
      <c r="C26" s="115" t="s">
        <v>717</v>
      </c>
      <c r="D26" s="90" t="s">
        <v>743</v>
      </c>
      <c r="E26" s="90" t="s">
        <v>744</v>
      </c>
      <c r="F26" s="90" t="s">
        <v>691</v>
      </c>
      <c r="G26" s="90" t="s">
        <v>687</v>
      </c>
    </row>
    <row r="27" spans="1:7" ht="28" customHeight="1" x14ac:dyDescent="0.4">
      <c r="A27" s="89" t="s">
        <v>745</v>
      </c>
      <c r="B27" s="90" t="s">
        <v>117</v>
      </c>
      <c r="C27" s="116" t="s">
        <v>746</v>
      </c>
      <c r="D27" s="90" t="s">
        <v>747</v>
      </c>
      <c r="E27" s="90" t="s">
        <v>748</v>
      </c>
      <c r="F27" s="90" t="s">
        <v>691</v>
      </c>
      <c r="G27" s="90" t="s">
        <v>749</v>
      </c>
    </row>
    <row r="28" spans="1:7" ht="40" customHeight="1" x14ac:dyDescent="0.4">
      <c r="A28" s="89" t="s">
        <v>9</v>
      </c>
      <c r="B28" s="90" t="s">
        <v>117</v>
      </c>
      <c r="C28" s="116" t="s">
        <v>746</v>
      </c>
      <c r="D28" s="90" t="s">
        <v>750</v>
      </c>
      <c r="E28" s="90" t="s">
        <v>751</v>
      </c>
      <c r="F28" s="90" t="s">
        <v>752</v>
      </c>
      <c r="G28" s="90" t="s">
        <v>753</v>
      </c>
    </row>
    <row r="29" spans="1:7" ht="28" customHeight="1" x14ac:dyDescent="0.4">
      <c r="A29" s="89" t="s">
        <v>754</v>
      </c>
      <c r="B29" s="90" t="s">
        <v>117</v>
      </c>
      <c r="C29" s="116" t="s">
        <v>746</v>
      </c>
      <c r="D29" s="90" t="s">
        <v>755</v>
      </c>
      <c r="E29" s="90" t="s">
        <v>756</v>
      </c>
      <c r="F29" s="90" t="s">
        <v>691</v>
      </c>
      <c r="G29" s="90" t="s">
        <v>757</v>
      </c>
    </row>
    <row r="30" spans="1:7" ht="76" customHeight="1" x14ac:dyDescent="0.4">
      <c r="A30" s="89" t="s">
        <v>758</v>
      </c>
      <c r="B30" s="90" t="s">
        <v>117</v>
      </c>
      <c r="C30" s="115" t="s">
        <v>717</v>
      </c>
      <c r="D30" s="90" t="s">
        <v>759</v>
      </c>
      <c r="E30" s="90" t="s">
        <v>760</v>
      </c>
      <c r="F30" s="90" t="s">
        <v>691</v>
      </c>
      <c r="G30" s="90" t="s">
        <v>608</v>
      </c>
    </row>
    <row r="31" spans="1:7" ht="100" customHeight="1" x14ac:dyDescent="0.4">
      <c r="A31" s="89" t="s">
        <v>444</v>
      </c>
      <c r="B31" s="90" t="s">
        <v>117</v>
      </c>
      <c r="C31" s="115" t="s">
        <v>717</v>
      </c>
      <c r="D31" s="90" t="s">
        <v>761</v>
      </c>
      <c r="E31" s="90" t="s">
        <v>762</v>
      </c>
      <c r="F31" s="90" t="s">
        <v>763</v>
      </c>
      <c r="G31" s="90" t="s">
        <v>764</v>
      </c>
    </row>
    <row r="32" spans="1:7" ht="52" customHeight="1" x14ac:dyDescent="0.4">
      <c r="A32" s="89" t="s">
        <v>765</v>
      </c>
      <c r="B32" s="90" t="s">
        <v>117</v>
      </c>
      <c r="C32" s="115" t="s">
        <v>717</v>
      </c>
      <c r="D32" s="90" t="s">
        <v>766</v>
      </c>
      <c r="E32" s="90" t="s">
        <v>767</v>
      </c>
      <c r="F32" s="90" t="s">
        <v>691</v>
      </c>
      <c r="G32" s="90" t="s">
        <v>768</v>
      </c>
    </row>
    <row r="33" spans="1:7" ht="52" customHeight="1" x14ac:dyDescent="0.4">
      <c r="A33" s="89" t="s">
        <v>272</v>
      </c>
      <c r="B33" s="90" t="s">
        <v>117</v>
      </c>
      <c r="C33" s="115" t="s">
        <v>717</v>
      </c>
      <c r="D33" s="90" t="s">
        <v>769</v>
      </c>
      <c r="E33" s="90" t="s">
        <v>770</v>
      </c>
      <c r="F33" s="90" t="s">
        <v>771</v>
      </c>
      <c r="G33" s="90"/>
    </row>
    <row r="34" spans="1:7" ht="64" customHeight="1" x14ac:dyDescent="0.4">
      <c r="A34" s="89" t="s">
        <v>772</v>
      </c>
      <c r="B34" s="90" t="s">
        <v>117</v>
      </c>
      <c r="C34" s="116" t="s">
        <v>746</v>
      </c>
      <c r="D34" s="90" t="s">
        <v>773</v>
      </c>
      <c r="E34" s="90" t="s">
        <v>774</v>
      </c>
      <c r="F34" s="90" t="s">
        <v>775</v>
      </c>
      <c r="G34" s="90" t="s">
        <v>776</v>
      </c>
    </row>
    <row r="35" spans="1:7" ht="64" customHeight="1" x14ac:dyDescent="0.4">
      <c r="A35" s="89" t="s">
        <v>777</v>
      </c>
      <c r="B35" s="90" t="s">
        <v>117</v>
      </c>
      <c r="C35" s="114" t="s">
        <v>679</v>
      </c>
      <c r="D35" s="90" t="s">
        <v>778</v>
      </c>
      <c r="E35" s="90" t="s">
        <v>690</v>
      </c>
      <c r="F35" s="90" t="s">
        <v>779</v>
      </c>
      <c r="G35" s="90"/>
    </row>
    <row r="36" spans="1:7" ht="40" customHeight="1" x14ac:dyDescent="0.4">
      <c r="A36" s="89" t="s">
        <v>780</v>
      </c>
      <c r="B36" s="90" t="s">
        <v>117</v>
      </c>
      <c r="C36" s="114" t="s">
        <v>679</v>
      </c>
      <c r="D36" s="90" t="s">
        <v>781</v>
      </c>
      <c r="E36" s="90" t="s">
        <v>690</v>
      </c>
      <c r="F36" s="90" t="s">
        <v>691</v>
      </c>
      <c r="G36" s="90"/>
    </row>
    <row r="37" spans="1:7" ht="52" customHeight="1" x14ac:dyDescent="0.4">
      <c r="A37" s="89" t="s">
        <v>782</v>
      </c>
      <c r="B37" s="90" t="s">
        <v>117</v>
      </c>
      <c r="C37" s="115" t="s">
        <v>707</v>
      </c>
      <c r="D37" s="90" t="s">
        <v>783</v>
      </c>
      <c r="E37" s="90" t="s">
        <v>784</v>
      </c>
      <c r="F37" s="90" t="s">
        <v>691</v>
      </c>
      <c r="G37" s="90"/>
    </row>
    <row r="38" spans="1:7" x14ac:dyDescent="0.4">
      <c r="A38" s="213" t="s">
        <v>785</v>
      </c>
      <c r="B38" s="142"/>
      <c r="C38" s="142"/>
      <c r="D38" s="142"/>
      <c r="E38" s="142"/>
      <c r="F38" s="142"/>
      <c r="G38" s="142"/>
    </row>
    <row r="39" spans="1:7" ht="28" customHeight="1" x14ac:dyDescent="0.4">
      <c r="A39" s="89" t="s">
        <v>451</v>
      </c>
      <c r="B39" s="90" t="s">
        <v>121</v>
      </c>
      <c r="C39" s="114" t="s">
        <v>679</v>
      </c>
      <c r="D39" s="90" t="s">
        <v>786</v>
      </c>
      <c r="E39" s="90" t="s">
        <v>681</v>
      </c>
      <c r="F39" s="90" t="s">
        <v>682</v>
      </c>
      <c r="G39" s="90" t="s">
        <v>608</v>
      </c>
    </row>
    <row r="40" spans="1:7" ht="28" customHeight="1" x14ac:dyDescent="0.4">
      <c r="A40" s="89" t="s">
        <v>688</v>
      </c>
      <c r="B40" s="90" t="s">
        <v>121</v>
      </c>
      <c r="C40" s="114" t="s">
        <v>679</v>
      </c>
      <c r="D40" s="90" t="s">
        <v>787</v>
      </c>
      <c r="E40" s="90" t="s">
        <v>690</v>
      </c>
      <c r="F40" s="90" t="s">
        <v>691</v>
      </c>
      <c r="G40" s="90" t="s">
        <v>554</v>
      </c>
    </row>
    <row r="41" spans="1:7" ht="28" customHeight="1" x14ac:dyDescent="0.4">
      <c r="A41" s="89" t="s">
        <v>788</v>
      </c>
      <c r="B41" s="90" t="s">
        <v>121</v>
      </c>
      <c r="C41" s="115" t="s">
        <v>717</v>
      </c>
      <c r="D41" s="90" t="s">
        <v>789</v>
      </c>
      <c r="E41" s="90" t="s">
        <v>790</v>
      </c>
      <c r="F41" s="90" t="s">
        <v>691</v>
      </c>
      <c r="G41" s="90" t="s">
        <v>791</v>
      </c>
    </row>
    <row r="42" spans="1:7" ht="28" customHeight="1" x14ac:dyDescent="0.4">
      <c r="A42" s="89" t="s">
        <v>536</v>
      </c>
      <c r="B42" s="90" t="s">
        <v>121</v>
      </c>
      <c r="C42" s="114" t="s">
        <v>679</v>
      </c>
      <c r="D42" s="90" t="s">
        <v>792</v>
      </c>
      <c r="E42" s="90" t="s">
        <v>690</v>
      </c>
      <c r="F42" s="90" t="s">
        <v>691</v>
      </c>
      <c r="G42" s="90" t="s">
        <v>793</v>
      </c>
    </row>
    <row r="43" spans="1:7" ht="28" customHeight="1" x14ac:dyDescent="0.4">
      <c r="A43" s="89" t="s">
        <v>181</v>
      </c>
      <c r="B43" s="90" t="s">
        <v>121</v>
      </c>
      <c r="C43" s="114" t="s">
        <v>679</v>
      </c>
      <c r="D43" s="90" t="s">
        <v>794</v>
      </c>
      <c r="E43" s="90" t="s">
        <v>690</v>
      </c>
      <c r="F43" s="90" t="s">
        <v>691</v>
      </c>
      <c r="G43" s="90" t="s">
        <v>557</v>
      </c>
    </row>
    <row r="44" spans="1:7" ht="28" customHeight="1" x14ac:dyDescent="0.4">
      <c r="A44" s="89" t="s">
        <v>267</v>
      </c>
      <c r="B44" s="90" t="s">
        <v>121</v>
      </c>
      <c r="C44" s="114" t="s">
        <v>679</v>
      </c>
      <c r="D44" s="90" t="s">
        <v>795</v>
      </c>
      <c r="E44" s="90" t="s">
        <v>690</v>
      </c>
      <c r="F44" s="90" t="s">
        <v>796</v>
      </c>
      <c r="G44" s="90" t="s">
        <v>797</v>
      </c>
    </row>
    <row r="45" spans="1:7" ht="40" customHeight="1" x14ac:dyDescent="0.4">
      <c r="A45" s="89" t="s">
        <v>798</v>
      </c>
      <c r="B45" s="90" t="s">
        <v>121</v>
      </c>
      <c r="C45" s="115" t="s">
        <v>707</v>
      </c>
      <c r="D45" s="90" t="s">
        <v>799</v>
      </c>
      <c r="E45" s="90" t="s">
        <v>800</v>
      </c>
      <c r="F45" s="90" t="s">
        <v>691</v>
      </c>
      <c r="G45" s="90" t="s">
        <v>801</v>
      </c>
    </row>
    <row r="46" spans="1:7" ht="40" customHeight="1" x14ac:dyDescent="0.4">
      <c r="A46" s="89" t="s">
        <v>724</v>
      </c>
      <c r="B46" s="90" t="s">
        <v>121</v>
      </c>
      <c r="C46" s="114" t="s">
        <v>679</v>
      </c>
      <c r="D46" s="90" t="s">
        <v>802</v>
      </c>
      <c r="E46" s="90" t="s">
        <v>690</v>
      </c>
      <c r="F46" s="90" t="s">
        <v>691</v>
      </c>
      <c r="G46" s="90" t="s">
        <v>803</v>
      </c>
    </row>
    <row r="47" spans="1:7" ht="52" customHeight="1" x14ac:dyDescent="0.4">
      <c r="A47" s="89" t="s">
        <v>444</v>
      </c>
      <c r="B47" s="90" t="s">
        <v>121</v>
      </c>
      <c r="C47" s="116" t="s">
        <v>746</v>
      </c>
      <c r="D47" s="90" t="s">
        <v>804</v>
      </c>
      <c r="E47" s="90" t="s">
        <v>805</v>
      </c>
      <c r="F47" s="90" t="s">
        <v>691</v>
      </c>
      <c r="G47" s="90" t="s">
        <v>806</v>
      </c>
    </row>
    <row r="48" spans="1:7" ht="28" customHeight="1" x14ac:dyDescent="0.4">
      <c r="A48" s="89" t="s">
        <v>807</v>
      </c>
      <c r="B48" s="90" t="s">
        <v>121</v>
      </c>
      <c r="C48" s="116" t="s">
        <v>746</v>
      </c>
      <c r="D48" s="90" t="s">
        <v>808</v>
      </c>
      <c r="E48" s="90" t="s">
        <v>809</v>
      </c>
      <c r="F48" s="90" t="s">
        <v>691</v>
      </c>
      <c r="G48" s="90" t="s">
        <v>757</v>
      </c>
    </row>
    <row r="49" spans="1:7" ht="28" customHeight="1" x14ac:dyDescent="0.4">
      <c r="A49" s="89" t="s">
        <v>810</v>
      </c>
      <c r="B49" s="90" t="s">
        <v>121</v>
      </c>
      <c r="C49" s="116" t="s">
        <v>746</v>
      </c>
      <c r="D49" s="90" t="s">
        <v>811</v>
      </c>
      <c r="E49" s="90" t="s">
        <v>748</v>
      </c>
      <c r="F49" s="90" t="s">
        <v>691</v>
      </c>
      <c r="G49" s="90" t="s">
        <v>749</v>
      </c>
    </row>
    <row r="50" spans="1:7" ht="40" customHeight="1" x14ac:dyDescent="0.4">
      <c r="A50" s="89" t="s">
        <v>9</v>
      </c>
      <c r="B50" s="90" t="s">
        <v>121</v>
      </c>
      <c r="C50" s="116" t="s">
        <v>746</v>
      </c>
      <c r="D50" s="90" t="s">
        <v>812</v>
      </c>
      <c r="E50" s="90" t="s">
        <v>751</v>
      </c>
      <c r="F50" s="90" t="s">
        <v>752</v>
      </c>
      <c r="G50" s="90" t="s">
        <v>753</v>
      </c>
    </row>
    <row r="51" spans="1:7" x14ac:dyDescent="0.4">
      <c r="A51" s="213" t="s">
        <v>813</v>
      </c>
      <c r="B51" s="142"/>
      <c r="C51" s="142"/>
      <c r="D51" s="142"/>
      <c r="E51" s="142"/>
      <c r="F51" s="142"/>
      <c r="G51" s="142"/>
    </row>
    <row r="52" spans="1:7" ht="28" customHeight="1" x14ac:dyDescent="0.4">
      <c r="A52" s="89" t="s">
        <v>451</v>
      </c>
      <c r="B52" s="90" t="s">
        <v>124</v>
      </c>
      <c r="C52" s="114" t="s">
        <v>679</v>
      </c>
      <c r="D52" s="90" t="s">
        <v>814</v>
      </c>
      <c r="E52" s="90" t="s">
        <v>681</v>
      </c>
      <c r="F52" s="90" t="s">
        <v>682</v>
      </c>
      <c r="G52" s="90" t="s">
        <v>608</v>
      </c>
    </row>
    <row r="53" spans="1:7" ht="40" customHeight="1" x14ac:dyDescent="0.4">
      <c r="A53" s="89" t="s">
        <v>438</v>
      </c>
      <c r="B53" s="90" t="s">
        <v>124</v>
      </c>
      <c r="C53" s="115" t="s">
        <v>717</v>
      </c>
      <c r="D53" s="90" t="s">
        <v>815</v>
      </c>
      <c r="E53" s="90" t="s">
        <v>816</v>
      </c>
      <c r="F53" s="90" t="s">
        <v>691</v>
      </c>
      <c r="G53" s="90" t="s">
        <v>437</v>
      </c>
    </row>
    <row r="54" spans="1:7" ht="28" customHeight="1" x14ac:dyDescent="0.4">
      <c r="A54" s="89" t="s">
        <v>688</v>
      </c>
      <c r="B54" s="90" t="s">
        <v>124</v>
      </c>
      <c r="C54" s="114" t="s">
        <v>679</v>
      </c>
      <c r="D54" s="90" t="s">
        <v>817</v>
      </c>
      <c r="E54" s="90" t="s">
        <v>690</v>
      </c>
      <c r="F54" s="90" t="s">
        <v>691</v>
      </c>
      <c r="G54" s="90" t="s">
        <v>554</v>
      </c>
    </row>
    <row r="55" spans="1:7" ht="28" customHeight="1" x14ac:dyDescent="0.4">
      <c r="A55" s="89" t="s">
        <v>174</v>
      </c>
      <c r="B55" s="90" t="s">
        <v>124</v>
      </c>
      <c r="C55" s="114" t="s">
        <v>679</v>
      </c>
      <c r="D55" s="90" t="s">
        <v>818</v>
      </c>
      <c r="E55" s="90" t="s">
        <v>690</v>
      </c>
      <c r="F55" s="90" t="s">
        <v>691</v>
      </c>
      <c r="G55" s="90" t="s">
        <v>819</v>
      </c>
    </row>
    <row r="56" spans="1:7" ht="64" customHeight="1" x14ac:dyDescent="0.4">
      <c r="A56" s="89" t="s">
        <v>447</v>
      </c>
      <c r="B56" s="90" t="s">
        <v>124</v>
      </c>
      <c r="C56" s="114" t="s">
        <v>679</v>
      </c>
      <c r="D56" s="90" t="s">
        <v>820</v>
      </c>
      <c r="E56" s="90" t="s">
        <v>690</v>
      </c>
      <c r="F56" s="90" t="s">
        <v>691</v>
      </c>
      <c r="G56" s="90" t="s">
        <v>821</v>
      </c>
    </row>
    <row r="57" spans="1:7" ht="28" customHeight="1" x14ac:dyDescent="0.4">
      <c r="A57" s="89" t="s">
        <v>822</v>
      </c>
      <c r="B57" s="90" t="s">
        <v>124</v>
      </c>
      <c r="C57" s="114" t="s">
        <v>679</v>
      </c>
      <c r="D57" s="90" t="s">
        <v>823</v>
      </c>
      <c r="E57" s="90" t="s">
        <v>690</v>
      </c>
      <c r="F57" s="90" t="s">
        <v>691</v>
      </c>
      <c r="G57" s="90" t="s">
        <v>824</v>
      </c>
    </row>
    <row r="58" spans="1:7" ht="28" customHeight="1" x14ac:dyDescent="0.4">
      <c r="A58" s="89" t="s">
        <v>825</v>
      </c>
      <c r="B58" s="90" t="s">
        <v>124</v>
      </c>
      <c r="C58" s="114" t="s">
        <v>679</v>
      </c>
      <c r="D58" s="90" t="s">
        <v>826</v>
      </c>
      <c r="E58" s="90" t="s">
        <v>690</v>
      </c>
      <c r="F58" s="90" t="s">
        <v>691</v>
      </c>
      <c r="G58" s="90" t="s">
        <v>827</v>
      </c>
    </row>
    <row r="59" spans="1:7" ht="40" customHeight="1" x14ac:dyDescent="0.4">
      <c r="A59" s="89" t="s">
        <v>828</v>
      </c>
      <c r="B59" s="90" t="s">
        <v>124</v>
      </c>
      <c r="C59" s="114" t="s">
        <v>679</v>
      </c>
      <c r="D59" s="90" t="s">
        <v>829</v>
      </c>
      <c r="E59" s="90" t="s">
        <v>690</v>
      </c>
      <c r="F59" s="90" t="s">
        <v>830</v>
      </c>
      <c r="G59" s="90" t="s">
        <v>831</v>
      </c>
    </row>
    <row r="60" spans="1:7" ht="28" customHeight="1" x14ac:dyDescent="0.4">
      <c r="A60" s="89" t="s">
        <v>832</v>
      </c>
      <c r="B60" s="90" t="s">
        <v>124</v>
      </c>
      <c r="C60" s="114" t="s">
        <v>679</v>
      </c>
      <c r="D60" s="90" t="s">
        <v>833</v>
      </c>
      <c r="E60" s="90" t="s">
        <v>690</v>
      </c>
      <c r="F60" s="90" t="s">
        <v>830</v>
      </c>
      <c r="G60" s="90" t="s">
        <v>801</v>
      </c>
    </row>
    <row r="61" spans="1:7" ht="52" customHeight="1" x14ac:dyDescent="0.4">
      <c r="A61" s="89" t="s">
        <v>834</v>
      </c>
      <c r="B61" s="90" t="s">
        <v>124</v>
      </c>
      <c r="C61" s="114" t="s">
        <v>679</v>
      </c>
      <c r="D61" s="90" t="s">
        <v>835</v>
      </c>
      <c r="E61" s="90" t="s">
        <v>836</v>
      </c>
      <c r="F61" s="90" t="s">
        <v>691</v>
      </c>
      <c r="G61" s="90" t="s">
        <v>837</v>
      </c>
    </row>
    <row r="62" spans="1:7" ht="28" customHeight="1" x14ac:dyDescent="0.4">
      <c r="A62" s="89" t="s">
        <v>838</v>
      </c>
      <c r="B62" s="90" t="s">
        <v>124</v>
      </c>
      <c r="C62" s="115" t="s">
        <v>717</v>
      </c>
      <c r="D62" s="90" t="s">
        <v>839</v>
      </c>
      <c r="E62" s="90" t="s">
        <v>840</v>
      </c>
      <c r="F62" s="90" t="s">
        <v>691</v>
      </c>
      <c r="G62" s="90" t="s">
        <v>687</v>
      </c>
    </row>
    <row r="63" spans="1:7" ht="28" customHeight="1" x14ac:dyDescent="0.4">
      <c r="A63" s="89" t="s">
        <v>841</v>
      </c>
      <c r="B63" s="90" t="s">
        <v>124</v>
      </c>
      <c r="C63" s="114" t="s">
        <v>679</v>
      </c>
      <c r="D63" s="90" t="s">
        <v>842</v>
      </c>
      <c r="E63" s="90" t="s">
        <v>690</v>
      </c>
      <c r="F63" s="90" t="s">
        <v>691</v>
      </c>
      <c r="G63" s="90" t="s">
        <v>827</v>
      </c>
    </row>
    <row r="64" spans="1:7" ht="28" customHeight="1" x14ac:dyDescent="0.4">
      <c r="A64" s="89" t="s">
        <v>843</v>
      </c>
      <c r="B64" s="90" t="s">
        <v>124</v>
      </c>
      <c r="C64" s="114" t="s">
        <v>679</v>
      </c>
      <c r="D64" s="90" t="s">
        <v>844</v>
      </c>
      <c r="E64" s="90" t="s">
        <v>690</v>
      </c>
      <c r="F64" s="90" t="s">
        <v>691</v>
      </c>
      <c r="G64" s="90" t="s">
        <v>845</v>
      </c>
    </row>
    <row r="65" spans="1:7" ht="52" customHeight="1" x14ac:dyDescent="0.4">
      <c r="A65" s="89" t="s">
        <v>444</v>
      </c>
      <c r="B65" s="90" t="s">
        <v>124</v>
      </c>
      <c r="C65" s="115" t="s">
        <v>707</v>
      </c>
      <c r="D65" s="90" t="s">
        <v>846</v>
      </c>
      <c r="E65" s="90" t="s">
        <v>847</v>
      </c>
      <c r="F65" s="90" t="s">
        <v>691</v>
      </c>
      <c r="G65" s="90" t="s">
        <v>432</v>
      </c>
    </row>
    <row r="66" spans="1:7" ht="28" customHeight="1" x14ac:dyDescent="0.4">
      <c r="A66" s="89" t="s">
        <v>848</v>
      </c>
      <c r="B66" s="90" t="s">
        <v>124</v>
      </c>
      <c r="C66" s="115" t="s">
        <v>717</v>
      </c>
      <c r="D66" s="90" t="s">
        <v>849</v>
      </c>
      <c r="E66" s="90" t="s">
        <v>850</v>
      </c>
      <c r="F66" s="90" t="s">
        <v>851</v>
      </c>
      <c r="G66" s="90" t="s">
        <v>558</v>
      </c>
    </row>
    <row r="67" spans="1:7" ht="28" customHeight="1" x14ac:dyDescent="0.4">
      <c r="A67" s="89" t="s">
        <v>852</v>
      </c>
      <c r="B67" s="90" t="s">
        <v>124</v>
      </c>
      <c r="C67" s="115" t="s">
        <v>717</v>
      </c>
      <c r="D67" s="90" t="s">
        <v>853</v>
      </c>
      <c r="E67" s="90" t="s">
        <v>854</v>
      </c>
      <c r="F67" s="90" t="s">
        <v>691</v>
      </c>
      <c r="G67" s="90" t="s">
        <v>617</v>
      </c>
    </row>
    <row r="68" spans="1:7" ht="28" customHeight="1" x14ac:dyDescent="0.4">
      <c r="A68" s="89" t="s">
        <v>855</v>
      </c>
      <c r="B68" s="90" t="s">
        <v>124</v>
      </c>
      <c r="C68" s="114" t="s">
        <v>679</v>
      </c>
      <c r="D68" s="90" t="s">
        <v>856</v>
      </c>
      <c r="E68" s="90" t="s">
        <v>690</v>
      </c>
      <c r="F68" s="90" t="s">
        <v>691</v>
      </c>
      <c r="G68" s="90" t="s">
        <v>617</v>
      </c>
    </row>
    <row r="69" spans="1:7" ht="40" customHeight="1" x14ac:dyDescent="0.4">
      <c r="A69" s="89" t="s">
        <v>724</v>
      </c>
      <c r="B69" s="90" t="s">
        <v>124</v>
      </c>
      <c r="C69" s="114" t="s">
        <v>679</v>
      </c>
      <c r="D69" s="90" t="s">
        <v>857</v>
      </c>
      <c r="E69" s="90" t="s">
        <v>690</v>
      </c>
      <c r="F69" s="90" t="s">
        <v>691</v>
      </c>
      <c r="G69" s="90" t="s">
        <v>858</v>
      </c>
    </row>
    <row r="70" spans="1:7" ht="28" customHeight="1" x14ac:dyDescent="0.4">
      <c r="A70" s="89" t="s">
        <v>250</v>
      </c>
      <c r="B70" s="90" t="s">
        <v>124</v>
      </c>
      <c r="C70" s="115" t="s">
        <v>707</v>
      </c>
      <c r="D70" s="90" t="s">
        <v>859</v>
      </c>
      <c r="E70" s="90" t="s">
        <v>740</v>
      </c>
      <c r="F70" s="90" t="s">
        <v>691</v>
      </c>
      <c r="G70" s="90" t="s">
        <v>741</v>
      </c>
    </row>
    <row r="71" spans="1:7" ht="40" customHeight="1" x14ac:dyDescent="0.4">
      <c r="A71" s="89" t="s">
        <v>9</v>
      </c>
      <c r="B71" s="90" t="s">
        <v>124</v>
      </c>
      <c r="C71" s="116" t="s">
        <v>746</v>
      </c>
      <c r="D71" s="90" t="s">
        <v>812</v>
      </c>
      <c r="E71" s="90" t="s">
        <v>751</v>
      </c>
      <c r="F71" s="90" t="s">
        <v>752</v>
      </c>
      <c r="G71" s="90" t="s">
        <v>753</v>
      </c>
    </row>
    <row r="72" spans="1:7" x14ac:dyDescent="0.4">
      <c r="A72" s="213" t="s">
        <v>860</v>
      </c>
      <c r="B72" s="142"/>
      <c r="C72" s="142"/>
      <c r="D72" s="142"/>
      <c r="E72" s="142"/>
      <c r="F72" s="142"/>
      <c r="G72" s="142"/>
    </row>
    <row r="73" spans="1:7" ht="28" customHeight="1" x14ac:dyDescent="0.4">
      <c r="A73" s="89" t="s">
        <v>861</v>
      </c>
      <c r="B73" s="90" t="s">
        <v>128</v>
      </c>
      <c r="C73" s="117" t="s">
        <v>862</v>
      </c>
      <c r="D73" s="90" t="s">
        <v>863</v>
      </c>
      <c r="E73" s="90" t="s">
        <v>690</v>
      </c>
      <c r="F73" s="90" t="s">
        <v>691</v>
      </c>
      <c r="G73" s="90" t="s">
        <v>864</v>
      </c>
    </row>
    <row r="74" spans="1:7" ht="28" customHeight="1" x14ac:dyDescent="0.4">
      <c r="A74" s="89" t="s">
        <v>483</v>
      </c>
      <c r="B74" s="90" t="s">
        <v>128</v>
      </c>
      <c r="C74" s="115" t="s">
        <v>707</v>
      </c>
      <c r="D74" s="90" t="s">
        <v>865</v>
      </c>
      <c r="E74" s="90" t="s">
        <v>866</v>
      </c>
      <c r="F74" s="90" t="s">
        <v>691</v>
      </c>
      <c r="G74" s="90" t="s">
        <v>867</v>
      </c>
    </row>
    <row r="75" spans="1:7" ht="28" customHeight="1" x14ac:dyDescent="0.4">
      <c r="A75" s="89" t="s">
        <v>868</v>
      </c>
      <c r="B75" s="90" t="s">
        <v>128</v>
      </c>
      <c r="C75" s="117" t="s">
        <v>862</v>
      </c>
      <c r="D75" s="90" t="s">
        <v>869</v>
      </c>
      <c r="E75" s="90" t="s">
        <v>690</v>
      </c>
      <c r="F75" s="90" t="s">
        <v>691</v>
      </c>
      <c r="G75" s="90" t="s">
        <v>870</v>
      </c>
    </row>
    <row r="76" spans="1:7" ht="28" customHeight="1" x14ac:dyDescent="0.4">
      <c r="A76" s="89" t="s">
        <v>541</v>
      </c>
      <c r="B76" s="90" t="s">
        <v>128</v>
      </c>
      <c r="C76" s="117" t="s">
        <v>862</v>
      </c>
      <c r="D76" s="90" t="s">
        <v>871</v>
      </c>
      <c r="E76" s="90" t="s">
        <v>690</v>
      </c>
      <c r="F76" s="90" t="s">
        <v>691</v>
      </c>
      <c r="G76" s="90" t="s">
        <v>872</v>
      </c>
    </row>
    <row r="77" spans="1:7" ht="28" customHeight="1" x14ac:dyDescent="0.4">
      <c r="A77" s="89" t="s">
        <v>378</v>
      </c>
      <c r="B77" s="90" t="s">
        <v>128</v>
      </c>
      <c r="C77" s="117" t="s">
        <v>862</v>
      </c>
      <c r="D77" s="90" t="s">
        <v>873</v>
      </c>
      <c r="E77" s="90" t="s">
        <v>690</v>
      </c>
      <c r="F77" s="90" t="s">
        <v>691</v>
      </c>
      <c r="G77" s="90" t="s">
        <v>874</v>
      </c>
    </row>
    <row r="78" spans="1:7" ht="28" customHeight="1" x14ac:dyDescent="0.4">
      <c r="A78" s="89" t="s">
        <v>875</v>
      </c>
      <c r="B78" s="90" t="s">
        <v>128</v>
      </c>
      <c r="C78" s="117" t="s">
        <v>862</v>
      </c>
      <c r="D78" s="90" t="s">
        <v>876</v>
      </c>
      <c r="E78" s="90" t="s">
        <v>690</v>
      </c>
      <c r="F78" s="90" t="s">
        <v>691</v>
      </c>
      <c r="G78" s="90" t="s">
        <v>877</v>
      </c>
    </row>
    <row r="79" spans="1:7" ht="28" customHeight="1" x14ac:dyDescent="0.4">
      <c r="A79" s="89" t="s">
        <v>878</v>
      </c>
      <c r="B79" s="90" t="s">
        <v>128</v>
      </c>
      <c r="C79" s="117" t="s">
        <v>862</v>
      </c>
      <c r="D79" s="90" t="s">
        <v>879</v>
      </c>
      <c r="E79" s="90" t="s">
        <v>880</v>
      </c>
      <c r="F79" s="90" t="s">
        <v>691</v>
      </c>
      <c r="G79" s="90" t="s">
        <v>554</v>
      </c>
    </row>
    <row r="80" spans="1:7" ht="40" customHeight="1" x14ac:dyDescent="0.4">
      <c r="A80" s="89" t="s">
        <v>544</v>
      </c>
      <c r="B80" s="90" t="s">
        <v>128</v>
      </c>
      <c r="C80" s="117" t="s">
        <v>862</v>
      </c>
      <c r="D80" s="90" t="s">
        <v>881</v>
      </c>
      <c r="E80" s="90" t="s">
        <v>690</v>
      </c>
      <c r="F80" s="90" t="s">
        <v>882</v>
      </c>
      <c r="G80" s="90" t="s">
        <v>883</v>
      </c>
    </row>
    <row r="81" spans="1:7" ht="40" customHeight="1" x14ac:dyDescent="0.4">
      <c r="A81" s="89" t="s">
        <v>884</v>
      </c>
      <c r="B81" s="90" t="s">
        <v>128</v>
      </c>
      <c r="C81" s="117" t="s">
        <v>862</v>
      </c>
      <c r="D81" s="90" t="s">
        <v>885</v>
      </c>
      <c r="E81" s="90" t="s">
        <v>690</v>
      </c>
      <c r="F81" s="90" t="s">
        <v>691</v>
      </c>
      <c r="G81" s="90" t="s">
        <v>886</v>
      </c>
    </row>
    <row r="82" spans="1:7" ht="40" customHeight="1" x14ac:dyDescent="0.4">
      <c r="A82" s="89" t="s">
        <v>887</v>
      </c>
      <c r="B82" s="90" t="s">
        <v>128</v>
      </c>
      <c r="C82" s="117" t="s">
        <v>862</v>
      </c>
      <c r="D82" s="90" t="s">
        <v>888</v>
      </c>
      <c r="E82" s="90" t="s">
        <v>690</v>
      </c>
      <c r="F82" s="90" t="s">
        <v>691</v>
      </c>
      <c r="G82" s="90" t="s">
        <v>889</v>
      </c>
    </row>
    <row r="83" spans="1:7" ht="40" customHeight="1" x14ac:dyDescent="0.4">
      <c r="A83" s="89" t="s">
        <v>890</v>
      </c>
      <c r="B83" s="90" t="s">
        <v>128</v>
      </c>
      <c r="C83" s="117" t="s">
        <v>862</v>
      </c>
      <c r="D83" s="90" t="s">
        <v>891</v>
      </c>
      <c r="E83" s="90" t="s">
        <v>690</v>
      </c>
      <c r="F83" s="90" t="s">
        <v>691</v>
      </c>
      <c r="G83" s="90" t="s">
        <v>889</v>
      </c>
    </row>
    <row r="84" spans="1:7" ht="40" customHeight="1" x14ac:dyDescent="0.4">
      <c r="A84" s="89" t="s">
        <v>892</v>
      </c>
      <c r="B84" s="90" t="s">
        <v>128</v>
      </c>
      <c r="C84" s="117" t="s">
        <v>862</v>
      </c>
      <c r="D84" s="90" t="s">
        <v>893</v>
      </c>
      <c r="E84" s="90" t="s">
        <v>690</v>
      </c>
      <c r="F84" s="90" t="s">
        <v>691</v>
      </c>
      <c r="G84" s="90" t="s">
        <v>889</v>
      </c>
    </row>
    <row r="85" spans="1:7" ht="40" customHeight="1" x14ac:dyDescent="0.4">
      <c r="A85" s="89" t="s">
        <v>894</v>
      </c>
      <c r="B85" s="90" t="s">
        <v>128</v>
      </c>
      <c r="C85" s="117" t="s">
        <v>862</v>
      </c>
      <c r="D85" s="90" t="s">
        <v>895</v>
      </c>
      <c r="E85" s="90" t="s">
        <v>690</v>
      </c>
      <c r="F85" s="90" t="s">
        <v>691</v>
      </c>
      <c r="G85" s="90" t="s">
        <v>831</v>
      </c>
    </row>
    <row r="86" spans="1:7" ht="40" customHeight="1" x14ac:dyDescent="0.4">
      <c r="A86" s="89" t="s">
        <v>896</v>
      </c>
      <c r="B86" s="90" t="s">
        <v>128</v>
      </c>
      <c r="C86" s="117" t="s">
        <v>862</v>
      </c>
      <c r="D86" s="90" t="s">
        <v>897</v>
      </c>
      <c r="E86" s="90" t="s">
        <v>690</v>
      </c>
      <c r="F86" s="90" t="s">
        <v>691</v>
      </c>
      <c r="G86" s="90" t="s">
        <v>889</v>
      </c>
    </row>
    <row r="87" spans="1:7" ht="40" customHeight="1" x14ac:dyDescent="0.4">
      <c r="A87" s="89" t="s">
        <v>898</v>
      </c>
      <c r="B87" s="90" t="s">
        <v>128</v>
      </c>
      <c r="C87" s="117" t="s">
        <v>862</v>
      </c>
      <c r="D87" s="90" t="s">
        <v>899</v>
      </c>
      <c r="E87" s="90" t="s">
        <v>690</v>
      </c>
      <c r="F87" s="90" t="s">
        <v>691</v>
      </c>
      <c r="G87" s="90" t="s">
        <v>889</v>
      </c>
    </row>
    <row r="88" spans="1:7" ht="40" customHeight="1" x14ac:dyDescent="0.4">
      <c r="A88" s="89" t="s">
        <v>900</v>
      </c>
      <c r="B88" s="90" t="s">
        <v>128</v>
      </c>
      <c r="C88" s="117" t="s">
        <v>862</v>
      </c>
      <c r="D88" s="90" t="s">
        <v>901</v>
      </c>
      <c r="E88" s="90" t="s">
        <v>690</v>
      </c>
      <c r="F88" s="90" t="s">
        <v>691</v>
      </c>
      <c r="G88" s="90" t="s">
        <v>889</v>
      </c>
    </row>
    <row r="89" spans="1:7" ht="40" customHeight="1" x14ac:dyDescent="0.4">
      <c r="A89" s="89" t="s">
        <v>902</v>
      </c>
      <c r="B89" s="90" t="s">
        <v>128</v>
      </c>
      <c r="C89" s="117" t="s">
        <v>862</v>
      </c>
      <c r="D89" s="90" t="s">
        <v>903</v>
      </c>
      <c r="E89" s="90" t="s">
        <v>690</v>
      </c>
      <c r="F89" s="90" t="s">
        <v>691</v>
      </c>
      <c r="G89" s="90" t="s">
        <v>889</v>
      </c>
    </row>
    <row r="90" spans="1:7" ht="28" customHeight="1" x14ac:dyDescent="0.4">
      <c r="A90" s="89" t="s">
        <v>904</v>
      </c>
      <c r="B90" s="90" t="s">
        <v>128</v>
      </c>
      <c r="C90" s="117" t="s">
        <v>862</v>
      </c>
      <c r="D90" s="90" t="s">
        <v>905</v>
      </c>
      <c r="E90" s="90" t="s">
        <v>690</v>
      </c>
      <c r="F90" s="90" t="s">
        <v>691</v>
      </c>
      <c r="G90" s="90" t="s">
        <v>906</v>
      </c>
    </row>
    <row r="91" spans="1:7" ht="40" customHeight="1" x14ac:dyDescent="0.4">
      <c r="A91" s="89" t="s">
        <v>9</v>
      </c>
      <c r="B91" s="90" t="s">
        <v>128</v>
      </c>
      <c r="C91" s="116" t="s">
        <v>746</v>
      </c>
      <c r="D91" s="90" t="s">
        <v>812</v>
      </c>
      <c r="E91" s="90" t="s">
        <v>751</v>
      </c>
      <c r="F91" s="90" t="s">
        <v>752</v>
      </c>
      <c r="G91" s="90" t="s">
        <v>753</v>
      </c>
    </row>
    <row r="92" spans="1:7" x14ac:dyDescent="0.4">
      <c r="A92" s="213" t="s">
        <v>907</v>
      </c>
      <c r="B92" s="142"/>
      <c r="C92" s="142"/>
      <c r="D92" s="142"/>
      <c r="E92" s="142"/>
      <c r="F92" s="142"/>
      <c r="G92" s="142"/>
    </row>
    <row r="93" spans="1:7" ht="28" customHeight="1" x14ac:dyDescent="0.4">
      <c r="A93" s="89" t="s">
        <v>451</v>
      </c>
      <c r="B93" s="90" t="s">
        <v>132</v>
      </c>
      <c r="C93" s="114" t="s">
        <v>679</v>
      </c>
      <c r="D93" s="90" t="s">
        <v>908</v>
      </c>
      <c r="E93" s="90" t="s">
        <v>681</v>
      </c>
      <c r="F93" s="90" t="s">
        <v>682</v>
      </c>
      <c r="G93" s="90" t="s">
        <v>608</v>
      </c>
    </row>
    <row r="94" spans="1:7" ht="28" customHeight="1" x14ac:dyDescent="0.4">
      <c r="A94" s="89" t="s">
        <v>683</v>
      </c>
      <c r="B94" s="90" t="s">
        <v>132</v>
      </c>
      <c r="C94" s="114" t="s">
        <v>679</v>
      </c>
      <c r="D94" s="90" t="s">
        <v>909</v>
      </c>
      <c r="E94" s="90" t="s">
        <v>685</v>
      </c>
      <c r="F94" s="90" t="s">
        <v>686</v>
      </c>
      <c r="G94" s="90" t="s">
        <v>687</v>
      </c>
    </row>
    <row r="95" spans="1:7" ht="40" customHeight="1" x14ac:dyDescent="0.4">
      <c r="A95" s="89" t="s">
        <v>910</v>
      </c>
      <c r="B95" s="90" t="s">
        <v>132</v>
      </c>
      <c r="C95" s="114" t="s">
        <v>679</v>
      </c>
      <c r="D95" s="90" t="s">
        <v>911</v>
      </c>
      <c r="E95" s="90" t="s">
        <v>912</v>
      </c>
      <c r="F95" s="90" t="s">
        <v>691</v>
      </c>
      <c r="G95" s="90" t="s">
        <v>913</v>
      </c>
    </row>
    <row r="96" spans="1:7" ht="40" customHeight="1" x14ac:dyDescent="0.4">
      <c r="A96" s="89" t="s">
        <v>914</v>
      </c>
      <c r="B96" s="90" t="s">
        <v>132</v>
      </c>
      <c r="C96" s="114" t="s">
        <v>915</v>
      </c>
      <c r="D96" s="90" t="s">
        <v>916</v>
      </c>
      <c r="E96" s="90" t="s">
        <v>690</v>
      </c>
      <c r="F96" s="90" t="s">
        <v>691</v>
      </c>
      <c r="G96" s="90" t="s">
        <v>917</v>
      </c>
    </row>
    <row r="97" spans="1:7" ht="28" customHeight="1" x14ac:dyDescent="0.4">
      <c r="A97" s="89" t="s">
        <v>918</v>
      </c>
      <c r="B97" s="90" t="s">
        <v>132</v>
      </c>
      <c r="C97" s="115" t="s">
        <v>717</v>
      </c>
      <c r="D97" s="90" t="s">
        <v>919</v>
      </c>
      <c r="E97" s="90" t="s">
        <v>920</v>
      </c>
      <c r="F97" s="90" t="s">
        <v>691</v>
      </c>
      <c r="G97" s="90" t="s">
        <v>886</v>
      </c>
    </row>
    <row r="98" spans="1:7" ht="40" customHeight="1" x14ac:dyDescent="0.4">
      <c r="A98" s="89" t="s">
        <v>921</v>
      </c>
      <c r="B98" s="90" t="s">
        <v>132</v>
      </c>
      <c r="C98" s="115" t="s">
        <v>717</v>
      </c>
      <c r="D98" s="90" t="s">
        <v>922</v>
      </c>
      <c r="E98" s="90" t="s">
        <v>923</v>
      </c>
      <c r="F98" s="90" t="s">
        <v>691</v>
      </c>
      <c r="G98" s="90"/>
    </row>
    <row r="99" spans="1:7" ht="40" customHeight="1" x14ac:dyDescent="0.4">
      <c r="A99" s="89" t="s">
        <v>924</v>
      </c>
      <c r="B99" s="90" t="s">
        <v>132</v>
      </c>
      <c r="C99" s="115" t="s">
        <v>717</v>
      </c>
      <c r="D99" s="90" t="s">
        <v>925</v>
      </c>
      <c r="E99" s="90" t="s">
        <v>926</v>
      </c>
      <c r="F99" s="90" t="s">
        <v>691</v>
      </c>
      <c r="G99" s="90"/>
    </row>
    <row r="100" spans="1:7" ht="88" customHeight="1" x14ac:dyDescent="0.4">
      <c r="A100" s="89" t="s">
        <v>927</v>
      </c>
      <c r="B100" s="90" t="s">
        <v>132</v>
      </c>
      <c r="C100" s="115" t="s">
        <v>717</v>
      </c>
      <c r="D100" s="90" t="s">
        <v>928</v>
      </c>
      <c r="E100" s="90" t="s">
        <v>691</v>
      </c>
      <c r="F100" s="90" t="s">
        <v>691</v>
      </c>
      <c r="G100" s="90"/>
    </row>
    <row r="101" spans="1:7" ht="28" customHeight="1" x14ac:dyDescent="0.4">
      <c r="A101" s="89" t="s">
        <v>742</v>
      </c>
      <c r="B101" s="90" t="s">
        <v>132</v>
      </c>
      <c r="C101" s="115" t="s">
        <v>717</v>
      </c>
      <c r="D101" s="90" t="s">
        <v>743</v>
      </c>
      <c r="E101" s="90" t="s">
        <v>744</v>
      </c>
      <c r="F101" s="90" t="s">
        <v>691</v>
      </c>
      <c r="G101" s="90" t="s">
        <v>687</v>
      </c>
    </row>
    <row r="102" spans="1:7" ht="64" customHeight="1" x14ac:dyDescent="0.4">
      <c r="A102" s="89" t="s">
        <v>929</v>
      </c>
      <c r="B102" s="90" t="s">
        <v>132</v>
      </c>
      <c r="C102" s="115" t="s">
        <v>717</v>
      </c>
      <c r="D102" s="90" t="s">
        <v>930</v>
      </c>
      <c r="E102" s="90" t="s">
        <v>931</v>
      </c>
      <c r="F102" s="90" t="s">
        <v>691</v>
      </c>
      <c r="G102" s="90"/>
    </row>
    <row r="103" spans="1:7" x14ac:dyDescent="0.4">
      <c r="A103" s="213" t="s">
        <v>932</v>
      </c>
      <c r="B103" s="142"/>
      <c r="C103" s="142"/>
      <c r="D103" s="142"/>
      <c r="E103" s="142"/>
      <c r="F103" s="142"/>
      <c r="G103" s="142"/>
    </row>
    <row r="104" spans="1:7" ht="28" customHeight="1" x14ac:dyDescent="0.4">
      <c r="A104" s="89" t="s">
        <v>483</v>
      </c>
      <c r="B104" s="90" t="s">
        <v>135</v>
      </c>
      <c r="C104" s="117" t="s">
        <v>862</v>
      </c>
      <c r="D104" s="90" t="s">
        <v>933</v>
      </c>
      <c r="E104" s="90" t="s">
        <v>866</v>
      </c>
      <c r="F104" s="90" t="s">
        <v>691</v>
      </c>
      <c r="G104" s="90" t="s">
        <v>867</v>
      </c>
    </row>
    <row r="105" spans="1:7" ht="28" customHeight="1" x14ac:dyDescent="0.4">
      <c r="A105" s="89" t="s">
        <v>95</v>
      </c>
      <c r="B105" s="90" t="s">
        <v>135</v>
      </c>
      <c r="C105" s="115" t="s">
        <v>717</v>
      </c>
      <c r="D105" s="90" t="s">
        <v>934</v>
      </c>
      <c r="E105" s="90" t="s">
        <v>691</v>
      </c>
      <c r="F105" s="90" t="s">
        <v>691</v>
      </c>
      <c r="G105" s="90" t="s">
        <v>831</v>
      </c>
    </row>
    <row r="106" spans="1:7" ht="52" customHeight="1" x14ac:dyDescent="0.4">
      <c r="A106" s="89" t="s">
        <v>935</v>
      </c>
      <c r="B106" s="90" t="s">
        <v>135</v>
      </c>
      <c r="C106" s="117" t="s">
        <v>862</v>
      </c>
      <c r="D106" s="90" t="s">
        <v>936</v>
      </c>
      <c r="E106" s="90" t="s">
        <v>690</v>
      </c>
      <c r="F106" s="90" t="s">
        <v>691</v>
      </c>
      <c r="G106" s="90" t="s">
        <v>937</v>
      </c>
    </row>
    <row r="107" spans="1:7" ht="52" customHeight="1" x14ac:dyDescent="0.4">
      <c r="A107" s="89" t="s">
        <v>938</v>
      </c>
      <c r="B107" s="90" t="s">
        <v>135</v>
      </c>
      <c r="C107" s="115" t="s">
        <v>717</v>
      </c>
      <c r="D107" s="90" t="s">
        <v>939</v>
      </c>
      <c r="E107" s="90" t="s">
        <v>691</v>
      </c>
      <c r="F107" s="90" t="s">
        <v>691</v>
      </c>
      <c r="G107" s="90"/>
    </row>
    <row r="108" spans="1:7" ht="64" customHeight="1" x14ac:dyDescent="0.4">
      <c r="A108" s="89" t="s">
        <v>940</v>
      </c>
      <c r="B108" s="90" t="s">
        <v>135</v>
      </c>
      <c r="C108" s="115" t="s">
        <v>717</v>
      </c>
      <c r="D108" s="90" t="s">
        <v>941</v>
      </c>
      <c r="E108" s="90" t="s">
        <v>691</v>
      </c>
      <c r="F108" s="90" t="s">
        <v>691</v>
      </c>
      <c r="G108" s="90" t="s">
        <v>942</v>
      </c>
    </row>
    <row r="109" spans="1:7" ht="28" customHeight="1" x14ac:dyDescent="0.4">
      <c r="A109" s="89" t="s">
        <v>742</v>
      </c>
      <c r="B109" s="90" t="s">
        <v>135</v>
      </c>
      <c r="C109" s="115" t="s">
        <v>717</v>
      </c>
      <c r="D109" s="90" t="s">
        <v>743</v>
      </c>
      <c r="E109" s="90" t="s">
        <v>744</v>
      </c>
      <c r="F109" s="90" t="s">
        <v>691</v>
      </c>
      <c r="G109" s="90" t="s">
        <v>943</v>
      </c>
    </row>
    <row r="110" spans="1:7" x14ac:dyDescent="0.4">
      <c r="A110" s="213" t="s">
        <v>944</v>
      </c>
      <c r="B110" s="142"/>
      <c r="C110" s="142"/>
      <c r="D110" s="142"/>
      <c r="E110" s="142"/>
      <c r="F110" s="142"/>
      <c r="G110" s="142"/>
    </row>
    <row r="111" spans="1:7" ht="28" customHeight="1" x14ac:dyDescent="0.4">
      <c r="A111" s="89" t="s">
        <v>945</v>
      </c>
      <c r="B111" s="90" t="s">
        <v>138</v>
      </c>
      <c r="C111" s="115" t="s">
        <v>717</v>
      </c>
      <c r="D111" s="90" t="s">
        <v>946</v>
      </c>
      <c r="E111" s="90" t="s">
        <v>947</v>
      </c>
      <c r="F111" s="90" t="s">
        <v>691</v>
      </c>
      <c r="G111" s="90" t="s">
        <v>608</v>
      </c>
    </row>
    <row r="112" spans="1:7" ht="28" customHeight="1" x14ac:dyDescent="0.4">
      <c r="A112" s="89" t="s">
        <v>948</v>
      </c>
      <c r="B112" s="90" t="s">
        <v>138</v>
      </c>
      <c r="C112" s="115" t="s">
        <v>717</v>
      </c>
      <c r="D112" s="90" t="s">
        <v>949</v>
      </c>
      <c r="E112" s="90" t="s">
        <v>950</v>
      </c>
      <c r="F112" s="90" t="s">
        <v>691</v>
      </c>
      <c r="G112" s="90" t="s">
        <v>18</v>
      </c>
    </row>
    <row r="113" spans="1:7" ht="28" customHeight="1" x14ac:dyDescent="0.4">
      <c r="A113" s="89" t="s">
        <v>173</v>
      </c>
      <c r="B113" s="90" t="s">
        <v>138</v>
      </c>
      <c r="C113" s="115" t="s">
        <v>717</v>
      </c>
      <c r="D113" s="90" t="s">
        <v>951</v>
      </c>
      <c r="E113" s="90" t="s">
        <v>952</v>
      </c>
      <c r="F113" s="90" t="s">
        <v>691</v>
      </c>
      <c r="G113" s="90" t="s">
        <v>598</v>
      </c>
    </row>
    <row r="114" spans="1:7" ht="28" customHeight="1" x14ac:dyDescent="0.4">
      <c r="A114" s="89" t="s">
        <v>174</v>
      </c>
      <c r="B114" s="90" t="s">
        <v>138</v>
      </c>
      <c r="C114" s="115" t="s">
        <v>717</v>
      </c>
      <c r="D114" s="90" t="s">
        <v>953</v>
      </c>
      <c r="E114" s="90" t="s">
        <v>954</v>
      </c>
      <c r="F114" s="90" t="s">
        <v>691</v>
      </c>
      <c r="G114" s="90" t="s">
        <v>955</v>
      </c>
    </row>
    <row r="115" spans="1:7" ht="52" customHeight="1" x14ac:dyDescent="0.4">
      <c r="A115" s="89" t="s">
        <v>956</v>
      </c>
      <c r="B115" s="90" t="s">
        <v>138</v>
      </c>
      <c r="C115" s="115" t="s">
        <v>717</v>
      </c>
      <c r="D115" s="90" t="s">
        <v>957</v>
      </c>
      <c r="E115" s="90" t="s">
        <v>958</v>
      </c>
      <c r="F115" s="90" t="s">
        <v>691</v>
      </c>
      <c r="G115" s="90" t="s">
        <v>204</v>
      </c>
    </row>
    <row r="116" spans="1:7" ht="40" customHeight="1" x14ac:dyDescent="0.4">
      <c r="A116" s="89" t="s">
        <v>959</v>
      </c>
      <c r="B116" s="90" t="s">
        <v>138</v>
      </c>
      <c r="C116" s="115" t="s">
        <v>717</v>
      </c>
      <c r="D116" s="90" t="s">
        <v>960</v>
      </c>
      <c r="E116" s="90" t="s">
        <v>961</v>
      </c>
      <c r="F116" s="90" t="s">
        <v>691</v>
      </c>
      <c r="G116" s="90" t="s">
        <v>27</v>
      </c>
    </row>
    <row r="117" spans="1:7" ht="88" customHeight="1" x14ac:dyDescent="0.4">
      <c r="A117" s="89" t="s">
        <v>962</v>
      </c>
      <c r="B117" s="90" t="s">
        <v>138</v>
      </c>
      <c r="C117" s="116" t="s">
        <v>746</v>
      </c>
      <c r="D117" s="90" t="s">
        <v>963</v>
      </c>
      <c r="E117" s="90" t="s">
        <v>964</v>
      </c>
      <c r="F117" s="90" t="s">
        <v>965</v>
      </c>
      <c r="G117" s="90" t="s">
        <v>966</v>
      </c>
    </row>
    <row r="118" spans="1:7" ht="64" customHeight="1" x14ac:dyDescent="0.4">
      <c r="A118" s="89" t="s">
        <v>967</v>
      </c>
      <c r="B118" s="90" t="s">
        <v>138</v>
      </c>
      <c r="C118" s="116" t="s">
        <v>746</v>
      </c>
      <c r="D118" s="90" t="s">
        <v>968</v>
      </c>
      <c r="E118" s="90" t="s">
        <v>969</v>
      </c>
      <c r="F118" s="90" t="s">
        <v>691</v>
      </c>
      <c r="G118" s="90" t="s">
        <v>831</v>
      </c>
    </row>
    <row r="119" spans="1:7" ht="64" customHeight="1" x14ac:dyDescent="0.4">
      <c r="A119" s="89" t="s">
        <v>970</v>
      </c>
      <c r="B119" s="90" t="s">
        <v>138</v>
      </c>
      <c r="C119" s="116" t="s">
        <v>746</v>
      </c>
      <c r="D119" s="90" t="s">
        <v>971</v>
      </c>
      <c r="E119" s="90" t="s">
        <v>972</v>
      </c>
      <c r="F119" s="90" t="s">
        <v>691</v>
      </c>
      <c r="G119" s="90" t="s">
        <v>973</v>
      </c>
    </row>
    <row r="120" spans="1:7" ht="28" customHeight="1" x14ac:dyDescent="0.4">
      <c r="A120" s="89" t="s">
        <v>974</v>
      </c>
      <c r="B120" s="90" t="s">
        <v>138</v>
      </c>
      <c r="C120" s="116" t="s">
        <v>746</v>
      </c>
      <c r="D120" s="90" t="s">
        <v>975</v>
      </c>
      <c r="E120" s="90" t="s">
        <v>748</v>
      </c>
      <c r="F120" s="90" t="s">
        <v>691</v>
      </c>
      <c r="G120" s="90" t="s">
        <v>749</v>
      </c>
    </row>
    <row r="121" spans="1:7" ht="28" customHeight="1" x14ac:dyDescent="0.4">
      <c r="A121" s="89" t="s">
        <v>754</v>
      </c>
      <c r="B121" s="90" t="s">
        <v>138</v>
      </c>
      <c r="C121" s="116" t="s">
        <v>746</v>
      </c>
      <c r="D121" s="90" t="s">
        <v>755</v>
      </c>
      <c r="E121" s="90" t="s">
        <v>756</v>
      </c>
      <c r="F121" s="90" t="s">
        <v>691</v>
      </c>
      <c r="G121" s="90" t="s">
        <v>757</v>
      </c>
    </row>
    <row r="122" spans="1:7" ht="28" customHeight="1" x14ac:dyDescent="0.4">
      <c r="A122" s="89" t="s">
        <v>444</v>
      </c>
      <c r="B122" s="90" t="s">
        <v>138</v>
      </c>
      <c r="C122" s="116" t="s">
        <v>746</v>
      </c>
      <c r="D122" s="90" t="s">
        <v>976</v>
      </c>
      <c r="E122" s="90" t="s">
        <v>977</v>
      </c>
      <c r="F122" s="90" t="s">
        <v>691</v>
      </c>
      <c r="G122" s="90" t="s">
        <v>978</v>
      </c>
    </row>
    <row r="123" spans="1:7" x14ac:dyDescent="0.4">
      <c r="A123" s="213" t="s">
        <v>979</v>
      </c>
      <c r="B123" s="142"/>
      <c r="C123" s="142"/>
      <c r="D123" s="142"/>
      <c r="E123" s="142"/>
      <c r="F123" s="142"/>
      <c r="G123" s="142"/>
    </row>
    <row r="124" spans="1:7" ht="28" customHeight="1" x14ac:dyDescent="0.4">
      <c r="A124" s="89" t="s">
        <v>413</v>
      </c>
      <c r="B124" s="90" t="s">
        <v>980</v>
      </c>
      <c r="C124" s="115" t="s">
        <v>707</v>
      </c>
      <c r="D124" s="90" t="s">
        <v>981</v>
      </c>
      <c r="E124" s="90" t="s">
        <v>982</v>
      </c>
      <c r="F124" s="90" t="s">
        <v>983</v>
      </c>
      <c r="G124" s="90" t="s">
        <v>984</v>
      </c>
    </row>
    <row r="125" spans="1:7" ht="28" customHeight="1" x14ac:dyDescent="0.4">
      <c r="A125" s="89" t="s">
        <v>414</v>
      </c>
      <c r="B125" s="90" t="s">
        <v>87</v>
      </c>
      <c r="C125" s="115" t="s">
        <v>707</v>
      </c>
      <c r="D125" s="90" t="s">
        <v>985</v>
      </c>
      <c r="E125" s="90" t="s">
        <v>986</v>
      </c>
      <c r="F125" s="90" t="s">
        <v>987</v>
      </c>
      <c r="G125" s="90" t="s">
        <v>988</v>
      </c>
    </row>
    <row r="126" spans="1:7" ht="28" customHeight="1" x14ac:dyDescent="0.4">
      <c r="A126" s="89" t="s">
        <v>205</v>
      </c>
      <c r="B126" s="90" t="s">
        <v>989</v>
      </c>
      <c r="C126" s="115" t="s">
        <v>707</v>
      </c>
      <c r="D126" s="90" t="s">
        <v>990</v>
      </c>
      <c r="E126" s="90" t="s">
        <v>991</v>
      </c>
      <c r="F126" s="90" t="s">
        <v>992</v>
      </c>
      <c r="G126" s="90" t="s">
        <v>993</v>
      </c>
    </row>
    <row r="127" spans="1:7" ht="28" customHeight="1" x14ac:dyDescent="0.4">
      <c r="A127" s="89" t="s">
        <v>198</v>
      </c>
      <c r="B127" s="90" t="s">
        <v>994</v>
      </c>
      <c r="C127" s="115" t="s">
        <v>707</v>
      </c>
      <c r="D127" s="90" t="s">
        <v>995</v>
      </c>
      <c r="E127" s="90" t="s">
        <v>996</v>
      </c>
      <c r="F127" s="90" t="s">
        <v>997</v>
      </c>
      <c r="G127" s="90" t="s">
        <v>998</v>
      </c>
    </row>
    <row r="128" spans="1:7" ht="28" customHeight="1" x14ac:dyDescent="0.4">
      <c r="A128" s="89" t="s">
        <v>195</v>
      </c>
      <c r="B128" s="90" t="s">
        <v>68</v>
      </c>
      <c r="C128" s="115" t="s">
        <v>999</v>
      </c>
      <c r="D128" s="90" t="s">
        <v>1000</v>
      </c>
      <c r="E128" s="90" t="s">
        <v>1001</v>
      </c>
      <c r="F128" s="90" t="s">
        <v>997</v>
      </c>
      <c r="G128" s="90" t="s">
        <v>1002</v>
      </c>
    </row>
    <row r="129" spans="1:7" ht="40" customHeight="1" x14ac:dyDescent="0.4">
      <c r="A129" s="89" t="s">
        <v>1003</v>
      </c>
      <c r="B129" s="90" t="s">
        <v>68</v>
      </c>
      <c r="C129" s="115" t="s">
        <v>707</v>
      </c>
      <c r="D129" s="90" t="s">
        <v>1004</v>
      </c>
      <c r="E129" s="90" t="s">
        <v>1005</v>
      </c>
      <c r="F129" s="90" t="s">
        <v>997</v>
      </c>
      <c r="G129" s="90" t="s">
        <v>998</v>
      </c>
    </row>
    <row r="130" spans="1:7" ht="28" customHeight="1" x14ac:dyDescent="0.4">
      <c r="A130" s="89" t="s">
        <v>1006</v>
      </c>
      <c r="B130" s="90" t="s">
        <v>1007</v>
      </c>
      <c r="C130" s="115" t="s">
        <v>707</v>
      </c>
      <c r="D130" s="90" t="s">
        <v>1008</v>
      </c>
      <c r="E130" s="90" t="s">
        <v>1009</v>
      </c>
      <c r="F130" s="90" t="s">
        <v>997</v>
      </c>
      <c r="G130" s="90" t="s">
        <v>1010</v>
      </c>
    </row>
    <row r="131" spans="1:7" ht="64" customHeight="1" x14ac:dyDescent="0.4">
      <c r="A131" s="89" t="s">
        <v>225</v>
      </c>
      <c r="B131" s="90" t="s">
        <v>1011</v>
      </c>
      <c r="C131" s="115" t="s">
        <v>707</v>
      </c>
      <c r="D131" s="90" t="s">
        <v>1012</v>
      </c>
      <c r="E131" s="90" t="s">
        <v>1013</v>
      </c>
      <c r="F131" s="90" t="s">
        <v>1014</v>
      </c>
      <c r="G131" s="90" t="s">
        <v>3</v>
      </c>
    </row>
    <row r="132" spans="1:7" ht="28" customHeight="1" x14ac:dyDescent="0.4">
      <c r="A132" s="89" t="s">
        <v>1015</v>
      </c>
      <c r="B132" s="90" t="s">
        <v>87</v>
      </c>
      <c r="C132" s="115" t="s">
        <v>707</v>
      </c>
      <c r="D132" s="90" t="s">
        <v>1016</v>
      </c>
      <c r="E132" s="90" t="s">
        <v>1017</v>
      </c>
      <c r="F132" s="90" t="s">
        <v>1018</v>
      </c>
      <c r="G132" s="90" t="s">
        <v>1019</v>
      </c>
    </row>
    <row r="133" spans="1:7" ht="28" customHeight="1" x14ac:dyDescent="0.4">
      <c r="A133" s="89" t="s">
        <v>420</v>
      </c>
      <c r="B133" s="90" t="s">
        <v>87</v>
      </c>
      <c r="C133" s="115" t="s">
        <v>1020</v>
      </c>
      <c r="D133" s="90" t="s">
        <v>1021</v>
      </c>
      <c r="E133" s="90" t="s">
        <v>1022</v>
      </c>
      <c r="F133" s="90" t="s">
        <v>1023</v>
      </c>
      <c r="G133" s="90" t="s">
        <v>1024</v>
      </c>
    </row>
    <row r="134" spans="1:7" ht="28" customHeight="1" x14ac:dyDescent="0.4">
      <c r="A134" s="89" t="s">
        <v>1025</v>
      </c>
      <c r="B134" s="90" t="s">
        <v>1026</v>
      </c>
      <c r="C134" s="115" t="s">
        <v>707</v>
      </c>
      <c r="D134" s="90" t="s">
        <v>1027</v>
      </c>
      <c r="E134" s="90" t="s">
        <v>1028</v>
      </c>
      <c r="F134" s="90" t="s">
        <v>1029</v>
      </c>
      <c r="G134" s="90" t="s">
        <v>886</v>
      </c>
    </row>
    <row r="135" spans="1:7" ht="40" customHeight="1" x14ac:dyDescent="0.4">
      <c r="A135" s="89" t="s">
        <v>47</v>
      </c>
      <c r="B135" s="90" t="s">
        <v>60</v>
      </c>
      <c r="C135" s="115" t="s">
        <v>707</v>
      </c>
      <c r="D135" s="90" t="s">
        <v>1030</v>
      </c>
      <c r="E135" s="90" t="s">
        <v>1031</v>
      </c>
      <c r="F135" s="90" t="s">
        <v>1032</v>
      </c>
      <c r="G135" s="90" t="s">
        <v>1033</v>
      </c>
    </row>
    <row r="136" spans="1:7" ht="28" customHeight="1" x14ac:dyDescent="0.4">
      <c r="A136" s="89" t="s">
        <v>495</v>
      </c>
      <c r="B136" s="90" t="s">
        <v>98</v>
      </c>
      <c r="C136" s="115" t="s">
        <v>707</v>
      </c>
      <c r="D136" s="90" t="s">
        <v>1034</v>
      </c>
      <c r="E136" s="90" t="s">
        <v>1035</v>
      </c>
      <c r="F136" s="90" t="s">
        <v>686</v>
      </c>
      <c r="G136" s="90" t="s">
        <v>1036</v>
      </c>
    </row>
    <row r="137" spans="1:7" ht="52" customHeight="1" x14ac:dyDescent="0.4">
      <c r="A137" s="89" t="s">
        <v>1037</v>
      </c>
      <c r="B137" s="90" t="s">
        <v>1038</v>
      </c>
      <c r="C137" s="115" t="s">
        <v>1039</v>
      </c>
      <c r="D137" s="90" t="s">
        <v>1040</v>
      </c>
      <c r="E137" s="90" t="s">
        <v>1041</v>
      </c>
      <c r="F137" s="90" t="s">
        <v>1042</v>
      </c>
      <c r="G137" s="90" t="s">
        <v>1043</v>
      </c>
    </row>
    <row r="138" spans="1:7" x14ac:dyDescent="0.4">
      <c r="A138" s="213" t="s">
        <v>1044</v>
      </c>
      <c r="B138" s="142"/>
      <c r="C138" s="142"/>
      <c r="D138" s="142"/>
      <c r="E138" s="142"/>
      <c r="F138" s="142"/>
      <c r="G138" s="142"/>
    </row>
    <row r="139" spans="1:7" ht="28" customHeight="1" x14ac:dyDescent="0.4">
      <c r="A139" s="89" t="s">
        <v>1045</v>
      </c>
      <c r="B139" s="90" t="s">
        <v>1046</v>
      </c>
      <c r="C139" s="116" t="s">
        <v>1047</v>
      </c>
      <c r="D139" s="90" t="s">
        <v>1048</v>
      </c>
      <c r="E139" s="90" t="s">
        <v>1049</v>
      </c>
      <c r="F139" s="90" t="s">
        <v>1050</v>
      </c>
      <c r="G139" s="90" t="str">
        <f>FIXED(pesoImpatto,2)&amp;" / "&amp;FIXED(pesoProbabilita,2)&amp;" / "&amp;FIXED(pesoProssimita,2)&amp;" / "&amp;FIXED(pesoVelocity,2)</f>
        <v>0,35 / 0,25 / 0,20 / 0,20</v>
      </c>
    </row>
    <row r="140" spans="1:7" ht="28" customHeight="1" x14ac:dyDescent="0.4">
      <c r="A140" s="89" t="s">
        <v>1051</v>
      </c>
      <c r="B140" s="90" t="s">
        <v>1052</v>
      </c>
      <c r="C140" s="116" t="s">
        <v>1053</v>
      </c>
      <c r="D140" s="90" t="s">
        <v>1054</v>
      </c>
      <c r="E140" s="90" t="s">
        <v>1055</v>
      </c>
      <c r="F140" s="90" t="s">
        <v>1023</v>
      </c>
      <c r="G140" s="90" t="str">
        <f>FIXED(sogliaDirezione,0)</f>
        <v>2</v>
      </c>
    </row>
    <row r="141" spans="1:7" ht="28" customHeight="1" x14ac:dyDescent="0.4">
      <c r="A141" s="89" t="s">
        <v>1056</v>
      </c>
      <c r="B141" s="90" t="s">
        <v>1057</v>
      </c>
      <c r="C141" s="116" t="s">
        <v>1053</v>
      </c>
      <c r="D141" s="90" t="s">
        <v>1058</v>
      </c>
      <c r="E141" s="90" t="s">
        <v>1059</v>
      </c>
      <c r="F141" s="90" t="s">
        <v>1060</v>
      </c>
      <c r="G141" s="90" t="str">
        <f>FIXED(sogliaDelta,2)</f>
        <v>0,30</v>
      </c>
    </row>
    <row r="142" spans="1:7" ht="28" customHeight="1" x14ac:dyDescent="0.4">
      <c r="A142" s="89" t="s">
        <v>1061</v>
      </c>
      <c r="B142" s="90" t="s">
        <v>1062</v>
      </c>
      <c r="C142" s="116" t="s">
        <v>1063</v>
      </c>
      <c r="D142" s="90" t="s">
        <v>1064</v>
      </c>
      <c r="E142" s="90" t="s">
        <v>1065</v>
      </c>
      <c r="F142" s="90" t="s">
        <v>997</v>
      </c>
      <c r="G142" s="90" t="s">
        <v>1066</v>
      </c>
    </row>
    <row r="143" spans="1:7" ht="40" customHeight="1" x14ac:dyDescent="0.4">
      <c r="A143" s="89" t="s">
        <v>1067</v>
      </c>
      <c r="B143" s="90" t="s">
        <v>1068</v>
      </c>
      <c r="C143" s="116" t="s">
        <v>1069</v>
      </c>
      <c r="D143" s="90" t="s">
        <v>1070</v>
      </c>
      <c r="E143" s="90" t="s">
        <v>1071</v>
      </c>
      <c r="F143" s="90" t="s">
        <v>1072</v>
      </c>
      <c r="G143" s="90" t="str">
        <f>FIXED(livelloPxI,0)&amp;" / "&amp;FIXED(livelloQuotaKRI*100,0)&amp;"% / "&amp;FIXED(livelloMargine,2)&amp;" / "&amp;FIXED(livelloForti,0)</f>
        <v>12 / 50% / 1,00 / 2</v>
      </c>
    </row>
    <row r="144" spans="1:7" ht="28" customHeight="1" x14ac:dyDescent="0.4">
      <c r="A144" s="89" t="s">
        <v>181</v>
      </c>
      <c r="B144" s="90" t="s">
        <v>1073</v>
      </c>
      <c r="C144" s="116" t="s">
        <v>1074</v>
      </c>
      <c r="D144" s="90" t="s">
        <v>1075</v>
      </c>
      <c r="E144" s="90" t="s">
        <v>1076</v>
      </c>
      <c r="F144" s="90" t="s">
        <v>1032</v>
      </c>
      <c r="G144" s="90" t="s">
        <v>557</v>
      </c>
    </row>
    <row r="145" spans="1:7" ht="28" customHeight="1" x14ac:dyDescent="0.4">
      <c r="A145" s="89" t="s">
        <v>551</v>
      </c>
      <c r="B145" s="90" t="s">
        <v>1077</v>
      </c>
      <c r="C145" s="116" t="s">
        <v>1078</v>
      </c>
      <c r="D145" s="90" t="s">
        <v>1079</v>
      </c>
      <c r="E145" s="90" t="s">
        <v>1080</v>
      </c>
      <c r="F145" s="90" t="s">
        <v>1081</v>
      </c>
      <c r="G145" s="90" t="s">
        <v>1082</v>
      </c>
    </row>
    <row r="146" spans="1:7" ht="28" customHeight="1" x14ac:dyDescent="0.4">
      <c r="A146" s="89" t="s">
        <v>552</v>
      </c>
      <c r="B146" s="90" t="s">
        <v>1083</v>
      </c>
      <c r="C146" s="116" t="s">
        <v>1074</v>
      </c>
      <c r="D146" s="90" t="s">
        <v>1084</v>
      </c>
      <c r="E146" s="90" t="s">
        <v>1085</v>
      </c>
      <c r="F146" s="90" t="s">
        <v>851</v>
      </c>
      <c r="G146" s="90" t="s">
        <v>558</v>
      </c>
    </row>
    <row r="147" spans="1:7" ht="40" customHeight="1" x14ac:dyDescent="0.4">
      <c r="A147" s="89" t="s">
        <v>553</v>
      </c>
      <c r="B147" s="90" t="s">
        <v>1086</v>
      </c>
      <c r="C147" s="116" t="s">
        <v>1074</v>
      </c>
      <c r="D147" s="90" t="s">
        <v>1087</v>
      </c>
      <c r="E147" s="90" t="s">
        <v>1088</v>
      </c>
      <c r="F147" s="90" t="s">
        <v>1089</v>
      </c>
      <c r="G147" s="90" t="s">
        <v>559</v>
      </c>
    </row>
  </sheetData>
  <mergeCells count="11">
    <mergeCell ref="A123:G123"/>
    <mergeCell ref="A1:G1"/>
    <mergeCell ref="A110:G110"/>
    <mergeCell ref="A138:G138"/>
    <mergeCell ref="A92:G92"/>
    <mergeCell ref="A38:G38"/>
    <mergeCell ref="A2:G2"/>
    <mergeCell ref="A72:G72"/>
    <mergeCell ref="A103:G103"/>
    <mergeCell ref="A51:G51"/>
    <mergeCell ref="A5:G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AF75"/>
  <sheetViews>
    <sheetView workbookViewId="0"/>
  </sheetViews>
  <sheetFormatPr defaultRowHeight="14.6" x14ac:dyDescent="0.4"/>
  <cols>
    <col min="1" max="13" width="15" customWidth="1"/>
    <col min="14" max="14" width="50" customWidth="1"/>
    <col min="15" max="15" width="60" customWidth="1"/>
    <col min="16" max="17" width="40" customWidth="1"/>
    <col min="18" max="18" width="50" customWidth="1"/>
    <col min="19" max="26" width="15" customWidth="1"/>
    <col min="27" max="27" width="45" customWidth="1"/>
    <col min="28" max="30" width="15" customWidth="1"/>
    <col min="31" max="31" width="45" customWidth="1"/>
    <col min="32" max="32" width="15" customWidth="1"/>
  </cols>
  <sheetData>
    <row r="1" spans="1:32" ht="28" customHeight="1" x14ac:dyDescent="0.4">
      <c r="A1" s="161" t="str">
        <f>"Horizon Scan NFR — RiskRegister — valutazioni dei rischi, una riga per rischio per ciclo   ·   "&amp;etichettaCiclo</f>
        <v>Horizon Scan NFR — RiskRegister — valutazioni dei rischi, una riga per rischio per ciclo   ·   Ciclo 2026Q4 · dati al 31/12/2026 · validato · Uso interno</v>
      </c>
      <c r="B1" s="162"/>
      <c r="C1" s="162"/>
      <c r="D1" s="162"/>
      <c r="E1" s="162"/>
      <c r="F1" s="162"/>
      <c r="G1" s="162"/>
      <c r="H1" s="162"/>
      <c r="I1" s="162"/>
      <c r="J1" s="162"/>
      <c r="K1" s="162"/>
      <c r="L1" s="162"/>
    </row>
    <row r="2" spans="1:32" ht="126.55" customHeight="1" x14ac:dyDescent="0.4">
      <c r="A2" s="173" t="s">
        <v>1090</v>
      </c>
      <c r="B2" s="142"/>
      <c r="C2" s="142"/>
      <c r="D2" s="142"/>
      <c r="E2" s="142"/>
      <c r="F2" s="142"/>
      <c r="G2" s="142"/>
      <c r="H2" s="142"/>
      <c r="I2" s="142"/>
      <c r="J2" s="142"/>
      <c r="K2" s="142"/>
      <c r="L2" s="142"/>
    </row>
    <row r="3" spans="1:32" x14ac:dyDescent="0.4">
      <c r="A3" s="214" t="s">
        <v>1091</v>
      </c>
      <c r="B3" s="142"/>
      <c r="C3" s="142"/>
      <c r="D3" s="142"/>
      <c r="E3" s="142"/>
      <c r="F3" s="142"/>
      <c r="G3" s="142"/>
      <c r="H3" s="142"/>
      <c r="I3" s="142"/>
      <c r="J3" s="119" t="s">
        <v>1092</v>
      </c>
      <c r="K3" s="214" t="s">
        <v>1091</v>
      </c>
      <c r="L3" s="142"/>
      <c r="M3" s="119" t="s">
        <v>1093</v>
      </c>
      <c r="N3" s="214" t="s">
        <v>1091</v>
      </c>
      <c r="O3" s="142"/>
      <c r="P3" s="142"/>
      <c r="Q3" s="142"/>
      <c r="R3" s="215" t="s">
        <v>1093</v>
      </c>
      <c r="S3" s="142"/>
      <c r="T3" s="119" t="s">
        <v>1092</v>
      </c>
      <c r="U3" s="119" t="s">
        <v>1093</v>
      </c>
      <c r="V3" s="216" t="s">
        <v>1094</v>
      </c>
      <c r="W3" s="142"/>
      <c r="X3" s="142"/>
      <c r="Y3" s="215" t="s">
        <v>1093</v>
      </c>
      <c r="Z3" s="142"/>
      <c r="AA3" s="142"/>
      <c r="AB3" s="142"/>
      <c r="AC3" s="120" t="s">
        <v>1094</v>
      </c>
      <c r="AD3" s="214" t="s">
        <v>1091</v>
      </c>
      <c r="AE3" s="142"/>
      <c r="AF3" s="119" t="s">
        <v>1092</v>
      </c>
    </row>
    <row r="4" spans="1:32" ht="179.05" customHeight="1" x14ac:dyDescent="0.4">
      <c r="A4" s="121" t="s">
        <v>1095</v>
      </c>
      <c r="B4" s="121" t="s">
        <v>1096</v>
      </c>
      <c r="C4" s="121" t="s">
        <v>1097</v>
      </c>
      <c r="D4" s="121" t="s">
        <v>1098</v>
      </c>
      <c r="E4" s="121" t="s">
        <v>1099</v>
      </c>
      <c r="F4" s="121" t="s">
        <v>1100</v>
      </c>
      <c r="G4" s="121" t="s">
        <v>1101</v>
      </c>
      <c r="H4" s="121" t="s">
        <v>1102</v>
      </c>
      <c r="I4" s="121" t="s">
        <v>1103</v>
      </c>
      <c r="J4" s="121" t="s">
        <v>1104</v>
      </c>
      <c r="K4" s="121" t="s">
        <v>1105</v>
      </c>
      <c r="L4" s="121" t="s">
        <v>1106</v>
      </c>
      <c r="M4" s="121" t="s">
        <v>1107</v>
      </c>
      <c r="N4" s="121" t="s">
        <v>1108</v>
      </c>
      <c r="O4" s="121" t="s">
        <v>1109</v>
      </c>
      <c r="P4" s="121" t="s">
        <v>1110</v>
      </c>
      <c r="Q4" s="121" t="s">
        <v>1111</v>
      </c>
      <c r="R4" s="121" t="s">
        <v>1112</v>
      </c>
      <c r="S4" s="121" t="s">
        <v>1113</v>
      </c>
      <c r="T4" s="121" t="s">
        <v>1114</v>
      </c>
      <c r="U4" s="121" t="s">
        <v>1115</v>
      </c>
      <c r="V4" s="121" t="s">
        <v>1116</v>
      </c>
      <c r="W4" s="121" t="s">
        <v>1117</v>
      </c>
      <c r="X4" s="121" t="s">
        <v>1118</v>
      </c>
      <c r="Y4" s="121" t="s">
        <v>1119</v>
      </c>
      <c r="Z4" s="121" t="s">
        <v>1120</v>
      </c>
      <c r="AA4" s="121" t="s">
        <v>1121</v>
      </c>
      <c r="AB4" s="121" t="s">
        <v>1122</v>
      </c>
      <c r="AC4" s="121" t="s">
        <v>1123</v>
      </c>
      <c r="AD4" s="121" t="s">
        <v>1124</v>
      </c>
      <c r="AE4" s="121" t="s">
        <v>1125</v>
      </c>
      <c r="AF4" s="121" t="s">
        <v>1126</v>
      </c>
    </row>
    <row r="5" spans="1:32" x14ac:dyDescent="0.4">
      <c r="A5" s="122" t="s">
        <v>451</v>
      </c>
      <c r="B5" s="122" t="s">
        <v>683</v>
      </c>
      <c r="C5" s="122" t="s">
        <v>688</v>
      </c>
      <c r="D5" s="122" t="s">
        <v>174</v>
      </c>
      <c r="E5" s="122" t="s">
        <v>550</v>
      </c>
      <c r="F5" s="122" t="s">
        <v>269</v>
      </c>
      <c r="G5" s="122" t="s">
        <v>203</v>
      </c>
      <c r="H5" s="122" t="s">
        <v>300</v>
      </c>
      <c r="I5" s="122" t="s">
        <v>206</v>
      </c>
      <c r="J5" s="62" t="s">
        <v>706</v>
      </c>
      <c r="K5" s="122" t="s">
        <v>204</v>
      </c>
      <c r="L5" s="122" t="s">
        <v>551</v>
      </c>
      <c r="M5" s="62" t="s">
        <v>178</v>
      </c>
      <c r="N5" s="122" t="s">
        <v>536</v>
      </c>
      <c r="O5" s="122" t="s">
        <v>724</v>
      </c>
      <c r="P5" s="122" t="s">
        <v>727</v>
      </c>
      <c r="Q5" s="122" t="s">
        <v>731</v>
      </c>
      <c r="R5" s="62" t="s">
        <v>422</v>
      </c>
      <c r="S5" s="62" t="s">
        <v>181</v>
      </c>
      <c r="T5" s="62" t="s">
        <v>250</v>
      </c>
      <c r="U5" s="62" t="s">
        <v>742</v>
      </c>
      <c r="V5" s="60" t="s">
        <v>745</v>
      </c>
      <c r="W5" s="60" t="s">
        <v>9</v>
      </c>
      <c r="X5" s="60" t="s">
        <v>754</v>
      </c>
      <c r="Y5" s="62" t="s">
        <v>758</v>
      </c>
      <c r="Z5" s="62" t="s">
        <v>444</v>
      </c>
      <c r="AA5" s="62" t="s">
        <v>765</v>
      </c>
      <c r="AB5" s="62" t="s">
        <v>272</v>
      </c>
      <c r="AC5" s="60" t="s">
        <v>772</v>
      </c>
      <c r="AD5" s="122" t="s">
        <v>777</v>
      </c>
      <c r="AE5" s="122" t="s">
        <v>780</v>
      </c>
      <c r="AF5" s="62" t="s">
        <v>782</v>
      </c>
    </row>
    <row r="6" spans="1:32" ht="43.75" x14ac:dyDescent="0.4">
      <c r="A6" s="109" t="s">
        <v>617</v>
      </c>
      <c r="B6" s="123">
        <v>46022</v>
      </c>
      <c r="C6" s="109" t="s">
        <v>554</v>
      </c>
      <c r="D6" s="109" t="s">
        <v>555</v>
      </c>
      <c r="E6" s="109" t="s">
        <v>469</v>
      </c>
      <c r="F6" s="109" t="s">
        <v>556</v>
      </c>
      <c r="G6" s="109">
        <v>3</v>
      </c>
      <c r="H6" s="109">
        <v>4</v>
      </c>
      <c r="I6" s="109">
        <v>3</v>
      </c>
      <c r="J6" s="124">
        <f t="shared" ref="J6:J43" si="0">IF(COUNT(G6,I6,K6)&lt;3,"",ROUND((pesoImpatto*G6+pesoProbabilita*K6+pesoProssimita*I6+IF(ISNUMBER(H6),pesoVelocity*H6,0))/(pesoImpatto+pesoProbabilita+pesoProssimita+IF(ISNUMBER(H6),pesoVelocity,0)),2))</f>
        <v>3.45</v>
      </c>
      <c r="K6" s="109">
        <v>4</v>
      </c>
      <c r="L6" s="109"/>
      <c r="M6" s="109" t="s">
        <v>1127</v>
      </c>
      <c r="N6" s="125" t="s">
        <v>1128</v>
      </c>
      <c r="O6" s="125" t="s">
        <v>1129</v>
      </c>
      <c r="P6" s="125" t="s">
        <v>1130</v>
      </c>
      <c r="Q6" s="125" t="s">
        <v>1131</v>
      </c>
      <c r="R6" s="125"/>
      <c r="S6" s="109" t="s">
        <v>557</v>
      </c>
      <c r="T6" s="109" t="str">
        <f t="shared" ref="T6:T43" si="1">A6&amp;"|"&amp;C6</f>
        <v>2025Q4|NFR-01</v>
      </c>
      <c r="U6" s="123">
        <v>46022</v>
      </c>
      <c r="V6" s="109" t="s">
        <v>749</v>
      </c>
      <c r="W6" s="109" t="s">
        <v>753</v>
      </c>
      <c r="X6" s="123">
        <v>46037</v>
      </c>
      <c r="Y6" s="109" t="s">
        <v>617</v>
      </c>
      <c r="Z6" s="109" t="s">
        <v>764</v>
      </c>
      <c r="AA6" s="125" t="s">
        <v>1132</v>
      </c>
      <c r="AB6" s="109"/>
      <c r="AC6" s="109" t="s">
        <v>776</v>
      </c>
      <c r="AD6" s="109"/>
      <c r="AE6" s="125"/>
      <c r="AF6" s="109" t="str">
        <f t="shared" ref="AF6:AF43" si="2">IF(AND(A6=cicloCorrente,Z6="Osservazione"),N(J6)*100000+1-ROW()/1000000,"")</f>
        <v/>
      </c>
    </row>
    <row r="7" spans="1:32" ht="43.75" x14ac:dyDescent="0.4">
      <c r="A7" s="109" t="s">
        <v>617</v>
      </c>
      <c r="B7" s="123">
        <v>46022</v>
      </c>
      <c r="C7" s="109" t="s">
        <v>560</v>
      </c>
      <c r="D7" s="109" t="s">
        <v>561</v>
      </c>
      <c r="E7" s="109" t="s">
        <v>474</v>
      </c>
      <c r="F7" s="109" t="s">
        <v>562</v>
      </c>
      <c r="G7" s="109">
        <v>4</v>
      </c>
      <c r="H7" s="109">
        <v>4</v>
      </c>
      <c r="I7" s="109">
        <v>3</v>
      </c>
      <c r="J7" s="124">
        <f t="shared" si="0"/>
        <v>3.3</v>
      </c>
      <c r="K7" s="109">
        <v>2</v>
      </c>
      <c r="L7" s="109"/>
      <c r="M7" s="109" t="s">
        <v>1127</v>
      </c>
      <c r="N7" s="125" t="s">
        <v>1133</v>
      </c>
      <c r="O7" s="125" t="s">
        <v>1134</v>
      </c>
      <c r="P7" s="125" t="s">
        <v>1130</v>
      </c>
      <c r="Q7" s="125" t="s">
        <v>1135</v>
      </c>
      <c r="R7" s="125"/>
      <c r="S7" s="109" t="s">
        <v>563</v>
      </c>
      <c r="T7" s="109" t="str">
        <f t="shared" si="1"/>
        <v>2025Q4|NFR-02</v>
      </c>
      <c r="U7" s="123">
        <v>46022</v>
      </c>
      <c r="V7" s="109" t="s">
        <v>749</v>
      </c>
      <c r="W7" s="109" t="s">
        <v>753</v>
      </c>
      <c r="X7" s="123">
        <v>46037</v>
      </c>
      <c r="Y7" s="109" t="s">
        <v>617</v>
      </c>
      <c r="Z7" s="109" t="s">
        <v>764</v>
      </c>
      <c r="AA7" s="125" t="s">
        <v>1136</v>
      </c>
      <c r="AB7" s="109"/>
      <c r="AC7" s="109" t="s">
        <v>776</v>
      </c>
      <c r="AD7" s="109"/>
      <c r="AE7" s="125"/>
      <c r="AF7" s="109" t="str">
        <f t="shared" si="2"/>
        <v/>
      </c>
    </row>
    <row r="8" spans="1:32" ht="43.75" x14ac:dyDescent="0.4">
      <c r="A8" s="109" t="s">
        <v>617</v>
      </c>
      <c r="B8" s="123">
        <v>46022</v>
      </c>
      <c r="C8" s="109" t="s">
        <v>566</v>
      </c>
      <c r="D8" s="109" t="s">
        <v>567</v>
      </c>
      <c r="E8" s="109" t="s">
        <v>461</v>
      </c>
      <c r="F8" s="109" t="s">
        <v>568</v>
      </c>
      <c r="G8" s="109">
        <v>3</v>
      </c>
      <c r="H8" s="109">
        <v>2</v>
      </c>
      <c r="I8" s="109">
        <v>3</v>
      </c>
      <c r="J8" s="124">
        <f t="shared" si="0"/>
        <v>2.8</v>
      </c>
      <c r="K8" s="109">
        <v>3</v>
      </c>
      <c r="L8" s="109"/>
      <c r="M8" s="109" t="s">
        <v>1127</v>
      </c>
      <c r="N8" s="125" t="s">
        <v>1137</v>
      </c>
      <c r="O8" s="125" t="s">
        <v>1138</v>
      </c>
      <c r="P8" s="125" t="s">
        <v>1130</v>
      </c>
      <c r="Q8" s="125" t="s">
        <v>1139</v>
      </c>
      <c r="R8" s="125"/>
      <c r="S8" s="109" t="s">
        <v>569</v>
      </c>
      <c r="T8" s="109" t="str">
        <f t="shared" si="1"/>
        <v>2025Q4|NFR-03</v>
      </c>
      <c r="U8" s="123">
        <v>46022</v>
      </c>
      <c r="V8" s="109" t="s">
        <v>749</v>
      </c>
      <c r="W8" s="109" t="s">
        <v>753</v>
      </c>
      <c r="X8" s="123">
        <v>46037</v>
      </c>
      <c r="Y8" s="109" t="s">
        <v>617</v>
      </c>
      <c r="Z8" s="109" t="s">
        <v>764</v>
      </c>
      <c r="AA8" s="125" t="s">
        <v>1140</v>
      </c>
      <c r="AB8" s="109"/>
      <c r="AC8" s="109" t="s">
        <v>776</v>
      </c>
      <c r="AD8" s="109"/>
      <c r="AE8" s="125"/>
      <c r="AF8" s="109" t="str">
        <f t="shared" si="2"/>
        <v/>
      </c>
    </row>
    <row r="9" spans="1:32" ht="43.75" x14ac:dyDescent="0.4">
      <c r="A9" s="109" t="s">
        <v>617</v>
      </c>
      <c r="B9" s="123">
        <v>46022</v>
      </c>
      <c r="C9" s="109" t="s">
        <v>572</v>
      </c>
      <c r="D9" s="109" t="s">
        <v>573</v>
      </c>
      <c r="E9" s="109" t="s">
        <v>471</v>
      </c>
      <c r="F9" s="109" t="s">
        <v>574</v>
      </c>
      <c r="G9" s="109">
        <v>3</v>
      </c>
      <c r="H9" s="109">
        <v>2</v>
      </c>
      <c r="I9" s="109">
        <v>2</v>
      </c>
      <c r="J9" s="124">
        <f t="shared" si="0"/>
        <v>2.6</v>
      </c>
      <c r="K9" s="109">
        <v>3</v>
      </c>
      <c r="L9" s="109"/>
      <c r="M9" s="109" t="s">
        <v>1127</v>
      </c>
      <c r="N9" s="125" t="s">
        <v>1141</v>
      </c>
      <c r="O9" s="125" t="s">
        <v>1142</v>
      </c>
      <c r="P9" s="125" t="s">
        <v>1130</v>
      </c>
      <c r="Q9" s="125" t="s">
        <v>1143</v>
      </c>
      <c r="R9" s="125"/>
      <c r="S9" s="109" t="s">
        <v>575</v>
      </c>
      <c r="T9" s="109" t="str">
        <f t="shared" si="1"/>
        <v>2025Q4|NFR-04</v>
      </c>
      <c r="U9" s="123">
        <v>46022</v>
      </c>
      <c r="V9" s="109" t="s">
        <v>749</v>
      </c>
      <c r="W9" s="109" t="s">
        <v>753</v>
      </c>
      <c r="X9" s="123">
        <v>46037</v>
      </c>
      <c r="Y9" s="109" t="s">
        <v>617</v>
      </c>
      <c r="Z9" s="109" t="s">
        <v>764</v>
      </c>
      <c r="AA9" s="125" t="s">
        <v>1144</v>
      </c>
      <c r="AB9" s="109"/>
      <c r="AC9" s="109" t="s">
        <v>776</v>
      </c>
      <c r="AD9" s="109"/>
      <c r="AE9" s="125"/>
      <c r="AF9" s="109" t="str">
        <f t="shared" si="2"/>
        <v/>
      </c>
    </row>
    <row r="10" spans="1:32" ht="43.75" x14ac:dyDescent="0.4">
      <c r="A10" s="109" t="s">
        <v>617</v>
      </c>
      <c r="B10" s="123">
        <v>46022</v>
      </c>
      <c r="C10" s="109" t="s">
        <v>576</v>
      </c>
      <c r="D10" s="109" t="s">
        <v>577</v>
      </c>
      <c r="E10" s="109" t="s">
        <v>478</v>
      </c>
      <c r="F10" s="109" t="s">
        <v>578</v>
      </c>
      <c r="G10" s="109">
        <v>3</v>
      </c>
      <c r="H10" s="109">
        <v>3</v>
      </c>
      <c r="I10" s="109">
        <v>4</v>
      </c>
      <c r="J10" s="124">
        <f t="shared" si="0"/>
        <v>3.2</v>
      </c>
      <c r="K10" s="109">
        <v>3</v>
      </c>
      <c r="L10" s="109"/>
      <c r="M10" s="109" t="s">
        <v>1127</v>
      </c>
      <c r="N10" s="125" t="s">
        <v>1145</v>
      </c>
      <c r="O10" s="125" t="s">
        <v>1146</v>
      </c>
      <c r="P10" s="125" t="s">
        <v>1130</v>
      </c>
      <c r="Q10" s="125" t="s">
        <v>1147</v>
      </c>
      <c r="R10" s="125"/>
      <c r="S10" s="109" t="s">
        <v>579</v>
      </c>
      <c r="T10" s="109" t="str">
        <f t="shared" si="1"/>
        <v>2025Q4|NFR-05</v>
      </c>
      <c r="U10" s="123">
        <v>46022</v>
      </c>
      <c r="V10" s="109" t="s">
        <v>749</v>
      </c>
      <c r="W10" s="109" t="s">
        <v>753</v>
      </c>
      <c r="X10" s="123">
        <v>46037</v>
      </c>
      <c r="Y10" s="109" t="s">
        <v>617</v>
      </c>
      <c r="Z10" s="109" t="s">
        <v>764</v>
      </c>
      <c r="AA10" s="125" t="s">
        <v>1148</v>
      </c>
      <c r="AB10" s="109"/>
      <c r="AC10" s="109" t="s">
        <v>776</v>
      </c>
      <c r="AD10" s="109"/>
      <c r="AE10" s="125"/>
      <c r="AF10" s="109" t="str">
        <f t="shared" si="2"/>
        <v/>
      </c>
    </row>
    <row r="11" spans="1:32" ht="58.3" x14ac:dyDescent="0.4">
      <c r="A11" s="109" t="s">
        <v>617</v>
      </c>
      <c r="B11" s="123">
        <v>46022</v>
      </c>
      <c r="C11" s="109" t="s">
        <v>587</v>
      </c>
      <c r="D11" s="109" t="s">
        <v>588</v>
      </c>
      <c r="E11" s="109" t="s">
        <v>474</v>
      </c>
      <c r="F11" s="109" t="s">
        <v>589</v>
      </c>
      <c r="G11" s="109">
        <v>4</v>
      </c>
      <c r="H11" s="109">
        <v>5</v>
      </c>
      <c r="I11" s="109">
        <v>3</v>
      </c>
      <c r="J11" s="124">
        <f t="shared" si="0"/>
        <v>3.75</v>
      </c>
      <c r="K11" s="109">
        <v>3</v>
      </c>
      <c r="L11" s="109"/>
      <c r="M11" s="109" t="s">
        <v>1127</v>
      </c>
      <c r="N11" s="125" t="s">
        <v>1149</v>
      </c>
      <c r="O11" s="125" t="s">
        <v>1150</v>
      </c>
      <c r="P11" s="125" t="s">
        <v>1130</v>
      </c>
      <c r="Q11" s="125" t="s">
        <v>1151</v>
      </c>
      <c r="R11" s="125"/>
      <c r="S11" s="109" t="s">
        <v>563</v>
      </c>
      <c r="T11" s="109" t="str">
        <f t="shared" si="1"/>
        <v>2025Q4|NFR-07</v>
      </c>
      <c r="U11" s="123">
        <v>46022</v>
      </c>
      <c r="V11" s="109" t="s">
        <v>749</v>
      </c>
      <c r="W11" s="109" t="s">
        <v>753</v>
      </c>
      <c r="X11" s="123">
        <v>46037</v>
      </c>
      <c r="Y11" s="109" t="s">
        <v>617</v>
      </c>
      <c r="Z11" s="109" t="s">
        <v>764</v>
      </c>
      <c r="AA11" s="125" t="s">
        <v>1152</v>
      </c>
      <c r="AB11" s="109"/>
      <c r="AC11" s="109" t="s">
        <v>776</v>
      </c>
      <c r="AD11" s="109"/>
      <c r="AE11" s="125"/>
      <c r="AF11" s="109" t="str">
        <f t="shared" si="2"/>
        <v/>
      </c>
    </row>
    <row r="12" spans="1:32" ht="43.75" x14ac:dyDescent="0.4">
      <c r="A12" s="109" t="s">
        <v>617</v>
      </c>
      <c r="B12" s="123">
        <v>46022</v>
      </c>
      <c r="C12" s="109" t="s">
        <v>591</v>
      </c>
      <c r="D12" s="109" t="s">
        <v>592</v>
      </c>
      <c r="E12" s="109" t="s">
        <v>469</v>
      </c>
      <c r="F12" s="109" t="s">
        <v>593</v>
      </c>
      <c r="G12" s="109">
        <v>3</v>
      </c>
      <c r="H12" s="109">
        <v>3</v>
      </c>
      <c r="I12" s="109">
        <v>3</v>
      </c>
      <c r="J12" s="124">
        <f t="shared" si="0"/>
        <v>2.75</v>
      </c>
      <c r="K12" s="109">
        <v>2</v>
      </c>
      <c r="L12" s="109"/>
      <c r="M12" s="109" t="s">
        <v>1127</v>
      </c>
      <c r="N12" s="125" t="s">
        <v>1153</v>
      </c>
      <c r="O12" s="125" t="s">
        <v>1154</v>
      </c>
      <c r="P12" s="125" t="s">
        <v>1130</v>
      </c>
      <c r="Q12" s="125" t="s">
        <v>1155</v>
      </c>
      <c r="R12" s="125"/>
      <c r="S12" s="109" t="s">
        <v>584</v>
      </c>
      <c r="T12" s="109" t="str">
        <f t="shared" si="1"/>
        <v>2025Q4|NFR-08</v>
      </c>
      <c r="U12" s="123">
        <v>46022</v>
      </c>
      <c r="V12" s="109" t="s">
        <v>749</v>
      </c>
      <c r="W12" s="109" t="s">
        <v>753</v>
      </c>
      <c r="X12" s="123">
        <v>46037</v>
      </c>
      <c r="Y12" s="109" t="s">
        <v>617</v>
      </c>
      <c r="Z12" s="109" t="s">
        <v>764</v>
      </c>
      <c r="AA12" s="125" t="s">
        <v>1156</v>
      </c>
      <c r="AB12" s="109"/>
      <c r="AC12" s="109" t="s">
        <v>776</v>
      </c>
      <c r="AD12" s="109"/>
      <c r="AE12" s="125"/>
      <c r="AF12" s="109" t="str">
        <f t="shared" si="2"/>
        <v/>
      </c>
    </row>
    <row r="13" spans="1:32" ht="43.75" x14ac:dyDescent="0.4">
      <c r="A13" s="109" t="s">
        <v>617</v>
      </c>
      <c r="B13" s="123">
        <v>46022</v>
      </c>
      <c r="C13" s="109" t="s">
        <v>604</v>
      </c>
      <c r="D13" s="109" t="s">
        <v>605</v>
      </c>
      <c r="E13" s="109" t="s">
        <v>467</v>
      </c>
      <c r="F13" s="109" t="s">
        <v>578</v>
      </c>
      <c r="G13" s="109">
        <v>3</v>
      </c>
      <c r="H13" s="109">
        <v>2</v>
      </c>
      <c r="I13" s="109">
        <v>3</v>
      </c>
      <c r="J13" s="124">
        <f t="shared" si="0"/>
        <v>2.8</v>
      </c>
      <c r="K13" s="109">
        <v>3</v>
      </c>
      <c r="L13" s="109">
        <v>3</v>
      </c>
      <c r="M13" s="109" t="s">
        <v>1127</v>
      </c>
      <c r="N13" s="125" t="s">
        <v>1157</v>
      </c>
      <c r="O13" s="125" t="s">
        <v>1158</v>
      </c>
      <c r="P13" s="125" t="s">
        <v>1130</v>
      </c>
      <c r="Q13" s="125" t="s">
        <v>1159</v>
      </c>
      <c r="R13" s="125"/>
      <c r="S13" s="109" t="s">
        <v>606</v>
      </c>
      <c r="T13" s="109" t="str">
        <f t="shared" si="1"/>
        <v>2025Q4|NFR-11</v>
      </c>
      <c r="U13" s="123">
        <v>46022</v>
      </c>
      <c r="V13" s="109" t="s">
        <v>749</v>
      </c>
      <c r="W13" s="109" t="s">
        <v>753</v>
      </c>
      <c r="X13" s="123">
        <v>46037</v>
      </c>
      <c r="Y13" s="109" t="s">
        <v>617</v>
      </c>
      <c r="Z13" s="109" t="s">
        <v>764</v>
      </c>
      <c r="AA13" s="125" t="s">
        <v>1160</v>
      </c>
      <c r="AB13" s="109"/>
      <c r="AC13" s="109" t="s">
        <v>776</v>
      </c>
      <c r="AD13" s="109"/>
      <c r="AE13" s="125"/>
      <c r="AF13" s="109" t="str">
        <f t="shared" si="2"/>
        <v/>
      </c>
    </row>
    <row r="14" spans="1:32" ht="43.75" x14ac:dyDescent="0.4">
      <c r="A14" s="109" t="s">
        <v>617</v>
      </c>
      <c r="B14" s="123">
        <v>46022</v>
      </c>
      <c r="C14" s="109" t="s">
        <v>611</v>
      </c>
      <c r="D14" s="109" t="s">
        <v>612</v>
      </c>
      <c r="E14" s="109" t="s">
        <v>478</v>
      </c>
      <c r="F14" s="109" t="s">
        <v>578</v>
      </c>
      <c r="G14" s="109">
        <v>3</v>
      </c>
      <c r="H14" s="109">
        <v>4</v>
      </c>
      <c r="I14" s="109">
        <v>3</v>
      </c>
      <c r="J14" s="124">
        <f t="shared" si="0"/>
        <v>3.45</v>
      </c>
      <c r="K14" s="109">
        <v>4</v>
      </c>
      <c r="L14" s="109"/>
      <c r="M14" s="109" t="s">
        <v>1127</v>
      </c>
      <c r="N14" s="125" t="s">
        <v>1161</v>
      </c>
      <c r="O14" s="125" t="s">
        <v>1162</v>
      </c>
      <c r="P14" s="125" t="s">
        <v>1130</v>
      </c>
      <c r="Q14" s="125" t="s">
        <v>1163</v>
      </c>
      <c r="R14" s="125"/>
      <c r="S14" s="109" t="s">
        <v>579</v>
      </c>
      <c r="T14" s="109" t="str">
        <f t="shared" si="1"/>
        <v>2025Q4|NFR-12</v>
      </c>
      <c r="U14" s="123">
        <v>46022</v>
      </c>
      <c r="V14" s="109" t="s">
        <v>749</v>
      </c>
      <c r="W14" s="109" t="s">
        <v>753</v>
      </c>
      <c r="X14" s="123">
        <v>46037</v>
      </c>
      <c r="Y14" s="109" t="s">
        <v>617</v>
      </c>
      <c r="Z14" s="109" t="s">
        <v>764</v>
      </c>
      <c r="AA14" s="125" t="s">
        <v>1164</v>
      </c>
      <c r="AB14" s="109"/>
      <c r="AC14" s="109" t="s">
        <v>776</v>
      </c>
      <c r="AD14" s="109"/>
      <c r="AE14" s="125"/>
      <c r="AF14" s="109" t="str">
        <f t="shared" si="2"/>
        <v/>
      </c>
    </row>
    <row r="15" spans="1:32" ht="72.900000000000006" x14ac:dyDescent="0.4">
      <c r="A15" s="109" t="s">
        <v>614</v>
      </c>
      <c r="B15" s="123">
        <v>46112</v>
      </c>
      <c r="C15" s="109" t="s">
        <v>554</v>
      </c>
      <c r="D15" s="109" t="s">
        <v>555</v>
      </c>
      <c r="E15" s="109" t="s">
        <v>469</v>
      </c>
      <c r="F15" s="109" t="s">
        <v>556</v>
      </c>
      <c r="G15" s="109">
        <v>3</v>
      </c>
      <c r="H15" s="109">
        <v>4</v>
      </c>
      <c r="I15" s="109">
        <v>4</v>
      </c>
      <c r="J15" s="124">
        <f t="shared" si="0"/>
        <v>3.65</v>
      </c>
      <c r="K15" s="109">
        <v>4</v>
      </c>
      <c r="L15" s="109"/>
      <c r="M15" s="109" t="s">
        <v>721</v>
      </c>
      <c r="N15" s="125" t="s">
        <v>1128</v>
      </c>
      <c r="O15" s="125" t="s">
        <v>1129</v>
      </c>
      <c r="P15" s="125" t="s">
        <v>1165</v>
      </c>
      <c r="Q15" s="125" t="s">
        <v>1131</v>
      </c>
      <c r="R15" s="125"/>
      <c r="S15" s="109" t="s">
        <v>557</v>
      </c>
      <c r="T15" s="109" t="str">
        <f t="shared" si="1"/>
        <v>2026Q1|NFR-01</v>
      </c>
      <c r="U15" s="123">
        <v>46112</v>
      </c>
      <c r="V15" s="109" t="s">
        <v>749</v>
      </c>
      <c r="W15" s="109" t="s">
        <v>753</v>
      </c>
      <c r="X15" s="123">
        <v>46127</v>
      </c>
      <c r="Y15" s="109" t="s">
        <v>614</v>
      </c>
      <c r="Z15" s="109" t="s">
        <v>764</v>
      </c>
      <c r="AA15" s="125" t="s">
        <v>1166</v>
      </c>
      <c r="AB15" s="109"/>
      <c r="AC15" s="109" t="s">
        <v>776</v>
      </c>
      <c r="AD15" s="109"/>
      <c r="AE15" s="125"/>
      <c r="AF15" s="109" t="str">
        <f t="shared" si="2"/>
        <v/>
      </c>
    </row>
    <row r="16" spans="1:32" ht="87.45" x14ac:dyDescent="0.4">
      <c r="A16" s="109" t="s">
        <v>614</v>
      </c>
      <c r="B16" s="123">
        <v>46112</v>
      </c>
      <c r="C16" s="109" t="s">
        <v>560</v>
      </c>
      <c r="D16" s="109" t="s">
        <v>561</v>
      </c>
      <c r="E16" s="109" t="s">
        <v>474</v>
      </c>
      <c r="F16" s="109" t="s">
        <v>562</v>
      </c>
      <c r="G16" s="109">
        <v>4</v>
      </c>
      <c r="H16" s="109">
        <v>4</v>
      </c>
      <c r="I16" s="109">
        <v>3</v>
      </c>
      <c r="J16" s="124">
        <f t="shared" si="0"/>
        <v>3.3</v>
      </c>
      <c r="K16" s="109">
        <v>2</v>
      </c>
      <c r="L16" s="109"/>
      <c r="M16" s="109" t="s">
        <v>1127</v>
      </c>
      <c r="N16" s="125" t="s">
        <v>1133</v>
      </c>
      <c r="O16" s="125" t="s">
        <v>1134</v>
      </c>
      <c r="P16" s="125" t="s">
        <v>1130</v>
      </c>
      <c r="Q16" s="125" t="s">
        <v>1167</v>
      </c>
      <c r="R16" s="125"/>
      <c r="S16" s="109" t="s">
        <v>563</v>
      </c>
      <c r="T16" s="109" t="str">
        <f t="shared" si="1"/>
        <v>2026Q1|NFR-02</v>
      </c>
      <c r="U16" s="123">
        <v>46112</v>
      </c>
      <c r="V16" s="109" t="s">
        <v>749</v>
      </c>
      <c r="W16" s="109" t="s">
        <v>753</v>
      </c>
      <c r="X16" s="123">
        <v>46127</v>
      </c>
      <c r="Y16" s="109" t="s">
        <v>614</v>
      </c>
      <c r="Z16" s="109" t="s">
        <v>764</v>
      </c>
      <c r="AA16" s="125" t="s">
        <v>1136</v>
      </c>
      <c r="AB16" s="109"/>
      <c r="AC16" s="109" t="s">
        <v>776</v>
      </c>
      <c r="AD16" s="109"/>
      <c r="AE16" s="125"/>
      <c r="AF16" s="109" t="str">
        <f t="shared" si="2"/>
        <v/>
      </c>
    </row>
    <row r="17" spans="1:32" ht="87.45" x14ac:dyDescent="0.4">
      <c r="A17" s="109" t="s">
        <v>614</v>
      </c>
      <c r="B17" s="123">
        <v>46112</v>
      </c>
      <c r="C17" s="109" t="s">
        <v>566</v>
      </c>
      <c r="D17" s="109" t="s">
        <v>567</v>
      </c>
      <c r="E17" s="109" t="s">
        <v>461</v>
      </c>
      <c r="F17" s="109" t="s">
        <v>568</v>
      </c>
      <c r="G17" s="109">
        <v>3</v>
      </c>
      <c r="H17" s="109">
        <v>2</v>
      </c>
      <c r="I17" s="109">
        <v>3</v>
      </c>
      <c r="J17" s="124">
        <f t="shared" si="0"/>
        <v>2.8</v>
      </c>
      <c r="K17" s="109">
        <v>3</v>
      </c>
      <c r="L17" s="109"/>
      <c r="M17" s="109" t="s">
        <v>1127</v>
      </c>
      <c r="N17" s="125" t="s">
        <v>1137</v>
      </c>
      <c r="O17" s="125" t="s">
        <v>1138</v>
      </c>
      <c r="P17" s="125" t="s">
        <v>1130</v>
      </c>
      <c r="Q17" s="125" t="s">
        <v>1168</v>
      </c>
      <c r="R17" s="125"/>
      <c r="S17" s="109" t="s">
        <v>569</v>
      </c>
      <c r="T17" s="109" t="str">
        <f t="shared" si="1"/>
        <v>2026Q1|NFR-03</v>
      </c>
      <c r="U17" s="123">
        <v>46112</v>
      </c>
      <c r="V17" s="109" t="s">
        <v>749</v>
      </c>
      <c r="W17" s="109" t="s">
        <v>753</v>
      </c>
      <c r="X17" s="123">
        <v>46127</v>
      </c>
      <c r="Y17" s="109" t="s">
        <v>614</v>
      </c>
      <c r="Z17" s="109" t="s">
        <v>764</v>
      </c>
      <c r="AA17" s="125" t="s">
        <v>1140</v>
      </c>
      <c r="AB17" s="109"/>
      <c r="AC17" s="109" t="s">
        <v>776</v>
      </c>
      <c r="AD17" s="109"/>
      <c r="AE17" s="125"/>
      <c r="AF17" s="109" t="str">
        <f t="shared" si="2"/>
        <v/>
      </c>
    </row>
    <row r="18" spans="1:32" ht="43.75" x14ac:dyDescent="0.4">
      <c r="A18" s="109" t="s">
        <v>614</v>
      </c>
      <c r="B18" s="123">
        <v>46112</v>
      </c>
      <c r="C18" s="109" t="s">
        <v>572</v>
      </c>
      <c r="D18" s="109" t="s">
        <v>573</v>
      </c>
      <c r="E18" s="109" t="s">
        <v>471</v>
      </c>
      <c r="F18" s="109" t="s">
        <v>574</v>
      </c>
      <c r="G18" s="109">
        <v>3</v>
      </c>
      <c r="H18" s="109">
        <v>2</v>
      </c>
      <c r="I18" s="109">
        <v>2</v>
      </c>
      <c r="J18" s="124">
        <f t="shared" si="0"/>
        <v>2.6</v>
      </c>
      <c r="K18" s="109">
        <v>3</v>
      </c>
      <c r="L18" s="109"/>
      <c r="M18" s="109" t="s">
        <v>1127</v>
      </c>
      <c r="N18" s="125" t="s">
        <v>1141</v>
      </c>
      <c r="O18" s="125" t="s">
        <v>1142</v>
      </c>
      <c r="P18" s="125" t="s">
        <v>1130</v>
      </c>
      <c r="Q18" s="125" t="s">
        <v>1143</v>
      </c>
      <c r="R18" s="125"/>
      <c r="S18" s="109" t="s">
        <v>575</v>
      </c>
      <c r="T18" s="109" t="str">
        <f t="shared" si="1"/>
        <v>2026Q1|NFR-04</v>
      </c>
      <c r="U18" s="123">
        <v>46112</v>
      </c>
      <c r="V18" s="109" t="s">
        <v>749</v>
      </c>
      <c r="W18" s="109" t="s">
        <v>753</v>
      </c>
      <c r="X18" s="123">
        <v>46127</v>
      </c>
      <c r="Y18" s="109" t="s">
        <v>614</v>
      </c>
      <c r="Z18" s="109" t="s">
        <v>764</v>
      </c>
      <c r="AA18" s="125" t="s">
        <v>1144</v>
      </c>
      <c r="AB18" s="109"/>
      <c r="AC18" s="109" t="s">
        <v>776</v>
      </c>
      <c r="AD18" s="109"/>
      <c r="AE18" s="125"/>
      <c r="AF18" s="109" t="str">
        <f t="shared" si="2"/>
        <v/>
      </c>
    </row>
    <row r="19" spans="1:32" ht="43.75" x14ac:dyDescent="0.4">
      <c r="A19" s="109" t="s">
        <v>614</v>
      </c>
      <c r="B19" s="123">
        <v>46112</v>
      </c>
      <c r="C19" s="109" t="s">
        <v>576</v>
      </c>
      <c r="D19" s="109" t="s">
        <v>577</v>
      </c>
      <c r="E19" s="109" t="s">
        <v>478</v>
      </c>
      <c r="F19" s="109" t="s">
        <v>578</v>
      </c>
      <c r="G19" s="109">
        <v>3</v>
      </c>
      <c r="H19" s="109">
        <v>3</v>
      </c>
      <c r="I19" s="109">
        <v>4</v>
      </c>
      <c r="J19" s="124">
        <f t="shared" si="0"/>
        <v>3.2</v>
      </c>
      <c r="K19" s="109">
        <v>3</v>
      </c>
      <c r="L19" s="109"/>
      <c r="M19" s="109" t="s">
        <v>1127</v>
      </c>
      <c r="N19" s="125" t="s">
        <v>1145</v>
      </c>
      <c r="O19" s="125" t="s">
        <v>1146</v>
      </c>
      <c r="P19" s="125" t="s">
        <v>1130</v>
      </c>
      <c r="Q19" s="125" t="s">
        <v>1147</v>
      </c>
      <c r="R19" s="125"/>
      <c r="S19" s="109" t="s">
        <v>579</v>
      </c>
      <c r="T19" s="109" t="str">
        <f t="shared" si="1"/>
        <v>2026Q1|NFR-05</v>
      </c>
      <c r="U19" s="123">
        <v>46112</v>
      </c>
      <c r="V19" s="109" t="s">
        <v>749</v>
      </c>
      <c r="W19" s="109" t="s">
        <v>753</v>
      </c>
      <c r="X19" s="123">
        <v>46127</v>
      </c>
      <c r="Y19" s="109" t="s">
        <v>614</v>
      </c>
      <c r="Z19" s="109" t="s">
        <v>764</v>
      </c>
      <c r="AA19" s="125" t="s">
        <v>1148</v>
      </c>
      <c r="AB19" s="109"/>
      <c r="AC19" s="109" t="s">
        <v>776</v>
      </c>
      <c r="AD19" s="109"/>
      <c r="AE19" s="125"/>
      <c r="AF19" s="109" t="str">
        <f t="shared" si="2"/>
        <v/>
      </c>
    </row>
    <row r="20" spans="1:32" ht="87.45" x14ac:dyDescent="0.4">
      <c r="A20" s="109" t="s">
        <v>614</v>
      </c>
      <c r="B20" s="123">
        <v>46112</v>
      </c>
      <c r="C20" s="109" t="s">
        <v>581</v>
      </c>
      <c r="D20" s="109" t="s">
        <v>582</v>
      </c>
      <c r="E20" s="109" t="s">
        <v>469</v>
      </c>
      <c r="F20" s="109" t="s">
        <v>583</v>
      </c>
      <c r="G20" s="109">
        <v>3</v>
      </c>
      <c r="H20" s="109">
        <v>3</v>
      </c>
      <c r="I20" s="109">
        <v>3</v>
      </c>
      <c r="J20" s="124">
        <f t="shared" si="0"/>
        <v>3</v>
      </c>
      <c r="K20" s="109">
        <v>3</v>
      </c>
      <c r="L20" s="109"/>
      <c r="M20" s="109" t="s">
        <v>1169</v>
      </c>
      <c r="N20" s="125" t="s">
        <v>1170</v>
      </c>
      <c r="O20" s="125" t="s">
        <v>1171</v>
      </c>
      <c r="P20" s="125" t="s">
        <v>1130</v>
      </c>
      <c r="Q20" s="125" t="s">
        <v>1172</v>
      </c>
      <c r="R20" s="125"/>
      <c r="S20" s="109" t="s">
        <v>584</v>
      </c>
      <c r="T20" s="109" t="str">
        <f t="shared" si="1"/>
        <v>2026Q1|NFR-06</v>
      </c>
      <c r="U20" s="123">
        <v>46112</v>
      </c>
      <c r="V20" s="109" t="s">
        <v>749</v>
      </c>
      <c r="W20" s="109" t="s">
        <v>753</v>
      </c>
      <c r="X20" s="123">
        <v>46127</v>
      </c>
      <c r="Y20" s="109" t="s">
        <v>614</v>
      </c>
      <c r="Z20" s="109" t="s">
        <v>764</v>
      </c>
      <c r="AA20" s="125" t="s">
        <v>1140</v>
      </c>
      <c r="AB20" s="109"/>
      <c r="AC20" s="109" t="s">
        <v>776</v>
      </c>
      <c r="AD20" s="109"/>
      <c r="AE20" s="125"/>
      <c r="AF20" s="109" t="str">
        <f t="shared" si="2"/>
        <v/>
      </c>
    </row>
    <row r="21" spans="1:32" ht="102" x14ac:dyDescent="0.4">
      <c r="A21" s="109" t="s">
        <v>614</v>
      </c>
      <c r="B21" s="123">
        <v>46112</v>
      </c>
      <c r="C21" s="109" t="s">
        <v>587</v>
      </c>
      <c r="D21" s="109" t="s">
        <v>588</v>
      </c>
      <c r="E21" s="109" t="s">
        <v>474</v>
      </c>
      <c r="F21" s="109" t="s">
        <v>589</v>
      </c>
      <c r="G21" s="109">
        <v>4</v>
      </c>
      <c r="H21" s="109">
        <v>5</v>
      </c>
      <c r="I21" s="109">
        <v>3</v>
      </c>
      <c r="J21" s="124">
        <f t="shared" si="0"/>
        <v>3.75</v>
      </c>
      <c r="K21" s="109">
        <v>3</v>
      </c>
      <c r="L21" s="109"/>
      <c r="M21" s="109" t="s">
        <v>1127</v>
      </c>
      <c r="N21" s="125" t="s">
        <v>1149</v>
      </c>
      <c r="O21" s="125" t="s">
        <v>1150</v>
      </c>
      <c r="P21" s="125" t="s">
        <v>1130</v>
      </c>
      <c r="Q21" s="125" t="s">
        <v>1173</v>
      </c>
      <c r="R21" s="125"/>
      <c r="S21" s="109" t="s">
        <v>563</v>
      </c>
      <c r="T21" s="109" t="str">
        <f t="shared" si="1"/>
        <v>2026Q1|NFR-07</v>
      </c>
      <c r="U21" s="123">
        <v>46112</v>
      </c>
      <c r="V21" s="109" t="s">
        <v>749</v>
      </c>
      <c r="W21" s="109" t="s">
        <v>753</v>
      </c>
      <c r="X21" s="123">
        <v>46127</v>
      </c>
      <c r="Y21" s="109" t="s">
        <v>614</v>
      </c>
      <c r="Z21" s="109" t="s">
        <v>764</v>
      </c>
      <c r="AA21" s="125" t="s">
        <v>1152</v>
      </c>
      <c r="AB21" s="109"/>
      <c r="AC21" s="109" t="s">
        <v>776</v>
      </c>
      <c r="AD21" s="109"/>
      <c r="AE21" s="125"/>
      <c r="AF21" s="109" t="str">
        <f t="shared" si="2"/>
        <v/>
      </c>
    </row>
    <row r="22" spans="1:32" ht="43.75" x14ac:dyDescent="0.4">
      <c r="A22" s="109" t="s">
        <v>614</v>
      </c>
      <c r="B22" s="123">
        <v>46112</v>
      </c>
      <c r="C22" s="109" t="s">
        <v>591</v>
      </c>
      <c r="D22" s="109" t="s">
        <v>592</v>
      </c>
      <c r="E22" s="109" t="s">
        <v>469</v>
      </c>
      <c r="F22" s="109" t="s">
        <v>593</v>
      </c>
      <c r="G22" s="109">
        <v>3</v>
      </c>
      <c r="H22" s="109">
        <v>3</v>
      </c>
      <c r="I22" s="109">
        <v>3</v>
      </c>
      <c r="J22" s="124">
        <f t="shared" si="0"/>
        <v>2.75</v>
      </c>
      <c r="K22" s="109">
        <v>2</v>
      </c>
      <c r="L22" s="109"/>
      <c r="M22" s="109" t="s">
        <v>1127</v>
      </c>
      <c r="N22" s="125" t="s">
        <v>1153</v>
      </c>
      <c r="O22" s="125" t="s">
        <v>1154</v>
      </c>
      <c r="P22" s="125" t="s">
        <v>1130</v>
      </c>
      <c r="Q22" s="125" t="s">
        <v>1155</v>
      </c>
      <c r="R22" s="125"/>
      <c r="S22" s="109" t="s">
        <v>584</v>
      </c>
      <c r="T22" s="109" t="str">
        <f t="shared" si="1"/>
        <v>2026Q1|NFR-08</v>
      </c>
      <c r="U22" s="123">
        <v>46112</v>
      </c>
      <c r="V22" s="109" t="s">
        <v>749</v>
      </c>
      <c r="W22" s="109" t="s">
        <v>753</v>
      </c>
      <c r="X22" s="123">
        <v>46127</v>
      </c>
      <c r="Y22" s="109" t="s">
        <v>614</v>
      </c>
      <c r="Z22" s="109" t="s">
        <v>764</v>
      </c>
      <c r="AA22" s="125" t="s">
        <v>1156</v>
      </c>
      <c r="AB22" s="109"/>
      <c r="AC22" s="109" t="s">
        <v>776</v>
      </c>
      <c r="AD22" s="109"/>
      <c r="AE22" s="125"/>
      <c r="AF22" s="109" t="str">
        <f t="shared" si="2"/>
        <v/>
      </c>
    </row>
    <row r="23" spans="1:32" ht="87.45" x14ac:dyDescent="0.4">
      <c r="A23" s="109" t="s">
        <v>614</v>
      </c>
      <c r="B23" s="123">
        <v>46112</v>
      </c>
      <c r="C23" s="109" t="s">
        <v>595</v>
      </c>
      <c r="D23" s="109" t="s">
        <v>596</v>
      </c>
      <c r="E23" s="109" t="s">
        <v>463</v>
      </c>
      <c r="F23" s="109" t="s">
        <v>597</v>
      </c>
      <c r="G23" s="109">
        <v>4</v>
      </c>
      <c r="H23" s="109">
        <v>3</v>
      </c>
      <c r="I23" s="109">
        <v>2</v>
      </c>
      <c r="J23" s="124">
        <f t="shared" si="0"/>
        <v>2.9</v>
      </c>
      <c r="K23" s="109">
        <v>2</v>
      </c>
      <c r="L23" s="109"/>
      <c r="M23" s="109" t="s">
        <v>1169</v>
      </c>
      <c r="N23" s="125" t="s">
        <v>1174</v>
      </c>
      <c r="O23" s="125" t="s">
        <v>1175</v>
      </c>
      <c r="P23" s="125" t="s">
        <v>1130</v>
      </c>
      <c r="Q23" s="125" t="s">
        <v>1176</v>
      </c>
      <c r="R23" s="125"/>
      <c r="S23" s="109" t="s">
        <v>569</v>
      </c>
      <c r="T23" s="109" t="str">
        <f t="shared" si="1"/>
        <v>2026Q1|NFR-09</v>
      </c>
      <c r="U23" s="123">
        <v>46112</v>
      </c>
      <c r="V23" s="109" t="s">
        <v>749</v>
      </c>
      <c r="W23" s="109" t="s">
        <v>753</v>
      </c>
      <c r="X23" s="123">
        <v>46127</v>
      </c>
      <c r="Y23" s="109" t="s">
        <v>614</v>
      </c>
      <c r="Z23" s="109" t="s">
        <v>764</v>
      </c>
      <c r="AA23" s="125" t="s">
        <v>1177</v>
      </c>
      <c r="AB23" s="109"/>
      <c r="AC23" s="109" t="s">
        <v>776</v>
      </c>
      <c r="AD23" s="109"/>
      <c r="AE23" s="125"/>
      <c r="AF23" s="109" t="str">
        <f t="shared" si="2"/>
        <v/>
      </c>
    </row>
    <row r="24" spans="1:32" ht="102" x14ac:dyDescent="0.4">
      <c r="A24" s="109" t="s">
        <v>614</v>
      </c>
      <c r="B24" s="123">
        <v>46112</v>
      </c>
      <c r="C24" s="109" t="s">
        <v>598</v>
      </c>
      <c r="D24" s="109" t="s">
        <v>599</v>
      </c>
      <c r="E24" s="109" t="s">
        <v>461</v>
      </c>
      <c r="F24" s="109" t="s">
        <v>600</v>
      </c>
      <c r="G24" s="109">
        <v>3</v>
      </c>
      <c r="H24" s="109"/>
      <c r="I24" s="109">
        <v>3</v>
      </c>
      <c r="J24" s="124">
        <f t="shared" si="0"/>
        <v>3</v>
      </c>
      <c r="K24" s="109">
        <v>3</v>
      </c>
      <c r="L24" s="109"/>
      <c r="M24" s="109" t="s">
        <v>1169</v>
      </c>
      <c r="N24" s="125" t="s">
        <v>1178</v>
      </c>
      <c r="O24" s="125" t="s">
        <v>1179</v>
      </c>
      <c r="P24" s="125" t="s">
        <v>1130</v>
      </c>
      <c r="Q24" s="125" t="s">
        <v>1180</v>
      </c>
      <c r="R24" s="125"/>
      <c r="S24" s="109" t="s">
        <v>601</v>
      </c>
      <c r="T24" s="109" t="str">
        <f t="shared" si="1"/>
        <v>2026Q1|NFR-10</v>
      </c>
      <c r="U24" s="123">
        <v>46112</v>
      </c>
      <c r="V24" s="109" t="s">
        <v>749</v>
      </c>
      <c r="W24" s="109" t="s">
        <v>753</v>
      </c>
      <c r="X24" s="123">
        <v>46127</v>
      </c>
      <c r="Y24" s="109" t="s">
        <v>614</v>
      </c>
      <c r="Z24" s="109" t="s">
        <v>764</v>
      </c>
      <c r="AA24" s="125" t="s">
        <v>1140</v>
      </c>
      <c r="AB24" s="109"/>
      <c r="AC24" s="109" t="s">
        <v>776</v>
      </c>
      <c r="AD24" s="109"/>
      <c r="AE24" s="125"/>
      <c r="AF24" s="109" t="str">
        <f t="shared" si="2"/>
        <v/>
      </c>
    </row>
    <row r="25" spans="1:32" ht="87.45" x14ac:dyDescent="0.4">
      <c r="A25" s="109" t="s">
        <v>614</v>
      </c>
      <c r="B25" s="123">
        <v>46112</v>
      </c>
      <c r="C25" s="109" t="s">
        <v>604</v>
      </c>
      <c r="D25" s="109" t="s">
        <v>605</v>
      </c>
      <c r="E25" s="109" t="s">
        <v>467</v>
      </c>
      <c r="F25" s="109" t="s">
        <v>578</v>
      </c>
      <c r="G25" s="109">
        <v>3</v>
      </c>
      <c r="H25" s="109">
        <v>2</v>
      </c>
      <c r="I25" s="109">
        <v>3</v>
      </c>
      <c r="J25" s="124">
        <f t="shared" si="0"/>
        <v>2.8</v>
      </c>
      <c r="K25" s="109">
        <v>3</v>
      </c>
      <c r="L25" s="109">
        <v>3</v>
      </c>
      <c r="M25" s="109" t="s">
        <v>1127</v>
      </c>
      <c r="N25" s="125" t="s">
        <v>1157</v>
      </c>
      <c r="O25" s="125" t="s">
        <v>1158</v>
      </c>
      <c r="P25" s="125" t="s">
        <v>1130</v>
      </c>
      <c r="Q25" s="125" t="s">
        <v>1181</v>
      </c>
      <c r="R25" s="125"/>
      <c r="S25" s="109" t="s">
        <v>606</v>
      </c>
      <c r="T25" s="109" t="str">
        <f t="shared" si="1"/>
        <v>2026Q1|NFR-11</v>
      </c>
      <c r="U25" s="123">
        <v>46112</v>
      </c>
      <c r="V25" s="109" t="s">
        <v>749</v>
      </c>
      <c r="W25" s="109" t="s">
        <v>753</v>
      </c>
      <c r="X25" s="123">
        <v>46127</v>
      </c>
      <c r="Y25" s="109" t="s">
        <v>614</v>
      </c>
      <c r="Z25" s="109" t="s">
        <v>764</v>
      </c>
      <c r="AA25" s="125" t="s">
        <v>1160</v>
      </c>
      <c r="AB25" s="109"/>
      <c r="AC25" s="109" t="s">
        <v>776</v>
      </c>
      <c r="AD25" s="109"/>
      <c r="AE25" s="125"/>
      <c r="AF25" s="109" t="str">
        <f t="shared" si="2"/>
        <v/>
      </c>
    </row>
    <row r="26" spans="1:32" ht="43.75" x14ac:dyDescent="0.4">
      <c r="A26" s="109" t="s">
        <v>614</v>
      </c>
      <c r="B26" s="123">
        <v>46112</v>
      </c>
      <c r="C26" s="109" t="s">
        <v>611</v>
      </c>
      <c r="D26" s="109" t="s">
        <v>612</v>
      </c>
      <c r="E26" s="109" t="s">
        <v>478</v>
      </c>
      <c r="F26" s="109" t="s">
        <v>578</v>
      </c>
      <c r="G26" s="109">
        <v>3</v>
      </c>
      <c r="H26" s="109">
        <v>4</v>
      </c>
      <c r="I26" s="109">
        <v>3</v>
      </c>
      <c r="J26" s="124">
        <f t="shared" si="0"/>
        <v>3.45</v>
      </c>
      <c r="K26" s="109">
        <v>4</v>
      </c>
      <c r="L26" s="109"/>
      <c r="M26" s="109" t="s">
        <v>1127</v>
      </c>
      <c r="N26" s="125" t="s">
        <v>1161</v>
      </c>
      <c r="O26" s="125" t="s">
        <v>1162</v>
      </c>
      <c r="P26" s="125" t="s">
        <v>1130</v>
      </c>
      <c r="Q26" s="125" t="s">
        <v>1163</v>
      </c>
      <c r="R26" s="125"/>
      <c r="S26" s="109" t="s">
        <v>579</v>
      </c>
      <c r="T26" s="109" t="str">
        <f t="shared" si="1"/>
        <v>2026Q1|NFR-12</v>
      </c>
      <c r="U26" s="123">
        <v>46112</v>
      </c>
      <c r="V26" s="109" t="s">
        <v>749</v>
      </c>
      <c r="W26" s="109" t="s">
        <v>753</v>
      </c>
      <c r="X26" s="123">
        <v>46127</v>
      </c>
      <c r="Y26" s="109" t="s">
        <v>614</v>
      </c>
      <c r="Z26" s="109" t="s">
        <v>764</v>
      </c>
      <c r="AA26" s="125" t="s">
        <v>1164</v>
      </c>
      <c r="AB26" s="109"/>
      <c r="AC26" s="109" t="s">
        <v>776</v>
      </c>
      <c r="AD26" s="109"/>
      <c r="AE26" s="125"/>
      <c r="AF26" s="109" t="str">
        <f t="shared" si="2"/>
        <v/>
      </c>
    </row>
    <row r="27" spans="1:32" ht="72.900000000000006" x14ac:dyDescent="0.4">
      <c r="A27" s="109" t="s">
        <v>614</v>
      </c>
      <c r="B27" s="123">
        <v>46112</v>
      </c>
      <c r="C27" s="109" t="s">
        <v>1182</v>
      </c>
      <c r="D27" s="109" t="s">
        <v>1183</v>
      </c>
      <c r="E27" s="109" t="s">
        <v>469</v>
      </c>
      <c r="F27" s="109" t="s">
        <v>1184</v>
      </c>
      <c r="G27" s="109">
        <v>5</v>
      </c>
      <c r="H27" s="109"/>
      <c r="I27" s="109">
        <v>1</v>
      </c>
      <c r="J27" s="124">
        <f t="shared" si="0"/>
        <v>2.75</v>
      </c>
      <c r="K27" s="109">
        <v>1</v>
      </c>
      <c r="L27" s="109"/>
      <c r="M27" s="109" t="s">
        <v>1169</v>
      </c>
      <c r="N27" s="125" t="s">
        <v>1185</v>
      </c>
      <c r="O27" s="125" t="s">
        <v>1186</v>
      </c>
      <c r="P27" s="125" t="s">
        <v>1130</v>
      </c>
      <c r="Q27" s="125" t="s">
        <v>1187</v>
      </c>
      <c r="R27" s="125"/>
      <c r="S27" s="109" t="s">
        <v>584</v>
      </c>
      <c r="T27" s="109" t="str">
        <f t="shared" si="1"/>
        <v>2026Q1|NFR-13</v>
      </c>
      <c r="U27" s="123">
        <v>46112</v>
      </c>
      <c r="V27" s="109" t="s">
        <v>749</v>
      </c>
      <c r="W27" s="109" t="s">
        <v>753</v>
      </c>
      <c r="X27" s="123">
        <v>46127</v>
      </c>
      <c r="Y27" s="109" t="s">
        <v>614</v>
      </c>
      <c r="Z27" s="109" t="s">
        <v>102</v>
      </c>
      <c r="AA27" s="125" t="s">
        <v>1188</v>
      </c>
      <c r="AB27" s="109"/>
      <c r="AC27" s="109" t="s">
        <v>776</v>
      </c>
      <c r="AD27" s="109">
        <v>10</v>
      </c>
      <c r="AE27" s="125" t="s">
        <v>1189</v>
      </c>
      <c r="AF27" s="109" t="str">
        <f t="shared" si="2"/>
        <v/>
      </c>
    </row>
    <row r="28" spans="1:32" ht="72.900000000000006" x14ac:dyDescent="0.4">
      <c r="A28" s="109" t="s">
        <v>614</v>
      </c>
      <c r="B28" s="123">
        <v>46112</v>
      </c>
      <c r="C28" s="109" t="s">
        <v>1190</v>
      </c>
      <c r="D28" s="109" t="s">
        <v>1191</v>
      </c>
      <c r="E28" s="109" t="s">
        <v>467</v>
      </c>
      <c r="F28" s="109" t="s">
        <v>1192</v>
      </c>
      <c r="G28" s="109">
        <v>4</v>
      </c>
      <c r="H28" s="109">
        <v>4</v>
      </c>
      <c r="I28" s="109">
        <v>1</v>
      </c>
      <c r="J28" s="124">
        <f t="shared" si="0"/>
        <v>2.65</v>
      </c>
      <c r="K28" s="109">
        <v>1</v>
      </c>
      <c r="L28" s="109"/>
      <c r="M28" s="109" t="s">
        <v>1169</v>
      </c>
      <c r="N28" s="125" t="s">
        <v>1193</v>
      </c>
      <c r="O28" s="125" t="s">
        <v>1194</v>
      </c>
      <c r="P28" s="125" t="s">
        <v>1130</v>
      </c>
      <c r="Q28" s="125" t="s">
        <v>1130</v>
      </c>
      <c r="R28" s="125"/>
      <c r="S28" s="109" t="s">
        <v>563</v>
      </c>
      <c r="T28" s="109" t="str">
        <f t="shared" si="1"/>
        <v>2026Q1|NFR-14</v>
      </c>
      <c r="U28" s="123">
        <v>46112</v>
      </c>
      <c r="V28" s="109" t="s">
        <v>749</v>
      </c>
      <c r="W28" s="109" t="s">
        <v>753</v>
      </c>
      <c r="X28" s="123">
        <v>46127</v>
      </c>
      <c r="Y28" s="109" t="s">
        <v>614</v>
      </c>
      <c r="Z28" s="109" t="s">
        <v>102</v>
      </c>
      <c r="AA28" s="125" t="s">
        <v>1188</v>
      </c>
      <c r="AB28" s="109"/>
      <c r="AC28" s="109" t="s">
        <v>776</v>
      </c>
      <c r="AD28" s="109">
        <v>5</v>
      </c>
      <c r="AE28" s="125" t="s">
        <v>1195</v>
      </c>
      <c r="AF28" s="109" t="str">
        <f t="shared" si="2"/>
        <v/>
      </c>
    </row>
    <row r="29" spans="1:32" ht="189.45" x14ac:dyDescent="0.4">
      <c r="A29" s="109" t="s">
        <v>608</v>
      </c>
      <c r="B29" s="123">
        <v>46203</v>
      </c>
      <c r="C29" s="109" t="s">
        <v>554</v>
      </c>
      <c r="D29" s="109" t="s">
        <v>555</v>
      </c>
      <c r="E29" s="109" t="s">
        <v>469</v>
      </c>
      <c r="F29" s="109" t="s">
        <v>556</v>
      </c>
      <c r="G29" s="109">
        <v>4</v>
      </c>
      <c r="H29" s="109">
        <v>5</v>
      </c>
      <c r="I29" s="109">
        <v>4</v>
      </c>
      <c r="J29" s="124">
        <f t="shared" si="0"/>
        <v>4.2</v>
      </c>
      <c r="K29" s="109">
        <v>4</v>
      </c>
      <c r="L29" s="109"/>
      <c r="M29" s="109" t="s">
        <v>721</v>
      </c>
      <c r="N29" s="125" t="s">
        <v>1128</v>
      </c>
      <c r="O29" s="125" t="s">
        <v>1129</v>
      </c>
      <c r="P29" s="125" t="s">
        <v>1196</v>
      </c>
      <c r="Q29" s="125" t="s">
        <v>1197</v>
      </c>
      <c r="R29" s="125"/>
      <c r="S29" s="109" t="s">
        <v>557</v>
      </c>
      <c r="T29" s="109" t="str">
        <f t="shared" si="1"/>
        <v>2026Q2|NFR-01</v>
      </c>
      <c r="U29" s="123">
        <v>46203</v>
      </c>
      <c r="V29" s="109" t="s">
        <v>749</v>
      </c>
      <c r="W29" s="109" t="s">
        <v>753</v>
      </c>
      <c r="X29" s="123">
        <v>46218</v>
      </c>
      <c r="Y29" s="109" t="s">
        <v>608</v>
      </c>
      <c r="Z29" s="109" t="s">
        <v>764</v>
      </c>
      <c r="AA29" s="125" t="s">
        <v>1166</v>
      </c>
      <c r="AB29" s="109"/>
      <c r="AC29" s="109" t="s">
        <v>776</v>
      </c>
      <c r="AD29" s="109"/>
      <c r="AE29" s="125"/>
      <c r="AF29" s="109" t="str">
        <f t="shared" si="2"/>
        <v/>
      </c>
    </row>
    <row r="30" spans="1:32" ht="131.15" x14ac:dyDescent="0.4">
      <c r="A30" s="109" t="s">
        <v>608</v>
      </c>
      <c r="B30" s="123">
        <v>46203</v>
      </c>
      <c r="C30" s="109" t="s">
        <v>560</v>
      </c>
      <c r="D30" s="109" t="s">
        <v>561</v>
      </c>
      <c r="E30" s="109" t="s">
        <v>474</v>
      </c>
      <c r="F30" s="109" t="s">
        <v>562</v>
      </c>
      <c r="G30" s="109">
        <v>4</v>
      </c>
      <c r="H30" s="109">
        <v>4</v>
      </c>
      <c r="I30" s="109">
        <v>3</v>
      </c>
      <c r="J30" s="124">
        <f t="shared" si="0"/>
        <v>3.3</v>
      </c>
      <c r="K30" s="109">
        <v>2</v>
      </c>
      <c r="L30" s="109"/>
      <c r="M30" s="109" t="s">
        <v>1127</v>
      </c>
      <c r="N30" s="125" t="s">
        <v>1133</v>
      </c>
      <c r="O30" s="125" t="s">
        <v>1134</v>
      </c>
      <c r="P30" s="125" t="s">
        <v>1130</v>
      </c>
      <c r="Q30" s="125" t="s">
        <v>1198</v>
      </c>
      <c r="R30" s="125"/>
      <c r="S30" s="109" t="s">
        <v>563</v>
      </c>
      <c r="T30" s="109" t="str">
        <f t="shared" si="1"/>
        <v>2026Q2|NFR-02</v>
      </c>
      <c r="U30" s="123">
        <v>46203</v>
      </c>
      <c r="V30" s="109" t="s">
        <v>749</v>
      </c>
      <c r="W30" s="109" t="s">
        <v>753</v>
      </c>
      <c r="X30" s="123">
        <v>46218</v>
      </c>
      <c r="Y30" s="109" t="s">
        <v>608</v>
      </c>
      <c r="Z30" s="109" t="s">
        <v>764</v>
      </c>
      <c r="AA30" s="125" t="s">
        <v>1136</v>
      </c>
      <c r="AB30" s="109"/>
      <c r="AC30" s="109" t="s">
        <v>776</v>
      </c>
      <c r="AD30" s="109"/>
      <c r="AE30" s="125"/>
      <c r="AF30" s="109" t="str">
        <f t="shared" si="2"/>
        <v/>
      </c>
    </row>
    <row r="31" spans="1:32" ht="87.45" x14ac:dyDescent="0.4">
      <c r="A31" s="109" t="s">
        <v>608</v>
      </c>
      <c r="B31" s="123">
        <v>46203</v>
      </c>
      <c r="C31" s="109" t="s">
        <v>566</v>
      </c>
      <c r="D31" s="109" t="s">
        <v>567</v>
      </c>
      <c r="E31" s="109" t="s">
        <v>461</v>
      </c>
      <c r="F31" s="109" t="s">
        <v>568</v>
      </c>
      <c r="G31" s="109">
        <v>3</v>
      </c>
      <c r="H31" s="109">
        <v>2</v>
      </c>
      <c r="I31" s="109">
        <v>3</v>
      </c>
      <c r="J31" s="124">
        <f t="shared" si="0"/>
        <v>2.8</v>
      </c>
      <c r="K31" s="109">
        <v>3</v>
      </c>
      <c r="L31" s="109"/>
      <c r="M31" s="109" t="s">
        <v>1127</v>
      </c>
      <c r="N31" s="125" t="s">
        <v>1137</v>
      </c>
      <c r="O31" s="125" t="s">
        <v>1138</v>
      </c>
      <c r="P31" s="125" t="s">
        <v>1130</v>
      </c>
      <c r="Q31" s="125" t="s">
        <v>1168</v>
      </c>
      <c r="R31" s="125"/>
      <c r="S31" s="109" t="s">
        <v>569</v>
      </c>
      <c r="T31" s="109" t="str">
        <f t="shared" si="1"/>
        <v>2026Q2|NFR-03</v>
      </c>
      <c r="U31" s="123">
        <v>46203</v>
      </c>
      <c r="V31" s="109" t="s">
        <v>749</v>
      </c>
      <c r="W31" s="109" t="s">
        <v>753</v>
      </c>
      <c r="X31" s="123">
        <v>46218</v>
      </c>
      <c r="Y31" s="109" t="s">
        <v>608</v>
      </c>
      <c r="Z31" s="109" t="s">
        <v>764</v>
      </c>
      <c r="AA31" s="125" t="s">
        <v>1140</v>
      </c>
      <c r="AB31" s="109"/>
      <c r="AC31" s="109" t="s">
        <v>776</v>
      </c>
      <c r="AD31" s="109"/>
      <c r="AE31" s="125"/>
      <c r="AF31" s="109" t="str">
        <f t="shared" si="2"/>
        <v/>
      </c>
    </row>
    <row r="32" spans="1:32" ht="87.45" x14ac:dyDescent="0.4">
      <c r="A32" s="109" t="s">
        <v>608</v>
      </c>
      <c r="B32" s="123">
        <v>46203</v>
      </c>
      <c r="C32" s="109" t="s">
        <v>572</v>
      </c>
      <c r="D32" s="109" t="s">
        <v>573</v>
      </c>
      <c r="E32" s="109" t="s">
        <v>471</v>
      </c>
      <c r="F32" s="109" t="s">
        <v>574</v>
      </c>
      <c r="G32" s="109">
        <v>3</v>
      </c>
      <c r="H32" s="109">
        <v>2</v>
      </c>
      <c r="I32" s="109">
        <v>3</v>
      </c>
      <c r="J32" s="124">
        <f t="shared" si="0"/>
        <v>2.8</v>
      </c>
      <c r="K32" s="109">
        <v>3</v>
      </c>
      <c r="L32" s="109"/>
      <c r="M32" s="109" t="s">
        <v>721</v>
      </c>
      <c r="N32" s="125" t="s">
        <v>1141</v>
      </c>
      <c r="O32" s="125" t="s">
        <v>1142</v>
      </c>
      <c r="P32" s="125" t="s">
        <v>1199</v>
      </c>
      <c r="Q32" s="125" t="s">
        <v>1200</v>
      </c>
      <c r="R32" s="125"/>
      <c r="S32" s="109" t="s">
        <v>575</v>
      </c>
      <c r="T32" s="109" t="str">
        <f t="shared" si="1"/>
        <v>2026Q2|NFR-04</v>
      </c>
      <c r="U32" s="123">
        <v>46203</v>
      </c>
      <c r="V32" s="109" t="s">
        <v>749</v>
      </c>
      <c r="W32" s="109" t="s">
        <v>753</v>
      </c>
      <c r="X32" s="123">
        <v>46218</v>
      </c>
      <c r="Y32" s="109" t="s">
        <v>608</v>
      </c>
      <c r="Z32" s="109" t="s">
        <v>764</v>
      </c>
      <c r="AA32" s="125" t="s">
        <v>1140</v>
      </c>
      <c r="AB32" s="109"/>
      <c r="AC32" s="109" t="s">
        <v>776</v>
      </c>
      <c r="AD32" s="109"/>
      <c r="AE32" s="125"/>
      <c r="AF32" s="109" t="str">
        <f t="shared" si="2"/>
        <v/>
      </c>
    </row>
    <row r="33" spans="1:32" ht="131.15" x14ac:dyDescent="0.4">
      <c r="A33" s="109" t="s">
        <v>608</v>
      </c>
      <c r="B33" s="123">
        <v>46203</v>
      </c>
      <c r="C33" s="109" t="s">
        <v>576</v>
      </c>
      <c r="D33" s="109" t="s">
        <v>577</v>
      </c>
      <c r="E33" s="109" t="s">
        <v>478</v>
      </c>
      <c r="F33" s="109" t="s">
        <v>578</v>
      </c>
      <c r="G33" s="109">
        <v>3</v>
      </c>
      <c r="H33" s="109">
        <v>3</v>
      </c>
      <c r="I33" s="109">
        <v>3</v>
      </c>
      <c r="J33" s="124">
        <f t="shared" si="0"/>
        <v>3</v>
      </c>
      <c r="K33" s="109">
        <v>3</v>
      </c>
      <c r="L33" s="109"/>
      <c r="M33" s="109" t="s">
        <v>721</v>
      </c>
      <c r="N33" s="125" t="s">
        <v>1145</v>
      </c>
      <c r="O33" s="125" t="s">
        <v>1146</v>
      </c>
      <c r="P33" s="125" t="s">
        <v>1201</v>
      </c>
      <c r="Q33" s="125" t="s">
        <v>1202</v>
      </c>
      <c r="R33" s="125"/>
      <c r="S33" s="109" t="s">
        <v>579</v>
      </c>
      <c r="T33" s="109" t="str">
        <f t="shared" si="1"/>
        <v>2026Q2|NFR-05</v>
      </c>
      <c r="U33" s="123">
        <v>46203</v>
      </c>
      <c r="V33" s="109" t="s">
        <v>749</v>
      </c>
      <c r="W33" s="109" t="s">
        <v>753</v>
      </c>
      <c r="X33" s="123">
        <v>46218</v>
      </c>
      <c r="Y33" s="109" t="s">
        <v>608</v>
      </c>
      <c r="Z33" s="109" t="s">
        <v>764</v>
      </c>
      <c r="AA33" s="125" t="s">
        <v>1140</v>
      </c>
      <c r="AB33" s="109"/>
      <c r="AC33" s="109" t="s">
        <v>776</v>
      </c>
      <c r="AD33" s="109"/>
      <c r="AE33" s="125"/>
      <c r="AF33" s="109" t="str">
        <f t="shared" si="2"/>
        <v/>
      </c>
    </row>
    <row r="34" spans="1:32" ht="87.45" x14ac:dyDescent="0.4">
      <c r="A34" s="109" t="s">
        <v>608</v>
      </c>
      <c r="B34" s="123">
        <v>46203</v>
      </c>
      <c r="C34" s="109" t="s">
        <v>581</v>
      </c>
      <c r="D34" s="109" t="s">
        <v>582</v>
      </c>
      <c r="E34" s="109" t="s">
        <v>469</v>
      </c>
      <c r="F34" s="109" t="s">
        <v>583</v>
      </c>
      <c r="G34" s="109">
        <v>3</v>
      </c>
      <c r="H34" s="109">
        <v>3</v>
      </c>
      <c r="I34" s="109">
        <v>3</v>
      </c>
      <c r="J34" s="124">
        <f t="shared" si="0"/>
        <v>3</v>
      </c>
      <c r="K34" s="109">
        <v>3</v>
      </c>
      <c r="L34" s="109"/>
      <c r="M34" s="109" t="s">
        <v>1127</v>
      </c>
      <c r="N34" s="125" t="s">
        <v>1170</v>
      </c>
      <c r="O34" s="125" t="s">
        <v>1171</v>
      </c>
      <c r="P34" s="125" t="s">
        <v>1130</v>
      </c>
      <c r="Q34" s="125" t="s">
        <v>1172</v>
      </c>
      <c r="R34" s="125"/>
      <c r="S34" s="109" t="s">
        <v>584</v>
      </c>
      <c r="T34" s="109" t="str">
        <f t="shared" si="1"/>
        <v>2026Q2|NFR-06</v>
      </c>
      <c r="U34" s="123">
        <v>46203</v>
      </c>
      <c r="V34" s="109" t="s">
        <v>749</v>
      </c>
      <c r="W34" s="109" t="s">
        <v>753</v>
      </c>
      <c r="X34" s="123">
        <v>46218</v>
      </c>
      <c r="Y34" s="109" t="s">
        <v>608</v>
      </c>
      <c r="Z34" s="109" t="s">
        <v>764</v>
      </c>
      <c r="AA34" s="125" t="s">
        <v>1140</v>
      </c>
      <c r="AB34" s="109"/>
      <c r="AC34" s="109" t="s">
        <v>776</v>
      </c>
      <c r="AD34" s="109"/>
      <c r="AE34" s="125"/>
      <c r="AF34" s="109" t="str">
        <f t="shared" si="2"/>
        <v/>
      </c>
    </row>
    <row r="35" spans="1:32" ht="102" x14ac:dyDescent="0.4">
      <c r="A35" s="109" t="s">
        <v>608</v>
      </c>
      <c r="B35" s="123">
        <v>46203</v>
      </c>
      <c r="C35" s="109" t="s">
        <v>587</v>
      </c>
      <c r="D35" s="109" t="s">
        <v>588</v>
      </c>
      <c r="E35" s="109" t="s">
        <v>474</v>
      </c>
      <c r="F35" s="109" t="s">
        <v>589</v>
      </c>
      <c r="G35" s="109">
        <v>4</v>
      </c>
      <c r="H35" s="109">
        <v>5</v>
      </c>
      <c r="I35" s="109">
        <v>3</v>
      </c>
      <c r="J35" s="124">
        <f t="shared" si="0"/>
        <v>3.75</v>
      </c>
      <c r="K35" s="109">
        <v>3</v>
      </c>
      <c r="L35" s="109"/>
      <c r="M35" s="109" t="s">
        <v>1127</v>
      </c>
      <c r="N35" s="125" t="s">
        <v>1149</v>
      </c>
      <c r="O35" s="125" t="s">
        <v>1150</v>
      </c>
      <c r="P35" s="125" t="s">
        <v>1130</v>
      </c>
      <c r="Q35" s="125" t="s">
        <v>1173</v>
      </c>
      <c r="R35" s="125"/>
      <c r="S35" s="109" t="s">
        <v>563</v>
      </c>
      <c r="T35" s="109" t="str">
        <f t="shared" si="1"/>
        <v>2026Q2|NFR-07</v>
      </c>
      <c r="U35" s="123">
        <v>46203</v>
      </c>
      <c r="V35" s="109" t="s">
        <v>749</v>
      </c>
      <c r="W35" s="109" t="s">
        <v>753</v>
      </c>
      <c r="X35" s="123">
        <v>46218</v>
      </c>
      <c r="Y35" s="109" t="s">
        <v>608</v>
      </c>
      <c r="Z35" s="109" t="s">
        <v>764</v>
      </c>
      <c r="AA35" s="125" t="s">
        <v>1152</v>
      </c>
      <c r="AB35" s="109"/>
      <c r="AC35" s="109" t="s">
        <v>776</v>
      </c>
      <c r="AD35" s="109"/>
      <c r="AE35" s="125"/>
      <c r="AF35" s="109" t="str">
        <f t="shared" si="2"/>
        <v/>
      </c>
    </row>
    <row r="36" spans="1:32" ht="87.45" x14ac:dyDescent="0.4">
      <c r="A36" s="109" t="s">
        <v>608</v>
      </c>
      <c r="B36" s="123">
        <v>46203</v>
      </c>
      <c r="C36" s="109" t="s">
        <v>591</v>
      </c>
      <c r="D36" s="109" t="s">
        <v>592</v>
      </c>
      <c r="E36" s="109" t="s">
        <v>469</v>
      </c>
      <c r="F36" s="109" t="s">
        <v>593</v>
      </c>
      <c r="G36" s="109">
        <v>3</v>
      </c>
      <c r="H36" s="109">
        <v>3</v>
      </c>
      <c r="I36" s="109">
        <v>3</v>
      </c>
      <c r="J36" s="124">
        <f t="shared" si="0"/>
        <v>2.75</v>
      </c>
      <c r="K36" s="109">
        <v>2</v>
      </c>
      <c r="L36" s="109"/>
      <c r="M36" s="109" t="s">
        <v>1127</v>
      </c>
      <c r="N36" s="125" t="s">
        <v>1153</v>
      </c>
      <c r="O36" s="125" t="s">
        <v>1154</v>
      </c>
      <c r="P36" s="125" t="s">
        <v>1130</v>
      </c>
      <c r="Q36" s="125" t="s">
        <v>1203</v>
      </c>
      <c r="R36" s="125"/>
      <c r="S36" s="109" t="s">
        <v>584</v>
      </c>
      <c r="T36" s="109" t="str">
        <f t="shared" si="1"/>
        <v>2026Q2|NFR-08</v>
      </c>
      <c r="U36" s="123">
        <v>46203</v>
      </c>
      <c r="V36" s="109" t="s">
        <v>749</v>
      </c>
      <c r="W36" s="109" t="s">
        <v>753</v>
      </c>
      <c r="X36" s="123">
        <v>46218</v>
      </c>
      <c r="Y36" s="109" t="s">
        <v>608</v>
      </c>
      <c r="Z36" s="109" t="s">
        <v>764</v>
      </c>
      <c r="AA36" s="125" t="s">
        <v>1156</v>
      </c>
      <c r="AB36" s="109"/>
      <c r="AC36" s="109" t="s">
        <v>776</v>
      </c>
      <c r="AD36" s="109"/>
      <c r="AE36" s="125"/>
      <c r="AF36" s="109" t="str">
        <f t="shared" si="2"/>
        <v/>
      </c>
    </row>
    <row r="37" spans="1:32" ht="87.45" x14ac:dyDescent="0.4">
      <c r="A37" s="109" t="s">
        <v>608</v>
      </c>
      <c r="B37" s="123">
        <v>46203</v>
      </c>
      <c r="C37" s="109" t="s">
        <v>595</v>
      </c>
      <c r="D37" s="109" t="s">
        <v>596</v>
      </c>
      <c r="E37" s="109" t="s">
        <v>463</v>
      </c>
      <c r="F37" s="109" t="s">
        <v>597</v>
      </c>
      <c r="G37" s="109">
        <v>4</v>
      </c>
      <c r="H37" s="109">
        <v>3</v>
      </c>
      <c r="I37" s="109">
        <v>2</v>
      </c>
      <c r="J37" s="124">
        <f t="shared" si="0"/>
        <v>2.9</v>
      </c>
      <c r="K37" s="109">
        <v>2</v>
      </c>
      <c r="L37" s="109"/>
      <c r="M37" s="109" t="s">
        <v>1127</v>
      </c>
      <c r="N37" s="125" t="s">
        <v>1174</v>
      </c>
      <c r="O37" s="125" t="s">
        <v>1175</v>
      </c>
      <c r="P37" s="125" t="s">
        <v>1130</v>
      </c>
      <c r="Q37" s="125" t="s">
        <v>1176</v>
      </c>
      <c r="R37" s="125"/>
      <c r="S37" s="109" t="s">
        <v>569</v>
      </c>
      <c r="T37" s="109" t="str">
        <f t="shared" si="1"/>
        <v>2026Q2|NFR-09</v>
      </c>
      <c r="U37" s="123">
        <v>46203</v>
      </c>
      <c r="V37" s="109" t="s">
        <v>749</v>
      </c>
      <c r="W37" s="109" t="s">
        <v>753</v>
      </c>
      <c r="X37" s="123">
        <v>46218</v>
      </c>
      <c r="Y37" s="109" t="s">
        <v>608</v>
      </c>
      <c r="Z37" s="109" t="s">
        <v>764</v>
      </c>
      <c r="AA37" s="125" t="s">
        <v>1177</v>
      </c>
      <c r="AB37" s="109"/>
      <c r="AC37" s="109" t="s">
        <v>776</v>
      </c>
      <c r="AD37" s="109"/>
      <c r="AE37" s="125"/>
      <c r="AF37" s="109" t="str">
        <f t="shared" si="2"/>
        <v/>
      </c>
    </row>
    <row r="38" spans="1:32" ht="102" x14ac:dyDescent="0.4">
      <c r="A38" s="109" t="s">
        <v>608</v>
      </c>
      <c r="B38" s="123">
        <v>46203</v>
      </c>
      <c r="C38" s="109" t="s">
        <v>598</v>
      </c>
      <c r="D38" s="109" t="s">
        <v>599</v>
      </c>
      <c r="E38" s="109" t="s">
        <v>461</v>
      </c>
      <c r="F38" s="109" t="s">
        <v>600</v>
      </c>
      <c r="G38" s="109">
        <v>3</v>
      </c>
      <c r="H38" s="109"/>
      <c r="I38" s="109">
        <v>3</v>
      </c>
      <c r="J38" s="124">
        <f t="shared" si="0"/>
        <v>3</v>
      </c>
      <c r="K38" s="109">
        <v>3</v>
      </c>
      <c r="L38" s="109"/>
      <c r="M38" s="109" t="s">
        <v>1127</v>
      </c>
      <c r="N38" s="125" t="s">
        <v>1178</v>
      </c>
      <c r="O38" s="125" t="s">
        <v>1179</v>
      </c>
      <c r="P38" s="125" t="s">
        <v>1130</v>
      </c>
      <c r="Q38" s="125" t="s">
        <v>1180</v>
      </c>
      <c r="R38" s="125"/>
      <c r="S38" s="109" t="s">
        <v>601</v>
      </c>
      <c r="T38" s="109" t="str">
        <f t="shared" si="1"/>
        <v>2026Q2|NFR-10</v>
      </c>
      <c r="U38" s="123">
        <v>46203</v>
      </c>
      <c r="V38" s="109" t="s">
        <v>749</v>
      </c>
      <c r="W38" s="109" t="s">
        <v>966</v>
      </c>
      <c r="X38" s="123">
        <v>46218</v>
      </c>
      <c r="Y38" s="109" t="s">
        <v>608</v>
      </c>
      <c r="Z38" s="109" t="s">
        <v>764</v>
      </c>
      <c r="AA38" s="125" t="s">
        <v>1140</v>
      </c>
      <c r="AB38" s="109"/>
      <c r="AC38" s="109" t="s">
        <v>776</v>
      </c>
      <c r="AD38" s="109"/>
      <c r="AE38" s="125"/>
      <c r="AF38" s="109" t="str">
        <f t="shared" si="2"/>
        <v/>
      </c>
    </row>
    <row r="39" spans="1:32" ht="87.45" x14ac:dyDescent="0.4">
      <c r="A39" s="109" t="s">
        <v>608</v>
      </c>
      <c r="B39" s="123">
        <v>46203</v>
      </c>
      <c r="C39" s="109" t="s">
        <v>604</v>
      </c>
      <c r="D39" s="109" t="s">
        <v>605</v>
      </c>
      <c r="E39" s="109" t="s">
        <v>467</v>
      </c>
      <c r="F39" s="109" t="s">
        <v>578</v>
      </c>
      <c r="G39" s="109">
        <v>3</v>
      </c>
      <c r="H39" s="109">
        <v>2</v>
      </c>
      <c r="I39" s="109">
        <v>3</v>
      </c>
      <c r="J39" s="124">
        <f t="shared" si="0"/>
        <v>2.8</v>
      </c>
      <c r="K39" s="109">
        <v>3</v>
      </c>
      <c r="L39" s="109">
        <v>3</v>
      </c>
      <c r="M39" s="109" t="s">
        <v>1127</v>
      </c>
      <c r="N39" s="125" t="s">
        <v>1157</v>
      </c>
      <c r="O39" s="125" t="s">
        <v>1158</v>
      </c>
      <c r="P39" s="125" t="s">
        <v>1130</v>
      </c>
      <c r="Q39" s="125" t="s">
        <v>1181</v>
      </c>
      <c r="R39" s="125"/>
      <c r="S39" s="109" t="s">
        <v>606</v>
      </c>
      <c r="T39" s="109" t="str">
        <f t="shared" si="1"/>
        <v>2026Q2|NFR-11</v>
      </c>
      <c r="U39" s="123">
        <v>46203</v>
      </c>
      <c r="V39" s="109" t="s">
        <v>749</v>
      </c>
      <c r="W39" s="109" t="s">
        <v>753</v>
      </c>
      <c r="X39" s="123">
        <v>46218</v>
      </c>
      <c r="Y39" s="109" t="s">
        <v>608</v>
      </c>
      <c r="Z39" s="109" t="s">
        <v>764</v>
      </c>
      <c r="AA39" s="125" t="s">
        <v>1160</v>
      </c>
      <c r="AB39" s="109"/>
      <c r="AC39" s="109" t="s">
        <v>776</v>
      </c>
      <c r="AD39" s="109"/>
      <c r="AE39" s="125"/>
      <c r="AF39" s="109" t="str">
        <f t="shared" si="2"/>
        <v/>
      </c>
    </row>
    <row r="40" spans="1:32" ht="87.45" x14ac:dyDescent="0.4">
      <c r="A40" s="109" t="s">
        <v>608</v>
      </c>
      <c r="B40" s="123">
        <v>46203</v>
      </c>
      <c r="C40" s="109" t="s">
        <v>611</v>
      </c>
      <c r="D40" s="109" t="s">
        <v>612</v>
      </c>
      <c r="E40" s="109" t="s">
        <v>478</v>
      </c>
      <c r="F40" s="109" t="s">
        <v>578</v>
      </c>
      <c r="G40" s="109">
        <v>3</v>
      </c>
      <c r="H40" s="109">
        <v>4</v>
      </c>
      <c r="I40" s="109">
        <v>4</v>
      </c>
      <c r="J40" s="124">
        <f t="shared" si="0"/>
        <v>3.65</v>
      </c>
      <c r="K40" s="109">
        <v>4</v>
      </c>
      <c r="L40" s="109"/>
      <c r="M40" s="109" t="s">
        <v>721</v>
      </c>
      <c r="N40" s="125" t="s">
        <v>1161</v>
      </c>
      <c r="O40" s="125" t="s">
        <v>1162</v>
      </c>
      <c r="P40" s="125" t="s">
        <v>1204</v>
      </c>
      <c r="Q40" s="125" t="s">
        <v>1205</v>
      </c>
      <c r="R40" s="125" t="s">
        <v>1206</v>
      </c>
      <c r="S40" s="109" t="s">
        <v>579</v>
      </c>
      <c r="T40" s="109" t="str">
        <f t="shared" si="1"/>
        <v>2026Q2|NFR-12</v>
      </c>
      <c r="U40" s="123">
        <v>46203</v>
      </c>
      <c r="V40" s="109" t="s">
        <v>749</v>
      </c>
      <c r="W40" s="109" t="s">
        <v>753</v>
      </c>
      <c r="X40" s="123">
        <v>46218</v>
      </c>
      <c r="Y40" s="109" t="s">
        <v>608</v>
      </c>
      <c r="Z40" s="109" t="s">
        <v>764</v>
      </c>
      <c r="AA40" s="125" t="s">
        <v>1207</v>
      </c>
      <c r="AB40" s="109"/>
      <c r="AC40" s="109" t="s">
        <v>776</v>
      </c>
      <c r="AD40" s="109"/>
      <c r="AE40" s="125"/>
      <c r="AF40" s="109" t="str">
        <f t="shared" si="2"/>
        <v/>
      </c>
    </row>
    <row r="41" spans="1:32" ht="72.900000000000006" x14ac:dyDescent="0.4">
      <c r="A41" s="109" t="s">
        <v>608</v>
      </c>
      <c r="B41" s="123">
        <v>46203</v>
      </c>
      <c r="C41" s="109" t="s">
        <v>1182</v>
      </c>
      <c r="D41" s="109" t="s">
        <v>1183</v>
      </c>
      <c r="E41" s="109" t="s">
        <v>469</v>
      </c>
      <c r="F41" s="109" t="s">
        <v>1184</v>
      </c>
      <c r="G41" s="109">
        <v>5</v>
      </c>
      <c r="H41" s="109"/>
      <c r="I41" s="109">
        <v>1</v>
      </c>
      <c r="J41" s="124">
        <f t="shared" si="0"/>
        <v>2.75</v>
      </c>
      <c r="K41" s="109">
        <v>1</v>
      </c>
      <c r="L41" s="109"/>
      <c r="M41" s="109" t="s">
        <v>1127</v>
      </c>
      <c r="N41" s="125" t="s">
        <v>1185</v>
      </c>
      <c r="O41" s="125" t="s">
        <v>1186</v>
      </c>
      <c r="P41" s="125" t="s">
        <v>1130</v>
      </c>
      <c r="Q41" s="125" t="s">
        <v>1187</v>
      </c>
      <c r="R41" s="125"/>
      <c r="S41" s="109" t="s">
        <v>584</v>
      </c>
      <c r="T41" s="109" t="str">
        <f t="shared" si="1"/>
        <v>2026Q2|NFR-13</v>
      </c>
      <c r="U41" s="123">
        <v>46203</v>
      </c>
      <c r="V41" s="109" t="s">
        <v>749</v>
      </c>
      <c r="W41" s="109" t="s">
        <v>753</v>
      </c>
      <c r="X41" s="123">
        <v>46127</v>
      </c>
      <c r="Y41" s="109" t="s">
        <v>614</v>
      </c>
      <c r="Z41" s="109" t="s">
        <v>102</v>
      </c>
      <c r="AA41" s="125" t="s">
        <v>1188</v>
      </c>
      <c r="AB41" s="109"/>
      <c r="AC41" s="109" t="s">
        <v>776</v>
      </c>
      <c r="AD41" s="109">
        <v>10</v>
      </c>
      <c r="AE41" s="125" t="s">
        <v>1189</v>
      </c>
      <c r="AF41" s="109" t="str">
        <f t="shared" si="2"/>
        <v/>
      </c>
    </row>
    <row r="42" spans="1:32" ht="72.900000000000006" x14ac:dyDescent="0.4">
      <c r="A42" s="109" t="s">
        <v>608</v>
      </c>
      <c r="B42" s="123">
        <v>46203</v>
      </c>
      <c r="C42" s="109" t="s">
        <v>1190</v>
      </c>
      <c r="D42" s="109" t="s">
        <v>1191</v>
      </c>
      <c r="E42" s="109" t="s">
        <v>467</v>
      </c>
      <c r="F42" s="109" t="s">
        <v>1192</v>
      </c>
      <c r="G42" s="109">
        <v>4</v>
      </c>
      <c r="H42" s="109">
        <v>4</v>
      </c>
      <c r="I42" s="109">
        <v>1</v>
      </c>
      <c r="J42" s="124">
        <f t="shared" si="0"/>
        <v>2.9</v>
      </c>
      <c r="K42" s="109">
        <v>2</v>
      </c>
      <c r="L42" s="109"/>
      <c r="M42" s="109" t="s">
        <v>721</v>
      </c>
      <c r="N42" s="125" t="s">
        <v>1193</v>
      </c>
      <c r="O42" s="125" t="s">
        <v>1194</v>
      </c>
      <c r="P42" s="125" t="s">
        <v>1208</v>
      </c>
      <c r="Q42" s="125" t="s">
        <v>1209</v>
      </c>
      <c r="R42" s="125"/>
      <c r="S42" s="109" t="s">
        <v>563</v>
      </c>
      <c r="T42" s="109" t="str">
        <f t="shared" si="1"/>
        <v>2026Q2|NFR-14</v>
      </c>
      <c r="U42" s="123">
        <v>46203</v>
      </c>
      <c r="V42" s="109" t="s">
        <v>749</v>
      </c>
      <c r="W42" s="109" t="s">
        <v>753</v>
      </c>
      <c r="X42" s="123">
        <v>46218</v>
      </c>
      <c r="Y42" s="109" t="s">
        <v>608</v>
      </c>
      <c r="Z42" s="109" t="s">
        <v>102</v>
      </c>
      <c r="AA42" s="125" t="s">
        <v>1210</v>
      </c>
      <c r="AB42" s="109"/>
      <c r="AC42" s="109" t="s">
        <v>776</v>
      </c>
      <c r="AD42" s="109">
        <v>5</v>
      </c>
      <c r="AE42" s="125" t="s">
        <v>1195</v>
      </c>
      <c r="AF42" s="109" t="str">
        <f t="shared" si="2"/>
        <v/>
      </c>
    </row>
    <row r="43" spans="1:32" ht="72.900000000000006" x14ac:dyDescent="0.4">
      <c r="A43" s="109" t="s">
        <v>608</v>
      </c>
      <c r="B43" s="123">
        <v>46203</v>
      </c>
      <c r="C43" s="109" t="s">
        <v>1211</v>
      </c>
      <c r="D43" s="109" t="s">
        <v>1212</v>
      </c>
      <c r="E43" s="109" t="s">
        <v>463</v>
      </c>
      <c r="F43" s="109" t="s">
        <v>600</v>
      </c>
      <c r="G43" s="109">
        <v>3</v>
      </c>
      <c r="H43" s="109"/>
      <c r="I43" s="109">
        <v>2</v>
      </c>
      <c r="J43" s="124">
        <f t="shared" si="0"/>
        <v>2.13</v>
      </c>
      <c r="K43" s="109">
        <v>1</v>
      </c>
      <c r="L43" s="109"/>
      <c r="M43" s="109" t="s">
        <v>1169</v>
      </c>
      <c r="N43" s="125" t="s">
        <v>1213</v>
      </c>
      <c r="O43" s="125" t="s">
        <v>1214</v>
      </c>
      <c r="P43" s="125" t="s">
        <v>1130</v>
      </c>
      <c r="Q43" s="125" t="s">
        <v>1215</v>
      </c>
      <c r="R43" s="125"/>
      <c r="S43" s="109" t="s">
        <v>601</v>
      </c>
      <c r="T43" s="109" t="str">
        <f t="shared" si="1"/>
        <v>2026Q2|NFR-15</v>
      </c>
      <c r="U43" s="123">
        <v>46203</v>
      </c>
      <c r="V43" s="109" t="s">
        <v>749</v>
      </c>
      <c r="W43" s="109" t="s">
        <v>753</v>
      </c>
      <c r="X43" s="123">
        <v>46218</v>
      </c>
      <c r="Y43" s="109" t="s">
        <v>608</v>
      </c>
      <c r="Z43" s="109" t="s">
        <v>102</v>
      </c>
      <c r="AA43" s="125" t="s">
        <v>1216</v>
      </c>
      <c r="AB43" s="109"/>
      <c r="AC43" s="109" t="s">
        <v>776</v>
      </c>
      <c r="AD43" s="109">
        <v>4</v>
      </c>
      <c r="AE43" s="125" t="s">
        <v>1217</v>
      </c>
      <c r="AF43" s="109" t="str">
        <f t="shared" si="2"/>
        <v/>
      </c>
    </row>
    <row r="44" spans="1:32" ht="233.15" x14ac:dyDescent="0.4">
      <c r="A44" s="129" t="s">
        <v>1505</v>
      </c>
      <c r="B44" s="123">
        <v>46295</v>
      </c>
      <c r="C44" s="129" t="s">
        <v>554</v>
      </c>
      <c r="D44" s="129" t="s">
        <v>555</v>
      </c>
      <c r="E44" s="129" t="s">
        <v>469</v>
      </c>
      <c r="F44" s="129" t="s">
        <v>556</v>
      </c>
      <c r="G44" s="109">
        <v>4</v>
      </c>
      <c r="H44" s="109">
        <v>5</v>
      </c>
      <c r="I44" s="109">
        <v>4</v>
      </c>
      <c r="J44" s="124">
        <f t="shared" ref="J44:J59" si="3">IF(COUNT(G44,I44,K44)&lt;3,"",ROUND((pesoImpatto*G44+pesoProbabilita*K44+pesoProssimita*I44+IF(ISNUMBER(H44),pesoVelocity*H44,0))/(pesoImpatto+pesoProbabilita+pesoProssimita+IF(ISNUMBER(H44),pesoVelocity,0)),2))</f>
        <v>4.2</v>
      </c>
      <c r="K44" s="109">
        <v>4</v>
      </c>
      <c r="L44" s="109"/>
      <c r="M44" s="129" t="s">
        <v>1127</v>
      </c>
      <c r="N44" s="130" t="s">
        <v>1128</v>
      </c>
      <c r="O44" s="130" t="s">
        <v>1541</v>
      </c>
      <c r="P44" s="130" t="s">
        <v>1130</v>
      </c>
      <c r="Q44" s="130" t="s">
        <v>1542</v>
      </c>
      <c r="R44" s="125"/>
      <c r="S44" s="129" t="s">
        <v>557</v>
      </c>
      <c r="T44" s="109" t="str">
        <f t="shared" ref="T44:T59" si="4">A44&amp;"|"&amp;C44</f>
        <v>2026Q3|NFR-01</v>
      </c>
      <c r="U44" s="123">
        <v>46303</v>
      </c>
      <c r="V44" s="129" t="s">
        <v>749</v>
      </c>
      <c r="W44" s="129" t="s">
        <v>753</v>
      </c>
      <c r="X44" s="123">
        <v>46303</v>
      </c>
      <c r="Y44" s="129" t="s">
        <v>1505</v>
      </c>
      <c r="Z44" s="129" t="s">
        <v>764</v>
      </c>
      <c r="AA44" s="130" t="s">
        <v>1166</v>
      </c>
      <c r="AB44" s="109"/>
      <c r="AC44" s="129" t="s">
        <v>776</v>
      </c>
      <c r="AD44" s="109"/>
      <c r="AE44" s="125"/>
      <c r="AF44" s="109" t="str">
        <f t="shared" ref="AF44:AF59" si="5">IF(AND(A44=cicloCorrente,Z44="Osservazione"),N(J44)*100000+1-ROW()/1000000,"")</f>
        <v/>
      </c>
    </row>
    <row r="45" spans="1:32" ht="174.9" x14ac:dyDescent="0.4">
      <c r="A45" s="129" t="s">
        <v>1505</v>
      </c>
      <c r="B45" s="123">
        <v>46295</v>
      </c>
      <c r="C45" s="129" t="s">
        <v>560</v>
      </c>
      <c r="D45" s="129" t="s">
        <v>561</v>
      </c>
      <c r="E45" s="129" t="s">
        <v>474</v>
      </c>
      <c r="F45" s="129" t="s">
        <v>562</v>
      </c>
      <c r="G45" s="109">
        <v>4</v>
      </c>
      <c r="H45" s="109">
        <v>4</v>
      </c>
      <c r="I45" s="109">
        <v>3</v>
      </c>
      <c r="J45" s="124">
        <f t="shared" si="3"/>
        <v>3.3</v>
      </c>
      <c r="K45" s="109">
        <v>2</v>
      </c>
      <c r="L45" s="109"/>
      <c r="M45" s="129" t="s">
        <v>1127</v>
      </c>
      <c r="N45" s="130" t="s">
        <v>1133</v>
      </c>
      <c r="O45" s="130" t="s">
        <v>1543</v>
      </c>
      <c r="P45" s="130" t="s">
        <v>1130</v>
      </c>
      <c r="Q45" s="130" t="s">
        <v>1544</v>
      </c>
      <c r="R45" s="130" t="s">
        <v>1545</v>
      </c>
      <c r="S45" s="129" t="s">
        <v>563</v>
      </c>
      <c r="T45" s="109" t="str">
        <f t="shared" si="4"/>
        <v>2026Q3|NFR-02</v>
      </c>
      <c r="U45" s="123">
        <v>46303</v>
      </c>
      <c r="V45" s="129" t="s">
        <v>749</v>
      </c>
      <c r="W45" s="129" t="s">
        <v>753</v>
      </c>
      <c r="X45" s="123">
        <v>46303</v>
      </c>
      <c r="Y45" s="129" t="s">
        <v>1505</v>
      </c>
      <c r="Z45" s="129" t="s">
        <v>764</v>
      </c>
      <c r="AA45" s="130" t="s">
        <v>1136</v>
      </c>
      <c r="AB45" s="109"/>
      <c r="AC45" s="129" t="s">
        <v>776</v>
      </c>
      <c r="AD45" s="109"/>
      <c r="AE45" s="125"/>
      <c r="AF45" s="109" t="str">
        <f t="shared" si="5"/>
        <v/>
      </c>
    </row>
    <row r="46" spans="1:32" ht="145.75" x14ac:dyDescent="0.4">
      <c r="A46" s="129" t="s">
        <v>1505</v>
      </c>
      <c r="B46" s="123">
        <v>46295</v>
      </c>
      <c r="C46" s="129" t="s">
        <v>566</v>
      </c>
      <c r="D46" s="129" t="s">
        <v>567</v>
      </c>
      <c r="E46" s="129" t="s">
        <v>461</v>
      </c>
      <c r="F46" s="129" t="s">
        <v>568</v>
      </c>
      <c r="G46" s="109">
        <v>3</v>
      </c>
      <c r="H46" s="109">
        <v>2</v>
      </c>
      <c r="I46" s="109">
        <v>4</v>
      </c>
      <c r="J46" s="124">
        <f t="shared" si="3"/>
        <v>3</v>
      </c>
      <c r="K46" s="109">
        <v>3</v>
      </c>
      <c r="L46" s="109"/>
      <c r="M46" s="129" t="s">
        <v>721</v>
      </c>
      <c r="N46" s="130" t="s">
        <v>1137</v>
      </c>
      <c r="O46" s="130" t="s">
        <v>1546</v>
      </c>
      <c r="P46" s="130" t="s">
        <v>1547</v>
      </c>
      <c r="Q46" s="130" t="s">
        <v>1548</v>
      </c>
      <c r="R46" s="130"/>
      <c r="S46" s="129" t="s">
        <v>569</v>
      </c>
      <c r="T46" s="109" t="str">
        <f t="shared" si="4"/>
        <v>2026Q3|NFR-03</v>
      </c>
      <c r="U46" s="123">
        <v>46303</v>
      </c>
      <c r="V46" s="129" t="s">
        <v>749</v>
      </c>
      <c r="W46" s="129" t="s">
        <v>753</v>
      </c>
      <c r="X46" s="123">
        <v>46303</v>
      </c>
      <c r="Y46" s="129" t="s">
        <v>1505</v>
      </c>
      <c r="Z46" s="129" t="s">
        <v>764</v>
      </c>
      <c r="AA46" s="130" t="s">
        <v>1549</v>
      </c>
      <c r="AB46" s="109"/>
      <c r="AC46" s="129" t="s">
        <v>776</v>
      </c>
      <c r="AD46" s="109"/>
      <c r="AE46" s="125"/>
      <c r="AF46" s="109" t="str">
        <f t="shared" si="5"/>
        <v/>
      </c>
    </row>
    <row r="47" spans="1:32" ht="87.45" x14ac:dyDescent="0.4">
      <c r="A47" s="129" t="s">
        <v>1505</v>
      </c>
      <c r="B47" s="123">
        <v>46295</v>
      </c>
      <c r="C47" s="129" t="s">
        <v>572</v>
      </c>
      <c r="D47" s="129" t="s">
        <v>573</v>
      </c>
      <c r="E47" s="129" t="s">
        <v>471</v>
      </c>
      <c r="F47" s="129" t="s">
        <v>574</v>
      </c>
      <c r="G47" s="109">
        <v>3</v>
      </c>
      <c r="H47" s="109">
        <v>2</v>
      </c>
      <c r="I47" s="109">
        <v>3</v>
      </c>
      <c r="J47" s="124">
        <f t="shared" si="3"/>
        <v>2.8</v>
      </c>
      <c r="K47" s="109">
        <v>3</v>
      </c>
      <c r="L47" s="109"/>
      <c r="M47" s="129" t="s">
        <v>1127</v>
      </c>
      <c r="N47" s="130" t="s">
        <v>1141</v>
      </c>
      <c r="O47" s="130" t="s">
        <v>1550</v>
      </c>
      <c r="P47" s="130" t="s">
        <v>1130</v>
      </c>
      <c r="Q47" s="130" t="s">
        <v>1551</v>
      </c>
      <c r="R47" s="130"/>
      <c r="S47" s="129" t="s">
        <v>575</v>
      </c>
      <c r="T47" s="109" t="str">
        <f t="shared" si="4"/>
        <v>2026Q3|NFR-04</v>
      </c>
      <c r="U47" s="123">
        <v>46303</v>
      </c>
      <c r="V47" s="129" t="s">
        <v>749</v>
      </c>
      <c r="W47" s="129" t="s">
        <v>753</v>
      </c>
      <c r="X47" s="123">
        <v>46303</v>
      </c>
      <c r="Y47" s="129" t="s">
        <v>1505</v>
      </c>
      <c r="Z47" s="129" t="s">
        <v>764</v>
      </c>
      <c r="AA47" s="130" t="s">
        <v>1140</v>
      </c>
      <c r="AB47" s="109"/>
      <c r="AC47" s="129" t="s">
        <v>776</v>
      </c>
      <c r="AD47" s="109"/>
      <c r="AE47" s="125"/>
      <c r="AF47" s="109" t="str">
        <f t="shared" si="5"/>
        <v/>
      </c>
    </row>
    <row r="48" spans="1:32" ht="131.15" x14ac:dyDescent="0.4">
      <c r="A48" s="129" t="s">
        <v>1505</v>
      </c>
      <c r="B48" s="123">
        <v>46295</v>
      </c>
      <c r="C48" s="129" t="s">
        <v>576</v>
      </c>
      <c r="D48" s="129" t="s">
        <v>577</v>
      </c>
      <c r="E48" s="129" t="s">
        <v>478</v>
      </c>
      <c r="F48" s="129" t="s">
        <v>578</v>
      </c>
      <c r="G48" s="109">
        <v>3</v>
      </c>
      <c r="H48" s="109">
        <v>3</v>
      </c>
      <c r="I48" s="109">
        <v>3</v>
      </c>
      <c r="J48" s="124">
        <f t="shared" si="3"/>
        <v>3</v>
      </c>
      <c r="K48" s="109">
        <v>3</v>
      </c>
      <c r="L48" s="109"/>
      <c r="M48" s="129" t="s">
        <v>1127</v>
      </c>
      <c r="N48" s="130" t="s">
        <v>1145</v>
      </c>
      <c r="O48" s="130" t="s">
        <v>1552</v>
      </c>
      <c r="P48" s="130" t="s">
        <v>1130</v>
      </c>
      <c r="Q48" s="130" t="s">
        <v>1202</v>
      </c>
      <c r="R48" s="130"/>
      <c r="S48" s="129" t="s">
        <v>579</v>
      </c>
      <c r="T48" s="109" t="str">
        <f t="shared" si="4"/>
        <v>2026Q3|NFR-05</v>
      </c>
      <c r="U48" s="123">
        <v>46303</v>
      </c>
      <c r="V48" s="129" t="s">
        <v>749</v>
      </c>
      <c r="W48" s="129" t="s">
        <v>753</v>
      </c>
      <c r="X48" s="123">
        <v>46303</v>
      </c>
      <c r="Y48" s="129" t="s">
        <v>1505</v>
      </c>
      <c r="Z48" s="129" t="s">
        <v>764</v>
      </c>
      <c r="AA48" s="130" t="s">
        <v>1140</v>
      </c>
      <c r="AB48" s="109"/>
      <c r="AC48" s="129" t="s">
        <v>776</v>
      </c>
      <c r="AD48" s="109"/>
      <c r="AE48" s="125"/>
      <c r="AF48" s="109" t="str">
        <f t="shared" si="5"/>
        <v/>
      </c>
    </row>
    <row r="49" spans="1:32" ht="131.15" x14ac:dyDescent="0.4">
      <c r="A49" s="129" t="s">
        <v>1505</v>
      </c>
      <c r="B49" s="123">
        <v>46295</v>
      </c>
      <c r="C49" s="129" t="s">
        <v>581</v>
      </c>
      <c r="D49" s="129" t="s">
        <v>582</v>
      </c>
      <c r="E49" s="129" t="s">
        <v>469</v>
      </c>
      <c r="F49" s="129" t="s">
        <v>583</v>
      </c>
      <c r="G49" s="109">
        <v>3</v>
      </c>
      <c r="H49" s="109">
        <v>3</v>
      </c>
      <c r="I49" s="109">
        <v>3</v>
      </c>
      <c r="J49" s="124">
        <f t="shared" si="3"/>
        <v>3</v>
      </c>
      <c r="K49" s="109">
        <v>3</v>
      </c>
      <c r="L49" s="109">
        <v>1</v>
      </c>
      <c r="M49" s="129" t="s">
        <v>1127</v>
      </c>
      <c r="N49" s="130" t="s">
        <v>1170</v>
      </c>
      <c r="O49" s="130" t="s">
        <v>1553</v>
      </c>
      <c r="P49" s="130" t="s">
        <v>1130</v>
      </c>
      <c r="Q49" s="130" t="s">
        <v>1554</v>
      </c>
      <c r="R49" s="130" t="s">
        <v>1555</v>
      </c>
      <c r="S49" s="129" t="s">
        <v>584</v>
      </c>
      <c r="T49" s="109" t="str">
        <f t="shared" si="4"/>
        <v>2026Q3|NFR-06</v>
      </c>
      <c r="U49" s="123">
        <v>46303</v>
      </c>
      <c r="V49" s="129" t="s">
        <v>749</v>
      </c>
      <c r="W49" s="129" t="s">
        <v>966</v>
      </c>
      <c r="X49" s="123">
        <v>46303</v>
      </c>
      <c r="Y49" s="129" t="s">
        <v>1505</v>
      </c>
      <c r="Z49" s="129" t="s">
        <v>764</v>
      </c>
      <c r="AA49" s="130" t="s">
        <v>1140</v>
      </c>
      <c r="AB49" s="109"/>
      <c r="AC49" s="129" t="s">
        <v>776</v>
      </c>
      <c r="AD49" s="109"/>
      <c r="AE49" s="125"/>
      <c r="AF49" s="109" t="str">
        <f t="shared" si="5"/>
        <v/>
      </c>
    </row>
    <row r="50" spans="1:32" ht="102" x14ac:dyDescent="0.4">
      <c r="A50" s="129" t="s">
        <v>1505</v>
      </c>
      <c r="B50" s="123">
        <v>46295</v>
      </c>
      <c r="C50" s="129" t="s">
        <v>587</v>
      </c>
      <c r="D50" s="129" t="s">
        <v>588</v>
      </c>
      <c r="E50" s="129" t="s">
        <v>474</v>
      </c>
      <c r="F50" s="129" t="s">
        <v>589</v>
      </c>
      <c r="G50" s="109">
        <v>4</v>
      </c>
      <c r="H50" s="109">
        <v>5</v>
      </c>
      <c r="I50" s="109">
        <v>3</v>
      </c>
      <c r="J50" s="124">
        <f t="shared" si="3"/>
        <v>3.75</v>
      </c>
      <c r="K50" s="109">
        <v>3</v>
      </c>
      <c r="L50" s="109"/>
      <c r="M50" s="129" t="s">
        <v>1127</v>
      </c>
      <c r="N50" s="130" t="s">
        <v>1149</v>
      </c>
      <c r="O50" s="130" t="s">
        <v>1556</v>
      </c>
      <c r="P50" s="130" t="s">
        <v>1130</v>
      </c>
      <c r="Q50" s="130" t="s">
        <v>1557</v>
      </c>
      <c r="R50" s="130"/>
      <c r="S50" s="129" t="s">
        <v>563</v>
      </c>
      <c r="T50" s="109" t="str">
        <f t="shared" si="4"/>
        <v>2026Q3|NFR-07</v>
      </c>
      <c r="U50" s="123">
        <v>46303</v>
      </c>
      <c r="V50" s="129" t="s">
        <v>749</v>
      </c>
      <c r="W50" s="129" t="s">
        <v>753</v>
      </c>
      <c r="X50" s="123">
        <v>46303</v>
      </c>
      <c r="Y50" s="129" t="s">
        <v>1505</v>
      </c>
      <c r="Z50" s="129" t="s">
        <v>764</v>
      </c>
      <c r="AA50" s="130" t="s">
        <v>1152</v>
      </c>
      <c r="AB50" s="109"/>
      <c r="AC50" s="129" t="s">
        <v>776</v>
      </c>
      <c r="AD50" s="109"/>
      <c r="AE50" s="125"/>
      <c r="AF50" s="109" t="str">
        <f t="shared" si="5"/>
        <v/>
      </c>
    </row>
    <row r="51" spans="1:32" ht="87.45" x14ac:dyDescent="0.4">
      <c r="A51" s="129" t="s">
        <v>1505</v>
      </c>
      <c r="B51" s="123">
        <v>46295</v>
      </c>
      <c r="C51" s="129" t="s">
        <v>591</v>
      </c>
      <c r="D51" s="129" t="s">
        <v>592</v>
      </c>
      <c r="E51" s="129" t="s">
        <v>469</v>
      </c>
      <c r="F51" s="129" t="s">
        <v>593</v>
      </c>
      <c r="G51" s="109">
        <v>3</v>
      </c>
      <c r="H51" s="109">
        <v>3</v>
      </c>
      <c r="I51" s="109">
        <v>3</v>
      </c>
      <c r="J51" s="124">
        <f t="shared" si="3"/>
        <v>2.75</v>
      </c>
      <c r="K51" s="109">
        <v>2</v>
      </c>
      <c r="L51" s="109"/>
      <c r="M51" s="129" t="s">
        <v>1127</v>
      </c>
      <c r="N51" s="130" t="s">
        <v>1153</v>
      </c>
      <c r="O51" s="130" t="s">
        <v>1558</v>
      </c>
      <c r="P51" s="130" t="s">
        <v>1130</v>
      </c>
      <c r="Q51" s="130" t="s">
        <v>1203</v>
      </c>
      <c r="R51" s="130"/>
      <c r="S51" s="129" t="s">
        <v>584</v>
      </c>
      <c r="T51" s="109" t="str">
        <f t="shared" si="4"/>
        <v>2026Q3|NFR-08</v>
      </c>
      <c r="U51" s="123">
        <v>46303</v>
      </c>
      <c r="V51" s="129" t="s">
        <v>749</v>
      </c>
      <c r="W51" s="129" t="s">
        <v>753</v>
      </c>
      <c r="X51" s="123">
        <v>46303</v>
      </c>
      <c r="Y51" s="129" t="s">
        <v>1505</v>
      </c>
      <c r="Z51" s="129" t="s">
        <v>764</v>
      </c>
      <c r="AA51" s="130" t="s">
        <v>1156</v>
      </c>
      <c r="AB51" s="109"/>
      <c r="AC51" s="129" t="s">
        <v>776</v>
      </c>
      <c r="AD51" s="109"/>
      <c r="AE51" s="125"/>
      <c r="AF51" s="109" t="str">
        <f t="shared" si="5"/>
        <v/>
      </c>
    </row>
    <row r="52" spans="1:32" ht="87.45" x14ac:dyDescent="0.4">
      <c r="A52" s="129" t="s">
        <v>1505</v>
      </c>
      <c r="B52" s="123">
        <v>46295</v>
      </c>
      <c r="C52" s="129" t="s">
        <v>595</v>
      </c>
      <c r="D52" s="129" t="s">
        <v>596</v>
      </c>
      <c r="E52" s="129" t="s">
        <v>463</v>
      </c>
      <c r="F52" s="129" t="s">
        <v>597</v>
      </c>
      <c r="G52" s="109">
        <v>4</v>
      </c>
      <c r="H52" s="109">
        <v>3</v>
      </c>
      <c r="I52" s="109">
        <v>2</v>
      </c>
      <c r="J52" s="124">
        <f t="shared" si="3"/>
        <v>2.9</v>
      </c>
      <c r="K52" s="109">
        <v>2</v>
      </c>
      <c r="L52" s="109"/>
      <c r="M52" s="129" t="s">
        <v>1127</v>
      </c>
      <c r="N52" s="130" t="s">
        <v>1174</v>
      </c>
      <c r="O52" s="130" t="s">
        <v>1559</v>
      </c>
      <c r="P52" s="130" t="s">
        <v>1130</v>
      </c>
      <c r="Q52" s="130" t="s">
        <v>1560</v>
      </c>
      <c r="R52" s="130"/>
      <c r="S52" s="129" t="s">
        <v>569</v>
      </c>
      <c r="T52" s="109" t="str">
        <f t="shared" si="4"/>
        <v>2026Q3|NFR-09</v>
      </c>
      <c r="U52" s="123">
        <v>46303</v>
      </c>
      <c r="V52" s="129" t="s">
        <v>749</v>
      </c>
      <c r="W52" s="129" t="s">
        <v>753</v>
      </c>
      <c r="X52" s="123">
        <v>46303</v>
      </c>
      <c r="Y52" s="129" t="s">
        <v>1505</v>
      </c>
      <c r="Z52" s="129" t="s">
        <v>764</v>
      </c>
      <c r="AA52" s="130" t="s">
        <v>1177</v>
      </c>
      <c r="AB52" s="109"/>
      <c r="AC52" s="129" t="s">
        <v>776</v>
      </c>
      <c r="AD52" s="109"/>
      <c r="AE52" s="125"/>
      <c r="AF52" s="109" t="str">
        <f t="shared" si="5"/>
        <v/>
      </c>
    </row>
    <row r="53" spans="1:32" ht="102" x14ac:dyDescent="0.4">
      <c r="A53" s="129" t="s">
        <v>1505</v>
      </c>
      <c r="B53" s="123">
        <v>46295</v>
      </c>
      <c r="C53" s="129" t="s">
        <v>598</v>
      </c>
      <c r="D53" s="129" t="s">
        <v>599</v>
      </c>
      <c r="E53" s="129" t="s">
        <v>461</v>
      </c>
      <c r="F53" s="129" t="s">
        <v>600</v>
      </c>
      <c r="G53" s="109">
        <v>3</v>
      </c>
      <c r="H53" s="109">
        <v>3</v>
      </c>
      <c r="I53" s="109">
        <v>3</v>
      </c>
      <c r="J53" s="124">
        <f t="shared" si="3"/>
        <v>3</v>
      </c>
      <c r="K53" s="109">
        <v>3</v>
      </c>
      <c r="L53" s="109"/>
      <c r="M53" s="129" t="s">
        <v>721</v>
      </c>
      <c r="N53" s="130" t="s">
        <v>1178</v>
      </c>
      <c r="O53" s="130" t="s">
        <v>1561</v>
      </c>
      <c r="P53" s="130" t="s">
        <v>1629</v>
      </c>
      <c r="Q53" s="130" t="s">
        <v>1562</v>
      </c>
      <c r="R53" s="130"/>
      <c r="S53" s="129" t="s">
        <v>601</v>
      </c>
      <c r="T53" s="109" t="str">
        <f t="shared" si="4"/>
        <v>2026Q3|NFR-10</v>
      </c>
      <c r="U53" s="123">
        <v>46303</v>
      </c>
      <c r="V53" s="129" t="s">
        <v>749</v>
      </c>
      <c r="W53" s="129" t="s">
        <v>966</v>
      </c>
      <c r="X53" s="123">
        <v>46303</v>
      </c>
      <c r="Y53" s="129" t="s">
        <v>1505</v>
      </c>
      <c r="Z53" s="129" t="s">
        <v>764</v>
      </c>
      <c r="AA53" s="130" t="s">
        <v>1140</v>
      </c>
      <c r="AB53" s="109"/>
      <c r="AC53" s="129" t="s">
        <v>776</v>
      </c>
      <c r="AD53" s="109"/>
      <c r="AE53" s="125"/>
      <c r="AF53" s="109" t="str">
        <f t="shared" si="5"/>
        <v/>
      </c>
    </row>
    <row r="54" spans="1:32" ht="87.45" x14ac:dyDescent="0.4">
      <c r="A54" s="129" t="s">
        <v>1505</v>
      </c>
      <c r="B54" s="123">
        <v>46295</v>
      </c>
      <c r="C54" s="129" t="s">
        <v>604</v>
      </c>
      <c r="D54" s="129" t="s">
        <v>605</v>
      </c>
      <c r="E54" s="129" t="s">
        <v>467</v>
      </c>
      <c r="F54" s="129" t="s">
        <v>578</v>
      </c>
      <c r="G54" s="109">
        <v>3</v>
      </c>
      <c r="H54" s="109">
        <v>2</v>
      </c>
      <c r="I54" s="109">
        <v>3</v>
      </c>
      <c r="J54" s="124">
        <f t="shared" si="3"/>
        <v>2.8</v>
      </c>
      <c r="K54" s="109">
        <v>3</v>
      </c>
      <c r="L54" s="109">
        <v>3</v>
      </c>
      <c r="M54" s="129" t="s">
        <v>1127</v>
      </c>
      <c r="N54" s="130" t="s">
        <v>1157</v>
      </c>
      <c r="O54" s="130" t="s">
        <v>1563</v>
      </c>
      <c r="P54" s="130" t="s">
        <v>1130</v>
      </c>
      <c r="Q54" s="130" t="s">
        <v>1564</v>
      </c>
      <c r="R54" s="130"/>
      <c r="S54" s="129" t="s">
        <v>606</v>
      </c>
      <c r="T54" s="109" t="str">
        <f t="shared" si="4"/>
        <v>2026Q3|NFR-11</v>
      </c>
      <c r="U54" s="123">
        <v>46303</v>
      </c>
      <c r="V54" s="129" t="s">
        <v>749</v>
      </c>
      <c r="W54" s="129" t="s">
        <v>753</v>
      </c>
      <c r="X54" s="123">
        <v>46303</v>
      </c>
      <c r="Y54" s="129" t="s">
        <v>1505</v>
      </c>
      <c r="Z54" s="129" t="s">
        <v>764</v>
      </c>
      <c r="AA54" s="130" t="s">
        <v>1160</v>
      </c>
      <c r="AB54" s="109"/>
      <c r="AC54" s="129" t="s">
        <v>776</v>
      </c>
      <c r="AD54" s="109"/>
      <c r="AE54" s="125"/>
      <c r="AF54" s="109" t="str">
        <f t="shared" si="5"/>
        <v/>
      </c>
    </row>
    <row r="55" spans="1:32" ht="87.45" x14ac:dyDescent="0.4">
      <c r="A55" s="129" t="s">
        <v>1505</v>
      </c>
      <c r="B55" s="123">
        <v>46295</v>
      </c>
      <c r="C55" s="129" t="s">
        <v>611</v>
      </c>
      <c r="D55" s="129" t="s">
        <v>612</v>
      </c>
      <c r="E55" s="129" t="s">
        <v>478</v>
      </c>
      <c r="F55" s="129" t="s">
        <v>578</v>
      </c>
      <c r="G55" s="109">
        <v>3</v>
      </c>
      <c r="H55" s="109">
        <v>4</v>
      </c>
      <c r="I55" s="109">
        <v>4</v>
      </c>
      <c r="J55" s="124">
        <f t="shared" si="3"/>
        <v>3.65</v>
      </c>
      <c r="K55" s="109">
        <v>4</v>
      </c>
      <c r="L55" s="109"/>
      <c r="M55" s="129" t="s">
        <v>1127</v>
      </c>
      <c r="N55" s="130" t="s">
        <v>1161</v>
      </c>
      <c r="O55" s="130" t="s">
        <v>1565</v>
      </c>
      <c r="P55" s="130" t="s">
        <v>1130</v>
      </c>
      <c r="Q55" s="130" t="s">
        <v>1566</v>
      </c>
      <c r="R55" s="130"/>
      <c r="S55" s="129" t="s">
        <v>579</v>
      </c>
      <c r="T55" s="109" t="str">
        <f t="shared" si="4"/>
        <v>2026Q3|NFR-12</v>
      </c>
      <c r="U55" s="123">
        <v>46303</v>
      </c>
      <c r="V55" s="129" t="s">
        <v>749</v>
      </c>
      <c r="W55" s="129" t="s">
        <v>753</v>
      </c>
      <c r="X55" s="123">
        <v>46303</v>
      </c>
      <c r="Y55" s="129" t="s">
        <v>1505</v>
      </c>
      <c r="Z55" s="129" t="s">
        <v>764</v>
      </c>
      <c r="AA55" s="130" t="s">
        <v>1207</v>
      </c>
      <c r="AB55" s="109"/>
      <c r="AC55" s="129" t="s">
        <v>776</v>
      </c>
      <c r="AD55" s="109"/>
      <c r="AE55" s="125"/>
      <c r="AF55" s="109" t="str">
        <f t="shared" si="5"/>
        <v/>
      </c>
    </row>
    <row r="56" spans="1:32" ht="102" x14ac:dyDescent="0.4">
      <c r="A56" s="129" t="s">
        <v>1505</v>
      </c>
      <c r="B56" s="123">
        <v>46295</v>
      </c>
      <c r="C56" s="129" t="s">
        <v>1567</v>
      </c>
      <c r="D56" s="129" t="s">
        <v>1568</v>
      </c>
      <c r="E56" s="129" t="s">
        <v>476</v>
      </c>
      <c r="F56" s="129" t="s">
        <v>1569</v>
      </c>
      <c r="G56" s="109">
        <v>3</v>
      </c>
      <c r="H56" s="109"/>
      <c r="I56" s="109">
        <v>1</v>
      </c>
      <c r="J56" s="124">
        <f t="shared" si="3"/>
        <v>2.19</v>
      </c>
      <c r="K56" s="109">
        <v>2</v>
      </c>
      <c r="L56" s="109"/>
      <c r="M56" s="129" t="s">
        <v>1169</v>
      </c>
      <c r="N56" s="130" t="s">
        <v>1570</v>
      </c>
      <c r="O56" s="130" t="s">
        <v>1571</v>
      </c>
      <c r="P56" s="130" t="s">
        <v>1130</v>
      </c>
      <c r="Q56" s="130" t="s">
        <v>1572</v>
      </c>
      <c r="R56" s="130"/>
      <c r="S56" s="129" t="s">
        <v>1573</v>
      </c>
      <c r="T56" s="109" t="str">
        <f t="shared" si="4"/>
        <v>2026Q3|NFR-16</v>
      </c>
      <c r="U56" s="123">
        <v>46303</v>
      </c>
      <c r="V56" s="129" t="s">
        <v>749</v>
      </c>
      <c r="W56" s="129" t="s">
        <v>753</v>
      </c>
      <c r="X56" s="123">
        <v>46303</v>
      </c>
      <c r="Y56" s="129" t="s">
        <v>1505</v>
      </c>
      <c r="Z56" s="129" t="s">
        <v>102</v>
      </c>
      <c r="AA56" s="130" t="s">
        <v>1210</v>
      </c>
      <c r="AB56" s="109"/>
      <c r="AC56" s="129" t="s">
        <v>776</v>
      </c>
      <c r="AD56" s="109">
        <v>5</v>
      </c>
      <c r="AE56" s="130" t="s">
        <v>1574</v>
      </c>
      <c r="AF56" s="109" t="str">
        <f t="shared" si="5"/>
        <v/>
      </c>
    </row>
    <row r="57" spans="1:32" ht="72.900000000000006" x14ac:dyDescent="0.4">
      <c r="A57" s="129" t="s">
        <v>1505</v>
      </c>
      <c r="B57" s="123">
        <v>46295</v>
      </c>
      <c r="C57" s="129" t="s">
        <v>1182</v>
      </c>
      <c r="D57" s="129" t="s">
        <v>1183</v>
      </c>
      <c r="E57" s="129" t="s">
        <v>469</v>
      </c>
      <c r="F57" s="129" t="s">
        <v>1184</v>
      </c>
      <c r="G57" s="109">
        <v>5</v>
      </c>
      <c r="H57" s="109"/>
      <c r="I57" s="109">
        <v>1</v>
      </c>
      <c r="J57" s="124">
        <f t="shared" si="3"/>
        <v>2.75</v>
      </c>
      <c r="K57" s="109">
        <v>1</v>
      </c>
      <c r="L57" s="109"/>
      <c r="M57" s="129" t="s">
        <v>1127</v>
      </c>
      <c r="N57" s="130" t="s">
        <v>1185</v>
      </c>
      <c r="O57" s="130" t="s">
        <v>1186</v>
      </c>
      <c r="P57" s="130" t="s">
        <v>1130</v>
      </c>
      <c r="Q57" s="130" t="s">
        <v>1187</v>
      </c>
      <c r="R57" s="130"/>
      <c r="S57" s="129" t="s">
        <v>584</v>
      </c>
      <c r="T57" s="109" t="str">
        <f t="shared" si="4"/>
        <v>2026Q3|NFR-13</v>
      </c>
      <c r="U57" s="123">
        <v>46303</v>
      </c>
      <c r="V57" s="129" t="s">
        <v>749</v>
      </c>
      <c r="W57" s="129" t="s">
        <v>753</v>
      </c>
      <c r="X57" s="123">
        <v>46127</v>
      </c>
      <c r="Y57" s="129" t="s">
        <v>614</v>
      </c>
      <c r="Z57" s="129" t="s">
        <v>102</v>
      </c>
      <c r="AA57" s="130" t="s">
        <v>1188</v>
      </c>
      <c r="AB57" s="109"/>
      <c r="AC57" s="129" t="s">
        <v>776</v>
      </c>
      <c r="AD57" s="109">
        <v>10</v>
      </c>
      <c r="AE57" s="130" t="s">
        <v>1189</v>
      </c>
      <c r="AF57" s="109" t="str">
        <f t="shared" si="5"/>
        <v/>
      </c>
    </row>
    <row r="58" spans="1:32" ht="72.900000000000006" x14ac:dyDescent="0.4">
      <c r="A58" s="129" t="s">
        <v>1505</v>
      </c>
      <c r="B58" s="123">
        <v>46295</v>
      </c>
      <c r="C58" s="129" t="s">
        <v>1190</v>
      </c>
      <c r="D58" s="129" t="s">
        <v>1191</v>
      </c>
      <c r="E58" s="129" t="s">
        <v>467</v>
      </c>
      <c r="F58" s="129" t="s">
        <v>1192</v>
      </c>
      <c r="G58" s="109">
        <v>4</v>
      </c>
      <c r="H58" s="109">
        <v>4</v>
      </c>
      <c r="I58" s="109">
        <v>1</v>
      </c>
      <c r="J58" s="124">
        <f t="shared" si="3"/>
        <v>2.9</v>
      </c>
      <c r="K58" s="109">
        <v>2</v>
      </c>
      <c r="L58" s="109"/>
      <c r="M58" s="129" t="s">
        <v>1127</v>
      </c>
      <c r="N58" s="130" t="s">
        <v>1193</v>
      </c>
      <c r="O58" s="130" t="s">
        <v>1194</v>
      </c>
      <c r="P58" s="130" t="s">
        <v>1130</v>
      </c>
      <c r="Q58" s="130" t="s">
        <v>1209</v>
      </c>
      <c r="R58" s="130"/>
      <c r="S58" s="129" t="s">
        <v>563</v>
      </c>
      <c r="T58" s="109" t="str">
        <f t="shared" si="4"/>
        <v>2026Q3|NFR-14</v>
      </c>
      <c r="U58" s="123">
        <v>46303</v>
      </c>
      <c r="V58" s="129" t="s">
        <v>749</v>
      </c>
      <c r="W58" s="129" t="s">
        <v>753</v>
      </c>
      <c r="X58" s="123">
        <v>46218</v>
      </c>
      <c r="Y58" s="129" t="s">
        <v>608</v>
      </c>
      <c r="Z58" s="129" t="s">
        <v>102</v>
      </c>
      <c r="AA58" s="130" t="s">
        <v>1210</v>
      </c>
      <c r="AB58" s="109"/>
      <c r="AC58" s="129" t="s">
        <v>776</v>
      </c>
      <c r="AD58" s="109">
        <v>5</v>
      </c>
      <c r="AE58" s="130" t="s">
        <v>1195</v>
      </c>
      <c r="AF58" s="109" t="str">
        <f t="shared" si="5"/>
        <v/>
      </c>
    </row>
    <row r="59" spans="1:32" ht="72.900000000000006" x14ac:dyDescent="0.4">
      <c r="A59" s="129" t="s">
        <v>1505</v>
      </c>
      <c r="B59" s="123">
        <v>46295</v>
      </c>
      <c r="C59" s="129" t="s">
        <v>1211</v>
      </c>
      <c r="D59" s="129" t="s">
        <v>1212</v>
      </c>
      <c r="E59" s="129" t="s">
        <v>463</v>
      </c>
      <c r="F59" s="129" t="s">
        <v>600</v>
      </c>
      <c r="G59" s="109">
        <v>3</v>
      </c>
      <c r="H59" s="109"/>
      <c r="I59" s="109">
        <v>2</v>
      </c>
      <c r="J59" s="124">
        <f t="shared" si="3"/>
        <v>2.13</v>
      </c>
      <c r="K59" s="109">
        <v>1</v>
      </c>
      <c r="L59" s="109"/>
      <c r="M59" s="129" t="s">
        <v>1127</v>
      </c>
      <c r="N59" s="130" t="s">
        <v>1213</v>
      </c>
      <c r="O59" s="130" t="s">
        <v>1214</v>
      </c>
      <c r="P59" s="130" t="s">
        <v>1130</v>
      </c>
      <c r="Q59" s="130" t="s">
        <v>1215</v>
      </c>
      <c r="R59" s="130"/>
      <c r="S59" s="129" t="s">
        <v>601</v>
      </c>
      <c r="T59" s="109" t="str">
        <f t="shared" si="4"/>
        <v>2026Q3|NFR-15</v>
      </c>
      <c r="U59" s="123">
        <v>46303</v>
      </c>
      <c r="V59" s="129" t="s">
        <v>749</v>
      </c>
      <c r="W59" s="129" t="s">
        <v>753</v>
      </c>
      <c r="X59" s="123">
        <v>46218</v>
      </c>
      <c r="Y59" s="129" t="s">
        <v>608</v>
      </c>
      <c r="Z59" s="129" t="s">
        <v>102</v>
      </c>
      <c r="AA59" s="130" t="s">
        <v>1216</v>
      </c>
      <c r="AB59" s="109"/>
      <c r="AC59" s="129" t="s">
        <v>776</v>
      </c>
      <c r="AD59" s="109">
        <v>4</v>
      </c>
      <c r="AE59" s="130" t="s">
        <v>1217</v>
      </c>
      <c r="AF59" s="109" t="str">
        <f t="shared" si="5"/>
        <v/>
      </c>
    </row>
    <row r="60" spans="1:32" ht="276.89999999999998" x14ac:dyDescent="0.4">
      <c r="A60" s="129" t="s">
        <v>1650</v>
      </c>
      <c r="B60" s="123">
        <v>46387</v>
      </c>
      <c r="C60" s="129" t="s">
        <v>554</v>
      </c>
      <c r="D60" s="129" t="s">
        <v>555</v>
      </c>
      <c r="E60" s="129" t="s">
        <v>469</v>
      </c>
      <c r="F60" s="129" t="s">
        <v>556</v>
      </c>
      <c r="G60" s="109">
        <v>4</v>
      </c>
      <c r="H60" s="109">
        <v>5</v>
      </c>
      <c r="I60" s="109">
        <v>5</v>
      </c>
      <c r="J60" s="124">
        <f t="shared" ref="J60:J75" si="6">IF(COUNT(G60,I60,K60)&lt;3,"",ROUND((pesoImpatto*G60+pesoProbabilita*K60+pesoProssimita*I60+IF(ISNUMBER(H60),pesoVelocity*H60,0))/(pesoImpatto+pesoProbabilita+pesoProssimita+IF(ISNUMBER(H60),pesoVelocity,0)),2))</f>
        <v>4.4000000000000004</v>
      </c>
      <c r="K60" s="109">
        <v>4</v>
      </c>
      <c r="L60" s="109"/>
      <c r="M60" s="129" t="s">
        <v>721</v>
      </c>
      <c r="N60" s="130" t="s">
        <v>1128</v>
      </c>
      <c r="O60" s="130" t="s">
        <v>1691</v>
      </c>
      <c r="P60" s="130" t="s">
        <v>1692</v>
      </c>
      <c r="Q60" s="130" t="s">
        <v>1693</v>
      </c>
      <c r="R60" s="130"/>
      <c r="S60" s="129" t="s">
        <v>557</v>
      </c>
      <c r="T60" s="109" t="str">
        <f t="shared" ref="T60:T75" si="7">A60&amp;"|"&amp;C60</f>
        <v>2026Q4|NFR-01</v>
      </c>
      <c r="U60" s="123">
        <v>46303</v>
      </c>
      <c r="V60" s="129" t="s">
        <v>749</v>
      </c>
      <c r="W60" s="129" t="s">
        <v>753</v>
      </c>
      <c r="X60" s="123">
        <v>46303</v>
      </c>
      <c r="Y60" s="129" t="s">
        <v>1650</v>
      </c>
      <c r="Z60" s="129" t="s">
        <v>764</v>
      </c>
      <c r="AA60" s="130" t="s">
        <v>1694</v>
      </c>
      <c r="AB60" s="109"/>
      <c r="AC60" s="129" t="s">
        <v>776</v>
      </c>
      <c r="AD60" s="109"/>
      <c r="AE60" s="130"/>
      <c r="AF60" s="109" t="str">
        <f t="shared" ref="AF60:AF75" si="8">IF(AND(A60=cicloCorrente,Z60="Osservazione"),N(J60)*100000+1-ROW()/1000000,"")</f>
        <v/>
      </c>
    </row>
    <row r="61" spans="1:32" ht="218.6" x14ac:dyDescent="0.4">
      <c r="A61" s="129" t="s">
        <v>1650</v>
      </c>
      <c r="B61" s="123">
        <v>46387</v>
      </c>
      <c r="C61" s="129" t="s">
        <v>560</v>
      </c>
      <c r="D61" s="129" t="s">
        <v>561</v>
      </c>
      <c r="E61" s="129" t="s">
        <v>474</v>
      </c>
      <c r="F61" s="129" t="s">
        <v>562</v>
      </c>
      <c r="G61" s="109">
        <v>4</v>
      </c>
      <c r="H61" s="109">
        <v>4</v>
      </c>
      <c r="I61" s="109">
        <v>3</v>
      </c>
      <c r="J61" s="124">
        <f t="shared" si="6"/>
        <v>3.8</v>
      </c>
      <c r="K61" s="109">
        <v>4</v>
      </c>
      <c r="L61" s="109"/>
      <c r="M61" s="129" t="s">
        <v>721</v>
      </c>
      <c r="N61" s="130" t="s">
        <v>1133</v>
      </c>
      <c r="O61" s="130" t="s">
        <v>1695</v>
      </c>
      <c r="P61" s="130" t="s">
        <v>1762</v>
      </c>
      <c r="Q61" s="130" t="s">
        <v>1544</v>
      </c>
      <c r="R61" s="130"/>
      <c r="S61" s="129" t="s">
        <v>563</v>
      </c>
      <c r="T61" s="109" t="str">
        <f t="shared" si="7"/>
        <v>2026Q4|NFR-02</v>
      </c>
      <c r="U61" s="123">
        <v>46303</v>
      </c>
      <c r="V61" s="129" t="s">
        <v>1649</v>
      </c>
      <c r="W61" s="129" t="s">
        <v>966</v>
      </c>
      <c r="X61" s="123">
        <v>46303</v>
      </c>
      <c r="Y61" s="129" t="s">
        <v>1650</v>
      </c>
      <c r="Z61" s="129" t="s">
        <v>764</v>
      </c>
      <c r="AA61" s="130" t="s">
        <v>1132</v>
      </c>
      <c r="AB61" s="109"/>
      <c r="AC61" s="129" t="s">
        <v>776</v>
      </c>
      <c r="AD61" s="109"/>
      <c r="AE61" s="130"/>
      <c r="AF61" s="109" t="str">
        <f t="shared" si="8"/>
        <v/>
      </c>
    </row>
    <row r="62" spans="1:32" ht="204" x14ac:dyDescent="0.4">
      <c r="A62" s="129" t="s">
        <v>1650</v>
      </c>
      <c r="B62" s="123">
        <v>46387</v>
      </c>
      <c r="C62" s="129" t="s">
        <v>566</v>
      </c>
      <c r="D62" s="129" t="s">
        <v>567</v>
      </c>
      <c r="E62" s="129" t="s">
        <v>461</v>
      </c>
      <c r="F62" s="129" t="s">
        <v>568</v>
      </c>
      <c r="G62" s="109">
        <v>3</v>
      </c>
      <c r="H62" s="109">
        <v>2</v>
      </c>
      <c r="I62" s="109">
        <v>4</v>
      </c>
      <c r="J62" s="124">
        <f t="shared" si="6"/>
        <v>3</v>
      </c>
      <c r="K62" s="109">
        <v>3</v>
      </c>
      <c r="L62" s="109"/>
      <c r="M62" s="129" t="s">
        <v>1127</v>
      </c>
      <c r="N62" s="130" t="s">
        <v>1137</v>
      </c>
      <c r="O62" s="130" t="s">
        <v>1696</v>
      </c>
      <c r="P62" s="130" t="s">
        <v>1130</v>
      </c>
      <c r="Q62" s="130" t="s">
        <v>1548</v>
      </c>
      <c r="R62" s="130"/>
      <c r="S62" s="129" t="s">
        <v>569</v>
      </c>
      <c r="T62" s="109" t="str">
        <f t="shared" si="7"/>
        <v>2026Q4|NFR-03</v>
      </c>
      <c r="U62" s="123">
        <v>46303</v>
      </c>
      <c r="V62" s="129" t="s">
        <v>749</v>
      </c>
      <c r="W62" s="129" t="s">
        <v>753</v>
      </c>
      <c r="X62" s="123">
        <v>46303</v>
      </c>
      <c r="Y62" s="129" t="s">
        <v>1650</v>
      </c>
      <c r="Z62" s="129" t="s">
        <v>764</v>
      </c>
      <c r="AA62" s="130" t="s">
        <v>1549</v>
      </c>
      <c r="AB62" s="109"/>
      <c r="AC62" s="129" t="s">
        <v>776</v>
      </c>
      <c r="AD62" s="109"/>
      <c r="AE62" s="130"/>
      <c r="AF62" s="109" t="str">
        <f t="shared" si="8"/>
        <v/>
      </c>
    </row>
    <row r="63" spans="1:32" ht="204" x14ac:dyDescent="0.4">
      <c r="A63" s="129" t="s">
        <v>1650</v>
      </c>
      <c r="B63" s="123">
        <v>46387</v>
      </c>
      <c r="C63" s="129" t="s">
        <v>572</v>
      </c>
      <c r="D63" s="129" t="s">
        <v>573</v>
      </c>
      <c r="E63" s="129" t="s">
        <v>471</v>
      </c>
      <c r="F63" s="129" t="s">
        <v>574</v>
      </c>
      <c r="G63" s="109">
        <v>3</v>
      </c>
      <c r="H63" s="109">
        <v>2</v>
      </c>
      <c r="I63" s="109">
        <v>3</v>
      </c>
      <c r="J63" s="124">
        <f t="shared" si="6"/>
        <v>2.8</v>
      </c>
      <c r="K63" s="109">
        <v>3</v>
      </c>
      <c r="L63" s="109"/>
      <c r="M63" s="129" t="s">
        <v>1127</v>
      </c>
      <c r="N63" s="130" t="s">
        <v>1141</v>
      </c>
      <c r="O63" s="130" t="s">
        <v>1697</v>
      </c>
      <c r="P63" s="130" t="s">
        <v>1130</v>
      </c>
      <c r="Q63" s="130" t="s">
        <v>1551</v>
      </c>
      <c r="R63" s="130"/>
      <c r="S63" s="129" t="s">
        <v>575</v>
      </c>
      <c r="T63" s="109" t="str">
        <f t="shared" si="7"/>
        <v>2026Q4|NFR-04</v>
      </c>
      <c r="U63" s="123">
        <v>46303</v>
      </c>
      <c r="V63" s="129" t="s">
        <v>749</v>
      </c>
      <c r="W63" s="129" t="s">
        <v>753</v>
      </c>
      <c r="X63" s="123">
        <v>46303</v>
      </c>
      <c r="Y63" s="129" t="s">
        <v>1650</v>
      </c>
      <c r="Z63" s="129" t="s">
        <v>764</v>
      </c>
      <c r="AA63" s="130" t="s">
        <v>1140</v>
      </c>
      <c r="AB63" s="109"/>
      <c r="AC63" s="129" t="s">
        <v>776</v>
      </c>
      <c r="AD63" s="109"/>
      <c r="AE63" s="130"/>
      <c r="AF63" s="109" t="str">
        <f t="shared" si="8"/>
        <v/>
      </c>
    </row>
    <row r="64" spans="1:32" ht="204" x14ac:dyDescent="0.4">
      <c r="A64" s="129" t="s">
        <v>1650</v>
      </c>
      <c r="B64" s="123">
        <v>46387</v>
      </c>
      <c r="C64" s="129" t="s">
        <v>576</v>
      </c>
      <c r="D64" s="129" t="s">
        <v>577</v>
      </c>
      <c r="E64" s="129" t="s">
        <v>478</v>
      </c>
      <c r="F64" s="129" t="s">
        <v>578</v>
      </c>
      <c r="G64" s="109">
        <v>3</v>
      </c>
      <c r="H64" s="109">
        <v>3</v>
      </c>
      <c r="I64" s="109">
        <v>3</v>
      </c>
      <c r="J64" s="124">
        <f t="shared" si="6"/>
        <v>3</v>
      </c>
      <c r="K64" s="109">
        <v>3</v>
      </c>
      <c r="L64" s="109"/>
      <c r="M64" s="129" t="s">
        <v>1127</v>
      </c>
      <c r="N64" s="130" t="s">
        <v>1145</v>
      </c>
      <c r="O64" s="130" t="s">
        <v>1698</v>
      </c>
      <c r="P64" s="130" t="s">
        <v>1130</v>
      </c>
      <c r="Q64" s="130" t="s">
        <v>1202</v>
      </c>
      <c r="R64" s="130"/>
      <c r="S64" s="129" t="s">
        <v>579</v>
      </c>
      <c r="T64" s="109" t="str">
        <f t="shared" si="7"/>
        <v>2026Q4|NFR-05</v>
      </c>
      <c r="U64" s="123">
        <v>46303</v>
      </c>
      <c r="V64" s="129" t="s">
        <v>749</v>
      </c>
      <c r="W64" s="129" t="s">
        <v>753</v>
      </c>
      <c r="X64" s="123">
        <v>46303</v>
      </c>
      <c r="Y64" s="129" t="s">
        <v>1650</v>
      </c>
      <c r="Z64" s="129" t="s">
        <v>764</v>
      </c>
      <c r="AA64" s="130" t="s">
        <v>1140</v>
      </c>
      <c r="AB64" s="109"/>
      <c r="AC64" s="129" t="s">
        <v>776</v>
      </c>
      <c r="AD64" s="109"/>
      <c r="AE64" s="130"/>
      <c r="AF64" s="109" t="str">
        <f t="shared" si="8"/>
        <v/>
      </c>
    </row>
    <row r="65" spans="1:32" ht="204" x14ac:dyDescent="0.4">
      <c r="A65" s="129" t="s">
        <v>1650</v>
      </c>
      <c r="B65" s="123">
        <v>46387</v>
      </c>
      <c r="C65" s="129" t="s">
        <v>581</v>
      </c>
      <c r="D65" s="129" t="s">
        <v>582</v>
      </c>
      <c r="E65" s="129" t="s">
        <v>469</v>
      </c>
      <c r="F65" s="129" t="s">
        <v>583</v>
      </c>
      <c r="G65" s="109">
        <v>3</v>
      </c>
      <c r="H65" s="109">
        <v>3</v>
      </c>
      <c r="I65" s="109">
        <v>3</v>
      </c>
      <c r="J65" s="124">
        <f t="shared" si="6"/>
        <v>3</v>
      </c>
      <c r="K65" s="109">
        <v>3</v>
      </c>
      <c r="L65" s="109"/>
      <c r="M65" s="129" t="s">
        <v>1127</v>
      </c>
      <c r="N65" s="130" t="s">
        <v>1170</v>
      </c>
      <c r="O65" s="130" t="s">
        <v>1699</v>
      </c>
      <c r="P65" s="130" t="s">
        <v>1130</v>
      </c>
      <c r="Q65" s="130" t="s">
        <v>1554</v>
      </c>
      <c r="R65" s="130"/>
      <c r="S65" s="129" t="s">
        <v>584</v>
      </c>
      <c r="T65" s="109" t="str">
        <f t="shared" si="7"/>
        <v>2026Q4|NFR-06</v>
      </c>
      <c r="U65" s="123">
        <v>46303</v>
      </c>
      <c r="V65" s="129" t="s">
        <v>749</v>
      </c>
      <c r="W65" s="129" t="s">
        <v>753</v>
      </c>
      <c r="X65" s="123">
        <v>46303</v>
      </c>
      <c r="Y65" s="129" t="s">
        <v>1650</v>
      </c>
      <c r="Z65" s="129" t="s">
        <v>764</v>
      </c>
      <c r="AA65" s="130" t="s">
        <v>1140</v>
      </c>
      <c r="AB65" s="109"/>
      <c r="AC65" s="129" t="s">
        <v>776</v>
      </c>
      <c r="AD65" s="109"/>
      <c r="AE65" s="130"/>
      <c r="AF65" s="109" t="str">
        <f t="shared" si="8"/>
        <v/>
      </c>
    </row>
    <row r="66" spans="1:32" ht="189.45" x14ac:dyDescent="0.4">
      <c r="A66" s="129" t="s">
        <v>1650</v>
      </c>
      <c r="B66" s="123">
        <v>46387</v>
      </c>
      <c r="C66" s="129" t="s">
        <v>587</v>
      </c>
      <c r="D66" s="129" t="s">
        <v>588</v>
      </c>
      <c r="E66" s="129" t="s">
        <v>474</v>
      </c>
      <c r="F66" s="129" t="s">
        <v>589</v>
      </c>
      <c r="G66" s="109">
        <v>4</v>
      </c>
      <c r="H66" s="109">
        <v>5</v>
      </c>
      <c r="I66" s="109">
        <v>3</v>
      </c>
      <c r="J66" s="124">
        <f t="shared" si="6"/>
        <v>3.75</v>
      </c>
      <c r="K66" s="109">
        <v>3</v>
      </c>
      <c r="L66" s="109"/>
      <c r="M66" s="129" t="s">
        <v>1127</v>
      </c>
      <c r="N66" s="130" t="s">
        <v>1149</v>
      </c>
      <c r="O66" s="130" t="s">
        <v>1700</v>
      </c>
      <c r="P66" s="130" t="s">
        <v>1130</v>
      </c>
      <c r="Q66" s="130" t="s">
        <v>1557</v>
      </c>
      <c r="R66" s="130"/>
      <c r="S66" s="129" t="s">
        <v>563</v>
      </c>
      <c r="T66" s="109" t="str">
        <f t="shared" si="7"/>
        <v>2026Q4|NFR-07</v>
      </c>
      <c r="U66" s="123">
        <v>46303</v>
      </c>
      <c r="V66" s="129" t="s">
        <v>749</v>
      </c>
      <c r="W66" s="129" t="s">
        <v>753</v>
      </c>
      <c r="X66" s="123">
        <v>46303</v>
      </c>
      <c r="Y66" s="129" t="s">
        <v>1650</v>
      </c>
      <c r="Z66" s="129" t="s">
        <v>764</v>
      </c>
      <c r="AA66" s="130" t="s">
        <v>1152</v>
      </c>
      <c r="AB66" s="109"/>
      <c r="AC66" s="129" t="s">
        <v>776</v>
      </c>
      <c r="AD66" s="109"/>
      <c r="AE66" s="130"/>
      <c r="AF66" s="109" t="str">
        <f t="shared" si="8"/>
        <v/>
      </c>
    </row>
    <row r="67" spans="1:32" ht="174.9" x14ac:dyDescent="0.4">
      <c r="A67" s="129" t="s">
        <v>1650</v>
      </c>
      <c r="B67" s="123">
        <v>46387</v>
      </c>
      <c r="C67" s="129" t="s">
        <v>591</v>
      </c>
      <c r="D67" s="129" t="s">
        <v>592</v>
      </c>
      <c r="E67" s="129" t="s">
        <v>469</v>
      </c>
      <c r="F67" s="129" t="s">
        <v>593</v>
      </c>
      <c r="G67" s="109">
        <v>3</v>
      </c>
      <c r="H67" s="109">
        <v>3</v>
      </c>
      <c r="I67" s="109">
        <v>3</v>
      </c>
      <c r="J67" s="124">
        <f t="shared" si="6"/>
        <v>2.75</v>
      </c>
      <c r="K67" s="109">
        <v>2</v>
      </c>
      <c r="L67" s="109"/>
      <c r="M67" s="129" t="s">
        <v>1127</v>
      </c>
      <c r="N67" s="130" t="s">
        <v>1153</v>
      </c>
      <c r="O67" s="130" t="s">
        <v>1701</v>
      </c>
      <c r="P67" s="130" t="s">
        <v>1130</v>
      </c>
      <c r="Q67" s="130" t="s">
        <v>1203</v>
      </c>
      <c r="R67" s="130"/>
      <c r="S67" s="129" t="s">
        <v>584</v>
      </c>
      <c r="T67" s="109" t="str">
        <f t="shared" si="7"/>
        <v>2026Q4|NFR-08</v>
      </c>
      <c r="U67" s="123">
        <v>46303</v>
      </c>
      <c r="V67" s="129" t="s">
        <v>749</v>
      </c>
      <c r="W67" s="129" t="s">
        <v>753</v>
      </c>
      <c r="X67" s="123">
        <v>46303</v>
      </c>
      <c r="Y67" s="129" t="s">
        <v>1650</v>
      </c>
      <c r="Z67" s="129" t="s">
        <v>764</v>
      </c>
      <c r="AA67" s="130" t="s">
        <v>1156</v>
      </c>
      <c r="AB67" s="109"/>
      <c r="AC67" s="129" t="s">
        <v>776</v>
      </c>
      <c r="AD67" s="109"/>
      <c r="AE67" s="130"/>
      <c r="AF67" s="109" t="str">
        <f t="shared" si="8"/>
        <v/>
      </c>
    </row>
    <row r="68" spans="1:32" ht="189.45" x14ac:dyDescent="0.4">
      <c r="A68" s="129" t="s">
        <v>1650</v>
      </c>
      <c r="B68" s="123">
        <v>46387</v>
      </c>
      <c r="C68" s="129" t="s">
        <v>595</v>
      </c>
      <c r="D68" s="129" t="s">
        <v>596</v>
      </c>
      <c r="E68" s="129" t="s">
        <v>463</v>
      </c>
      <c r="F68" s="129" t="s">
        <v>597</v>
      </c>
      <c r="G68" s="109">
        <v>4</v>
      </c>
      <c r="H68" s="109">
        <v>3</v>
      </c>
      <c r="I68" s="109">
        <v>2</v>
      </c>
      <c r="J68" s="124">
        <f t="shared" si="6"/>
        <v>2.9</v>
      </c>
      <c r="K68" s="109">
        <v>2</v>
      </c>
      <c r="L68" s="109"/>
      <c r="M68" s="129" t="s">
        <v>1127</v>
      </c>
      <c r="N68" s="130" t="s">
        <v>1174</v>
      </c>
      <c r="O68" s="130" t="s">
        <v>1702</v>
      </c>
      <c r="P68" s="130" t="s">
        <v>1130</v>
      </c>
      <c r="Q68" s="130" t="s">
        <v>1560</v>
      </c>
      <c r="R68" s="130"/>
      <c r="S68" s="129" t="s">
        <v>569</v>
      </c>
      <c r="T68" s="109" t="str">
        <f t="shared" si="7"/>
        <v>2026Q4|NFR-09</v>
      </c>
      <c r="U68" s="123">
        <v>46303</v>
      </c>
      <c r="V68" s="129" t="s">
        <v>749</v>
      </c>
      <c r="W68" s="129" t="s">
        <v>753</v>
      </c>
      <c r="X68" s="123">
        <v>46303</v>
      </c>
      <c r="Y68" s="129" t="s">
        <v>1650</v>
      </c>
      <c r="Z68" s="129" t="s">
        <v>764</v>
      </c>
      <c r="AA68" s="130" t="s">
        <v>1177</v>
      </c>
      <c r="AB68" s="109"/>
      <c r="AC68" s="129" t="s">
        <v>776</v>
      </c>
      <c r="AD68" s="109"/>
      <c r="AE68" s="130"/>
      <c r="AF68" s="109" t="str">
        <f t="shared" si="8"/>
        <v/>
      </c>
    </row>
    <row r="69" spans="1:32" ht="204" x14ac:dyDescent="0.4">
      <c r="A69" s="129" t="s">
        <v>1650</v>
      </c>
      <c r="B69" s="123">
        <v>46387</v>
      </c>
      <c r="C69" s="129" t="s">
        <v>598</v>
      </c>
      <c r="D69" s="129" t="s">
        <v>599</v>
      </c>
      <c r="E69" s="129" t="s">
        <v>461</v>
      </c>
      <c r="F69" s="129" t="s">
        <v>600</v>
      </c>
      <c r="G69" s="109">
        <v>3</v>
      </c>
      <c r="H69" s="109">
        <v>3</v>
      </c>
      <c r="I69" s="109">
        <v>3</v>
      </c>
      <c r="J69" s="124">
        <f t="shared" si="6"/>
        <v>3</v>
      </c>
      <c r="K69" s="109">
        <v>3</v>
      </c>
      <c r="L69" s="109"/>
      <c r="M69" s="129" t="s">
        <v>1127</v>
      </c>
      <c r="N69" s="130" t="s">
        <v>1178</v>
      </c>
      <c r="O69" s="130" t="s">
        <v>1703</v>
      </c>
      <c r="P69" s="130" t="s">
        <v>1130</v>
      </c>
      <c r="Q69" s="130" t="s">
        <v>1562</v>
      </c>
      <c r="R69" s="130"/>
      <c r="S69" s="129" t="s">
        <v>601</v>
      </c>
      <c r="T69" s="109" t="str">
        <f t="shared" si="7"/>
        <v>2026Q4|NFR-10</v>
      </c>
      <c r="U69" s="123">
        <v>46303</v>
      </c>
      <c r="V69" s="129" t="s">
        <v>749</v>
      </c>
      <c r="W69" s="129" t="s">
        <v>753</v>
      </c>
      <c r="X69" s="123">
        <v>46303</v>
      </c>
      <c r="Y69" s="129" t="s">
        <v>1650</v>
      </c>
      <c r="Z69" s="129" t="s">
        <v>764</v>
      </c>
      <c r="AA69" s="130" t="s">
        <v>1140</v>
      </c>
      <c r="AB69" s="109"/>
      <c r="AC69" s="129" t="s">
        <v>776</v>
      </c>
      <c r="AD69" s="109"/>
      <c r="AE69" s="130"/>
      <c r="AF69" s="109" t="str">
        <f t="shared" si="8"/>
        <v/>
      </c>
    </row>
    <row r="70" spans="1:32" ht="218.6" x14ac:dyDescent="0.4">
      <c r="A70" s="129" t="s">
        <v>1650</v>
      </c>
      <c r="B70" s="123">
        <v>46387</v>
      </c>
      <c r="C70" s="129" t="s">
        <v>604</v>
      </c>
      <c r="D70" s="129" t="s">
        <v>605</v>
      </c>
      <c r="E70" s="129" t="s">
        <v>467</v>
      </c>
      <c r="F70" s="129" t="s">
        <v>578</v>
      </c>
      <c r="G70" s="109">
        <v>3</v>
      </c>
      <c r="H70" s="109">
        <v>2</v>
      </c>
      <c r="I70" s="109">
        <v>3</v>
      </c>
      <c r="J70" s="124">
        <f t="shared" si="6"/>
        <v>2.8</v>
      </c>
      <c r="K70" s="109">
        <v>3</v>
      </c>
      <c r="L70" s="109">
        <v>3</v>
      </c>
      <c r="M70" s="129" t="s">
        <v>1127</v>
      </c>
      <c r="N70" s="130" t="s">
        <v>1157</v>
      </c>
      <c r="O70" s="130" t="s">
        <v>1704</v>
      </c>
      <c r="P70" s="130" t="s">
        <v>1130</v>
      </c>
      <c r="Q70" s="130" t="s">
        <v>1564</v>
      </c>
      <c r="R70" s="130"/>
      <c r="S70" s="129" t="s">
        <v>606</v>
      </c>
      <c r="T70" s="109" t="str">
        <f t="shared" si="7"/>
        <v>2026Q4|NFR-11</v>
      </c>
      <c r="U70" s="123">
        <v>46303</v>
      </c>
      <c r="V70" s="129" t="s">
        <v>749</v>
      </c>
      <c r="W70" s="129" t="s">
        <v>753</v>
      </c>
      <c r="X70" s="123">
        <v>46303</v>
      </c>
      <c r="Y70" s="129" t="s">
        <v>1650</v>
      </c>
      <c r="Z70" s="129" t="s">
        <v>764</v>
      </c>
      <c r="AA70" s="130" t="s">
        <v>1160</v>
      </c>
      <c r="AB70" s="109"/>
      <c r="AC70" s="129" t="s">
        <v>776</v>
      </c>
      <c r="AD70" s="109"/>
      <c r="AE70" s="130"/>
      <c r="AF70" s="109" t="str">
        <f t="shared" si="8"/>
        <v/>
      </c>
    </row>
    <row r="71" spans="1:32" ht="204" x14ac:dyDescent="0.4">
      <c r="A71" s="129" t="s">
        <v>1650</v>
      </c>
      <c r="B71" s="123">
        <v>46387</v>
      </c>
      <c r="C71" s="129" t="s">
        <v>611</v>
      </c>
      <c r="D71" s="129" t="s">
        <v>612</v>
      </c>
      <c r="E71" s="129" t="s">
        <v>478</v>
      </c>
      <c r="F71" s="129" t="s">
        <v>578</v>
      </c>
      <c r="G71" s="109">
        <v>3</v>
      </c>
      <c r="H71" s="109">
        <v>4</v>
      </c>
      <c r="I71" s="109">
        <v>4</v>
      </c>
      <c r="J71" s="124">
        <f t="shared" si="6"/>
        <v>3.65</v>
      </c>
      <c r="K71" s="109">
        <v>4</v>
      </c>
      <c r="L71" s="109"/>
      <c r="M71" s="129" t="s">
        <v>1127</v>
      </c>
      <c r="N71" s="130" t="s">
        <v>1161</v>
      </c>
      <c r="O71" s="130" t="s">
        <v>1705</v>
      </c>
      <c r="P71" s="130" t="s">
        <v>1130</v>
      </c>
      <c r="Q71" s="130" t="s">
        <v>1566</v>
      </c>
      <c r="R71" s="130"/>
      <c r="S71" s="129" t="s">
        <v>579</v>
      </c>
      <c r="T71" s="109" t="str">
        <f t="shared" si="7"/>
        <v>2026Q4|NFR-12</v>
      </c>
      <c r="U71" s="123">
        <v>46303</v>
      </c>
      <c r="V71" s="129" t="s">
        <v>749</v>
      </c>
      <c r="W71" s="129" t="s">
        <v>753</v>
      </c>
      <c r="X71" s="123">
        <v>46303</v>
      </c>
      <c r="Y71" s="129" t="s">
        <v>1650</v>
      </c>
      <c r="Z71" s="129" t="s">
        <v>764</v>
      </c>
      <c r="AA71" s="130" t="s">
        <v>1207</v>
      </c>
      <c r="AB71" s="109"/>
      <c r="AC71" s="129" t="s">
        <v>776</v>
      </c>
      <c r="AD71" s="109"/>
      <c r="AE71" s="130"/>
      <c r="AF71" s="109" t="str">
        <f t="shared" si="8"/>
        <v/>
      </c>
    </row>
    <row r="72" spans="1:32" ht="262.3" x14ac:dyDescent="0.4">
      <c r="A72" s="129" t="s">
        <v>1650</v>
      </c>
      <c r="B72" s="123">
        <v>46387</v>
      </c>
      <c r="C72" s="129" t="s">
        <v>1567</v>
      </c>
      <c r="D72" s="129" t="s">
        <v>1568</v>
      </c>
      <c r="E72" s="129" t="s">
        <v>476</v>
      </c>
      <c r="F72" s="129" t="s">
        <v>1569</v>
      </c>
      <c r="G72" s="109">
        <v>3</v>
      </c>
      <c r="H72" s="109">
        <v>3</v>
      </c>
      <c r="I72" s="109">
        <v>2</v>
      </c>
      <c r="J72" s="124">
        <f t="shared" si="6"/>
        <v>2.8</v>
      </c>
      <c r="K72" s="109">
        <v>3</v>
      </c>
      <c r="L72" s="109"/>
      <c r="M72" s="129" t="s">
        <v>721</v>
      </c>
      <c r="N72" s="130" t="s">
        <v>1706</v>
      </c>
      <c r="O72" s="130" t="s">
        <v>1707</v>
      </c>
      <c r="P72" s="130" t="s">
        <v>1708</v>
      </c>
      <c r="Q72" s="130" t="s">
        <v>1709</v>
      </c>
      <c r="R72" s="130"/>
      <c r="S72" s="129" t="s">
        <v>1573</v>
      </c>
      <c r="T72" s="109" t="str">
        <f t="shared" si="7"/>
        <v>2026Q4|NFR-16</v>
      </c>
      <c r="U72" s="123">
        <v>46303</v>
      </c>
      <c r="V72" s="129" t="s">
        <v>749</v>
      </c>
      <c r="W72" s="129" t="s">
        <v>753</v>
      </c>
      <c r="X72" s="123">
        <v>46303</v>
      </c>
      <c r="Y72" s="129" t="s">
        <v>1650</v>
      </c>
      <c r="Z72" s="129" t="s">
        <v>764</v>
      </c>
      <c r="AA72" s="130" t="s">
        <v>1144</v>
      </c>
      <c r="AB72" s="129" t="s">
        <v>1710</v>
      </c>
      <c r="AC72" s="129" t="s">
        <v>776</v>
      </c>
      <c r="AD72" s="109"/>
      <c r="AE72" s="130"/>
      <c r="AF72" s="109" t="str">
        <f t="shared" si="8"/>
        <v/>
      </c>
    </row>
    <row r="73" spans="1:32" ht="189.45" x14ac:dyDescent="0.4">
      <c r="A73" s="129" t="s">
        <v>1650</v>
      </c>
      <c r="B73" s="123">
        <v>46387</v>
      </c>
      <c r="C73" s="129" t="s">
        <v>1190</v>
      </c>
      <c r="D73" s="129" t="s">
        <v>1191</v>
      </c>
      <c r="E73" s="129" t="s">
        <v>467</v>
      </c>
      <c r="F73" s="129" t="s">
        <v>1192</v>
      </c>
      <c r="G73" s="109">
        <v>4</v>
      </c>
      <c r="H73" s="109">
        <v>4</v>
      </c>
      <c r="I73" s="109">
        <v>1</v>
      </c>
      <c r="J73" s="124">
        <f t="shared" si="6"/>
        <v>3.15</v>
      </c>
      <c r="K73" s="109">
        <v>3</v>
      </c>
      <c r="L73" s="109"/>
      <c r="M73" s="129" t="s">
        <v>721</v>
      </c>
      <c r="N73" s="130" t="s">
        <v>1193</v>
      </c>
      <c r="O73" s="130" t="s">
        <v>1711</v>
      </c>
      <c r="P73" s="130" t="s">
        <v>1712</v>
      </c>
      <c r="Q73" s="130" t="s">
        <v>1713</v>
      </c>
      <c r="R73" s="130"/>
      <c r="S73" s="129" t="s">
        <v>1573</v>
      </c>
      <c r="T73" s="109" t="str">
        <f t="shared" si="7"/>
        <v>2026Q4|NFR-14</v>
      </c>
      <c r="U73" s="123">
        <v>46303</v>
      </c>
      <c r="V73" s="129" t="s">
        <v>749</v>
      </c>
      <c r="W73" s="129" t="s">
        <v>753</v>
      </c>
      <c r="X73" s="123">
        <v>46303</v>
      </c>
      <c r="Y73" s="129" t="s">
        <v>1650</v>
      </c>
      <c r="Z73" s="129" t="s">
        <v>102</v>
      </c>
      <c r="AA73" s="130" t="s">
        <v>1210</v>
      </c>
      <c r="AB73" s="129"/>
      <c r="AC73" s="129" t="s">
        <v>776</v>
      </c>
      <c r="AD73" s="109">
        <v>4</v>
      </c>
      <c r="AE73" s="130" t="s">
        <v>1195</v>
      </c>
      <c r="AF73" s="109">
        <f t="shared" si="8"/>
        <v>315000.99992700003</v>
      </c>
    </row>
    <row r="74" spans="1:32" ht="145.75" x14ac:dyDescent="0.4">
      <c r="A74" s="129" t="s">
        <v>1650</v>
      </c>
      <c r="B74" s="123">
        <v>46387</v>
      </c>
      <c r="C74" s="129" t="s">
        <v>1182</v>
      </c>
      <c r="D74" s="129" t="s">
        <v>1183</v>
      </c>
      <c r="E74" s="129" t="s">
        <v>469</v>
      </c>
      <c r="F74" s="129" t="s">
        <v>1184</v>
      </c>
      <c r="G74" s="109">
        <v>5</v>
      </c>
      <c r="H74" s="109"/>
      <c r="I74" s="109">
        <v>1</v>
      </c>
      <c r="J74" s="124">
        <f t="shared" si="6"/>
        <v>2.75</v>
      </c>
      <c r="K74" s="109">
        <v>1</v>
      </c>
      <c r="L74" s="109"/>
      <c r="M74" s="129" t="s">
        <v>1127</v>
      </c>
      <c r="N74" s="130" t="s">
        <v>1185</v>
      </c>
      <c r="O74" s="130" t="s">
        <v>1714</v>
      </c>
      <c r="P74" s="130" t="s">
        <v>1130</v>
      </c>
      <c r="Q74" s="130" t="s">
        <v>1715</v>
      </c>
      <c r="R74" s="130"/>
      <c r="S74" s="129" t="s">
        <v>1573</v>
      </c>
      <c r="T74" s="109" t="str">
        <f t="shared" si="7"/>
        <v>2026Q4|NFR-13</v>
      </c>
      <c r="U74" s="123">
        <v>46303</v>
      </c>
      <c r="V74" s="129" t="s">
        <v>749</v>
      </c>
      <c r="W74" s="129" t="s">
        <v>753</v>
      </c>
      <c r="X74" s="123">
        <v>46303</v>
      </c>
      <c r="Y74" s="129" t="s">
        <v>1650</v>
      </c>
      <c r="Z74" s="129" t="s">
        <v>102</v>
      </c>
      <c r="AA74" s="130" t="s">
        <v>1188</v>
      </c>
      <c r="AB74" s="129"/>
      <c r="AC74" s="129" t="s">
        <v>776</v>
      </c>
      <c r="AD74" s="109">
        <v>8</v>
      </c>
      <c r="AE74" s="130" t="s">
        <v>1189</v>
      </c>
      <c r="AF74" s="109">
        <f t="shared" si="8"/>
        <v>275000.99992600002</v>
      </c>
    </row>
    <row r="75" spans="1:32" ht="72.900000000000006" x14ac:dyDescent="0.4">
      <c r="A75" s="129" t="s">
        <v>1650</v>
      </c>
      <c r="B75" s="123">
        <v>46387</v>
      </c>
      <c r="C75" s="129" t="s">
        <v>1211</v>
      </c>
      <c r="D75" s="129" t="s">
        <v>1212</v>
      </c>
      <c r="E75" s="129" t="s">
        <v>463</v>
      </c>
      <c r="F75" s="129" t="s">
        <v>600</v>
      </c>
      <c r="G75" s="109">
        <v>3</v>
      </c>
      <c r="H75" s="109"/>
      <c r="I75" s="109">
        <v>2</v>
      </c>
      <c r="J75" s="124">
        <f t="shared" si="6"/>
        <v>2.13</v>
      </c>
      <c r="K75" s="109">
        <v>1</v>
      </c>
      <c r="L75" s="109"/>
      <c r="M75" s="129" t="s">
        <v>1127</v>
      </c>
      <c r="N75" s="130" t="s">
        <v>1213</v>
      </c>
      <c r="O75" s="130" t="s">
        <v>1214</v>
      </c>
      <c r="P75" s="130" t="s">
        <v>1130</v>
      </c>
      <c r="Q75" s="130" t="s">
        <v>1215</v>
      </c>
      <c r="R75" s="130"/>
      <c r="S75" s="129" t="s">
        <v>601</v>
      </c>
      <c r="T75" s="109" t="str">
        <f t="shared" si="7"/>
        <v>2026Q4|NFR-15</v>
      </c>
      <c r="U75" s="123">
        <v>46303</v>
      </c>
      <c r="V75" s="129" t="s">
        <v>749</v>
      </c>
      <c r="W75" s="129" t="s">
        <v>753</v>
      </c>
      <c r="X75" s="123">
        <v>46218</v>
      </c>
      <c r="Y75" s="129" t="s">
        <v>608</v>
      </c>
      <c r="Z75" s="129" t="s">
        <v>102</v>
      </c>
      <c r="AA75" s="130" t="s">
        <v>1216</v>
      </c>
      <c r="AB75" s="129"/>
      <c r="AC75" s="129" t="s">
        <v>776</v>
      </c>
      <c r="AD75" s="109">
        <v>4</v>
      </c>
      <c r="AE75" s="130" t="s">
        <v>1217</v>
      </c>
      <c r="AF75" s="109">
        <f t="shared" si="8"/>
        <v>213000.99992500001</v>
      </c>
    </row>
  </sheetData>
  <mergeCells count="9">
    <mergeCell ref="AD3:AE3"/>
    <mergeCell ref="A2:L2"/>
    <mergeCell ref="A1:L1"/>
    <mergeCell ref="N3:Q3"/>
    <mergeCell ref="R3:S3"/>
    <mergeCell ref="A3:I3"/>
    <mergeCell ref="V3:X3"/>
    <mergeCell ref="Y3:AB3"/>
    <mergeCell ref="K3:L3"/>
  </mergeCells>
  <dataValidations count="4">
    <dataValidation type="list" allowBlank="1" sqref="E6:E20032" xr:uid="{00000000-0002-0000-1100-000000000000}">
      <formula1>codiciL1</formula1>
    </dataValidation>
    <dataValidation type="list" allowBlank="1" sqref="M6:M20032" xr:uid="{00000000-0002-0000-1100-000001000000}">
      <formula1>"Confermato,Variato,Nuovo"</formula1>
    </dataValidation>
    <dataValidation type="list" allowBlank="1" sqref="Z6:Z20032" xr:uid="{00000000-0002-0000-1100-000002000000}">
      <formula1>"Radar,Radar, in uscita,Osservazione,Dismesso"</formula1>
    </dataValidation>
    <dataValidation type="list" allowBlank="1" sqref="AC6:AC20032" xr:uid="{00000000-0002-0000-1100-000003000000}">
      <formula1>"Automatico,Radar,Osservazione"</formula1>
    </dataValidation>
  </dataValidation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6A6A6"/>
  </sheetPr>
  <dimension ref="A1:L46"/>
  <sheetViews>
    <sheetView workbookViewId="0"/>
  </sheetViews>
  <sheetFormatPr defaultRowHeight="14.6" x14ac:dyDescent="0.4"/>
  <cols>
    <col min="1" max="3" width="15" customWidth="1"/>
    <col min="4" max="4" width="50" customWidth="1"/>
    <col min="5" max="7" width="15" customWidth="1"/>
    <col min="8" max="8" width="50" customWidth="1"/>
    <col min="9" max="12" width="15" customWidth="1"/>
  </cols>
  <sheetData>
    <row r="1" spans="1:12" ht="28" customHeight="1" x14ac:dyDescent="0.4">
      <c r="A1" s="161" t="str">
        <f>"Horizon Scan NFR — Azioni — azioni di mitigazione proposte e loro stato   ·   "&amp;etichettaCiclo</f>
        <v>Horizon Scan NFR — Azioni — azioni di mitigazione proposte e loro stato   ·   Ciclo 2026Q4 · dati al 31/12/2026 · validato · Uso interno</v>
      </c>
      <c r="B1" s="162"/>
      <c r="C1" s="162"/>
      <c r="D1" s="162"/>
      <c r="E1" s="162"/>
      <c r="F1" s="162"/>
      <c r="G1" s="162"/>
      <c r="H1" s="162"/>
      <c r="I1" s="162"/>
      <c r="J1" s="162"/>
      <c r="K1" s="162"/>
      <c r="L1" s="162"/>
    </row>
    <row r="2" spans="1:12" ht="72.55" customHeight="1" x14ac:dyDescent="0.4">
      <c r="A2" s="173" t="s">
        <v>1218</v>
      </c>
      <c r="B2" s="142"/>
      <c r="C2" s="142"/>
      <c r="D2" s="142"/>
      <c r="E2" s="142"/>
      <c r="F2" s="142"/>
      <c r="G2" s="142"/>
      <c r="H2" s="142"/>
    </row>
    <row r="3" spans="1:12" x14ac:dyDescent="0.4">
      <c r="A3" s="214" t="s">
        <v>1091</v>
      </c>
      <c r="B3" s="142"/>
      <c r="C3" s="119" t="s">
        <v>1093</v>
      </c>
      <c r="D3" s="214" t="s">
        <v>1091</v>
      </c>
      <c r="E3" s="142"/>
      <c r="F3" s="142"/>
      <c r="G3" s="119" t="s">
        <v>1092</v>
      </c>
      <c r="H3" s="118" t="s">
        <v>1091</v>
      </c>
      <c r="I3" s="216" t="s">
        <v>1094</v>
      </c>
      <c r="J3" s="142"/>
      <c r="K3" s="142"/>
      <c r="L3" s="142"/>
    </row>
    <row r="4" spans="1:12" ht="80.05" customHeight="1" x14ac:dyDescent="0.4">
      <c r="A4" s="121" t="s">
        <v>1219</v>
      </c>
      <c r="B4" s="121" t="s">
        <v>1220</v>
      </c>
      <c r="C4" s="121" t="s">
        <v>1221</v>
      </c>
      <c r="D4" s="121" t="s">
        <v>1222</v>
      </c>
      <c r="E4" s="121" t="s">
        <v>1223</v>
      </c>
      <c r="F4" s="121" t="s">
        <v>1224</v>
      </c>
      <c r="G4" s="121" t="s">
        <v>1225</v>
      </c>
      <c r="H4" s="121" t="s">
        <v>1226</v>
      </c>
      <c r="I4" s="121" t="s">
        <v>1227</v>
      </c>
      <c r="J4" s="121" t="s">
        <v>1228</v>
      </c>
      <c r="K4" s="121" t="s">
        <v>1229</v>
      </c>
      <c r="L4" s="121" t="s">
        <v>1230</v>
      </c>
    </row>
    <row r="5" spans="1:12" x14ac:dyDescent="0.4">
      <c r="A5" s="122" t="s">
        <v>451</v>
      </c>
      <c r="B5" s="122" t="s">
        <v>688</v>
      </c>
      <c r="C5" s="62" t="s">
        <v>788</v>
      </c>
      <c r="D5" s="122" t="s">
        <v>536</v>
      </c>
      <c r="E5" s="122" t="s">
        <v>181</v>
      </c>
      <c r="F5" s="122" t="s">
        <v>267</v>
      </c>
      <c r="G5" s="62" t="s">
        <v>798</v>
      </c>
      <c r="H5" s="122" t="s">
        <v>724</v>
      </c>
      <c r="I5" s="60" t="s">
        <v>444</v>
      </c>
      <c r="J5" s="60" t="s">
        <v>807</v>
      </c>
      <c r="K5" s="60" t="s">
        <v>810</v>
      </c>
      <c r="L5" s="60" t="s">
        <v>9</v>
      </c>
    </row>
    <row r="6" spans="1:12" ht="29.15" x14ac:dyDescent="0.4">
      <c r="A6" s="109" t="s">
        <v>608</v>
      </c>
      <c r="B6" s="109" t="s">
        <v>554</v>
      </c>
      <c r="C6" s="109" t="s">
        <v>791</v>
      </c>
      <c r="D6" s="125" t="s">
        <v>1231</v>
      </c>
      <c r="E6" s="109" t="s">
        <v>557</v>
      </c>
      <c r="F6" s="109" t="s">
        <v>797</v>
      </c>
      <c r="G6" s="109">
        <f t="shared" ref="G6:G17" si="0">IFERROR(VALUE(LEFT(F6,FIND(" ",F6)-1)),"")</f>
        <v>6</v>
      </c>
      <c r="H6" s="125" t="s">
        <v>1232</v>
      </c>
      <c r="I6" s="109" t="s">
        <v>806</v>
      </c>
      <c r="J6" s="123">
        <v>46218</v>
      </c>
      <c r="K6" s="109" t="s">
        <v>749</v>
      </c>
      <c r="L6" s="109" t="s">
        <v>753</v>
      </c>
    </row>
    <row r="7" spans="1:12" ht="29.15" x14ac:dyDescent="0.4">
      <c r="A7" s="109" t="s">
        <v>608</v>
      </c>
      <c r="B7" s="109" t="s">
        <v>560</v>
      </c>
      <c r="C7" s="109" t="s">
        <v>1233</v>
      </c>
      <c r="D7" s="125" t="s">
        <v>1234</v>
      </c>
      <c r="E7" s="109" t="s">
        <v>563</v>
      </c>
      <c r="F7" s="109" t="s">
        <v>1235</v>
      </c>
      <c r="G7" s="109">
        <f t="shared" si="0"/>
        <v>12</v>
      </c>
      <c r="H7" s="125" t="s">
        <v>1236</v>
      </c>
      <c r="I7" s="109" t="s">
        <v>806</v>
      </c>
      <c r="J7" s="123">
        <v>46218</v>
      </c>
      <c r="K7" s="109" t="s">
        <v>749</v>
      </c>
      <c r="L7" s="109" t="s">
        <v>753</v>
      </c>
    </row>
    <row r="8" spans="1:12" ht="29.15" x14ac:dyDescent="0.4">
      <c r="A8" s="109" t="s">
        <v>608</v>
      </c>
      <c r="B8" s="109" t="s">
        <v>566</v>
      </c>
      <c r="C8" s="109" t="s">
        <v>1237</v>
      </c>
      <c r="D8" s="125" t="s">
        <v>1238</v>
      </c>
      <c r="E8" s="109" t="s">
        <v>569</v>
      </c>
      <c r="F8" s="109" t="s">
        <v>797</v>
      </c>
      <c r="G8" s="109">
        <f t="shared" si="0"/>
        <v>6</v>
      </c>
      <c r="H8" s="125" t="s">
        <v>1239</v>
      </c>
      <c r="I8" s="109" t="s">
        <v>806</v>
      </c>
      <c r="J8" s="123">
        <v>46218</v>
      </c>
      <c r="K8" s="109" t="s">
        <v>749</v>
      </c>
      <c r="L8" s="109" t="s">
        <v>753</v>
      </c>
    </row>
    <row r="9" spans="1:12" ht="29.15" x14ac:dyDescent="0.4">
      <c r="A9" s="109" t="s">
        <v>608</v>
      </c>
      <c r="B9" s="109" t="s">
        <v>572</v>
      </c>
      <c r="C9" s="109" t="s">
        <v>1240</v>
      </c>
      <c r="D9" s="125" t="s">
        <v>1241</v>
      </c>
      <c r="E9" s="109" t="s">
        <v>575</v>
      </c>
      <c r="F9" s="109" t="s">
        <v>1235</v>
      </c>
      <c r="G9" s="109">
        <f t="shared" si="0"/>
        <v>12</v>
      </c>
      <c r="H9" s="125" t="s">
        <v>1242</v>
      </c>
      <c r="I9" s="109" t="s">
        <v>806</v>
      </c>
      <c r="J9" s="123">
        <v>46218</v>
      </c>
      <c r="K9" s="109" t="s">
        <v>749</v>
      </c>
      <c r="L9" s="109" t="s">
        <v>753</v>
      </c>
    </row>
    <row r="10" spans="1:12" ht="29.15" x14ac:dyDescent="0.4">
      <c r="A10" s="109" t="s">
        <v>608</v>
      </c>
      <c r="B10" s="109" t="s">
        <v>576</v>
      </c>
      <c r="C10" s="109" t="s">
        <v>1243</v>
      </c>
      <c r="D10" s="125" t="s">
        <v>1244</v>
      </c>
      <c r="E10" s="109" t="s">
        <v>579</v>
      </c>
      <c r="F10" s="109" t="s">
        <v>1245</v>
      </c>
      <c r="G10" s="109">
        <f t="shared" si="0"/>
        <v>3</v>
      </c>
      <c r="H10" s="125" t="s">
        <v>1246</v>
      </c>
      <c r="I10" s="109" t="s">
        <v>1247</v>
      </c>
      <c r="J10" s="123">
        <v>46218</v>
      </c>
      <c r="K10" s="109" t="s">
        <v>749</v>
      </c>
      <c r="L10" s="109" t="s">
        <v>1248</v>
      </c>
    </row>
    <row r="11" spans="1:12" ht="29.15" x14ac:dyDescent="0.4">
      <c r="A11" s="109" t="s">
        <v>608</v>
      </c>
      <c r="B11" s="109" t="s">
        <v>581</v>
      </c>
      <c r="C11" s="109" t="s">
        <v>1249</v>
      </c>
      <c r="D11" s="125" t="s">
        <v>1250</v>
      </c>
      <c r="E11" s="109" t="s">
        <v>584</v>
      </c>
      <c r="F11" s="109" t="s">
        <v>1245</v>
      </c>
      <c r="G11" s="109">
        <f t="shared" si="0"/>
        <v>3</v>
      </c>
      <c r="H11" s="125" t="s">
        <v>1251</v>
      </c>
      <c r="I11" s="109" t="s">
        <v>806</v>
      </c>
      <c r="J11" s="123">
        <v>46218</v>
      </c>
      <c r="K11" s="109" t="s">
        <v>749</v>
      </c>
      <c r="L11" s="109" t="s">
        <v>753</v>
      </c>
    </row>
    <row r="12" spans="1:12" ht="29.15" x14ac:dyDescent="0.4">
      <c r="A12" s="109" t="s">
        <v>608</v>
      </c>
      <c r="B12" s="109" t="s">
        <v>587</v>
      </c>
      <c r="C12" s="109" t="s">
        <v>1252</v>
      </c>
      <c r="D12" s="125" t="s">
        <v>1253</v>
      </c>
      <c r="E12" s="109" t="s">
        <v>563</v>
      </c>
      <c r="F12" s="109" t="s">
        <v>797</v>
      </c>
      <c r="G12" s="109">
        <f t="shared" si="0"/>
        <v>6</v>
      </c>
      <c r="H12" s="125" t="s">
        <v>1254</v>
      </c>
      <c r="I12" s="109" t="s">
        <v>806</v>
      </c>
      <c r="J12" s="123">
        <v>46218</v>
      </c>
      <c r="K12" s="109" t="s">
        <v>749</v>
      </c>
      <c r="L12" s="109" t="s">
        <v>753</v>
      </c>
    </row>
    <row r="13" spans="1:12" ht="29.15" x14ac:dyDescent="0.4">
      <c r="A13" s="109" t="s">
        <v>608</v>
      </c>
      <c r="B13" s="109" t="s">
        <v>591</v>
      </c>
      <c r="C13" s="109" t="s">
        <v>1255</v>
      </c>
      <c r="D13" s="125" t="s">
        <v>1256</v>
      </c>
      <c r="E13" s="109" t="s">
        <v>584</v>
      </c>
      <c r="F13" s="109" t="s">
        <v>1245</v>
      </c>
      <c r="G13" s="109">
        <f t="shared" si="0"/>
        <v>3</v>
      </c>
      <c r="H13" s="125" t="s">
        <v>1257</v>
      </c>
      <c r="I13" s="109" t="s">
        <v>806</v>
      </c>
      <c r="J13" s="123">
        <v>46218</v>
      </c>
      <c r="K13" s="109" t="s">
        <v>749</v>
      </c>
      <c r="L13" s="109" t="s">
        <v>753</v>
      </c>
    </row>
    <row r="14" spans="1:12" ht="29.15" x14ac:dyDescent="0.4">
      <c r="A14" s="109" t="s">
        <v>608</v>
      </c>
      <c r="B14" s="109" t="s">
        <v>595</v>
      </c>
      <c r="C14" s="109" t="s">
        <v>1258</v>
      </c>
      <c r="D14" s="125" t="s">
        <v>1259</v>
      </c>
      <c r="E14" s="109" t="s">
        <v>569</v>
      </c>
      <c r="F14" s="109" t="s">
        <v>1235</v>
      </c>
      <c r="G14" s="109">
        <f t="shared" si="0"/>
        <v>12</v>
      </c>
      <c r="H14" s="125" t="s">
        <v>1260</v>
      </c>
      <c r="I14" s="109" t="s">
        <v>806</v>
      </c>
      <c r="J14" s="123">
        <v>46218</v>
      </c>
      <c r="K14" s="109" t="s">
        <v>749</v>
      </c>
      <c r="L14" s="109" t="s">
        <v>753</v>
      </c>
    </row>
    <row r="15" spans="1:12" ht="29.15" x14ac:dyDescent="0.4">
      <c r="A15" s="109" t="s">
        <v>608</v>
      </c>
      <c r="B15" s="109" t="s">
        <v>598</v>
      </c>
      <c r="C15" s="109" t="s">
        <v>1261</v>
      </c>
      <c r="D15" s="125" t="s">
        <v>1262</v>
      </c>
      <c r="E15" s="109" t="s">
        <v>601</v>
      </c>
      <c r="F15" s="109" t="s">
        <v>1245</v>
      </c>
      <c r="G15" s="109">
        <f t="shared" si="0"/>
        <v>3</v>
      </c>
      <c r="H15" s="125" t="s">
        <v>1263</v>
      </c>
      <c r="I15" s="109" t="s">
        <v>806</v>
      </c>
      <c r="J15" s="123">
        <v>46218</v>
      </c>
      <c r="K15" s="109" t="s">
        <v>749</v>
      </c>
      <c r="L15" s="109" t="s">
        <v>753</v>
      </c>
    </row>
    <row r="16" spans="1:12" ht="29.15" x14ac:dyDescent="0.4">
      <c r="A16" s="109" t="s">
        <v>608</v>
      </c>
      <c r="B16" s="109" t="s">
        <v>604</v>
      </c>
      <c r="C16" s="109" t="s">
        <v>1264</v>
      </c>
      <c r="D16" s="125" t="s">
        <v>1265</v>
      </c>
      <c r="E16" s="109" t="s">
        <v>606</v>
      </c>
      <c r="F16" s="109" t="s">
        <v>1235</v>
      </c>
      <c r="G16" s="109">
        <f t="shared" si="0"/>
        <v>12</v>
      </c>
      <c r="H16" s="125" t="s">
        <v>1266</v>
      </c>
      <c r="I16" s="109" t="s">
        <v>806</v>
      </c>
      <c r="J16" s="123">
        <v>46218</v>
      </c>
      <c r="K16" s="109" t="s">
        <v>749</v>
      </c>
      <c r="L16" s="109" t="s">
        <v>753</v>
      </c>
    </row>
    <row r="17" spans="1:12" ht="29.15" x14ac:dyDescent="0.4">
      <c r="A17" s="109" t="s">
        <v>608</v>
      </c>
      <c r="B17" s="109" t="s">
        <v>611</v>
      </c>
      <c r="C17" s="109" t="s">
        <v>1267</v>
      </c>
      <c r="D17" s="125" t="s">
        <v>1268</v>
      </c>
      <c r="E17" s="109" t="s">
        <v>579</v>
      </c>
      <c r="F17" s="109" t="s">
        <v>1245</v>
      </c>
      <c r="G17" s="109">
        <f t="shared" si="0"/>
        <v>3</v>
      </c>
      <c r="H17" s="125" t="s">
        <v>1269</v>
      </c>
      <c r="I17" s="109" t="s">
        <v>806</v>
      </c>
      <c r="J17" s="123">
        <v>46218</v>
      </c>
      <c r="K17" s="109" t="s">
        <v>749</v>
      </c>
      <c r="L17" s="109" t="s">
        <v>753</v>
      </c>
    </row>
    <row r="18" spans="1:12" ht="29.15" x14ac:dyDescent="0.4">
      <c r="A18" s="129" t="s">
        <v>1505</v>
      </c>
      <c r="B18" s="129" t="s">
        <v>554</v>
      </c>
      <c r="C18" s="129" t="s">
        <v>1575</v>
      </c>
      <c r="D18" s="130" t="s">
        <v>1576</v>
      </c>
      <c r="E18" s="129" t="s">
        <v>557</v>
      </c>
      <c r="F18" s="129" t="s">
        <v>1245</v>
      </c>
      <c r="G18" s="109">
        <f t="shared" ref="G18:G32" si="1">IFERROR(VALUE(LEFT(F18,FIND(" ",F18)-1)),"")</f>
        <v>3</v>
      </c>
      <c r="H18" s="130" t="s">
        <v>1577</v>
      </c>
      <c r="I18" s="129" t="s">
        <v>806</v>
      </c>
      <c r="J18" s="123">
        <v>46303</v>
      </c>
      <c r="K18" s="129" t="s">
        <v>749</v>
      </c>
      <c r="L18" s="129" t="s">
        <v>753</v>
      </c>
    </row>
    <row r="19" spans="1:12" ht="29.15" x14ac:dyDescent="0.4">
      <c r="A19" s="129" t="s">
        <v>1505</v>
      </c>
      <c r="B19" s="129" t="s">
        <v>554</v>
      </c>
      <c r="C19" s="129" t="s">
        <v>1578</v>
      </c>
      <c r="D19" s="130" t="s">
        <v>1579</v>
      </c>
      <c r="E19" s="129" t="s">
        <v>1580</v>
      </c>
      <c r="F19" s="129" t="s">
        <v>797</v>
      </c>
      <c r="G19" s="109">
        <f t="shared" si="1"/>
        <v>6</v>
      </c>
      <c r="H19" s="130" t="s">
        <v>1581</v>
      </c>
      <c r="I19" s="129" t="s">
        <v>806</v>
      </c>
      <c r="J19" s="123">
        <v>46303</v>
      </c>
      <c r="K19" s="129" t="s">
        <v>749</v>
      </c>
      <c r="L19" s="129" t="s">
        <v>753</v>
      </c>
    </row>
    <row r="20" spans="1:12" ht="29.15" x14ac:dyDescent="0.4">
      <c r="A20" s="129" t="s">
        <v>1505</v>
      </c>
      <c r="B20" s="129" t="s">
        <v>560</v>
      </c>
      <c r="C20" s="129" t="s">
        <v>1582</v>
      </c>
      <c r="D20" s="130" t="s">
        <v>1583</v>
      </c>
      <c r="E20" s="129" t="s">
        <v>563</v>
      </c>
      <c r="F20" s="129" t="s">
        <v>1245</v>
      </c>
      <c r="G20" s="109">
        <f t="shared" si="1"/>
        <v>3</v>
      </c>
      <c r="H20" s="130" t="s">
        <v>1584</v>
      </c>
      <c r="I20" s="129" t="s">
        <v>806</v>
      </c>
      <c r="J20" s="123">
        <v>46303</v>
      </c>
      <c r="K20" s="129" t="s">
        <v>749</v>
      </c>
      <c r="L20" s="129" t="s">
        <v>753</v>
      </c>
    </row>
    <row r="21" spans="1:12" ht="29.15" x14ac:dyDescent="0.4">
      <c r="A21" s="129" t="s">
        <v>1505</v>
      </c>
      <c r="B21" s="129" t="s">
        <v>560</v>
      </c>
      <c r="C21" s="129" t="s">
        <v>1585</v>
      </c>
      <c r="D21" s="130" t="s">
        <v>1586</v>
      </c>
      <c r="E21" s="129" t="s">
        <v>1587</v>
      </c>
      <c r="F21" s="129" t="s">
        <v>1235</v>
      </c>
      <c r="G21" s="109">
        <f t="shared" si="1"/>
        <v>12</v>
      </c>
      <c r="H21" s="130" t="s">
        <v>1588</v>
      </c>
      <c r="I21" s="129" t="s">
        <v>806</v>
      </c>
      <c r="J21" s="123">
        <v>46303</v>
      </c>
      <c r="K21" s="129" t="s">
        <v>749</v>
      </c>
      <c r="L21" s="129" t="s">
        <v>753</v>
      </c>
    </row>
    <row r="22" spans="1:12" ht="29.15" x14ac:dyDescent="0.4">
      <c r="A22" s="129" t="s">
        <v>1505</v>
      </c>
      <c r="B22" s="129" t="s">
        <v>566</v>
      </c>
      <c r="C22" s="129" t="s">
        <v>1589</v>
      </c>
      <c r="D22" s="130" t="s">
        <v>1590</v>
      </c>
      <c r="E22" s="129" t="s">
        <v>569</v>
      </c>
      <c r="F22" s="129" t="s">
        <v>1245</v>
      </c>
      <c r="G22" s="109">
        <f t="shared" si="1"/>
        <v>3</v>
      </c>
      <c r="H22" s="130" t="s">
        <v>1591</v>
      </c>
      <c r="I22" s="129" t="s">
        <v>806</v>
      </c>
      <c r="J22" s="123">
        <v>46303</v>
      </c>
      <c r="K22" s="129" t="s">
        <v>749</v>
      </c>
      <c r="L22" s="129" t="s">
        <v>753</v>
      </c>
    </row>
    <row r="23" spans="1:12" ht="43.75" x14ac:dyDescent="0.4">
      <c r="A23" s="129" t="s">
        <v>1505</v>
      </c>
      <c r="B23" s="129" t="s">
        <v>572</v>
      </c>
      <c r="C23" s="129" t="s">
        <v>1592</v>
      </c>
      <c r="D23" s="130" t="s">
        <v>1593</v>
      </c>
      <c r="E23" s="129" t="s">
        <v>575</v>
      </c>
      <c r="F23" s="129" t="s">
        <v>797</v>
      </c>
      <c r="G23" s="109">
        <f t="shared" si="1"/>
        <v>6</v>
      </c>
      <c r="H23" s="130" t="s">
        <v>1594</v>
      </c>
      <c r="I23" s="129" t="s">
        <v>806</v>
      </c>
      <c r="J23" s="123">
        <v>46303</v>
      </c>
      <c r="K23" s="129" t="s">
        <v>749</v>
      </c>
      <c r="L23" s="129" t="s">
        <v>753</v>
      </c>
    </row>
    <row r="24" spans="1:12" ht="29.15" x14ac:dyDescent="0.4">
      <c r="A24" s="129" t="s">
        <v>1505</v>
      </c>
      <c r="B24" s="129" t="s">
        <v>576</v>
      </c>
      <c r="C24" s="129" t="s">
        <v>1595</v>
      </c>
      <c r="D24" s="130" t="s">
        <v>1244</v>
      </c>
      <c r="E24" s="129" t="s">
        <v>579</v>
      </c>
      <c r="F24" s="129" t="s">
        <v>1245</v>
      </c>
      <c r="G24" s="109">
        <f t="shared" si="1"/>
        <v>3</v>
      </c>
      <c r="H24" s="130" t="s">
        <v>1596</v>
      </c>
      <c r="I24" s="129" t="s">
        <v>806</v>
      </c>
      <c r="J24" s="123">
        <v>46303</v>
      </c>
      <c r="K24" s="129" t="s">
        <v>749</v>
      </c>
      <c r="L24" s="129" t="s">
        <v>753</v>
      </c>
    </row>
    <row r="25" spans="1:12" ht="29.15" x14ac:dyDescent="0.4">
      <c r="A25" s="129" t="s">
        <v>1505</v>
      </c>
      <c r="B25" s="129" t="s">
        <v>581</v>
      </c>
      <c r="C25" s="129" t="s">
        <v>1597</v>
      </c>
      <c r="D25" s="130" t="s">
        <v>1598</v>
      </c>
      <c r="E25" s="129" t="s">
        <v>1599</v>
      </c>
      <c r="F25" s="129" t="s">
        <v>797</v>
      </c>
      <c r="G25" s="109">
        <f t="shared" si="1"/>
        <v>6</v>
      </c>
      <c r="H25" s="130" t="s">
        <v>1600</v>
      </c>
      <c r="I25" s="129" t="s">
        <v>806</v>
      </c>
      <c r="J25" s="123">
        <v>46303</v>
      </c>
      <c r="K25" s="129" t="s">
        <v>749</v>
      </c>
      <c r="L25" s="129" t="s">
        <v>753</v>
      </c>
    </row>
    <row r="26" spans="1:12" ht="29.15" x14ac:dyDescent="0.4">
      <c r="A26" s="129" t="s">
        <v>1505</v>
      </c>
      <c r="B26" s="129" t="s">
        <v>581</v>
      </c>
      <c r="C26" s="129" t="s">
        <v>1601</v>
      </c>
      <c r="D26" s="130" t="s">
        <v>1602</v>
      </c>
      <c r="E26" s="129" t="s">
        <v>584</v>
      </c>
      <c r="F26" s="129" t="s">
        <v>797</v>
      </c>
      <c r="G26" s="109">
        <f t="shared" si="1"/>
        <v>6</v>
      </c>
      <c r="H26" s="130" t="s">
        <v>1603</v>
      </c>
      <c r="I26" s="129" t="s">
        <v>806</v>
      </c>
      <c r="J26" s="123">
        <v>46303</v>
      </c>
      <c r="K26" s="129" t="s">
        <v>749</v>
      </c>
      <c r="L26" s="129" t="s">
        <v>753</v>
      </c>
    </row>
    <row r="27" spans="1:12" ht="43.75" x14ac:dyDescent="0.4">
      <c r="A27" s="129" t="s">
        <v>1505</v>
      </c>
      <c r="B27" s="129" t="s">
        <v>587</v>
      </c>
      <c r="C27" s="129" t="s">
        <v>1604</v>
      </c>
      <c r="D27" s="130" t="s">
        <v>1605</v>
      </c>
      <c r="E27" s="129" t="s">
        <v>563</v>
      </c>
      <c r="F27" s="129" t="s">
        <v>797</v>
      </c>
      <c r="G27" s="109">
        <f t="shared" si="1"/>
        <v>6</v>
      </c>
      <c r="H27" s="130" t="s">
        <v>1606</v>
      </c>
      <c r="I27" s="129" t="s">
        <v>806</v>
      </c>
      <c r="J27" s="123">
        <v>46303</v>
      </c>
      <c r="K27" s="129" t="s">
        <v>749</v>
      </c>
      <c r="L27" s="129" t="s">
        <v>753</v>
      </c>
    </row>
    <row r="28" spans="1:12" ht="29.15" x14ac:dyDescent="0.4">
      <c r="A28" s="129" t="s">
        <v>1505</v>
      </c>
      <c r="B28" s="129" t="s">
        <v>591</v>
      </c>
      <c r="C28" s="129" t="s">
        <v>1607</v>
      </c>
      <c r="D28" s="130" t="s">
        <v>1608</v>
      </c>
      <c r="E28" s="129" t="s">
        <v>584</v>
      </c>
      <c r="F28" s="129" t="s">
        <v>1245</v>
      </c>
      <c r="G28" s="109">
        <f t="shared" si="1"/>
        <v>3</v>
      </c>
      <c r="H28" s="130" t="s">
        <v>1609</v>
      </c>
      <c r="I28" s="129" t="s">
        <v>1247</v>
      </c>
      <c r="J28" s="123">
        <v>46303</v>
      </c>
      <c r="K28" s="129" t="s">
        <v>749</v>
      </c>
      <c r="L28" s="129" t="s">
        <v>1248</v>
      </c>
    </row>
    <row r="29" spans="1:12" ht="43.75" x14ac:dyDescent="0.4">
      <c r="A29" s="129" t="s">
        <v>1505</v>
      </c>
      <c r="B29" s="129" t="s">
        <v>595</v>
      </c>
      <c r="C29" s="129" t="s">
        <v>1610</v>
      </c>
      <c r="D29" s="130" t="s">
        <v>1611</v>
      </c>
      <c r="E29" s="129" t="s">
        <v>569</v>
      </c>
      <c r="F29" s="129" t="s">
        <v>1235</v>
      </c>
      <c r="G29" s="109">
        <f t="shared" si="1"/>
        <v>12</v>
      </c>
      <c r="H29" s="130" t="s">
        <v>1612</v>
      </c>
      <c r="I29" s="129" t="s">
        <v>806</v>
      </c>
      <c r="J29" s="123">
        <v>46303</v>
      </c>
      <c r="K29" s="129" t="s">
        <v>749</v>
      </c>
      <c r="L29" s="129" t="s">
        <v>753</v>
      </c>
    </row>
    <row r="30" spans="1:12" ht="43.75" x14ac:dyDescent="0.4">
      <c r="A30" s="129" t="s">
        <v>1505</v>
      </c>
      <c r="B30" s="129" t="s">
        <v>598</v>
      </c>
      <c r="C30" s="129" t="s">
        <v>1613</v>
      </c>
      <c r="D30" s="130" t="s">
        <v>1614</v>
      </c>
      <c r="E30" s="129" t="s">
        <v>601</v>
      </c>
      <c r="F30" s="129" t="s">
        <v>1245</v>
      </c>
      <c r="G30" s="109">
        <f t="shared" si="1"/>
        <v>3</v>
      </c>
      <c r="H30" s="130" t="s">
        <v>1615</v>
      </c>
      <c r="I30" s="129" t="s">
        <v>806</v>
      </c>
      <c r="J30" s="123">
        <v>46303</v>
      </c>
      <c r="K30" s="129" t="s">
        <v>749</v>
      </c>
      <c r="L30" s="129" t="s">
        <v>753</v>
      </c>
    </row>
    <row r="31" spans="1:12" ht="43.75" x14ac:dyDescent="0.4">
      <c r="A31" s="129" t="s">
        <v>1505</v>
      </c>
      <c r="B31" s="129" t="s">
        <v>604</v>
      </c>
      <c r="C31" s="129" t="s">
        <v>1616</v>
      </c>
      <c r="D31" s="130" t="s">
        <v>1617</v>
      </c>
      <c r="E31" s="129" t="s">
        <v>606</v>
      </c>
      <c r="F31" s="129" t="s">
        <v>1235</v>
      </c>
      <c r="G31" s="109">
        <f t="shared" si="1"/>
        <v>12</v>
      </c>
      <c r="H31" s="130" t="s">
        <v>1618</v>
      </c>
      <c r="I31" s="129" t="s">
        <v>806</v>
      </c>
      <c r="J31" s="123">
        <v>46303</v>
      </c>
      <c r="K31" s="129" t="s">
        <v>749</v>
      </c>
      <c r="L31" s="129" t="s">
        <v>753</v>
      </c>
    </row>
    <row r="32" spans="1:12" ht="43.75" x14ac:dyDescent="0.4">
      <c r="A32" s="129" t="s">
        <v>1505</v>
      </c>
      <c r="B32" s="129" t="s">
        <v>611</v>
      </c>
      <c r="C32" s="129" t="s">
        <v>1619</v>
      </c>
      <c r="D32" s="130" t="s">
        <v>1620</v>
      </c>
      <c r="E32" s="129" t="s">
        <v>579</v>
      </c>
      <c r="F32" s="129" t="s">
        <v>1245</v>
      </c>
      <c r="G32" s="109">
        <f t="shared" si="1"/>
        <v>3</v>
      </c>
      <c r="H32" s="130" t="s">
        <v>1621</v>
      </c>
      <c r="I32" s="129" t="s">
        <v>806</v>
      </c>
      <c r="J32" s="123">
        <v>46303</v>
      </c>
      <c r="K32" s="129" t="s">
        <v>749</v>
      </c>
      <c r="L32" s="129" t="s">
        <v>753</v>
      </c>
    </row>
    <row r="33" spans="1:12" ht="102" x14ac:dyDescent="0.4">
      <c r="A33" s="129" t="s">
        <v>1650</v>
      </c>
      <c r="B33" s="129" t="s">
        <v>554</v>
      </c>
      <c r="C33" s="129" t="s">
        <v>1716</v>
      </c>
      <c r="D33" s="130" t="s">
        <v>1717</v>
      </c>
      <c r="E33" s="129" t="s">
        <v>557</v>
      </c>
      <c r="F33" s="129" t="s">
        <v>1245</v>
      </c>
      <c r="G33" s="109">
        <f t="shared" ref="G33:G46" si="2">IFERROR(VALUE(LEFT(F33,FIND(" ",F33)-1)),"")</f>
        <v>3</v>
      </c>
      <c r="H33" s="130" t="s">
        <v>1718</v>
      </c>
      <c r="I33" s="129" t="s">
        <v>806</v>
      </c>
      <c r="J33" s="123">
        <v>46303</v>
      </c>
      <c r="K33" s="129" t="s">
        <v>749</v>
      </c>
      <c r="L33" s="129" t="s">
        <v>753</v>
      </c>
    </row>
    <row r="34" spans="1:12" ht="87.45" x14ac:dyDescent="0.4">
      <c r="A34" s="129" t="s">
        <v>1650</v>
      </c>
      <c r="B34" s="129" t="s">
        <v>560</v>
      </c>
      <c r="C34" s="129" t="s">
        <v>1719</v>
      </c>
      <c r="D34" s="130" t="s">
        <v>1720</v>
      </c>
      <c r="E34" s="129" t="s">
        <v>563</v>
      </c>
      <c r="F34" s="129" t="s">
        <v>1245</v>
      </c>
      <c r="G34" s="109">
        <f t="shared" si="2"/>
        <v>3</v>
      </c>
      <c r="H34" s="130" t="s">
        <v>1721</v>
      </c>
      <c r="I34" s="129" t="s">
        <v>806</v>
      </c>
      <c r="J34" s="123">
        <v>46303</v>
      </c>
      <c r="K34" s="129" t="s">
        <v>749</v>
      </c>
      <c r="L34" s="129" t="s">
        <v>753</v>
      </c>
    </row>
    <row r="35" spans="1:12" ht="72.900000000000006" x14ac:dyDescent="0.4">
      <c r="A35" s="129" t="s">
        <v>1650</v>
      </c>
      <c r="B35" s="129" t="s">
        <v>566</v>
      </c>
      <c r="C35" s="129" t="s">
        <v>1722</v>
      </c>
      <c r="D35" s="130" t="s">
        <v>1723</v>
      </c>
      <c r="E35" s="129" t="s">
        <v>569</v>
      </c>
      <c r="F35" s="129" t="s">
        <v>1245</v>
      </c>
      <c r="G35" s="109">
        <f t="shared" si="2"/>
        <v>3</v>
      </c>
      <c r="H35" s="130" t="s">
        <v>1724</v>
      </c>
      <c r="I35" s="129" t="s">
        <v>806</v>
      </c>
      <c r="J35" s="123">
        <v>46303</v>
      </c>
      <c r="K35" s="129" t="s">
        <v>749</v>
      </c>
      <c r="L35" s="129" t="s">
        <v>753</v>
      </c>
    </row>
    <row r="36" spans="1:12" ht="87.45" x14ac:dyDescent="0.4">
      <c r="A36" s="129" t="s">
        <v>1650</v>
      </c>
      <c r="B36" s="129" t="s">
        <v>572</v>
      </c>
      <c r="C36" s="129" t="s">
        <v>1725</v>
      </c>
      <c r="D36" s="130" t="s">
        <v>1726</v>
      </c>
      <c r="E36" s="129" t="s">
        <v>575</v>
      </c>
      <c r="F36" s="129" t="s">
        <v>797</v>
      </c>
      <c r="G36" s="109">
        <f t="shared" si="2"/>
        <v>6</v>
      </c>
      <c r="H36" s="130" t="s">
        <v>1727</v>
      </c>
      <c r="I36" s="129" t="s">
        <v>806</v>
      </c>
      <c r="J36" s="123">
        <v>46303</v>
      </c>
      <c r="K36" s="129" t="s">
        <v>749</v>
      </c>
      <c r="L36" s="129" t="s">
        <v>753</v>
      </c>
    </row>
    <row r="37" spans="1:12" ht="87.45" x14ac:dyDescent="0.4">
      <c r="A37" s="129" t="s">
        <v>1650</v>
      </c>
      <c r="B37" s="129" t="s">
        <v>576</v>
      </c>
      <c r="C37" s="129" t="s">
        <v>1728</v>
      </c>
      <c r="D37" s="130" t="s">
        <v>1729</v>
      </c>
      <c r="E37" s="129" t="s">
        <v>579</v>
      </c>
      <c r="F37" s="129" t="s">
        <v>1245</v>
      </c>
      <c r="G37" s="109">
        <f t="shared" si="2"/>
        <v>3</v>
      </c>
      <c r="H37" s="130" t="s">
        <v>1730</v>
      </c>
      <c r="I37" s="129" t="s">
        <v>806</v>
      </c>
      <c r="J37" s="123">
        <v>46303</v>
      </c>
      <c r="K37" s="129" t="s">
        <v>749</v>
      </c>
      <c r="L37" s="129" t="s">
        <v>753</v>
      </c>
    </row>
    <row r="38" spans="1:12" ht="72.900000000000006" x14ac:dyDescent="0.4">
      <c r="A38" s="129" t="s">
        <v>1650</v>
      </c>
      <c r="B38" s="129" t="s">
        <v>581</v>
      </c>
      <c r="C38" s="129" t="s">
        <v>1731</v>
      </c>
      <c r="D38" s="130" t="s">
        <v>1732</v>
      </c>
      <c r="E38" s="129" t="s">
        <v>1599</v>
      </c>
      <c r="F38" s="129" t="s">
        <v>797</v>
      </c>
      <c r="G38" s="109">
        <f t="shared" si="2"/>
        <v>6</v>
      </c>
      <c r="H38" s="130" t="s">
        <v>1733</v>
      </c>
      <c r="I38" s="129" t="s">
        <v>806</v>
      </c>
      <c r="J38" s="123">
        <v>46303</v>
      </c>
      <c r="K38" s="129" t="s">
        <v>749</v>
      </c>
      <c r="L38" s="129" t="s">
        <v>753</v>
      </c>
    </row>
    <row r="39" spans="1:12" ht="87.45" x14ac:dyDescent="0.4">
      <c r="A39" s="129" t="s">
        <v>1650</v>
      </c>
      <c r="B39" s="129" t="s">
        <v>587</v>
      </c>
      <c r="C39" s="129" t="s">
        <v>1734</v>
      </c>
      <c r="D39" s="130" t="s">
        <v>1735</v>
      </c>
      <c r="E39" s="129" t="s">
        <v>563</v>
      </c>
      <c r="F39" s="129" t="s">
        <v>797</v>
      </c>
      <c r="G39" s="109">
        <f t="shared" si="2"/>
        <v>6</v>
      </c>
      <c r="H39" s="130" t="s">
        <v>1736</v>
      </c>
      <c r="I39" s="129" t="s">
        <v>806</v>
      </c>
      <c r="J39" s="123">
        <v>46303</v>
      </c>
      <c r="K39" s="129" t="s">
        <v>749</v>
      </c>
      <c r="L39" s="129" t="s">
        <v>753</v>
      </c>
    </row>
    <row r="40" spans="1:12" ht="72.900000000000006" x14ac:dyDescent="0.4">
      <c r="A40" s="129" t="s">
        <v>1650</v>
      </c>
      <c r="B40" s="129" t="s">
        <v>591</v>
      </c>
      <c r="C40" s="129" t="s">
        <v>1737</v>
      </c>
      <c r="D40" s="130" t="s">
        <v>1738</v>
      </c>
      <c r="E40" s="129" t="s">
        <v>584</v>
      </c>
      <c r="F40" s="129" t="s">
        <v>1245</v>
      </c>
      <c r="G40" s="109">
        <f t="shared" si="2"/>
        <v>3</v>
      </c>
      <c r="H40" s="130" t="s">
        <v>1739</v>
      </c>
      <c r="I40" s="129" t="s">
        <v>806</v>
      </c>
      <c r="J40" s="123">
        <v>46303</v>
      </c>
      <c r="K40" s="129" t="s">
        <v>749</v>
      </c>
      <c r="L40" s="129" t="s">
        <v>753</v>
      </c>
    </row>
    <row r="41" spans="1:12" ht="87.45" x14ac:dyDescent="0.4">
      <c r="A41" s="129" t="s">
        <v>1650</v>
      </c>
      <c r="B41" s="129" t="s">
        <v>595</v>
      </c>
      <c r="C41" s="129" t="s">
        <v>1740</v>
      </c>
      <c r="D41" s="130" t="s">
        <v>1741</v>
      </c>
      <c r="E41" s="129" t="s">
        <v>569</v>
      </c>
      <c r="F41" s="129" t="s">
        <v>1235</v>
      </c>
      <c r="G41" s="109">
        <f t="shared" si="2"/>
        <v>12</v>
      </c>
      <c r="H41" s="130" t="s">
        <v>1742</v>
      </c>
      <c r="I41" s="129" t="s">
        <v>806</v>
      </c>
      <c r="J41" s="123">
        <v>46303</v>
      </c>
      <c r="K41" s="129" t="s">
        <v>749</v>
      </c>
      <c r="L41" s="129" t="s">
        <v>753</v>
      </c>
    </row>
    <row r="42" spans="1:12" ht="72.900000000000006" x14ac:dyDescent="0.4">
      <c r="A42" s="129" t="s">
        <v>1650</v>
      </c>
      <c r="B42" s="129" t="s">
        <v>598</v>
      </c>
      <c r="C42" s="129" t="s">
        <v>1743</v>
      </c>
      <c r="D42" s="130" t="s">
        <v>1744</v>
      </c>
      <c r="E42" s="129" t="s">
        <v>601</v>
      </c>
      <c r="F42" s="129" t="s">
        <v>1245</v>
      </c>
      <c r="G42" s="109">
        <f t="shared" si="2"/>
        <v>3</v>
      </c>
      <c r="H42" s="130" t="s">
        <v>1745</v>
      </c>
      <c r="I42" s="129" t="s">
        <v>806</v>
      </c>
      <c r="J42" s="123">
        <v>46303</v>
      </c>
      <c r="K42" s="129" t="s">
        <v>749</v>
      </c>
      <c r="L42" s="129" t="s">
        <v>753</v>
      </c>
    </row>
    <row r="43" spans="1:12" ht="87.45" x14ac:dyDescent="0.4">
      <c r="A43" s="129" t="s">
        <v>1650</v>
      </c>
      <c r="B43" s="129" t="s">
        <v>604</v>
      </c>
      <c r="C43" s="129" t="s">
        <v>1746</v>
      </c>
      <c r="D43" s="130" t="s">
        <v>1747</v>
      </c>
      <c r="E43" s="129" t="s">
        <v>606</v>
      </c>
      <c r="F43" s="129" t="s">
        <v>1235</v>
      </c>
      <c r="G43" s="109">
        <f t="shared" si="2"/>
        <v>12</v>
      </c>
      <c r="H43" s="130" t="s">
        <v>1748</v>
      </c>
      <c r="I43" s="129" t="s">
        <v>806</v>
      </c>
      <c r="J43" s="123">
        <v>46303</v>
      </c>
      <c r="K43" s="129" t="s">
        <v>749</v>
      </c>
      <c r="L43" s="129" t="s">
        <v>753</v>
      </c>
    </row>
    <row r="44" spans="1:12" ht="87.45" x14ac:dyDescent="0.4">
      <c r="A44" s="129" t="s">
        <v>1650</v>
      </c>
      <c r="B44" s="129" t="s">
        <v>611</v>
      </c>
      <c r="C44" s="129" t="s">
        <v>1749</v>
      </c>
      <c r="D44" s="130" t="s">
        <v>1750</v>
      </c>
      <c r="E44" s="129" t="s">
        <v>579</v>
      </c>
      <c r="F44" s="129" t="s">
        <v>1245</v>
      </c>
      <c r="G44" s="109">
        <f t="shared" si="2"/>
        <v>3</v>
      </c>
      <c r="H44" s="130" t="s">
        <v>1751</v>
      </c>
      <c r="I44" s="129" t="s">
        <v>806</v>
      </c>
      <c r="J44" s="123">
        <v>46303</v>
      </c>
      <c r="K44" s="129" t="s">
        <v>749</v>
      </c>
      <c r="L44" s="129" t="s">
        <v>753</v>
      </c>
    </row>
    <row r="45" spans="1:12" ht="72.900000000000006" x14ac:dyDescent="0.4">
      <c r="A45" s="129" t="s">
        <v>1650</v>
      </c>
      <c r="B45" s="129" t="s">
        <v>1567</v>
      </c>
      <c r="C45" s="129" t="s">
        <v>1752</v>
      </c>
      <c r="D45" s="130" t="s">
        <v>1753</v>
      </c>
      <c r="E45" s="129" t="s">
        <v>1599</v>
      </c>
      <c r="F45" s="129" t="s">
        <v>797</v>
      </c>
      <c r="G45" s="109">
        <f t="shared" si="2"/>
        <v>6</v>
      </c>
      <c r="H45" s="130" t="s">
        <v>1754</v>
      </c>
      <c r="I45" s="129" t="s">
        <v>806</v>
      </c>
      <c r="J45" s="123">
        <v>46303</v>
      </c>
      <c r="K45" s="129" t="s">
        <v>749</v>
      </c>
      <c r="L45" s="129" t="s">
        <v>753</v>
      </c>
    </row>
    <row r="46" spans="1:12" ht="58.3" x14ac:dyDescent="0.4">
      <c r="A46" s="129" t="s">
        <v>1650</v>
      </c>
      <c r="B46" s="129" t="s">
        <v>1567</v>
      </c>
      <c r="C46" s="129" t="s">
        <v>1755</v>
      </c>
      <c r="D46" s="130" t="s">
        <v>1756</v>
      </c>
      <c r="E46" s="129" t="s">
        <v>1587</v>
      </c>
      <c r="F46" s="129" t="s">
        <v>1245</v>
      </c>
      <c r="G46" s="109">
        <f t="shared" si="2"/>
        <v>3</v>
      </c>
      <c r="H46" s="130" t="s">
        <v>1757</v>
      </c>
      <c r="I46" s="129" t="s">
        <v>806</v>
      </c>
      <c r="J46" s="123">
        <v>46303</v>
      </c>
      <c r="K46" s="129" t="s">
        <v>749</v>
      </c>
      <c r="L46" s="129" t="s">
        <v>753</v>
      </c>
    </row>
  </sheetData>
  <mergeCells count="5">
    <mergeCell ref="I3:L3"/>
    <mergeCell ref="A2:H2"/>
    <mergeCell ref="A1:L1"/>
    <mergeCell ref="D3:F3"/>
    <mergeCell ref="A3:B3"/>
  </mergeCells>
  <dataValidations count="1">
    <dataValidation type="list" allowBlank="1" sqref="I6:I20029" xr:uid="{00000000-0002-0000-1200-000000000000}">
      <formula1>"Proposta — da valutare,Approvata,Respinta,In corso,Completata,Annullata"</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sheetPr>
  <dimension ref="A1:T122"/>
  <sheetViews>
    <sheetView workbookViewId="0"/>
  </sheetViews>
  <sheetFormatPr defaultRowHeight="14.6" x14ac:dyDescent="0.4"/>
  <cols>
    <col min="1" max="3" width="15" customWidth="1"/>
    <col min="4" max="4" width="40" customWidth="1"/>
    <col min="5" max="6" width="15" customWidth="1"/>
    <col min="7" max="7" width="30" customWidth="1"/>
    <col min="8" max="12" width="15" customWidth="1"/>
    <col min="13" max="13" width="40" customWidth="1"/>
    <col min="14" max="17" width="15" customWidth="1"/>
    <col min="18" max="18" width="50" customWidth="1"/>
    <col min="19" max="20" width="15" customWidth="1"/>
  </cols>
  <sheetData>
    <row r="1" spans="1:20" ht="28" customHeight="1" x14ac:dyDescent="0.4">
      <c r="A1" s="161" t="str">
        <f>"Horizon Scan NFR — KRI — storico degli indicatori, una riga per KRI per ciclo   ·   "&amp;etichettaCiclo</f>
        <v>Horizon Scan NFR — KRI — storico degli indicatori, una riga per KRI per ciclo   ·   Ciclo 2026Q4 · dati al 31/12/2026 · validato · Uso interno</v>
      </c>
      <c r="B1" s="162"/>
      <c r="C1" s="162"/>
      <c r="D1" s="162"/>
      <c r="E1" s="162"/>
      <c r="F1" s="162"/>
      <c r="G1" s="162"/>
      <c r="H1" s="162"/>
      <c r="I1" s="162"/>
      <c r="J1" s="162"/>
      <c r="K1" s="162"/>
      <c r="L1" s="162"/>
    </row>
    <row r="2" spans="1:20" ht="86.05" customHeight="1" x14ac:dyDescent="0.4">
      <c r="A2" s="173" t="s">
        <v>1270</v>
      </c>
      <c r="B2" s="142"/>
      <c r="C2" s="142"/>
      <c r="D2" s="142"/>
      <c r="E2" s="142"/>
      <c r="F2" s="142"/>
      <c r="G2" s="142"/>
      <c r="H2" s="142"/>
      <c r="I2" s="142"/>
    </row>
    <row r="3" spans="1:20" x14ac:dyDescent="0.4">
      <c r="A3" s="118" t="s">
        <v>1091</v>
      </c>
      <c r="B3" s="119" t="s">
        <v>1093</v>
      </c>
      <c r="C3" s="214" t="s">
        <v>1091</v>
      </c>
      <c r="D3" s="142"/>
      <c r="E3" s="142"/>
      <c r="F3" s="142"/>
      <c r="G3" s="142"/>
      <c r="H3" s="142"/>
      <c r="I3" s="142"/>
      <c r="J3" s="142"/>
      <c r="K3" s="119" t="s">
        <v>1093</v>
      </c>
      <c r="L3" s="214" t="s">
        <v>1091</v>
      </c>
      <c r="M3" s="142"/>
      <c r="N3" s="119" t="s">
        <v>1092</v>
      </c>
      <c r="O3" s="215" t="s">
        <v>1093</v>
      </c>
      <c r="P3" s="142"/>
      <c r="Q3" s="214" t="s">
        <v>1091</v>
      </c>
      <c r="R3" s="142"/>
      <c r="S3" s="119" t="s">
        <v>1092</v>
      </c>
      <c r="T3" s="120" t="s">
        <v>1094</v>
      </c>
    </row>
    <row r="4" spans="1:20" ht="113.05" customHeight="1" x14ac:dyDescent="0.4">
      <c r="A4" s="121" t="s">
        <v>1271</v>
      </c>
      <c r="B4" s="121" t="s">
        <v>1272</v>
      </c>
      <c r="C4" s="121" t="s">
        <v>1273</v>
      </c>
      <c r="D4" s="121" t="s">
        <v>1274</v>
      </c>
      <c r="E4" s="121" t="s">
        <v>1275</v>
      </c>
      <c r="F4" s="121" t="s">
        <v>1276</v>
      </c>
      <c r="G4" s="121" t="s">
        <v>1277</v>
      </c>
      <c r="H4" s="121" t="s">
        <v>1278</v>
      </c>
      <c r="I4" s="121" t="s">
        <v>1279</v>
      </c>
      <c r="J4" s="121" t="s">
        <v>1280</v>
      </c>
      <c r="K4" s="121" t="s">
        <v>1281</v>
      </c>
      <c r="L4" s="121" t="s">
        <v>1282</v>
      </c>
      <c r="M4" s="121" t="s">
        <v>1283</v>
      </c>
      <c r="N4" s="121" t="s">
        <v>1284</v>
      </c>
      <c r="O4" s="121" t="s">
        <v>1285</v>
      </c>
      <c r="P4" s="121" t="s">
        <v>1286</v>
      </c>
      <c r="Q4" s="121" t="s">
        <v>1287</v>
      </c>
      <c r="R4" s="121" t="s">
        <v>1288</v>
      </c>
      <c r="S4" s="121" t="s">
        <v>1289</v>
      </c>
      <c r="T4" s="121" t="s">
        <v>1230</v>
      </c>
    </row>
    <row r="5" spans="1:20" x14ac:dyDescent="0.4">
      <c r="A5" s="122" t="s">
        <v>451</v>
      </c>
      <c r="B5" s="62" t="s">
        <v>438</v>
      </c>
      <c r="C5" s="122" t="s">
        <v>688</v>
      </c>
      <c r="D5" s="122" t="s">
        <v>174</v>
      </c>
      <c r="E5" s="122" t="s">
        <v>447</v>
      </c>
      <c r="F5" s="122" t="s">
        <v>822</v>
      </c>
      <c r="G5" s="122" t="s">
        <v>825</v>
      </c>
      <c r="H5" s="122" t="s">
        <v>828</v>
      </c>
      <c r="I5" s="122" t="s">
        <v>832</v>
      </c>
      <c r="J5" s="122" t="s">
        <v>834</v>
      </c>
      <c r="K5" s="62" t="s">
        <v>838</v>
      </c>
      <c r="L5" s="122" t="s">
        <v>841</v>
      </c>
      <c r="M5" s="122" t="s">
        <v>843</v>
      </c>
      <c r="N5" s="62" t="s">
        <v>444</v>
      </c>
      <c r="O5" s="62" t="s">
        <v>848</v>
      </c>
      <c r="P5" s="62" t="s">
        <v>852</v>
      </c>
      <c r="Q5" s="122" t="s">
        <v>855</v>
      </c>
      <c r="R5" s="122" t="s">
        <v>724</v>
      </c>
      <c r="S5" s="62" t="s">
        <v>250</v>
      </c>
      <c r="T5" s="60" t="s">
        <v>9</v>
      </c>
    </row>
    <row r="6" spans="1:20" ht="29.15" x14ac:dyDescent="0.4">
      <c r="A6" s="109" t="s">
        <v>617</v>
      </c>
      <c r="B6" s="109" t="s">
        <v>437</v>
      </c>
      <c r="C6" s="109" t="s">
        <v>554</v>
      </c>
      <c r="D6" s="125" t="s">
        <v>1290</v>
      </c>
      <c r="E6" s="109" t="s">
        <v>821</v>
      </c>
      <c r="F6" s="109" t="s">
        <v>824</v>
      </c>
      <c r="G6" s="109" t="s">
        <v>827</v>
      </c>
      <c r="H6" s="109">
        <v>3</v>
      </c>
      <c r="I6" s="109">
        <v>6</v>
      </c>
      <c r="J6" s="109">
        <v>2.1</v>
      </c>
      <c r="K6" s="123">
        <v>46022</v>
      </c>
      <c r="L6" s="109" t="s">
        <v>827</v>
      </c>
      <c r="M6" s="125" t="s">
        <v>845</v>
      </c>
      <c r="N6" s="109" t="str">
        <f t="shared" ref="N6:N37" si="0">IF(OR(H6="",I6=""),"Soglie da definire",IF(I6&lt;H6,"SOGLIE INVERTITE — correggere",IF(J6="","Non rilevato",IF(J6&gt;=I6,"Rosso",IF(J6&gt;=H6,"Ambra","Verde")))))</f>
        <v>Verde</v>
      </c>
      <c r="O6" s="109" t="s">
        <v>558</v>
      </c>
      <c r="P6" s="109" t="s">
        <v>617</v>
      </c>
      <c r="Q6" s="109" t="s">
        <v>617</v>
      </c>
      <c r="R6" s="125" t="s">
        <v>1291</v>
      </c>
      <c r="S6" s="109" t="str">
        <f t="shared" ref="S6:S37" si="1">A6&amp;"|"&amp;B6</f>
        <v>2025Q4|NFR-01-K1</v>
      </c>
      <c r="T6" s="109" t="s">
        <v>753</v>
      </c>
    </row>
    <row r="7" spans="1:20" ht="29.15" x14ac:dyDescent="0.4">
      <c r="A7" s="109" t="s">
        <v>617</v>
      </c>
      <c r="B7" s="109" t="s">
        <v>1292</v>
      </c>
      <c r="C7" s="109" t="s">
        <v>554</v>
      </c>
      <c r="D7" s="125" t="s">
        <v>1293</v>
      </c>
      <c r="E7" s="109" t="s">
        <v>1294</v>
      </c>
      <c r="F7" s="109" t="s">
        <v>1295</v>
      </c>
      <c r="G7" s="109" t="s">
        <v>1296</v>
      </c>
      <c r="H7" s="109">
        <v>4</v>
      </c>
      <c r="I7" s="109">
        <v>12</v>
      </c>
      <c r="J7" s="109">
        <v>5</v>
      </c>
      <c r="K7" s="123">
        <v>46022</v>
      </c>
      <c r="L7" s="109" t="s">
        <v>1296</v>
      </c>
      <c r="M7" s="125" t="s">
        <v>845</v>
      </c>
      <c r="N7" s="109" t="str">
        <f t="shared" si="0"/>
        <v>Ambra</v>
      </c>
      <c r="O7" s="109" t="s">
        <v>558</v>
      </c>
      <c r="P7" s="109" t="s">
        <v>617</v>
      </c>
      <c r="Q7" s="109" t="s">
        <v>617</v>
      </c>
      <c r="R7" s="125" t="s">
        <v>1297</v>
      </c>
      <c r="S7" s="109" t="str">
        <f t="shared" si="1"/>
        <v>2025Q4|NFR-01-K3</v>
      </c>
      <c r="T7" s="109" t="s">
        <v>753</v>
      </c>
    </row>
    <row r="8" spans="1:20" ht="29.15" x14ac:dyDescent="0.4">
      <c r="A8" s="109" t="s">
        <v>617</v>
      </c>
      <c r="B8" s="109" t="s">
        <v>1298</v>
      </c>
      <c r="C8" s="109" t="s">
        <v>560</v>
      </c>
      <c r="D8" s="125" t="s">
        <v>1299</v>
      </c>
      <c r="E8" s="109" t="s">
        <v>1294</v>
      </c>
      <c r="F8" s="109" t="s">
        <v>1300</v>
      </c>
      <c r="G8" s="109" t="s">
        <v>1301</v>
      </c>
      <c r="H8" s="109">
        <v>60</v>
      </c>
      <c r="I8" s="109">
        <v>75</v>
      </c>
      <c r="J8" s="109">
        <v>74</v>
      </c>
      <c r="K8" s="123">
        <v>46022</v>
      </c>
      <c r="L8" s="109" t="s">
        <v>1301</v>
      </c>
      <c r="M8" s="125" t="s">
        <v>845</v>
      </c>
      <c r="N8" s="109" t="str">
        <f t="shared" si="0"/>
        <v>Ambra</v>
      </c>
      <c r="O8" s="109" t="s">
        <v>558</v>
      </c>
      <c r="P8" s="109" t="s">
        <v>617</v>
      </c>
      <c r="Q8" s="109" t="s">
        <v>617</v>
      </c>
      <c r="R8" s="125" t="s">
        <v>1302</v>
      </c>
      <c r="S8" s="109" t="str">
        <f t="shared" si="1"/>
        <v>2025Q4|NFR-02-K1</v>
      </c>
      <c r="T8" s="109" t="s">
        <v>753</v>
      </c>
    </row>
    <row r="9" spans="1:20" ht="29.15" x14ac:dyDescent="0.4">
      <c r="A9" s="109" t="s">
        <v>617</v>
      </c>
      <c r="B9" s="109" t="s">
        <v>1303</v>
      </c>
      <c r="C9" s="109" t="s">
        <v>560</v>
      </c>
      <c r="D9" s="125" t="s">
        <v>1304</v>
      </c>
      <c r="E9" s="109" t="s">
        <v>821</v>
      </c>
      <c r="F9" s="109" t="s">
        <v>1305</v>
      </c>
      <c r="G9" s="109" t="s">
        <v>1306</v>
      </c>
      <c r="H9" s="109">
        <v>2</v>
      </c>
      <c r="I9" s="109">
        <v>4</v>
      </c>
      <c r="J9" s="109">
        <v>2</v>
      </c>
      <c r="K9" s="123">
        <v>46022</v>
      </c>
      <c r="L9" s="109" t="s">
        <v>1306</v>
      </c>
      <c r="M9" s="125" t="s">
        <v>845</v>
      </c>
      <c r="N9" s="109" t="str">
        <f t="shared" si="0"/>
        <v>Ambra</v>
      </c>
      <c r="O9" s="109" t="s">
        <v>558</v>
      </c>
      <c r="P9" s="109" t="s">
        <v>617</v>
      </c>
      <c r="Q9" s="109" t="s">
        <v>617</v>
      </c>
      <c r="R9" s="125" t="s">
        <v>1307</v>
      </c>
      <c r="S9" s="109" t="str">
        <f t="shared" si="1"/>
        <v>2025Q4|NFR-02-K2</v>
      </c>
      <c r="T9" s="109" t="s">
        <v>753</v>
      </c>
    </row>
    <row r="10" spans="1:20" ht="29.15" x14ac:dyDescent="0.4">
      <c r="A10" s="109" t="s">
        <v>617</v>
      </c>
      <c r="B10" s="109" t="s">
        <v>1308</v>
      </c>
      <c r="C10" s="109" t="s">
        <v>566</v>
      </c>
      <c r="D10" s="125" t="s">
        <v>1309</v>
      </c>
      <c r="E10" s="109" t="s">
        <v>821</v>
      </c>
      <c r="F10" s="109" t="s">
        <v>1310</v>
      </c>
      <c r="G10" s="109" t="s">
        <v>1311</v>
      </c>
      <c r="H10" s="109">
        <v>1.5</v>
      </c>
      <c r="I10" s="109">
        <v>3</v>
      </c>
      <c r="J10" s="109">
        <v>0.6</v>
      </c>
      <c r="K10" s="123">
        <v>46022</v>
      </c>
      <c r="L10" s="109" t="s">
        <v>1311</v>
      </c>
      <c r="M10" s="125" t="s">
        <v>845</v>
      </c>
      <c r="N10" s="109" t="str">
        <f t="shared" si="0"/>
        <v>Verde</v>
      </c>
      <c r="O10" s="109" t="s">
        <v>558</v>
      </c>
      <c r="P10" s="109" t="s">
        <v>617</v>
      </c>
      <c r="Q10" s="109" t="s">
        <v>617</v>
      </c>
      <c r="R10" s="125" t="s">
        <v>1312</v>
      </c>
      <c r="S10" s="109" t="str">
        <f t="shared" si="1"/>
        <v>2025Q4|NFR-03-K1</v>
      </c>
      <c r="T10" s="109" t="s">
        <v>753</v>
      </c>
    </row>
    <row r="11" spans="1:20" ht="29.15" x14ac:dyDescent="0.4">
      <c r="A11" s="109" t="s">
        <v>617</v>
      </c>
      <c r="B11" s="109" t="s">
        <v>1313</v>
      </c>
      <c r="C11" s="109" t="s">
        <v>566</v>
      </c>
      <c r="D11" s="125" t="s">
        <v>1314</v>
      </c>
      <c r="E11" s="109" t="s">
        <v>1294</v>
      </c>
      <c r="F11" s="109" t="s">
        <v>1300</v>
      </c>
      <c r="G11" s="109" t="s">
        <v>1315</v>
      </c>
      <c r="H11" s="109">
        <v>20</v>
      </c>
      <c r="I11" s="109">
        <v>40</v>
      </c>
      <c r="J11" s="109">
        <v>55</v>
      </c>
      <c r="K11" s="123">
        <v>46022</v>
      </c>
      <c r="L11" s="109" t="s">
        <v>1315</v>
      </c>
      <c r="M11" s="125" t="s">
        <v>845</v>
      </c>
      <c r="N11" s="109" t="str">
        <f t="shared" si="0"/>
        <v>Rosso</v>
      </c>
      <c r="O11" s="109" t="s">
        <v>558</v>
      </c>
      <c r="P11" s="109" t="s">
        <v>617</v>
      </c>
      <c r="Q11" s="109" t="s">
        <v>617</v>
      </c>
      <c r="R11" s="125" t="s">
        <v>1316</v>
      </c>
      <c r="S11" s="109" t="str">
        <f t="shared" si="1"/>
        <v>2025Q4|NFR-03-K2</v>
      </c>
      <c r="T11" s="109" t="s">
        <v>753</v>
      </c>
    </row>
    <row r="12" spans="1:20" ht="29.15" x14ac:dyDescent="0.4">
      <c r="A12" s="109" t="s">
        <v>617</v>
      </c>
      <c r="B12" s="109" t="s">
        <v>1317</v>
      </c>
      <c r="C12" s="109" t="s">
        <v>572</v>
      </c>
      <c r="D12" s="125" t="s">
        <v>1318</v>
      </c>
      <c r="E12" s="109" t="s">
        <v>1294</v>
      </c>
      <c r="F12" s="109" t="s">
        <v>1305</v>
      </c>
      <c r="G12" s="109" t="s">
        <v>1319</v>
      </c>
      <c r="H12" s="109">
        <v>1</v>
      </c>
      <c r="I12" s="109">
        <v>3</v>
      </c>
      <c r="J12" s="109">
        <v>2</v>
      </c>
      <c r="K12" s="123">
        <v>46022</v>
      </c>
      <c r="L12" s="109" t="s">
        <v>1319</v>
      </c>
      <c r="M12" s="125" t="s">
        <v>845</v>
      </c>
      <c r="N12" s="109" t="str">
        <f t="shared" si="0"/>
        <v>Ambra</v>
      </c>
      <c r="O12" s="109" t="s">
        <v>558</v>
      </c>
      <c r="P12" s="109" t="s">
        <v>617</v>
      </c>
      <c r="Q12" s="109" t="s">
        <v>617</v>
      </c>
      <c r="R12" s="125" t="s">
        <v>1320</v>
      </c>
      <c r="S12" s="109" t="str">
        <f t="shared" si="1"/>
        <v>2025Q4|NFR-04-K1</v>
      </c>
      <c r="T12" s="109" t="s">
        <v>753</v>
      </c>
    </row>
    <row r="13" spans="1:20" ht="29.15" x14ac:dyDescent="0.4">
      <c r="A13" s="109" t="s">
        <v>617</v>
      </c>
      <c r="B13" s="109" t="s">
        <v>1321</v>
      </c>
      <c r="C13" s="109" t="s">
        <v>572</v>
      </c>
      <c r="D13" s="125" t="s">
        <v>1322</v>
      </c>
      <c r="E13" s="109" t="s">
        <v>821</v>
      </c>
      <c r="F13" s="109" t="s">
        <v>1323</v>
      </c>
      <c r="G13" s="109" t="s">
        <v>1324</v>
      </c>
      <c r="H13" s="109">
        <v>2</v>
      </c>
      <c r="I13" s="109">
        <v>5</v>
      </c>
      <c r="J13" s="109">
        <v>0</v>
      </c>
      <c r="K13" s="123">
        <v>46022</v>
      </c>
      <c r="L13" s="109" t="s">
        <v>1324</v>
      </c>
      <c r="M13" s="125" t="s">
        <v>845</v>
      </c>
      <c r="N13" s="109" t="str">
        <f t="shared" si="0"/>
        <v>Verde</v>
      </c>
      <c r="O13" s="109" t="s">
        <v>558</v>
      </c>
      <c r="P13" s="109" t="s">
        <v>617</v>
      </c>
      <c r="Q13" s="109" t="s">
        <v>617</v>
      </c>
      <c r="R13" s="125" t="s">
        <v>1325</v>
      </c>
      <c r="S13" s="109" t="str">
        <f t="shared" si="1"/>
        <v>2025Q4|NFR-04-K2</v>
      </c>
      <c r="T13" s="109" t="s">
        <v>753</v>
      </c>
    </row>
    <row r="14" spans="1:20" ht="29.15" x14ac:dyDescent="0.4">
      <c r="A14" s="109" t="s">
        <v>617</v>
      </c>
      <c r="B14" s="109" t="s">
        <v>1326</v>
      </c>
      <c r="C14" s="109" t="s">
        <v>576</v>
      </c>
      <c r="D14" s="125" t="s">
        <v>1327</v>
      </c>
      <c r="E14" s="109" t="s">
        <v>821</v>
      </c>
      <c r="F14" s="109" t="s">
        <v>1305</v>
      </c>
      <c r="G14" s="109" t="s">
        <v>1328</v>
      </c>
      <c r="H14" s="109">
        <v>3</v>
      </c>
      <c r="I14" s="109">
        <v>6</v>
      </c>
      <c r="J14" s="109">
        <v>4</v>
      </c>
      <c r="K14" s="123">
        <v>46022</v>
      </c>
      <c r="L14" s="109" t="s">
        <v>1328</v>
      </c>
      <c r="M14" s="125" t="s">
        <v>845</v>
      </c>
      <c r="N14" s="109" t="str">
        <f t="shared" si="0"/>
        <v>Ambra</v>
      </c>
      <c r="O14" s="109" t="s">
        <v>558</v>
      </c>
      <c r="P14" s="109" t="s">
        <v>617</v>
      </c>
      <c r="Q14" s="109" t="s">
        <v>617</v>
      </c>
      <c r="R14" s="125" t="s">
        <v>1329</v>
      </c>
      <c r="S14" s="109" t="str">
        <f t="shared" si="1"/>
        <v>2025Q4|NFR-05-K2</v>
      </c>
      <c r="T14" s="109" t="s">
        <v>753</v>
      </c>
    </row>
    <row r="15" spans="1:20" ht="29.15" x14ac:dyDescent="0.4">
      <c r="A15" s="109" t="s">
        <v>617</v>
      </c>
      <c r="B15" s="109" t="s">
        <v>1330</v>
      </c>
      <c r="C15" s="109" t="s">
        <v>576</v>
      </c>
      <c r="D15" s="125" t="s">
        <v>1331</v>
      </c>
      <c r="E15" s="109" t="s">
        <v>1294</v>
      </c>
      <c r="F15" s="109" t="s">
        <v>1300</v>
      </c>
      <c r="G15" s="109" t="s">
        <v>1332</v>
      </c>
      <c r="H15" s="109">
        <v>30</v>
      </c>
      <c r="I15" s="109">
        <v>60</v>
      </c>
      <c r="J15" s="109">
        <v>55</v>
      </c>
      <c r="K15" s="123">
        <v>46022</v>
      </c>
      <c r="L15" s="109" t="s">
        <v>1332</v>
      </c>
      <c r="M15" s="125" t="s">
        <v>845</v>
      </c>
      <c r="N15" s="109" t="str">
        <f t="shared" si="0"/>
        <v>Ambra</v>
      </c>
      <c r="O15" s="109" t="s">
        <v>558</v>
      </c>
      <c r="P15" s="109" t="s">
        <v>617</v>
      </c>
      <c r="Q15" s="109" t="s">
        <v>617</v>
      </c>
      <c r="R15" s="125" t="s">
        <v>1333</v>
      </c>
      <c r="S15" s="109" t="str">
        <f t="shared" si="1"/>
        <v>2025Q4|NFR-05-K3</v>
      </c>
      <c r="T15" s="109" t="s">
        <v>753</v>
      </c>
    </row>
    <row r="16" spans="1:20" ht="29.15" x14ac:dyDescent="0.4">
      <c r="A16" s="109" t="s">
        <v>617</v>
      </c>
      <c r="B16" s="109" t="s">
        <v>1334</v>
      </c>
      <c r="C16" s="109" t="s">
        <v>587</v>
      </c>
      <c r="D16" s="125" t="s">
        <v>1335</v>
      </c>
      <c r="E16" s="109" t="s">
        <v>1294</v>
      </c>
      <c r="F16" s="109" t="s">
        <v>1305</v>
      </c>
      <c r="G16" s="109" t="s">
        <v>1301</v>
      </c>
      <c r="H16" s="109">
        <v>1</v>
      </c>
      <c r="I16" s="109">
        <v>2</v>
      </c>
      <c r="J16" s="109">
        <v>2</v>
      </c>
      <c r="K16" s="123">
        <v>46022</v>
      </c>
      <c r="L16" s="109" t="s">
        <v>1301</v>
      </c>
      <c r="M16" s="125" t="s">
        <v>845</v>
      </c>
      <c r="N16" s="109" t="str">
        <f t="shared" si="0"/>
        <v>Rosso</v>
      </c>
      <c r="O16" s="109" t="s">
        <v>558</v>
      </c>
      <c r="P16" s="109" t="s">
        <v>617</v>
      </c>
      <c r="Q16" s="109" t="s">
        <v>617</v>
      </c>
      <c r="R16" s="125" t="s">
        <v>1336</v>
      </c>
      <c r="S16" s="109" t="str">
        <f t="shared" si="1"/>
        <v>2025Q4|NFR-07-K1</v>
      </c>
      <c r="T16" s="109" t="s">
        <v>753</v>
      </c>
    </row>
    <row r="17" spans="1:20" ht="29.15" x14ac:dyDescent="0.4">
      <c r="A17" s="109" t="s">
        <v>617</v>
      </c>
      <c r="B17" s="109" t="s">
        <v>1337</v>
      </c>
      <c r="C17" s="109" t="s">
        <v>587</v>
      </c>
      <c r="D17" s="125" t="s">
        <v>1338</v>
      </c>
      <c r="E17" s="109" t="s">
        <v>821</v>
      </c>
      <c r="F17" s="109" t="s">
        <v>1295</v>
      </c>
      <c r="G17" s="109" t="s">
        <v>1306</v>
      </c>
      <c r="H17" s="109">
        <v>4</v>
      </c>
      <c r="I17" s="109">
        <v>12</v>
      </c>
      <c r="J17" s="109">
        <v>1.5</v>
      </c>
      <c r="K17" s="123">
        <v>46022</v>
      </c>
      <c r="L17" s="109" t="s">
        <v>1306</v>
      </c>
      <c r="M17" s="125" t="s">
        <v>845</v>
      </c>
      <c r="N17" s="109" t="str">
        <f t="shared" si="0"/>
        <v>Verde</v>
      </c>
      <c r="O17" s="109" t="s">
        <v>558</v>
      </c>
      <c r="P17" s="109" t="s">
        <v>617</v>
      </c>
      <c r="Q17" s="109" t="s">
        <v>617</v>
      </c>
      <c r="R17" s="125" t="s">
        <v>1339</v>
      </c>
      <c r="S17" s="109" t="str">
        <f t="shared" si="1"/>
        <v>2025Q4|NFR-07-K2</v>
      </c>
      <c r="T17" s="109" t="s">
        <v>753</v>
      </c>
    </row>
    <row r="18" spans="1:20" ht="29.15" x14ac:dyDescent="0.4">
      <c r="A18" s="109" t="s">
        <v>617</v>
      </c>
      <c r="B18" s="109" t="s">
        <v>1340</v>
      </c>
      <c r="C18" s="109" t="s">
        <v>591</v>
      </c>
      <c r="D18" s="125" t="s">
        <v>1341</v>
      </c>
      <c r="E18" s="109" t="s">
        <v>821</v>
      </c>
      <c r="F18" s="109" t="s">
        <v>1342</v>
      </c>
      <c r="G18" s="109" t="s">
        <v>1343</v>
      </c>
      <c r="H18" s="109">
        <v>20</v>
      </c>
      <c r="I18" s="109">
        <v>50</v>
      </c>
      <c r="J18" s="109">
        <v>35</v>
      </c>
      <c r="K18" s="123">
        <v>46022</v>
      </c>
      <c r="L18" s="109" t="s">
        <v>1343</v>
      </c>
      <c r="M18" s="125" t="s">
        <v>845</v>
      </c>
      <c r="N18" s="109" t="str">
        <f t="shared" si="0"/>
        <v>Ambra</v>
      </c>
      <c r="O18" s="109" t="s">
        <v>558</v>
      </c>
      <c r="P18" s="109" t="s">
        <v>617</v>
      </c>
      <c r="Q18" s="109" t="s">
        <v>617</v>
      </c>
      <c r="R18" s="125" t="s">
        <v>1344</v>
      </c>
      <c r="S18" s="109" t="str">
        <f t="shared" si="1"/>
        <v>2025Q4|NFR-08-K1</v>
      </c>
      <c r="T18" s="109" t="s">
        <v>753</v>
      </c>
    </row>
    <row r="19" spans="1:20" ht="29.15" x14ac:dyDescent="0.4">
      <c r="A19" s="109" t="s">
        <v>617</v>
      </c>
      <c r="B19" s="109" t="s">
        <v>1345</v>
      </c>
      <c r="C19" s="109" t="s">
        <v>591</v>
      </c>
      <c r="D19" s="125" t="s">
        <v>1346</v>
      </c>
      <c r="E19" s="109" t="s">
        <v>1294</v>
      </c>
      <c r="F19" s="109" t="s">
        <v>1300</v>
      </c>
      <c r="G19" s="109" t="s">
        <v>1347</v>
      </c>
      <c r="H19" s="109">
        <v>5</v>
      </c>
      <c r="I19" s="109">
        <v>15</v>
      </c>
      <c r="J19" s="109">
        <v>12</v>
      </c>
      <c r="K19" s="123">
        <v>46022</v>
      </c>
      <c r="L19" s="109" t="s">
        <v>1347</v>
      </c>
      <c r="M19" s="125" t="s">
        <v>845</v>
      </c>
      <c r="N19" s="109" t="str">
        <f t="shared" si="0"/>
        <v>Ambra</v>
      </c>
      <c r="O19" s="109" t="s">
        <v>558</v>
      </c>
      <c r="P19" s="109" t="s">
        <v>617</v>
      </c>
      <c r="Q19" s="109" t="s">
        <v>617</v>
      </c>
      <c r="R19" s="125" t="s">
        <v>1348</v>
      </c>
      <c r="S19" s="109" t="str">
        <f t="shared" si="1"/>
        <v>2025Q4|NFR-08-K2</v>
      </c>
      <c r="T19" s="109" t="s">
        <v>753</v>
      </c>
    </row>
    <row r="20" spans="1:20" ht="29.15" x14ac:dyDescent="0.4">
      <c r="A20" s="109" t="s">
        <v>617</v>
      </c>
      <c r="B20" s="109" t="s">
        <v>1349</v>
      </c>
      <c r="C20" s="109" t="s">
        <v>604</v>
      </c>
      <c r="D20" s="125" t="s">
        <v>1350</v>
      </c>
      <c r="E20" s="109" t="s">
        <v>1294</v>
      </c>
      <c r="F20" s="109" t="s">
        <v>1305</v>
      </c>
      <c r="G20" s="109" t="s">
        <v>1351</v>
      </c>
      <c r="H20" s="109">
        <v>3</v>
      </c>
      <c r="I20" s="109">
        <v>8</v>
      </c>
      <c r="J20" s="109">
        <v>9</v>
      </c>
      <c r="K20" s="123">
        <v>46022</v>
      </c>
      <c r="L20" s="109" t="s">
        <v>1351</v>
      </c>
      <c r="M20" s="125" t="s">
        <v>845</v>
      </c>
      <c r="N20" s="109" t="str">
        <f t="shared" si="0"/>
        <v>Rosso</v>
      </c>
      <c r="O20" s="109" t="s">
        <v>558</v>
      </c>
      <c r="P20" s="109" t="s">
        <v>617</v>
      </c>
      <c r="Q20" s="109" t="s">
        <v>617</v>
      </c>
      <c r="R20" s="125" t="s">
        <v>1352</v>
      </c>
      <c r="S20" s="109" t="str">
        <f t="shared" si="1"/>
        <v>2025Q4|NFR-11-K1</v>
      </c>
      <c r="T20" s="109" t="s">
        <v>753</v>
      </c>
    </row>
    <row r="21" spans="1:20" ht="29.15" x14ac:dyDescent="0.4">
      <c r="A21" s="109" t="s">
        <v>617</v>
      </c>
      <c r="B21" s="109" t="s">
        <v>1353</v>
      </c>
      <c r="C21" s="109" t="s">
        <v>604</v>
      </c>
      <c r="D21" s="125" t="s">
        <v>1354</v>
      </c>
      <c r="E21" s="109" t="s">
        <v>821</v>
      </c>
      <c r="F21" s="109" t="s">
        <v>1305</v>
      </c>
      <c r="G21" s="109" t="s">
        <v>1355</v>
      </c>
      <c r="H21" s="109">
        <v>2</v>
      </c>
      <c r="I21" s="109">
        <v>6</v>
      </c>
      <c r="J21" s="109">
        <v>4</v>
      </c>
      <c r="K21" s="123">
        <v>46022</v>
      </c>
      <c r="L21" s="109" t="s">
        <v>1355</v>
      </c>
      <c r="M21" s="125" t="s">
        <v>845</v>
      </c>
      <c r="N21" s="109" t="str">
        <f t="shared" si="0"/>
        <v>Ambra</v>
      </c>
      <c r="O21" s="109" t="s">
        <v>558</v>
      </c>
      <c r="P21" s="109" t="s">
        <v>617</v>
      </c>
      <c r="Q21" s="109" t="s">
        <v>617</v>
      </c>
      <c r="R21" s="125" t="s">
        <v>1356</v>
      </c>
      <c r="S21" s="109" t="str">
        <f t="shared" si="1"/>
        <v>2025Q4|NFR-11-K2</v>
      </c>
      <c r="T21" s="109" t="s">
        <v>753</v>
      </c>
    </row>
    <row r="22" spans="1:20" ht="29.15" x14ac:dyDescent="0.4">
      <c r="A22" s="109" t="s">
        <v>617</v>
      </c>
      <c r="B22" s="109" t="s">
        <v>1357</v>
      </c>
      <c r="C22" s="109" t="s">
        <v>611</v>
      </c>
      <c r="D22" s="125" t="s">
        <v>1358</v>
      </c>
      <c r="E22" s="109" t="s">
        <v>821</v>
      </c>
      <c r="F22" s="109" t="s">
        <v>1305</v>
      </c>
      <c r="G22" s="109" t="s">
        <v>1359</v>
      </c>
      <c r="H22" s="109">
        <v>10</v>
      </c>
      <c r="I22" s="109">
        <v>30</v>
      </c>
      <c r="J22" s="109">
        <v>4</v>
      </c>
      <c r="K22" s="123">
        <v>46022</v>
      </c>
      <c r="L22" s="109" t="s">
        <v>1359</v>
      </c>
      <c r="M22" s="125" t="s">
        <v>845</v>
      </c>
      <c r="N22" s="109" t="str">
        <f t="shared" si="0"/>
        <v>Verde</v>
      </c>
      <c r="O22" s="109" t="s">
        <v>558</v>
      </c>
      <c r="P22" s="109" t="s">
        <v>617</v>
      </c>
      <c r="Q22" s="109" t="s">
        <v>617</v>
      </c>
      <c r="R22" s="125" t="s">
        <v>1360</v>
      </c>
      <c r="S22" s="109" t="str">
        <f t="shared" si="1"/>
        <v>2025Q4|NFR-12-K1</v>
      </c>
      <c r="T22" s="109" t="s">
        <v>753</v>
      </c>
    </row>
    <row r="23" spans="1:20" ht="29.15" x14ac:dyDescent="0.4">
      <c r="A23" s="109" t="s">
        <v>617</v>
      </c>
      <c r="B23" s="109" t="s">
        <v>1361</v>
      </c>
      <c r="C23" s="109" t="s">
        <v>611</v>
      </c>
      <c r="D23" s="125" t="s">
        <v>1362</v>
      </c>
      <c r="E23" s="109" t="s">
        <v>1294</v>
      </c>
      <c r="F23" s="109" t="s">
        <v>1295</v>
      </c>
      <c r="G23" s="109" t="s">
        <v>1363</v>
      </c>
      <c r="H23" s="109">
        <v>4</v>
      </c>
      <c r="I23" s="109">
        <v>12</v>
      </c>
      <c r="J23" s="109">
        <v>3</v>
      </c>
      <c r="K23" s="123">
        <v>46022</v>
      </c>
      <c r="L23" s="109" t="s">
        <v>1363</v>
      </c>
      <c r="M23" s="125" t="s">
        <v>845</v>
      </c>
      <c r="N23" s="109" t="str">
        <f t="shared" si="0"/>
        <v>Verde</v>
      </c>
      <c r="O23" s="109" t="s">
        <v>558</v>
      </c>
      <c r="P23" s="109" t="s">
        <v>617</v>
      </c>
      <c r="Q23" s="109" t="s">
        <v>617</v>
      </c>
      <c r="R23" s="125" t="s">
        <v>1364</v>
      </c>
      <c r="S23" s="109" t="str">
        <f t="shared" si="1"/>
        <v>2025Q4|NFR-12-K3</v>
      </c>
      <c r="T23" s="109" t="s">
        <v>753</v>
      </c>
    </row>
    <row r="24" spans="1:20" ht="29.15" x14ac:dyDescent="0.4">
      <c r="A24" s="109" t="s">
        <v>614</v>
      </c>
      <c r="B24" s="109" t="s">
        <v>437</v>
      </c>
      <c r="C24" s="109" t="s">
        <v>554</v>
      </c>
      <c r="D24" s="125" t="s">
        <v>1290</v>
      </c>
      <c r="E24" s="109" t="s">
        <v>821</v>
      </c>
      <c r="F24" s="109" t="s">
        <v>824</v>
      </c>
      <c r="G24" s="109" t="s">
        <v>827</v>
      </c>
      <c r="H24" s="109">
        <v>3</v>
      </c>
      <c r="I24" s="109">
        <v>6</v>
      </c>
      <c r="J24" s="109">
        <v>3.4</v>
      </c>
      <c r="K24" s="123">
        <v>46112</v>
      </c>
      <c r="L24" s="109" t="s">
        <v>827</v>
      </c>
      <c r="M24" s="125" t="s">
        <v>845</v>
      </c>
      <c r="N24" s="109" t="str">
        <f t="shared" si="0"/>
        <v>Ambra</v>
      </c>
      <c r="O24" s="109" t="s">
        <v>558</v>
      </c>
      <c r="P24" s="109" t="s">
        <v>617</v>
      </c>
      <c r="Q24" s="109" t="s">
        <v>617</v>
      </c>
      <c r="R24" s="125" t="s">
        <v>1291</v>
      </c>
      <c r="S24" s="109" t="str">
        <f t="shared" si="1"/>
        <v>2026Q1|NFR-01-K1</v>
      </c>
      <c r="T24" s="109" t="s">
        <v>753</v>
      </c>
    </row>
    <row r="25" spans="1:20" ht="29.15" x14ac:dyDescent="0.4">
      <c r="A25" s="109" t="s">
        <v>614</v>
      </c>
      <c r="B25" s="109" t="s">
        <v>1292</v>
      </c>
      <c r="C25" s="109" t="s">
        <v>554</v>
      </c>
      <c r="D25" s="125" t="s">
        <v>1293</v>
      </c>
      <c r="E25" s="109" t="s">
        <v>1294</v>
      </c>
      <c r="F25" s="109" t="s">
        <v>1295</v>
      </c>
      <c r="G25" s="109" t="s">
        <v>1296</v>
      </c>
      <c r="H25" s="109">
        <v>4</v>
      </c>
      <c r="I25" s="109">
        <v>12</v>
      </c>
      <c r="J25" s="109">
        <v>3.5</v>
      </c>
      <c r="K25" s="123">
        <v>46112</v>
      </c>
      <c r="L25" s="109" t="s">
        <v>1296</v>
      </c>
      <c r="M25" s="125" t="s">
        <v>845</v>
      </c>
      <c r="N25" s="109" t="str">
        <f t="shared" si="0"/>
        <v>Verde</v>
      </c>
      <c r="O25" s="109" t="s">
        <v>558</v>
      </c>
      <c r="P25" s="109" t="s">
        <v>617</v>
      </c>
      <c r="Q25" s="109" t="s">
        <v>617</v>
      </c>
      <c r="R25" s="125" t="s">
        <v>1297</v>
      </c>
      <c r="S25" s="109" t="str">
        <f t="shared" si="1"/>
        <v>2026Q1|NFR-01-K3</v>
      </c>
      <c r="T25" s="109" t="s">
        <v>753</v>
      </c>
    </row>
    <row r="26" spans="1:20" ht="29.15" x14ac:dyDescent="0.4">
      <c r="A26" s="109" t="s">
        <v>614</v>
      </c>
      <c r="B26" s="109" t="s">
        <v>1298</v>
      </c>
      <c r="C26" s="109" t="s">
        <v>560</v>
      </c>
      <c r="D26" s="125" t="s">
        <v>1299</v>
      </c>
      <c r="E26" s="109" t="s">
        <v>1294</v>
      </c>
      <c r="F26" s="109" t="s">
        <v>1300</v>
      </c>
      <c r="G26" s="109" t="s">
        <v>1301</v>
      </c>
      <c r="H26" s="109">
        <v>60</v>
      </c>
      <c r="I26" s="109">
        <v>75</v>
      </c>
      <c r="J26" s="109">
        <v>76</v>
      </c>
      <c r="K26" s="123">
        <v>46112</v>
      </c>
      <c r="L26" s="109" t="s">
        <v>1301</v>
      </c>
      <c r="M26" s="125" t="s">
        <v>845</v>
      </c>
      <c r="N26" s="109" t="str">
        <f t="shared" si="0"/>
        <v>Rosso</v>
      </c>
      <c r="O26" s="109" t="s">
        <v>558</v>
      </c>
      <c r="P26" s="109" t="s">
        <v>617</v>
      </c>
      <c r="Q26" s="109" t="s">
        <v>617</v>
      </c>
      <c r="R26" s="125" t="s">
        <v>1302</v>
      </c>
      <c r="S26" s="109" t="str">
        <f t="shared" si="1"/>
        <v>2026Q1|NFR-02-K1</v>
      </c>
      <c r="T26" s="109" t="s">
        <v>753</v>
      </c>
    </row>
    <row r="27" spans="1:20" ht="29.15" x14ac:dyDescent="0.4">
      <c r="A27" s="109" t="s">
        <v>614</v>
      </c>
      <c r="B27" s="109" t="s">
        <v>1303</v>
      </c>
      <c r="C27" s="109" t="s">
        <v>560</v>
      </c>
      <c r="D27" s="125" t="s">
        <v>1304</v>
      </c>
      <c r="E27" s="109" t="s">
        <v>821</v>
      </c>
      <c r="F27" s="109" t="s">
        <v>1305</v>
      </c>
      <c r="G27" s="109" t="s">
        <v>1306</v>
      </c>
      <c r="H27" s="109">
        <v>2</v>
      </c>
      <c r="I27" s="109">
        <v>4</v>
      </c>
      <c r="J27" s="109">
        <v>0</v>
      </c>
      <c r="K27" s="123">
        <v>46112</v>
      </c>
      <c r="L27" s="109" t="s">
        <v>1306</v>
      </c>
      <c r="M27" s="125" t="s">
        <v>845</v>
      </c>
      <c r="N27" s="109" t="str">
        <f t="shared" si="0"/>
        <v>Verde</v>
      </c>
      <c r="O27" s="109" t="s">
        <v>558</v>
      </c>
      <c r="P27" s="109" t="s">
        <v>617</v>
      </c>
      <c r="Q27" s="109" t="s">
        <v>617</v>
      </c>
      <c r="R27" s="125" t="s">
        <v>1307</v>
      </c>
      <c r="S27" s="109" t="str">
        <f t="shared" si="1"/>
        <v>2026Q1|NFR-02-K2</v>
      </c>
      <c r="T27" s="109" t="s">
        <v>753</v>
      </c>
    </row>
    <row r="28" spans="1:20" ht="29.15" x14ac:dyDescent="0.4">
      <c r="A28" s="109" t="s">
        <v>614</v>
      </c>
      <c r="B28" s="109" t="s">
        <v>1308</v>
      </c>
      <c r="C28" s="109" t="s">
        <v>566</v>
      </c>
      <c r="D28" s="125" t="s">
        <v>1309</v>
      </c>
      <c r="E28" s="109" t="s">
        <v>821</v>
      </c>
      <c r="F28" s="109" t="s">
        <v>1310</v>
      </c>
      <c r="G28" s="109" t="s">
        <v>1311</v>
      </c>
      <c r="H28" s="109">
        <v>1.5</v>
      </c>
      <c r="I28" s="109">
        <v>3</v>
      </c>
      <c r="J28" s="109">
        <v>0.7</v>
      </c>
      <c r="K28" s="123">
        <v>46112</v>
      </c>
      <c r="L28" s="109" t="s">
        <v>1311</v>
      </c>
      <c r="M28" s="125" t="s">
        <v>845</v>
      </c>
      <c r="N28" s="109" t="str">
        <f t="shared" si="0"/>
        <v>Verde</v>
      </c>
      <c r="O28" s="109" t="s">
        <v>558</v>
      </c>
      <c r="P28" s="109" t="s">
        <v>617</v>
      </c>
      <c r="Q28" s="109" t="s">
        <v>617</v>
      </c>
      <c r="R28" s="125" t="s">
        <v>1312</v>
      </c>
      <c r="S28" s="109" t="str">
        <f t="shared" si="1"/>
        <v>2026Q1|NFR-03-K1</v>
      </c>
      <c r="T28" s="109" t="s">
        <v>753</v>
      </c>
    </row>
    <row r="29" spans="1:20" ht="29.15" x14ac:dyDescent="0.4">
      <c r="A29" s="109" t="s">
        <v>614</v>
      </c>
      <c r="B29" s="109" t="s">
        <v>1313</v>
      </c>
      <c r="C29" s="109" t="s">
        <v>566</v>
      </c>
      <c r="D29" s="125" t="s">
        <v>1314</v>
      </c>
      <c r="E29" s="109" t="s">
        <v>1294</v>
      </c>
      <c r="F29" s="109" t="s">
        <v>1300</v>
      </c>
      <c r="G29" s="109" t="s">
        <v>1315</v>
      </c>
      <c r="H29" s="109">
        <v>20</v>
      </c>
      <c r="I29" s="109">
        <v>40</v>
      </c>
      <c r="J29" s="109"/>
      <c r="K29" s="123"/>
      <c r="L29" s="109"/>
      <c r="M29" s="125" t="s">
        <v>1365</v>
      </c>
      <c r="N29" s="109" t="str">
        <f t="shared" si="0"/>
        <v>Non rilevato</v>
      </c>
      <c r="O29" s="109" t="s">
        <v>558</v>
      </c>
      <c r="P29" s="109" t="s">
        <v>617</v>
      </c>
      <c r="Q29" s="109" t="s">
        <v>617</v>
      </c>
      <c r="R29" s="125" t="s">
        <v>1316</v>
      </c>
      <c r="S29" s="109" t="str">
        <f t="shared" si="1"/>
        <v>2026Q1|NFR-03-K2</v>
      </c>
      <c r="T29" s="109" t="s">
        <v>753</v>
      </c>
    </row>
    <row r="30" spans="1:20" ht="29.15" x14ac:dyDescent="0.4">
      <c r="A30" s="109" t="s">
        <v>614</v>
      </c>
      <c r="B30" s="109" t="s">
        <v>1317</v>
      </c>
      <c r="C30" s="109" t="s">
        <v>572</v>
      </c>
      <c r="D30" s="125" t="s">
        <v>1318</v>
      </c>
      <c r="E30" s="109" t="s">
        <v>1294</v>
      </c>
      <c r="F30" s="109" t="s">
        <v>1305</v>
      </c>
      <c r="G30" s="109" t="s">
        <v>1319</v>
      </c>
      <c r="H30" s="109">
        <v>1</v>
      </c>
      <c r="I30" s="109">
        <v>3</v>
      </c>
      <c r="J30" s="109">
        <v>2</v>
      </c>
      <c r="K30" s="123">
        <v>46112</v>
      </c>
      <c r="L30" s="109" t="s">
        <v>1319</v>
      </c>
      <c r="M30" s="125" t="s">
        <v>845</v>
      </c>
      <c r="N30" s="109" t="str">
        <f t="shared" si="0"/>
        <v>Ambra</v>
      </c>
      <c r="O30" s="109" t="s">
        <v>558</v>
      </c>
      <c r="P30" s="109" t="s">
        <v>617</v>
      </c>
      <c r="Q30" s="109" t="s">
        <v>617</v>
      </c>
      <c r="R30" s="125" t="s">
        <v>1320</v>
      </c>
      <c r="S30" s="109" t="str">
        <f t="shared" si="1"/>
        <v>2026Q1|NFR-04-K1</v>
      </c>
      <c r="T30" s="109" t="s">
        <v>753</v>
      </c>
    </row>
    <row r="31" spans="1:20" ht="29.15" x14ac:dyDescent="0.4">
      <c r="A31" s="109" t="s">
        <v>614</v>
      </c>
      <c r="B31" s="109" t="s">
        <v>1321</v>
      </c>
      <c r="C31" s="109" t="s">
        <v>572</v>
      </c>
      <c r="D31" s="125" t="s">
        <v>1322</v>
      </c>
      <c r="E31" s="109" t="s">
        <v>821</v>
      </c>
      <c r="F31" s="109" t="s">
        <v>1323</v>
      </c>
      <c r="G31" s="109" t="s">
        <v>1324</v>
      </c>
      <c r="H31" s="109">
        <v>2</v>
      </c>
      <c r="I31" s="109">
        <v>5</v>
      </c>
      <c r="J31" s="109">
        <v>1</v>
      </c>
      <c r="K31" s="123">
        <v>46112</v>
      </c>
      <c r="L31" s="109" t="s">
        <v>1324</v>
      </c>
      <c r="M31" s="125" t="s">
        <v>845</v>
      </c>
      <c r="N31" s="109" t="str">
        <f t="shared" si="0"/>
        <v>Verde</v>
      </c>
      <c r="O31" s="109" t="s">
        <v>558</v>
      </c>
      <c r="P31" s="109" t="s">
        <v>617</v>
      </c>
      <c r="Q31" s="109" t="s">
        <v>617</v>
      </c>
      <c r="R31" s="125" t="s">
        <v>1325</v>
      </c>
      <c r="S31" s="109" t="str">
        <f t="shared" si="1"/>
        <v>2026Q1|NFR-04-K2</v>
      </c>
      <c r="T31" s="109" t="s">
        <v>753</v>
      </c>
    </row>
    <row r="32" spans="1:20" ht="29.15" x14ac:dyDescent="0.4">
      <c r="A32" s="109" t="s">
        <v>614</v>
      </c>
      <c r="B32" s="109" t="s">
        <v>1326</v>
      </c>
      <c r="C32" s="109" t="s">
        <v>576</v>
      </c>
      <c r="D32" s="125" t="s">
        <v>1327</v>
      </c>
      <c r="E32" s="109" t="s">
        <v>821</v>
      </c>
      <c r="F32" s="109" t="s">
        <v>1305</v>
      </c>
      <c r="G32" s="109" t="s">
        <v>1328</v>
      </c>
      <c r="H32" s="109">
        <v>3</v>
      </c>
      <c r="I32" s="109">
        <v>6</v>
      </c>
      <c r="J32" s="109">
        <v>9</v>
      </c>
      <c r="K32" s="123">
        <v>46112</v>
      </c>
      <c r="L32" s="109" t="s">
        <v>1328</v>
      </c>
      <c r="M32" s="125" t="s">
        <v>845</v>
      </c>
      <c r="N32" s="109" t="str">
        <f t="shared" si="0"/>
        <v>Rosso</v>
      </c>
      <c r="O32" s="109" t="s">
        <v>558</v>
      </c>
      <c r="P32" s="109" t="s">
        <v>617</v>
      </c>
      <c r="Q32" s="109" t="s">
        <v>617</v>
      </c>
      <c r="R32" s="125" t="s">
        <v>1329</v>
      </c>
      <c r="S32" s="109" t="str">
        <f t="shared" si="1"/>
        <v>2026Q1|NFR-05-K2</v>
      </c>
      <c r="T32" s="109" t="s">
        <v>753</v>
      </c>
    </row>
    <row r="33" spans="1:20" ht="29.15" x14ac:dyDescent="0.4">
      <c r="A33" s="109" t="s">
        <v>614</v>
      </c>
      <c r="B33" s="109" t="s">
        <v>1330</v>
      </c>
      <c r="C33" s="109" t="s">
        <v>576</v>
      </c>
      <c r="D33" s="125" t="s">
        <v>1331</v>
      </c>
      <c r="E33" s="109" t="s">
        <v>1294</v>
      </c>
      <c r="F33" s="109" t="s">
        <v>1300</v>
      </c>
      <c r="G33" s="109" t="s">
        <v>1332</v>
      </c>
      <c r="H33" s="109">
        <v>30</v>
      </c>
      <c r="I33" s="109">
        <v>60</v>
      </c>
      <c r="J33" s="109">
        <v>40</v>
      </c>
      <c r="K33" s="123">
        <v>46112</v>
      </c>
      <c r="L33" s="109" t="s">
        <v>1332</v>
      </c>
      <c r="M33" s="125" t="s">
        <v>845</v>
      </c>
      <c r="N33" s="109" t="str">
        <f t="shared" si="0"/>
        <v>Ambra</v>
      </c>
      <c r="O33" s="109" t="s">
        <v>558</v>
      </c>
      <c r="P33" s="109" t="s">
        <v>617</v>
      </c>
      <c r="Q33" s="109" t="s">
        <v>617</v>
      </c>
      <c r="R33" s="125" t="s">
        <v>1333</v>
      </c>
      <c r="S33" s="109" t="str">
        <f t="shared" si="1"/>
        <v>2026Q1|NFR-05-K3</v>
      </c>
      <c r="T33" s="109" t="s">
        <v>753</v>
      </c>
    </row>
    <row r="34" spans="1:20" ht="29.15" x14ac:dyDescent="0.4">
      <c r="A34" s="109" t="s">
        <v>614</v>
      </c>
      <c r="B34" s="109" t="s">
        <v>1366</v>
      </c>
      <c r="C34" s="109" t="s">
        <v>581</v>
      </c>
      <c r="D34" s="125" t="s">
        <v>1367</v>
      </c>
      <c r="E34" s="109" t="s">
        <v>821</v>
      </c>
      <c r="F34" s="109" t="s">
        <v>1342</v>
      </c>
      <c r="G34" s="109" t="s">
        <v>1368</v>
      </c>
      <c r="H34" s="109">
        <v>10</v>
      </c>
      <c r="I34" s="109">
        <v>30</v>
      </c>
      <c r="J34" s="109">
        <v>22</v>
      </c>
      <c r="K34" s="123">
        <v>46112</v>
      </c>
      <c r="L34" s="109" t="s">
        <v>1368</v>
      </c>
      <c r="M34" s="125" t="s">
        <v>845</v>
      </c>
      <c r="N34" s="109" t="str">
        <f t="shared" si="0"/>
        <v>Ambra</v>
      </c>
      <c r="O34" s="109" t="s">
        <v>558</v>
      </c>
      <c r="P34" s="109" t="s">
        <v>614</v>
      </c>
      <c r="Q34" s="109" t="s">
        <v>614</v>
      </c>
      <c r="R34" s="125" t="s">
        <v>1369</v>
      </c>
      <c r="S34" s="109" t="str">
        <f t="shared" si="1"/>
        <v>2026Q1|NFR-06-K1</v>
      </c>
      <c r="T34" s="109" t="s">
        <v>753</v>
      </c>
    </row>
    <row r="35" spans="1:20" ht="29.15" x14ac:dyDescent="0.4">
      <c r="A35" s="109" t="s">
        <v>614</v>
      </c>
      <c r="B35" s="109" t="s">
        <v>1370</v>
      </c>
      <c r="C35" s="109" t="s">
        <v>581</v>
      </c>
      <c r="D35" s="125" t="s">
        <v>1371</v>
      </c>
      <c r="E35" s="109" t="s">
        <v>1294</v>
      </c>
      <c r="F35" s="109" t="s">
        <v>1300</v>
      </c>
      <c r="G35" s="109" t="s">
        <v>1372</v>
      </c>
      <c r="H35" s="109">
        <v>20</v>
      </c>
      <c r="I35" s="109">
        <v>40</v>
      </c>
      <c r="J35" s="109">
        <v>48</v>
      </c>
      <c r="K35" s="123">
        <v>46112</v>
      </c>
      <c r="L35" s="109" t="s">
        <v>1372</v>
      </c>
      <c r="M35" s="125" t="s">
        <v>845</v>
      </c>
      <c r="N35" s="109" t="str">
        <f t="shared" si="0"/>
        <v>Rosso</v>
      </c>
      <c r="O35" s="109" t="s">
        <v>558</v>
      </c>
      <c r="P35" s="109" t="s">
        <v>614</v>
      </c>
      <c r="Q35" s="109" t="s">
        <v>614</v>
      </c>
      <c r="R35" s="125" t="s">
        <v>1373</v>
      </c>
      <c r="S35" s="109" t="str">
        <f t="shared" si="1"/>
        <v>2026Q1|NFR-06-K2</v>
      </c>
      <c r="T35" s="109" t="s">
        <v>753</v>
      </c>
    </row>
    <row r="36" spans="1:20" ht="29.15" x14ac:dyDescent="0.4">
      <c r="A36" s="109" t="s">
        <v>614</v>
      </c>
      <c r="B36" s="109" t="s">
        <v>1334</v>
      </c>
      <c r="C36" s="109" t="s">
        <v>587</v>
      </c>
      <c r="D36" s="125" t="s">
        <v>1335</v>
      </c>
      <c r="E36" s="109" t="s">
        <v>1294</v>
      </c>
      <c r="F36" s="109" t="s">
        <v>1305</v>
      </c>
      <c r="G36" s="109" t="s">
        <v>1301</v>
      </c>
      <c r="H36" s="109">
        <v>1</v>
      </c>
      <c r="I36" s="109">
        <v>2</v>
      </c>
      <c r="J36" s="109">
        <v>2</v>
      </c>
      <c r="K36" s="123">
        <v>46112</v>
      </c>
      <c r="L36" s="109" t="s">
        <v>1301</v>
      </c>
      <c r="M36" s="125" t="s">
        <v>845</v>
      </c>
      <c r="N36" s="109" t="str">
        <f t="shared" si="0"/>
        <v>Rosso</v>
      </c>
      <c r="O36" s="109" t="s">
        <v>558</v>
      </c>
      <c r="P36" s="109" t="s">
        <v>617</v>
      </c>
      <c r="Q36" s="109" t="s">
        <v>617</v>
      </c>
      <c r="R36" s="125" t="s">
        <v>1336</v>
      </c>
      <c r="S36" s="109" t="str">
        <f t="shared" si="1"/>
        <v>2026Q1|NFR-07-K1</v>
      </c>
      <c r="T36" s="109" t="s">
        <v>753</v>
      </c>
    </row>
    <row r="37" spans="1:20" ht="29.15" x14ac:dyDescent="0.4">
      <c r="A37" s="109" t="s">
        <v>614</v>
      </c>
      <c r="B37" s="109" t="s">
        <v>1337</v>
      </c>
      <c r="C37" s="109" t="s">
        <v>587</v>
      </c>
      <c r="D37" s="125" t="s">
        <v>1338</v>
      </c>
      <c r="E37" s="109" t="s">
        <v>821</v>
      </c>
      <c r="F37" s="109" t="s">
        <v>1295</v>
      </c>
      <c r="G37" s="109" t="s">
        <v>1306</v>
      </c>
      <c r="H37" s="109">
        <v>4</v>
      </c>
      <c r="I37" s="109">
        <v>12</v>
      </c>
      <c r="J37" s="109">
        <v>6</v>
      </c>
      <c r="K37" s="123">
        <v>46112</v>
      </c>
      <c r="L37" s="109" t="s">
        <v>1306</v>
      </c>
      <c r="M37" s="125" t="s">
        <v>845</v>
      </c>
      <c r="N37" s="109" t="str">
        <f t="shared" si="0"/>
        <v>Ambra</v>
      </c>
      <c r="O37" s="109" t="s">
        <v>558</v>
      </c>
      <c r="P37" s="109" t="s">
        <v>617</v>
      </c>
      <c r="Q37" s="109" t="s">
        <v>617</v>
      </c>
      <c r="R37" s="125" t="s">
        <v>1339</v>
      </c>
      <c r="S37" s="109" t="str">
        <f t="shared" si="1"/>
        <v>2026Q1|NFR-07-K2</v>
      </c>
      <c r="T37" s="109" t="s">
        <v>753</v>
      </c>
    </row>
    <row r="38" spans="1:20" ht="29.15" x14ac:dyDescent="0.4">
      <c r="A38" s="109" t="s">
        <v>614</v>
      </c>
      <c r="B38" s="109" t="s">
        <v>1340</v>
      </c>
      <c r="C38" s="109" t="s">
        <v>591</v>
      </c>
      <c r="D38" s="125" t="s">
        <v>1341</v>
      </c>
      <c r="E38" s="109" t="s">
        <v>821</v>
      </c>
      <c r="F38" s="109" t="s">
        <v>1342</v>
      </c>
      <c r="G38" s="109" t="s">
        <v>1343</v>
      </c>
      <c r="H38" s="109">
        <v>20</v>
      </c>
      <c r="I38" s="109">
        <v>50</v>
      </c>
      <c r="J38" s="109">
        <v>28</v>
      </c>
      <c r="K38" s="123">
        <v>46112</v>
      </c>
      <c r="L38" s="109" t="s">
        <v>1343</v>
      </c>
      <c r="M38" s="125" t="s">
        <v>845</v>
      </c>
      <c r="N38" s="109" t="str">
        <f t="shared" ref="N38:N71" si="2">IF(OR(H38="",I38=""),"Soglie da definire",IF(I38&lt;H38,"SOGLIE INVERTITE — correggere",IF(J38="","Non rilevato",IF(J38&gt;=I38,"Rosso",IF(J38&gt;=H38,"Ambra","Verde")))))</f>
        <v>Ambra</v>
      </c>
      <c r="O38" s="109" t="s">
        <v>558</v>
      </c>
      <c r="P38" s="109" t="s">
        <v>617</v>
      </c>
      <c r="Q38" s="109" t="s">
        <v>617</v>
      </c>
      <c r="R38" s="125" t="s">
        <v>1344</v>
      </c>
      <c r="S38" s="109" t="str">
        <f t="shared" ref="S38:S71" si="3">A38&amp;"|"&amp;B38</f>
        <v>2026Q1|NFR-08-K1</v>
      </c>
      <c r="T38" s="109" t="s">
        <v>753</v>
      </c>
    </row>
    <row r="39" spans="1:20" ht="29.15" x14ac:dyDescent="0.4">
      <c r="A39" s="109" t="s">
        <v>614</v>
      </c>
      <c r="B39" s="109" t="s">
        <v>1345</v>
      </c>
      <c r="C39" s="109" t="s">
        <v>591</v>
      </c>
      <c r="D39" s="125" t="s">
        <v>1346</v>
      </c>
      <c r="E39" s="109" t="s">
        <v>1294</v>
      </c>
      <c r="F39" s="109" t="s">
        <v>1300</v>
      </c>
      <c r="G39" s="109" t="s">
        <v>1347</v>
      </c>
      <c r="H39" s="109">
        <v>5</v>
      </c>
      <c r="I39" s="109">
        <v>15</v>
      </c>
      <c r="J39" s="109">
        <v>9</v>
      </c>
      <c r="K39" s="123">
        <v>46112</v>
      </c>
      <c r="L39" s="109" t="s">
        <v>1347</v>
      </c>
      <c r="M39" s="125" t="s">
        <v>845</v>
      </c>
      <c r="N39" s="109" t="str">
        <f t="shared" si="2"/>
        <v>Ambra</v>
      </c>
      <c r="O39" s="109" t="s">
        <v>558</v>
      </c>
      <c r="P39" s="109" t="s">
        <v>617</v>
      </c>
      <c r="Q39" s="109" t="s">
        <v>617</v>
      </c>
      <c r="R39" s="125" t="s">
        <v>1348</v>
      </c>
      <c r="S39" s="109" t="str">
        <f t="shared" si="3"/>
        <v>2026Q1|NFR-08-K2</v>
      </c>
      <c r="T39" s="109" t="s">
        <v>753</v>
      </c>
    </row>
    <row r="40" spans="1:20" ht="29.15" x14ac:dyDescent="0.4">
      <c r="A40" s="109" t="s">
        <v>614</v>
      </c>
      <c r="B40" s="109" t="s">
        <v>1374</v>
      </c>
      <c r="C40" s="109" t="s">
        <v>595</v>
      </c>
      <c r="D40" s="125" t="s">
        <v>1375</v>
      </c>
      <c r="E40" s="109" t="s">
        <v>821</v>
      </c>
      <c r="F40" s="109" t="s">
        <v>824</v>
      </c>
      <c r="G40" s="109" t="s">
        <v>1376</v>
      </c>
      <c r="H40" s="109">
        <v>2</v>
      </c>
      <c r="I40" s="109">
        <v>5</v>
      </c>
      <c r="J40" s="109">
        <v>3.1</v>
      </c>
      <c r="K40" s="123">
        <v>46112</v>
      </c>
      <c r="L40" s="109" t="s">
        <v>1376</v>
      </c>
      <c r="M40" s="125" t="s">
        <v>845</v>
      </c>
      <c r="N40" s="109" t="str">
        <f t="shared" si="2"/>
        <v>Ambra</v>
      </c>
      <c r="O40" s="109" t="s">
        <v>558</v>
      </c>
      <c r="P40" s="109" t="s">
        <v>614</v>
      </c>
      <c r="Q40" s="109" t="s">
        <v>614</v>
      </c>
      <c r="R40" s="125" t="s">
        <v>1377</v>
      </c>
      <c r="S40" s="109" t="str">
        <f t="shared" si="3"/>
        <v>2026Q1|NFR-09-K1</v>
      </c>
      <c r="T40" s="109" t="s">
        <v>753</v>
      </c>
    </row>
    <row r="41" spans="1:20" ht="29.15" x14ac:dyDescent="0.4">
      <c r="A41" s="109" t="s">
        <v>614</v>
      </c>
      <c r="B41" s="109" t="s">
        <v>1378</v>
      </c>
      <c r="C41" s="109" t="s">
        <v>595</v>
      </c>
      <c r="D41" s="125" t="s">
        <v>1379</v>
      </c>
      <c r="E41" s="109" t="s">
        <v>1294</v>
      </c>
      <c r="F41" s="109" t="s">
        <v>1300</v>
      </c>
      <c r="G41" s="109" t="s">
        <v>1380</v>
      </c>
      <c r="H41" s="109">
        <v>5</v>
      </c>
      <c r="I41" s="109">
        <v>15</v>
      </c>
      <c r="J41" s="109">
        <v>18</v>
      </c>
      <c r="K41" s="123">
        <v>46112</v>
      </c>
      <c r="L41" s="109" t="s">
        <v>1380</v>
      </c>
      <c r="M41" s="125" t="s">
        <v>845</v>
      </c>
      <c r="N41" s="109" t="str">
        <f t="shared" si="2"/>
        <v>Rosso</v>
      </c>
      <c r="O41" s="109" t="s">
        <v>558</v>
      </c>
      <c r="P41" s="109" t="s">
        <v>614</v>
      </c>
      <c r="Q41" s="109" t="s">
        <v>614</v>
      </c>
      <c r="R41" s="125" t="s">
        <v>1381</v>
      </c>
      <c r="S41" s="109" t="str">
        <f t="shared" si="3"/>
        <v>2026Q1|NFR-09-K2</v>
      </c>
      <c r="T41" s="109" t="s">
        <v>753</v>
      </c>
    </row>
    <row r="42" spans="1:20" ht="29.15" x14ac:dyDescent="0.4">
      <c r="A42" s="109" t="s">
        <v>614</v>
      </c>
      <c r="B42" s="109" t="s">
        <v>1382</v>
      </c>
      <c r="C42" s="109" t="s">
        <v>598</v>
      </c>
      <c r="D42" s="125" t="s">
        <v>1383</v>
      </c>
      <c r="E42" s="109" t="s">
        <v>821</v>
      </c>
      <c r="F42" s="109" t="s">
        <v>1310</v>
      </c>
      <c r="G42" s="109" t="s">
        <v>1384</v>
      </c>
      <c r="H42" s="109"/>
      <c r="I42" s="109"/>
      <c r="J42" s="109"/>
      <c r="K42" s="123"/>
      <c r="L42" s="109"/>
      <c r="M42" s="125" t="s">
        <v>1365</v>
      </c>
      <c r="N42" s="109" t="str">
        <f t="shared" si="2"/>
        <v>Soglie da definire</v>
      </c>
      <c r="O42" s="109" t="s">
        <v>558</v>
      </c>
      <c r="P42" s="109" t="s">
        <v>614</v>
      </c>
      <c r="Q42" s="109" t="s">
        <v>614</v>
      </c>
      <c r="R42" s="125" t="s">
        <v>1385</v>
      </c>
      <c r="S42" s="109" t="str">
        <f t="shared" si="3"/>
        <v>2026Q1|NFR-10-K1</v>
      </c>
      <c r="T42" s="109" t="s">
        <v>753</v>
      </c>
    </row>
    <row r="43" spans="1:20" ht="29.15" x14ac:dyDescent="0.4">
      <c r="A43" s="109" t="s">
        <v>614</v>
      </c>
      <c r="B43" s="109" t="s">
        <v>1386</v>
      </c>
      <c r="C43" s="109" t="s">
        <v>598</v>
      </c>
      <c r="D43" s="125" t="s">
        <v>1387</v>
      </c>
      <c r="E43" s="109" t="s">
        <v>1294</v>
      </c>
      <c r="F43" s="109" t="s">
        <v>1300</v>
      </c>
      <c r="G43" s="109" t="s">
        <v>1388</v>
      </c>
      <c r="H43" s="109">
        <v>20</v>
      </c>
      <c r="I43" s="109">
        <v>50</v>
      </c>
      <c r="J43" s="109">
        <v>80</v>
      </c>
      <c r="K43" s="123">
        <v>46112</v>
      </c>
      <c r="L43" s="109" t="s">
        <v>1388</v>
      </c>
      <c r="M43" s="125" t="s">
        <v>845</v>
      </c>
      <c r="N43" s="109" t="str">
        <f t="shared" si="2"/>
        <v>Rosso</v>
      </c>
      <c r="O43" s="109" t="s">
        <v>558</v>
      </c>
      <c r="P43" s="109" t="s">
        <v>614</v>
      </c>
      <c r="Q43" s="109" t="s">
        <v>614</v>
      </c>
      <c r="R43" s="125" t="s">
        <v>1389</v>
      </c>
      <c r="S43" s="109" t="str">
        <f t="shared" si="3"/>
        <v>2026Q1|NFR-10-K3</v>
      </c>
      <c r="T43" s="109" t="s">
        <v>753</v>
      </c>
    </row>
    <row r="44" spans="1:20" ht="29.15" x14ac:dyDescent="0.4">
      <c r="A44" s="109" t="s">
        <v>614</v>
      </c>
      <c r="B44" s="109" t="s">
        <v>1349</v>
      </c>
      <c r="C44" s="109" t="s">
        <v>604</v>
      </c>
      <c r="D44" s="125" t="s">
        <v>1350</v>
      </c>
      <c r="E44" s="109" t="s">
        <v>1294</v>
      </c>
      <c r="F44" s="109" t="s">
        <v>1305</v>
      </c>
      <c r="G44" s="109" t="s">
        <v>1351</v>
      </c>
      <c r="H44" s="109">
        <v>3</v>
      </c>
      <c r="I44" s="109">
        <v>8</v>
      </c>
      <c r="J44" s="109">
        <v>9</v>
      </c>
      <c r="K44" s="123">
        <v>46112</v>
      </c>
      <c r="L44" s="109" t="s">
        <v>1351</v>
      </c>
      <c r="M44" s="125" t="s">
        <v>845</v>
      </c>
      <c r="N44" s="109" t="str">
        <f t="shared" si="2"/>
        <v>Rosso</v>
      </c>
      <c r="O44" s="109" t="s">
        <v>558</v>
      </c>
      <c r="P44" s="109" t="s">
        <v>617</v>
      </c>
      <c r="Q44" s="109" t="s">
        <v>617</v>
      </c>
      <c r="R44" s="125" t="s">
        <v>1352</v>
      </c>
      <c r="S44" s="109" t="str">
        <f t="shared" si="3"/>
        <v>2026Q1|NFR-11-K1</v>
      </c>
      <c r="T44" s="109" t="s">
        <v>753</v>
      </c>
    </row>
    <row r="45" spans="1:20" ht="29.15" x14ac:dyDescent="0.4">
      <c r="A45" s="109" t="s">
        <v>614</v>
      </c>
      <c r="B45" s="109" t="s">
        <v>1353</v>
      </c>
      <c r="C45" s="109" t="s">
        <v>604</v>
      </c>
      <c r="D45" s="125" t="s">
        <v>1354</v>
      </c>
      <c r="E45" s="109" t="s">
        <v>821</v>
      </c>
      <c r="F45" s="109" t="s">
        <v>1305</v>
      </c>
      <c r="G45" s="109" t="s">
        <v>1355</v>
      </c>
      <c r="H45" s="109">
        <v>2</v>
      </c>
      <c r="I45" s="109">
        <v>6</v>
      </c>
      <c r="J45" s="109">
        <v>5</v>
      </c>
      <c r="K45" s="123">
        <v>46112</v>
      </c>
      <c r="L45" s="109" t="s">
        <v>1355</v>
      </c>
      <c r="M45" s="125" t="s">
        <v>845</v>
      </c>
      <c r="N45" s="109" t="str">
        <f t="shared" si="2"/>
        <v>Ambra</v>
      </c>
      <c r="O45" s="109" t="s">
        <v>558</v>
      </c>
      <c r="P45" s="109" t="s">
        <v>617</v>
      </c>
      <c r="Q45" s="109" t="s">
        <v>617</v>
      </c>
      <c r="R45" s="125" t="s">
        <v>1356</v>
      </c>
      <c r="S45" s="109" t="str">
        <f t="shared" si="3"/>
        <v>2026Q1|NFR-11-K2</v>
      </c>
      <c r="T45" s="109" t="s">
        <v>753</v>
      </c>
    </row>
    <row r="46" spans="1:20" ht="29.15" x14ac:dyDescent="0.4">
      <c r="A46" s="109" t="s">
        <v>614</v>
      </c>
      <c r="B46" s="109" t="s">
        <v>1357</v>
      </c>
      <c r="C46" s="109" t="s">
        <v>611</v>
      </c>
      <c r="D46" s="125" t="s">
        <v>1358</v>
      </c>
      <c r="E46" s="109" t="s">
        <v>821</v>
      </c>
      <c r="F46" s="109" t="s">
        <v>1305</v>
      </c>
      <c r="G46" s="109" t="s">
        <v>1359</v>
      </c>
      <c r="H46" s="109">
        <v>10</v>
      </c>
      <c r="I46" s="109">
        <v>30</v>
      </c>
      <c r="J46" s="109">
        <v>6</v>
      </c>
      <c r="K46" s="123">
        <v>46112</v>
      </c>
      <c r="L46" s="109" t="s">
        <v>1359</v>
      </c>
      <c r="M46" s="125" t="s">
        <v>845</v>
      </c>
      <c r="N46" s="109" t="str">
        <f t="shared" si="2"/>
        <v>Verde</v>
      </c>
      <c r="O46" s="109" t="s">
        <v>558</v>
      </c>
      <c r="P46" s="109" t="s">
        <v>617</v>
      </c>
      <c r="Q46" s="109" t="s">
        <v>617</v>
      </c>
      <c r="R46" s="125" t="s">
        <v>1360</v>
      </c>
      <c r="S46" s="109" t="str">
        <f t="shared" si="3"/>
        <v>2026Q1|NFR-12-K1</v>
      </c>
      <c r="T46" s="109" t="s">
        <v>753</v>
      </c>
    </row>
    <row r="47" spans="1:20" ht="29.15" x14ac:dyDescent="0.4">
      <c r="A47" s="109" t="s">
        <v>614</v>
      </c>
      <c r="B47" s="109" t="s">
        <v>1361</v>
      </c>
      <c r="C47" s="109" t="s">
        <v>611</v>
      </c>
      <c r="D47" s="125" t="s">
        <v>1362</v>
      </c>
      <c r="E47" s="109" t="s">
        <v>1294</v>
      </c>
      <c r="F47" s="109" t="s">
        <v>1295</v>
      </c>
      <c r="G47" s="109" t="s">
        <v>1363</v>
      </c>
      <c r="H47" s="109">
        <v>4</v>
      </c>
      <c r="I47" s="109">
        <v>12</v>
      </c>
      <c r="J47" s="109">
        <v>3.5</v>
      </c>
      <c r="K47" s="123">
        <v>46112</v>
      </c>
      <c r="L47" s="109" t="s">
        <v>1363</v>
      </c>
      <c r="M47" s="125" t="s">
        <v>845</v>
      </c>
      <c r="N47" s="109" t="str">
        <f t="shared" si="2"/>
        <v>Verde</v>
      </c>
      <c r="O47" s="109" t="s">
        <v>558</v>
      </c>
      <c r="P47" s="109" t="s">
        <v>617</v>
      </c>
      <c r="Q47" s="109" t="s">
        <v>617</v>
      </c>
      <c r="R47" s="125" t="s">
        <v>1364</v>
      </c>
      <c r="S47" s="109" t="str">
        <f t="shared" si="3"/>
        <v>2026Q1|NFR-12-K3</v>
      </c>
      <c r="T47" s="109" t="s">
        <v>753</v>
      </c>
    </row>
    <row r="48" spans="1:20" ht="29.15" x14ac:dyDescent="0.4">
      <c r="A48" s="109" t="s">
        <v>608</v>
      </c>
      <c r="B48" s="109" t="s">
        <v>437</v>
      </c>
      <c r="C48" s="109" t="s">
        <v>554</v>
      </c>
      <c r="D48" s="125" t="s">
        <v>1290</v>
      </c>
      <c r="E48" s="109" t="s">
        <v>821</v>
      </c>
      <c r="F48" s="109" t="s">
        <v>824</v>
      </c>
      <c r="G48" s="109" t="s">
        <v>827</v>
      </c>
      <c r="H48" s="109">
        <v>3</v>
      </c>
      <c r="I48" s="109">
        <v>6</v>
      </c>
      <c r="J48" s="109">
        <v>4.2</v>
      </c>
      <c r="K48" s="123">
        <v>46203</v>
      </c>
      <c r="L48" s="109" t="s">
        <v>827</v>
      </c>
      <c r="M48" s="125" t="s">
        <v>845</v>
      </c>
      <c r="N48" s="109" t="str">
        <f t="shared" si="2"/>
        <v>Ambra</v>
      </c>
      <c r="O48" s="109" t="s">
        <v>558</v>
      </c>
      <c r="P48" s="109" t="s">
        <v>617</v>
      </c>
      <c r="Q48" s="109" t="s">
        <v>617</v>
      </c>
      <c r="R48" s="125" t="s">
        <v>1291</v>
      </c>
      <c r="S48" s="109" t="str">
        <f t="shared" si="3"/>
        <v>2026Q2|NFR-01-K1</v>
      </c>
      <c r="T48" s="109" t="s">
        <v>753</v>
      </c>
    </row>
    <row r="49" spans="1:20" ht="29.15" x14ac:dyDescent="0.4">
      <c r="A49" s="109" t="s">
        <v>608</v>
      </c>
      <c r="B49" s="109" t="s">
        <v>1292</v>
      </c>
      <c r="C49" s="109" t="s">
        <v>554</v>
      </c>
      <c r="D49" s="125" t="s">
        <v>1293</v>
      </c>
      <c r="E49" s="109" t="s">
        <v>1294</v>
      </c>
      <c r="F49" s="109" t="s">
        <v>1295</v>
      </c>
      <c r="G49" s="109" t="s">
        <v>1296</v>
      </c>
      <c r="H49" s="109">
        <v>4</v>
      </c>
      <c r="I49" s="109">
        <v>12</v>
      </c>
      <c r="J49" s="109">
        <v>2.5</v>
      </c>
      <c r="K49" s="123">
        <v>46203</v>
      </c>
      <c r="L49" s="109" t="s">
        <v>1296</v>
      </c>
      <c r="M49" s="125" t="s">
        <v>845</v>
      </c>
      <c r="N49" s="109" t="str">
        <f t="shared" si="2"/>
        <v>Verde</v>
      </c>
      <c r="O49" s="109" t="s">
        <v>558</v>
      </c>
      <c r="P49" s="109" t="s">
        <v>617</v>
      </c>
      <c r="Q49" s="109" t="s">
        <v>617</v>
      </c>
      <c r="R49" s="125" t="s">
        <v>1297</v>
      </c>
      <c r="S49" s="109" t="str">
        <f t="shared" si="3"/>
        <v>2026Q2|NFR-01-K3</v>
      </c>
      <c r="T49" s="109" t="s">
        <v>753</v>
      </c>
    </row>
    <row r="50" spans="1:20" ht="29.15" x14ac:dyDescent="0.4">
      <c r="A50" s="109" t="s">
        <v>608</v>
      </c>
      <c r="B50" s="109" t="s">
        <v>1298</v>
      </c>
      <c r="C50" s="109" t="s">
        <v>560</v>
      </c>
      <c r="D50" s="125" t="s">
        <v>1299</v>
      </c>
      <c r="E50" s="109" t="s">
        <v>1294</v>
      </c>
      <c r="F50" s="109" t="s">
        <v>1300</v>
      </c>
      <c r="G50" s="109" t="s">
        <v>1301</v>
      </c>
      <c r="H50" s="109">
        <v>60</v>
      </c>
      <c r="I50" s="109">
        <v>75</v>
      </c>
      <c r="J50" s="109">
        <v>78</v>
      </c>
      <c r="K50" s="123">
        <v>46203</v>
      </c>
      <c r="L50" s="109" t="s">
        <v>1301</v>
      </c>
      <c r="M50" s="125" t="s">
        <v>845</v>
      </c>
      <c r="N50" s="109" t="str">
        <f t="shared" si="2"/>
        <v>Rosso</v>
      </c>
      <c r="O50" s="109" t="s">
        <v>558</v>
      </c>
      <c r="P50" s="109" t="s">
        <v>617</v>
      </c>
      <c r="Q50" s="109" t="s">
        <v>617</v>
      </c>
      <c r="R50" s="125" t="s">
        <v>1302</v>
      </c>
      <c r="S50" s="109" t="str">
        <f t="shared" si="3"/>
        <v>2026Q2|NFR-02-K1</v>
      </c>
      <c r="T50" s="109" t="s">
        <v>753</v>
      </c>
    </row>
    <row r="51" spans="1:20" ht="29.15" x14ac:dyDescent="0.4">
      <c r="A51" s="109" t="s">
        <v>608</v>
      </c>
      <c r="B51" s="109" t="s">
        <v>1303</v>
      </c>
      <c r="C51" s="109" t="s">
        <v>560</v>
      </c>
      <c r="D51" s="125" t="s">
        <v>1304</v>
      </c>
      <c r="E51" s="109" t="s">
        <v>821</v>
      </c>
      <c r="F51" s="109" t="s">
        <v>1305</v>
      </c>
      <c r="G51" s="109" t="s">
        <v>1306</v>
      </c>
      <c r="H51" s="109">
        <v>2</v>
      </c>
      <c r="I51" s="109">
        <v>4</v>
      </c>
      <c r="J51" s="109">
        <v>1</v>
      </c>
      <c r="K51" s="123">
        <v>46203</v>
      </c>
      <c r="L51" s="109" t="s">
        <v>1306</v>
      </c>
      <c r="M51" s="125" t="s">
        <v>845</v>
      </c>
      <c r="N51" s="109" t="str">
        <f t="shared" si="2"/>
        <v>Verde</v>
      </c>
      <c r="O51" s="109" t="s">
        <v>558</v>
      </c>
      <c r="P51" s="109" t="s">
        <v>617</v>
      </c>
      <c r="Q51" s="109" t="s">
        <v>617</v>
      </c>
      <c r="R51" s="125" t="s">
        <v>1307</v>
      </c>
      <c r="S51" s="109" t="str">
        <f t="shared" si="3"/>
        <v>2026Q2|NFR-02-K2</v>
      </c>
      <c r="T51" s="109" t="s">
        <v>753</v>
      </c>
    </row>
    <row r="52" spans="1:20" ht="29.15" x14ac:dyDescent="0.4">
      <c r="A52" s="109" t="s">
        <v>608</v>
      </c>
      <c r="B52" s="109" t="s">
        <v>1308</v>
      </c>
      <c r="C52" s="109" t="s">
        <v>566</v>
      </c>
      <c r="D52" s="125" t="s">
        <v>1309</v>
      </c>
      <c r="E52" s="109" t="s">
        <v>821</v>
      </c>
      <c r="F52" s="109" t="s">
        <v>1310</v>
      </c>
      <c r="G52" s="109" t="s">
        <v>1311</v>
      </c>
      <c r="H52" s="109">
        <v>1.5</v>
      </c>
      <c r="I52" s="109">
        <v>3</v>
      </c>
      <c r="J52" s="109">
        <v>0.8</v>
      </c>
      <c r="K52" s="123">
        <v>46203</v>
      </c>
      <c r="L52" s="109" t="s">
        <v>1311</v>
      </c>
      <c r="M52" s="125" t="s">
        <v>845</v>
      </c>
      <c r="N52" s="109" t="str">
        <f t="shared" si="2"/>
        <v>Verde</v>
      </c>
      <c r="O52" s="109" t="s">
        <v>558</v>
      </c>
      <c r="P52" s="109" t="s">
        <v>617</v>
      </c>
      <c r="Q52" s="109" t="s">
        <v>617</v>
      </c>
      <c r="R52" s="125" t="s">
        <v>1312</v>
      </c>
      <c r="S52" s="109" t="str">
        <f t="shared" si="3"/>
        <v>2026Q2|NFR-03-K1</v>
      </c>
      <c r="T52" s="109" t="s">
        <v>753</v>
      </c>
    </row>
    <row r="53" spans="1:20" ht="29.15" x14ac:dyDescent="0.4">
      <c r="A53" s="109" t="s">
        <v>608</v>
      </c>
      <c r="B53" s="109" t="s">
        <v>1313</v>
      </c>
      <c r="C53" s="109" t="s">
        <v>566</v>
      </c>
      <c r="D53" s="125" t="s">
        <v>1314</v>
      </c>
      <c r="E53" s="109" t="s">
        <v>1294</v>
      </c>
      <c r="F53" s="109" t="s">
        <v>1300</v>
      </c>
      <c r="G53" s="109" t="s">
        <v>1315</v>
      </c>
      <c r="H53" s="109">
        <v>20</v>
      </c>
      <c r="I53" s="109">
        <v>40</v>
      </c>
      <c r="J53" s="109"/>
      <c r="K53" s="123"/>
      <c r="L53" s="109"/>
      <c r="M53" s="125" t="s">
        <v>1365</v>
      </c>
      <c r="N53" s="109" t="str">
        <f t="shared" si="2"/>
        <v>Non rilevato</v>
      </c>
      <c r="O53" s="109" t="s">
        <v>558</v>
      </c>
      <c r="P53" s="109" t="s">
        <v>617</v>
      </c>
      <c r="Q53" s="109" t="s">
        <v>617</v>
      </c>
      <c r="R53" s="125" t="s">
        <v>1316</v>
      </c>
      <c r="S53" s="109" t="str">
        <f t="shared" si="3"/>
        <v>2026Q2|NFR-03-K2</v>
      </c>
      <c r="T53" s="109" t="s">
        <v>753</v>
      </c>
    </row>
    <row r="54" spans="1:20" ht="29.15" x14ac:dyDescent="0.4">
      <c r="A54" s="109" t="s">
        <v>608</v>
      </c>
      <c r="B54" s="109" t="s">
        <v>1317</v>
      </c>
      <c r="C54" s="109" t="s">
        <v>572</v>
      </c>
      <c r="D54" s="125" t="s">
        <v>1318</v>
      </c>
      <c r="E54" s="109" t="s">
        <v>1294</v>
      </c>
      <c r="F54" s="109" t="s">
        <v>1305</v>
      </c>
      <c r="G54" s="109" t="s">
        <v>1319</v>
      </c>
      <c r="H54" s="109">
        <v>1</v>
      </c>
      <c r="I54" s="109">
        <v>3</v>
      </c>
      <c r="J54" s="109">
        <v>2</v>
      </c>
      <c r="K54" s="123">
        <v>46203</v>
      </c>
      <c r="L54" s="109" t="s">
        <v>1319</v>
      </c>
      <c r="M54" s="125" t="s">
        <v>845</v>
      </c>
      <c r="N54" s="109" t="str">
        <f t="shared" si="2"/>
        <v>Ambra</v>
      </c>
      <c r="O54" s="109" t="s">
        <v>558</v>
      </c>
      <c r="P54" s="109" t="s">
        <v>617</v>
      </c>
      <c r="Q54" s="109" t="s">
        <v>617</v>
      </c>
      <c r="R54" s="125" t="s">
        <v>1320</v>
      </c>
      <c r="S54" s="109" t="str">
        <f t="shared" si="3"/>
        <v>2026Q2|NFR-04-K1</v>
      </c>
      <c r="T54" s="109" t="s">
        <v>753</v>
      </c>
    </row>
    <row r="55" spans="1:20" ht="29.15" x14ac:dyDescent="0.4">
      <c r="A55" s="109" t="s">
        <v>608</v>
      </c>
      <c r="B55" s="109" t="s">
        <v>1321</v>
      </c>
      <c r="C55" s="109" t="s">
        <v>572</v>
      </c>
      <c r="D55" s="125" t="s">
        <v>1322</v>
      </c>
      <c r="E55" s="109" t="s">
        <v>821</v>
      </c>
      <c r="F55" s="109" t="s">
        <v>1323</v>
      </c>
      <c r="G55" s="109" t="s">
        <v>1324</v>
      </c>
      <c r="H55" s="109">
        <v>2</v>
      </c>
      <c r="I55" s="109">
        <v>5</v>
      </c>
      <c r="J55" s="109">
        <v>3</v>
      </c>
      <c r="K55" s="123">
        <v>46203</v>
      </c>
      <c r="L55" s="109" t="s">
        <v>1324</v>
      </c>
      <c r="M55" s="125" t="s">
        <v>845</v>
      </c>
      <c r="N55" s="109" t="str">
        <f t="shared" si="2"/>
        <v>Ambra</v>
      </c>
      <c r="O55" s="109" t="s">
        <v>558</v>
      </c>
      <c r="P55" s="109" t="s">
        <v>617</v>
      </c>
      <c r="Q55" s="109" t="s">
        <v>617</v>
      </c>
      <c r="R55" s="125" t="s">
        <v>1325</v>
      </c>
      <c r="S55" s="109" t="str">
        <f t="shared" si="3"/>
        <v>2026Q2|NFR-04-K2</v>
      </c>
      <c r="T55" s="109" t="s">
        <v>753</v>
      </c>
    </row>
    <row r="56" spans="1:20" ht="29.15" x14ac:dyDescent="0.4">
      <c r="A56" s="109" t="s">
        <v>608</v>
      </c>
      <c r="B56" s="109" t="s">
        <v>1326</v>
      </c>
      <c r="C56" s="109" t="s">
        <v>576</v>
      </c>
      <c r="D56" s="125" t="s">
        <v>1327</v>
      </c>
      <c r="E56" s="109" t="s">
        <v>821</v>
      </c>
      <c r="F56" s="109" t="s">
        <v>1305</v>
      </c>
      <c r="G56" s="109" t="s">
        <v>1328</v>
      </c>
      <c r="H56" s="109">
        <v>3</v>
      </c>
      <c r="I56" s="109">
        <v>6</v>
      </c>
      <c r="J56" s="109">
        <v>7</v>
      </c>
      <c r="K56" s="123">
        <v>46203</v>
      </c>
      <c r="L56" s="109" t="s">
        <v>1328</v>
      </c>
      <c r="M56" s="125" t="s">
        <v>845</v>
      </c>
      <c r="N56" s="109" t="str">
        <f t="shared" si="2"/>
        <v>Rosso</v>
      </c>
      <c r="O56" s="109" t="s">
        <v>558</v>
      </c>
      <c r="P56" s="109" t="s">
        <v>617</v>
      </c>
      <c r="Q56" s="109" t="s">
        <v>617</v>
      </c>
      <c r="R56" s="125" t="s">
        <v>1329</v>
      </c>
      <c r="S56" s="109" t="str">
        <f t="shared" si="3"/>
        <v>2026Q2|NFR-05-K2</v>
      </c>
      <c r="T56" s="109" t="s">
        <v>753</v>
      </c>
    </row>
    <row r="57" spans="1:20" ht="29.15" x14ac:dyDescent="0.4">
      <c r="A57" s="109" t="s">
        <v>608</v>
      </c>
      <c r="B57" s="109" t="s">
        <v>1330</v>
      </c>
      <c r="C57" s="109" t="s">
        <v>576</v>
      </c>
      <c r="D57" s="125" t="s">
        <v>1331</v>
      </c>
      <c r="E57" s="109" t="s">
        <v>1294</v>
      </c>
      <c r="F57" s="109" t="s">
        <v>1300</v>
      </c>
      <c r="G57" s="109" t="s">
        <v>1332</v>
      </c>
      <c r="H57" s="109">
        <v>30</v>
      </c>
      <c r="I57" s="109">
        <v>60</v>
      </c>
      <c r="J57" s="109">
        <v>25</v>
      </c>
      <c r="K57" s="123">
        <v>46203</v>
      </c>
      <c r="L57" s="109" t="s">
        <v>1332</v>
      </c>
      <c r="M57" s="125" t="s">
        <v>845</v>
      </c>
      <c r="N57" s="109" t="str">
        <f t="shared" si="2"/>
        <v>Verde</v>
      </c>
      <c r="O57" s="109" t="s">
        <v>558</v>
      </c>
      <c r="P57" s="109" t="s">
        <v>617</v>
      </c>
      <c r="Q57" s="109" t="s">
        <v>617</v>
      </c>
      <c r="R57" s="125" t="s">
        <v>1333</v>
      </c>
      <c r="S57" s="109" t="str">
        <f t="shared" si="3"/>
        <v>2026Q2|NFR-05-K3</v>
      </c>
      <c r="T57" s="109" t="s">
        <v>753</v>
      </c>
    </row>
    <row r="58" spans="1:20" ht="29.15" x14ac:dyDescent="0.4">
      <c r="A58" s="109" t="s">
        <v>608</v>
      </c>
      <c r="B58" s="109" t="s">
        <v>1366</v>
      </c>
      <c r="C58" s="109" t="s">
        <v>581</v>
      </c>
      <c r="D58" s="125" t="s">
        <v>1367</v>
      </c>
      <c r="E58" s="109" t="s">
        <v>821</v>
      </c>
      <c r="F58" s="109" t="s">
        <v>1342</v>
      </c>
      <c r="G58" s="109" t="s">
        <v>1368</v>
      </c>
      <c r="H58" s="109">
        <v>10</v>
      </c>
      <c r="I58" s="109">
        <v>30</v>
      </c>
      <c r="J58" s="109">
        <v>14</v>
      </c>
      <c r="K58" s="123">
        <v>46203</v>
      </c>
      <c r="L58" s="109" t="s">
        <v>1368</v>
      </c>
      <c r="M58" s="125" t="s">
        <v>845</v>
      </c>
      <c r="N58" s="109" t="str">
        <f t="shared" si="2"/>
        <v>Ambra</v>
      </c>
      <c r="O58" s="109" t="s">
        <v>558</v>
      </c>
      <c r="P58" s="109" t="s">
        <v>614</v>
      </c>
      <c r="Q58" s="109" t="s">
        <v>614</v>
      </c>
      <c r="R58" s="125" t="s">
        <v>1369</v>
      </c>
      <c r="S58" s="109" t="str">
        <f t="shared" si="3"/>
        <v>2026Q2|NFR-06-K1</v>
      </c>
      <c r="T58" s="109" t="s">
        <v>753</v>
      </c>
    </row>
    <row r="59" spans="1:20" ht="29.15" x14ac:dyDescent="0.4">
      <c r="A59" s="109" t="s">
        <v>608</v>
      </c>
      <c r="B59" s="109" t="s">
        <v>1370</v>
      </c>
      <c r="C59" s="109" t="s">
        <v>581</v>
      </c>
      <c r="D59" s="125" t="s">
        <v>1371</v>
      </c>
      <c r="E59" s="109" t="s">
        <v>1294</v>
      </c>
      <c r="F59" s="109" t="s">
        <v>1300</v>
      </c>
      <c r="G59" s="109" t="s">
        <v>1372</v>
      </c>
      <c r="H59" s="109">
        <v>20</v>
      </c>
      <c r="I59" s="109">
        <v>40</v>
      </c>
      <c r="J59" s="109">
        <v>35</v>
      </c>
      <c r="K59" s="123">
        <v>46203</v>
      </c>
      <c r="L59" s="109" t="s">
        <v>1372</v>
      </c>
      <c r="M59" s="125" t="s">
        <v>845</v>
      </c>
      <c r="N59" s="109" t="str">
        <f t="shared" si="2"/>
        <v>Ambra</v>
      </c>
      <c r="O59" s="109" t="s">
        <v>558</v>
      </c>
      <c r="P59" s="109" t="s">
        <v>614</v>
      </c>
      <c r="Q59" s="109" t="s">
        <v>614</v>
      </c>
      <c r="R59" s="125" t="s">
        <v>1373</v>
      </c>
      <c r="S59" s="109" t="str">
        <f t="shared" si="3"/>
        <v>2026Q2|NFR-06-K2</v>
      </c>
      <c r="T59" s="109" t="s">
        <v>966</v>
      </c>
    </row>
    <row r="60" spans="1:20" ht="29.15" x14ac:dyDescent="0.4">
      <c r="A60" s="109" t="s">
        <v>608</v>
      </c>
      <c r="B60" s="109" t="s">
        <v>1334</v>
      </c>
      <c r="C60" s="109" t="s">
        <v>587</v>
      </c>
      <c r="D60" s="125" t="s">
        <v>1335</v>
      </c>
      <c r="E60" s="109" t="s">
        <v>1294</v>
      </c>
      <c r="F60" s="109" t="s">
        <v>1305</v>
      </c>
      <c r="G60" s="109" t="s">
        <v>1301</v>
      </c>
      <c r="H60" s="109">
        <v>1</v>
      </c>
      <c r="I60" s="109">
        <v>2</v>
      </c>
      <c r="J60" s="109">
        <v>1</v>
      </c>
      <c r="K60" s="123">
        <v>46203</v>
      </c>
      <c r="L60" s="109" t="s">
        <v>1301</v>
      </c>
      <c r="M60" s="125" t="s">
        <v>845</v>
      </c>
      <c r="N60" s="109" t="str">
        <f t="shared" si="2"/>
        <v>Ambra</v>
      </c>
      <c r="O60" s="109" t="s">
        <v>558</v>
      </c>
      <c r="P60" s="109" t="s">
        <v>617</v>
      </c>
      <c r="Q60" s="109" t="s">
        <v>617</v>
      </c>
      <c r="R60" s="125" t="s">
        <v>1336</v>
      </c>
      <c r="S60" s="109" t="str">
        <f t="shared" si="3"/>
        <v>2026Q2|NFR-07-K1</v>
      </c>
      <c r="T60" s="109" t="s">
        <v>753</v>
      </c>
    </row>
    <row r="61" spans="1:20" ht="29.15" x14ac:dyDescent="0.4">
      <c r="A61" s="109" t="s">
        <v>608</v>
      </c>
      <c r="B61" s="109" t="s">
        <v>1337</v>
      </c>
      <c r="C61" s="109" t="s">
        <v>587</v>
      </c>
      <c r="D61" s="125" t="s">
        <v>1338</v>
      </c>
      <c r="E61" s="109" t="s">
        <v>821</v>
      </c>
      <c r="F61" s="109" t="s">
        <v>1295</v>
      </c>
      <c r="G61" s="109" t="s">
        <v>1306</v>
      </c>
      <c r="H61" s="109">
        <v>4</v>
      </c>
      <c r="I61" s="109">
        <v>12</v>
      </c>
      <c r="J61" s="109">
        <v>3</v>
      </c>
      <c r="K61" s="123">
        <v>46203</v>
      </c>
      <c r="L61" s="109" t="s">
        <v>1306</v>
      </c>
      <c r="M61" s="125" t="s">
        <v>845</v>
      </c>
      <c r="N61" s="109" t="str">
        <f t="shared" si="2"/>
        <v>Verde</v>
      </c>
      <c r="O61" s="109" t="s">
        <v>558</v>
      </c>
      <c r="P61" s="109" t="s">
        <v>617</v>
      </c>
      <c r="Q61" s="109" t="s">
        <v>617</v>
      </c>
      <c r="R61" s="125" t="s">
        <v>1339</v>
      </c>
      <c r="S61" s="109" t="str">
        <f t="shared" si="3"/>
        <v>2026Q2|NFR-07-K2</v>
      </c>
      <c r="T61" s="109" t="s">
        <v>753</v>
      </c>
    </row>
    <row r="62" spans="1:20" ht="29.15" x14ac:dyDescent="0.4">
      <c r="A62" s="109" t="s">
        <v>608</v>
      </c>
      <c r="B62" s="109" t="s">
        <v>1340</v>
      </c>
      <c r="C62" s="109" t="s">
        <v>591</v>
      </c>
      <c r="D62" s="125" t="s">
        <v>1341</v>
      </c>
      <c r="E62" s="109" t="s">
        <v>821</v>
      </c>
      <c r="F62" s="109" t="s">
        <v>1342</v>
      </c>
      <c r="G62" s="109" t="s">
        <v>1343</v>
      </c>
      <c r="H62" s="109">
        <v>20</v>
      </c>
      <c r="I62" s="109">
        <v>50</v>
      </c>
      <c r="J62" s="109">
        <v>24</v>
      </c>
      <c r="K62" s="123">
        <v>46203</v>
      </c>
      <c r="L62" s="109" t="s">
        <v>1343</v>
      </c>
      <c r="M62" s="125" t="s">
        <v>845</v>
      </c>
      <c r="N62" s="109" t="str">
        <f t="shared" si="2"/>
        <v>Ambra</v>
      </c>
      <c r="O62" s="109" t="s">
        <v>558</v>
      </c>
      <c r="P62" s="109" t="s">
        <v>617</v>
      </c>
      <c r="Q62" s="109" t="s">
        <v>617</v>
      </c>
      <c r="R62" s="125" t="s">
        <v>1344</v>
      </c>
      <c r="S62" s="109" t="str">
        <f t="shared" si="3"/>
        <v>2026Q2|NFR-08-K1</v>
      </c>
      <c r="T62" s="109" t="s">
        <v>753</v>
      </c>
    </row>
    <row r="63" spans="1:20" ht="29.15" x14ac:dyDescent="0.4">
      <c r="A63" s="109" t="s">
        <v>608</v>
      </c>
      <c r="B63" s="109" t="s">
        <v>1345</v>
      </c>
      <c r="C63" s="109" t="s">
        <v>591</v>
      </c>
      <c r="D63" s="125" t="s">
        <v>1346</v>
      </c>
      <c r="E63" s="109" t="s">
        <v>1294</v>
      </c>
      <c r="F63" s="109" t="s">
        <v>1300</v>
      </c>
      <c r="G63" s="109" t="s">
        <v>1347</v>
      </c>
      <c r="H63" s="109">
        <v>5</v>
      </c>
      <c r="I63" s="109">
        <v>15</v>
      </c>
      <c r="J63" s="109">
        <v>6</v>
      </c>
      <c r="K63" s="123">
        <v>46203</v>
      </c>
      <c r="L63" s="109" t="s">
        <v>1347</v>
      </c>
      <c r="M63" s="125" t="s">
        <v>845</v>
      </c>
      <c r="N63" s="109" t="str">
        <f t="shared" si="2"/>
        <v>Ambra</v>
      </c>
      <c r="O63" s="109" t="s">
        <v>558</v>
      </c>
      <c r="P63" s="109" t="s">
        <v>617</v>
      </c>
      <c r="Q63" s="109" t="s">
        <v>617</v>
      </c>
      <c r="R63" s="125" t="s">
        <v>1348</v>
      </c>
      <c r="S63" s="109" t="str">
        <f t="shared" si="3"/>
        <v>2026Q2|NFR-08-K2</v>
      </c>
      <c r="T63" s="109" t="s">
        <v>753</v>
      </c>
    </row>
    <row r="64" spans="1:20" ht="29.15" x14ac:dyDescent="0.4">
      <c r="A64" s="109" t="s">
        <v>608</v>
      </c>
      <c r="B64" s="109" t="s">
        <v>1374</v>
      </c>
      <c r="C64" s="109" t="s">
        <v>595</v>
      </c>
      <c r="D64" s="125" t="s">
        <v>1375</v>
      </c>
      <c r="E64" s="109" t="s">
        <v>821</v>
      </c>
      <c r="F64" s="109" t="s">
        <v>824</v>
      </c>
      <c r="G64" s="109" t="s">
        <v>1376</v>
      </c>
      <c r="H64" s="109">
        <v>2</v>
      </c>
      <c r="I64" s="109">
        <v>5</v>
      </c>
      <c r="J64" s="109">
        <v>3.8</v>
      </c>
      <c r="K64" s="123">
        <v>46203</v>
      </c>
      <c r="L64" s="109" t="s">
        <v>1376</v>
      </c>
      <c r="M64" s="125" t="s">
        <v>845</v>
      </c>
      <c r="N64" s="109" t="str">
        <f t="shared" si="2"/>
        <v>Ambra</v>
      </c>
      <c r="O64" s="109" t="s">
        <v>558</v>
      </c>
      <c r="P64" s="109" t="s">
        <v>614</v>
      </c>
      <c r="Q64" s="109" t="s">
        <v>614</v>
      </c>
      <c r="R64" s="125" t="s">
        <v>1377</v>
      </c>
      <c r="S64" s="109" t="str">
        <f t="shared" si="3"/>
        <v>2026Q2|NFR-09-K1</v>
      </c>
      <c r="T64" s="109" t="s">
        <v>753</v>
      </c>
    </row>
    <row r="65" spans="1:20" ht="29.15" x14ac:dyDescent="0.4">
      <c r="A65" s="109" t="s">
        <v>608</v>
      </c>
      <c r="B65" s="109" t="s">
        <v>1378</v>
      </c>
      <c r="C65" s="109" t="s">
        <v>595</v>
      </c>
      <c r="D65" s="125" t="s">
        <v>1379</v>
      </c>
      <c r="E65" s="109" t="s">
        <v>1294</v>
      </c>
      <c r="F65" s="109" t="s">
        <v>1300</v>
      </c>
      <c r="G65" s="109" t="s">
        <v>1380</v>
      </c>
      <c r="H65" s="109">
        <v>5</v>
      </c>
      <c r="I65" s="109">
        <v>15</v>
      </c>
      <c r="J65" s="109">
        <v>11</v>
      </c>
      <c r="K65" s="123">
        <v>46203</v>
      </c>
      <c r="L65" s="109" t="s">
        <v>1380</v>
      </c>
      <c r="M65" s="125" t="s">
        <v>845</v>
      </c>
      <c r="N65" s="109" t="str">
        <f t="shared" si="2"/>
        <v>Ambra</v>
      </c>
      <c r="O65" s="109" t="s">
        <v>558</v>
      </c>
      <c r="P65" s="109" t="s">
        <v>614</v>
      </c>
      <c r="Q65" s="109" t="s">
        <v>614</v>
      </c>
      <c r="R65" s="125" t="s">
        <v>1381</v>
      </c>
      <c r="S65" s="109" t="str">
        <f t="shared" si="3"/>
        <v>2026Q2|NFR-09-K2</v>
      </c>
      <c r="T65" s="109" t="s">
        <v>753</v>
      </c>
    </row>
    <row r="66" spans="1:20" ht="29.15" x14ac:dyDescent="0.4">
      <c r="A66" s="109" t="s">
        <v>608</v>
      </c>
      <c r="B66" s="109" t="s">
        <v>1382</v>
      </c>
      <c r="C66" s="109" t="s">
        <v>598</v>
      </c>
      <c r="D66" s="125" t="s">
        <v>1383</v>
      </c>
      <c r="E66" s="109" t="s">
        <v>821</v>
      </c>
      <c r="F66" s="109" t="s">
        <v>1310</v>
      </c>
      <c r="G66" s="109" t="s">
        <v>1384</v>
      </c>
      <c r="H66" s="109"/>
      <c r="I66" s="109"/>
      <c r="J66" s="109">
        <v>1.4</v>
      </c>
      <c r="K66" s="123">
        <v>46203</v>
      </c>
      <c r="L66" s="109" t="s">
        <v>1384</v>
      </c>
      <c r="M66" s="125" t="s">
        <v>845</v>
      </c>
      <c r="N66" s="109" t="str">
        <f t="shared" si="2"/>
        <v>Soglie da definire</v>
      </c>
      <c r="O66" s="109" t="s">
        <v>558</v>
      </c>
      <c r="P66" s="109" t="s">
        <v>614</v>
      </c>
      <c r="Q66" s="109" t="s">
        <v>614</v>
      </c>
      <c r="R66" s="125" t="s">
        <v>1385</v>
      </c>
      <c r="S66" s="109" t="str">
        <f t="shared" si="3"/>
        <v>2026Q2|NFR-10-K1</v>
      </c>
      <c r="T66" s="109" t="s">
        <v>753</v>
      </c>
    </row>
    <row r="67" spans="1:20" ht="29.15" x14ac:dyDescent="0.4">
      <c r="A67" s="109" t="s">
        <v>608</v>
      </c>
      <c r="B67" s="109" t="s">
        <v>1386</v>
      </c>
      <c r="C67" s="109" t="s">
        <v>598</v>
      </c>
      <c r="D67" s="125" t="s">
        <v>1387</v>
      </c>
      <c r="E67" s="109" t="s">
        <v>1294</v>
      </c>
      <c r="F67" s="109" t="s">
        <v>1300</v>
      </c>
      <c r="G67" s="109" t="s">
        <v>1388</v>
      </c>
      <c r="H67" s="109">
        <v>20</v>
      </c>
      <c r="I67" s="109">
        <v>50</v>
      </c>
      <c r="J67" s="109">
        <v>60</v>
      </c>
      <c r="K67" s="123">
        <v>46203</v>
      </c>
      <c r="L67" s="109" t="s">
        <v>1388</v>
      </c>
      <c r="M67" s="125" t="s">
        <v>845</v>
      </c>
      <c r="N67" s="109" t="str">
        <f t="shared" si="2"/>
        <v>Rosso</v>
      </c>
      <c r="O67" s="109" t="s">
        <v>558</v>
      </c>
      <c r="P67" s="109" t="s">
        <v>614</v>
      </c>
      <c r="Q67" s="109" t="s">
        <v>614</v>
      </c>
      <c r="R67" s="125" t="s">
        <v>1389</v>
      </c>
      <c r="S67" s="109" t="str">
        <f t="shared" si="3"/>
        <v>2026Q2|NFR-10-K3</v>
      </c>
      <c r="T67" s="109" t="s">
        <v>753</v>
      </c>
    </row>
    <row r="68" spans="1:20" ht="29.15" x14ac:dyDescent="0.4">
      <c r="A68" s="109" t="s">
        <v>608</v>
      </c>
      <c r="B68" s="109" t="s">
        <v>1349</v>
      </c>
      <c r="C68" s="109" t="s">
        <v>604</v>
      </c>
      <c r="D68" s="125" t="s">
        <v>1350</v>
      </c>
      <c r="E68" s="109" t="s">
        <v>1294</v>
      </c>
      <c r="F68" s="109" t="s">
        <v>1305</v>
      </c>
      <c r="G68" s="109" t="s">
        <v>1351</v>
      </c>
      <c r="H68" s="109">
        <v>3</v>
      </c>
      <c r="I68" s="109">
        <v>8</v>
      </c>
      <c r="J68" s="109">
        <v>7</v>
      </c>
      <c r="K68" s="123">
        <v>46203</v>
      </c>
      <c r="L68" s="109" t="s">
        <v>1351</v>
      </c>
      <c r="M68" s="125" t="s">
        <v>845</v>
      </c>
      <c r="N68" s="109" t="str">
        <f t="shared" si="2"/>
        <v>Ambra</v>
      </c>
      <c r="O68" s="109" t="s">
        <v>558</v>
      </c>
      <c r="P68" s="109" t="s">
        <v>617</v>
      </c>
      <c r="Q68" s="109" t="s">
        <v>617</v>
      </c>
      <c r="R68" s="125" t="s">
        <v>1352</v>
      </c>
      <c r="S68" s="109" t="str">
        <f t="shared" si="3"/>
        <v>2026Q2|NFR-11-K1</v>
      </c>
      <c r="T68" s="109" t="s">
        <v>753</v>
      </c>
    </row>
    <row r="69" spans="1:20" ht="29.15" x14ac:dyDescent="0.4">
      <c r="A69" s="109" t="s">
        <v>608</v>
      </c>
      <c r="B69" s="109" t="s">
        <v>1353</v>
      </c>
      <c r="C69" s="109" t="s">
        <v>604</v>
      </c>
      <c r="D69" s="125" t="s">
        <v>1354</v>
      </c>
      <c r="E69" s="109" t="s">
        <v>821</v>
      </c>
      <c r="F69" s="109" t="s">
        <v>1305</v>
      </c>
      <c r="G69" s="109" t="s">
        <v>1355</v>
      </c>
      <c r="H69" s="109">
        <v>2</v>
      </c>
      <c r="I69" s="109">
        <v>6</v>
      </c>
      <c r="J69" s="109">
        <v>5</v>
      </c>
      <c r="K69" s="123">
        <v>46203</v>
      </c>
      <c r="L69" s="109" t="s">
        <v>1355</v>
      </c>
      <c r="M69" s="125" t="s">
        <v>845</v>
      </c>
      <c r="N69" s="109" t="str">
        <f t="shared" si="2"/>
        <v>Ambra</v>
      </c>
      <c r="O69" s="109" t="s">
        <v>558</v>
      </c>
      <c r="P69" s="109" t="s">
        <v>617</v>
      </c>
      <c r="Q69" s="109" t="s">
        <v>617</v>
      </c>
      <c r="R69" s="125" t="s">
        <v>1356</v>
      </c>
      <c r="S69" s="109" t="str">
        <f t="shared" si="3"/>
        <v>2026Q2|NFR-11-K2</v>
      </c>
      <c r="T69" s="109" t="s">
        <v>753</v>
      </c>
    </row>
    <row r="70" spans="1:20" ht="29.15" x14ac:dyDescent="0.4">
      <c r="A70" s="109" t="s">
        <v>608</v>
      </c>
      <c r="B70" s="109" t="s">
        <v>1357</v>
      </c>
      <c r="C70" s="109" t="s">
        <v>611</v>
      </c>
      <c r="D70" s="125" t="s">
        <v>1358</v>
      </c>
      <c r="E70" s="109" t="s">
        <v>821</v>
      </c>
      <c r="F70" s="109" t="s">
        <v>1305</v>
      </c>
      <c r="G70" s="109" t="s">
        <v>1359</v>
      </c>
      <c r="H70" s="109">
        <v>10</v>
      </c>
      <c r="I70" s="109">
        <v>30</v>
      </c>
      <c r="J70" s="109">
        <v>14</v>
      </c>
      <c r="K70" s="123">
        <v>46203</v>
      </c>
      <c r="L70" s="109" t="s">
        <v>1359</v>
      </c>
      <c r="M70" s="125" t="s">
        <v>845</v>
      </c>
      <c r="N70" s="109" t="str">
        <f t="shared" si="2"/>
        <v>Ambra</v>
      </c>
      <c r="O70" s="109" t="s">
        <v>558</v>
      </c>
      <c r="P70" s="109" t="s">
        <v>617</v>
      </c>
      <c r="Q70" s="109" t="s">
        <v>617</v>
      </c>
      <c r="R70" s="125" t="s">
        <v>1360</v>
      </c>
      <c r="S70" s="109" t="str">
        <f t="shared" si="3"/>
        <v>2026Q2|NFR-12-K1</v>
      </c>
      <c r="T70" s="109" t="s">
        <v>753</v>
      </c>
    </row>
    <row r="71" spans="1:20" ht="29.15" x14ac:dyDescent="0.4">
      <c r="A71" s="109" t="s">
        <v>608</v>
      </c>
      <c r="B71" s="109" t="s">
        <v>1361</v>
      </c>
      <c r="C71" s="109" t="s">
        <v>611</v>
      </c>
      <c r="D71" s="125" t="s">
        <v>1362</v>
      </c>
      <c r="E71" s="109" t="s">
        <v>1294</v>
      </c>
      <c r="F71" s="109" t="s">
        <v>1295</v>
      </c>
      <c r="G71" s="109" t="s">
        <v>1363</v>
      </c>
      <c r="H71" s="109">
        <v>4</v>
      </c>
      <c r="I71" s="109">
        <v>12</v>
      </c>
      <c r="J71" s="109">
        <v>5</v>
      </c>
      <c r="K71" s="123">
        <v>46203</v>
      </c>
      <c r="L71" s="109" t="s">
        <v>1363</v>
      </c>
      <c r="M71" s="125" t="s">
        <v>845</v>
      </c>
      <c r="N71" s="109" t="str">
        <f t="shared" si="2"/>
        <v>Ambra</v>
      </c>
      <c r="O71" s="109" t="s">
        <v>558</v>
      </c>
      <c r="P71" s="109" t="s">
        <v>617</v>
      </c>
      <c r="Q71" s="109" t="s">
        <v>617</v>
      </c>
      <c r="R71" s="125" t="s">
        <v>1364</v>
      </c>
      <c r="S71" s="109" t="str">
        <f t="shared" si="3"/>
        <v>2026Q2|NFR-12-K3</v>
      </c>
      <c r="T71" s="109" t="s">
        <v>753</v>
      </c>
    </row>
    <row r="72" spans="1:20" ht="29.15" x14ac:dyDescent="0.4">
      <c r="A72" s="129" t="s">
        <v>1505</v>
      </c>
      <c r="B72" s="129" t="s">
        <v>437</v>
      </c>
      <c r="C72" s="129" t="s">
        <v>554</v>
      </c>
      <c r="D72" s="130" t="s">
        <v>1290</v>
      </c>
      <c r="E72" s="129" t="s">
        <v>821</v>
      </c>
      <c r="F72" s="129" t="s">
        <v>824</v>
      </c>
      <c r="G72" s="129" t="s">
        <v>827</v>
      </c>
      <c r="H72" s="109">
        <v>3</v>
      </c>
      <c r="I72" s="109">
        <v>6</v>
      </c>
      <c r="J72" s="109">
        <v>5.3</v>
      </c>
      <c r="K72" s="123">
        <v>46295</v>
      </c>
      <c r="L72" s="129" t="s">
        <v>827</v>
      </c>
      <c r="M72" s="130" t="s">
        <v>1506</v>
      </c>
      <c r="N72" s="109" t="str">
        <f t="shared" ref="N72:N96" si="4">IF(OR(H72="",I72=""),"Soglie da definire",IF(I72&lt;H72,"SOGLIE INVERTITE — correggere",IF(J72="","Non rilevato",IF(J72&gt;=I72,"Rosso",IF(J72&gt;=H72,"Ambra","Verde")))))</f>
        <v>Ambra</v>
      </c>
      <c r="O72" s="129" t="s">
        <v>558</v>
      </c>
      <c r="P72" s="129" t="s">
        <v>617</v>
      </c>
      <c r="Q72" s="129" t="s">
        <v>1505</v>
      </c>
      <c r="R72" s="130" t="s">
        <v>1507</v>
      </c>
      <c r="S72" s="109" t="str">
        <f t="shared" ref="S72:S96" si="5">A72&amp;"|"&amp;B72</f>
        <v>2026Q3|NFR-01-K1</v>
      </c>
      <c r="T72" s="129" t="s">
        <v>966</v>
      </c>
    </row>
    <row r="73" spans="1:20" ht="29.15" x14ac:dyDescent="0.4">
      <c r="A73" s="129" t="s">
        <v>1505</v>
      </c>
      <c r="B73" s="129" t="s">
        <v>1292</v>
      </c>
      <c r="C73" s="129" t="s">
        <v>554</v>
      </c>
      <c r="D73" s="130" t="s">
        <v>1293</v>
      </c>
      <c r="E73" s="129" t="s">
        <v>1294</v>
      </c>
      <c r="F73" s="129" t="s">
        <v>1295</v>
      </c>
      <c r="G73" s="129" t="s">
        <v>1296</v>
      </c>
      <c r="H73" s="109">
        <v>4</v>
      </c>
      <c r="I73" s="109">
        <v>12</v>
      </c>
      <c r="J73" s="109">
        <v>3</v>
      </c>
      <c r="K73" s="123">
        <v>46295</v>
      </c>
      <c r="L73" s="129" t="s">
        <v>1296</v>
      </c>
      <c r="M73" s="130" t="s">
        <v>1508</v>
      </c>
      <c r="N73" s="109" t="str">
        <f t="shared" si="4"/>
        <v>Verde</v>
      </c>
      <c r="O73" s="129" t="s">
        <v>558</v>
      </c>
      <c r="P73" s="129" t="s">
        <v>617</v>
      </c>
      <c r="Q73" s="129" t="s">
        <v>1505</v>
      </c>
      <c r="R73" s="130" t="s">
        <v>1509</v>
      </c>
      <c r="S73" s="109" t="str">
        <f t="shared" si="5"/>
        <v>2026Q3|NFR-01-K3</v>
      </c>
      <c r="T73" s="129" t="s">
        <v>753</v>
      </c>
    </row>
    <row r="74" spans="1:20" ht="29.15" x14ac:dyDescent="0.4">
      <c r="A74" s="129" t="s">
        <v>1505</v>
      </c>
      <c r="B74" s="129" t="s">
        <v>1298</v>
      </c>
      <c r="C74" s="129" t="s">
        <v>560</v>
      </c>
      <c r="D74" s="130" t="s">
        <v>1299</v>
      </c>
      <c r="E74" s="129" t="s">
        <v>1294</v>
      </c>
      <c r="F74" s="129" t="s">
        <v>1300</v>
      </c>
      <c r="G74" s="129" t="s">
        <v>1301</v>
      </c>
      <c r="H74" s="109">
        <v>60</v>
      </c>
      <c r="I74" s="109">
        <v>75</v>
      </c>
      <c r="J74" s="109">
        <v>72</v>
      </c>
      <c r="K74" s="123">
        <v>46295</v>
      </c>
      <c r="L74" s="129" t="s">
        <v>1301</v>
      </c>
      <c r="M74" s="130" t="s">
        <v>1510</v>
      </c>
      <c r="N74" s="109" t="str">
        <f t="shared" si="4"/>
        <v>Ambra</v>
      </c>
      <c r="O74" s="129" t="s">
        <v>558</v>
      </c>
      <c r="P74" s="129" t="s">
        <v>617</v>
      </c>
      <c r="Q74" s="129" t="s">
        <v>1505</v>
      </c>
      <c r="R74" s="130" t="s">
        <v>1511</v>
      </c>
      <c r="S74" s="109" t="str">
        <f t="shared" si="5"/>
        <v>2026Q3|NFR-02-K1</v>
      </c>
      <c r="T74" s="129" t="s">
        <v>753</v>
      </c>
    </row>
    <row r="75" spans="1:20" ht="29.15" x14ac:dyDescent="0.4">
      <c r="A75" s="129" t="s">
        <v>1505</v>
      </c>
      <c r="B75" s="129" t="s">
        <v>1303</v>
      </c>
      <c r="C75" s="129" t="s">
        <v>560</v>
      </c>
      <c r="D75" s="130" t="s">
        <v>1304</v>
      </c>
      <c r="E75" s="129" t="s">
        <v>821</v>
      </c>
      <c r="F75" s="129" t="s">
        <v>1305</v>
      </c>
      <c r="G75" s="129" t="s">
        <v>1306</v>
      </c>
      <c r="H75" s="109">
        <v>2</v>
      </c>
      <c r="I75" s="109">
        <v>4</v>
      </c>
      <c r="J75" s="109">
        <v>0</v>
      </c>
      <c r="K75" s="123">
        <v>46295</v>
      </c>
      <c r="L75" s="129" t="s">
        <v>1512</v>
      </c>
      <c r="M75" s="130" t="s">
        <v>1513</v>
      </c>
      <c r="N75" s="109" t="str">
        <f t="shared" si="4"/>
        <v>Verde</v>
      </c>
      <c r="O75" s="129" t="s">
        <v>570</v>
      </c>
      <c r="P75" s="129" t="s">
        <v>617</v>
      </c>
      <c r="Q75" s="129" t="s">
        <v>617</v>
      </c>
      <c r="R75" s="130" t="s">
        <v>1307</v>
      </c>
      <c r="S75" s="109" t="str">
        <f t="shared" si="5"/>
        <v>2026Q3|NFR-02-K2</v>
      </c>
      <c r="T75" s="129" t="s">
        <v>753</v>
      </c>
    </row>
    <row r="76" spans="1:20" ht="29.15" x14ac:dyDescent="0.4">
      <c r="A76" s="129" t="s">
        <v>1505</v>
      </c>
      <c r="B76" s="129" t="s">
        <v>1308</v>
      </c>
      <c r="C76" s="129" t="s">
        <v>566</v>
      </c>
      <c r="D76" s="130" t="s">
        <v>1309</v>
      </c>
      <c r="E76" s="129" t="s">
        <v>821</v>
      </c>
      <c r="F76" s="129" t="s">
        <v>1310</v>
      </c>
      <c r="G76" s="129" t="s">
        <v>1311</v>
      </c>
      <c r="H76" s="109">
        <v>1.5</v>
      </c>
      <c r="I76" s="109">
        <v>3</v>
      </c>
      <c r="J76" s="109">
        <v>1.9</v>
      </c>
      <c r="K76" s="123">
        <v>46295</v>
      </c>
      <c r="L76" s="129" t="s">
        <v>1311</v>
      </c>
      <c r="M76" s="130" t="s">
        <v>1514</v>
      </c>
      <c r="N76" s="109" t="str">
        <f t="shared" si="4"/>
        <v>Ambra</v>
      </c>
      <c r="O76" s="129" t="s">
        <v>558</v>
      </c>
      <c r="P76" s="129" t="s">
        <v>617</v>
      </c>
      <c r="Q76" s="129" t="s">
        <v>1505</v>
      </c>
      <c r="R76" s="130" t="s">
        <v>1515</v>
      </c>
      <c r="S76" s="109" t="str">
        <f t="shared" si="5"/>
        <v>2026Q3|NFR-03-K1</v>
      </c>
      <c r="T76" s="129" t="s">
        <v>753</v>
      </c>
    </row>
    <row r="77" spans="1:20" ht="29.15" x14ac:dyDescent="0.4">
      <c r="A77" s="129" t="s">
        <v>1505</v>
      </c>
      <c r="B77" s="129" t="s">
        <v>1313</v>
      </c>
      <c r="C77" s="129" t="s">
        <v>566</v>
      </c>
      <c r="D77" s="130" t="s">
        <v>1314</v>
      </c>
      <c r="E77" s="129" t="s">
        <v>1294</v>
      </c>
      <c r="F77" s="129" t="s">
        <v>1300</v>
      </c>
      <c r="G77" s="129" t="s">
        <v>1315</v>
      </c>
      <c r="H77" s="109">
        <v>20</v>
      </c>
      <c r="I77" s="109">
        <v>40</v>
      </c>
      <c r="J77" s="109"/>
      <c r="K77" s="123"/>
      <c r="L77" s="129" t="s">
        <v>1315</v>
      </c>
      <c r="M77" s="130" t="s">
        <v>1516</v>
      </c>
      <c r="N77" s="109" t="str">
        <f t="shared" si="4"/>
        <v>Non rilevato</v>
      </c>
      <c r="O77" s="129" t="s">
        <v>558</v>
      </c>
      <c r="P77" s="129" t="s">
        <v>617</v>
      </c>
      <c r="Q77" s="129" t="s">
        <v>1505</v>
      </c>
      <c r="R77" s="130" t="s">
        <v>1517</v>
      </c>
      <c r="S77" s="109" t="str">
        <f t="shared" si="5"/>
        <v>2026Q3|NFR-03-K2</v>
      </c>
      <c r="T77" s="129" t="s">
        <v>753</v>
      </c>
    </row>
    <row r="78" spans="1:20" ht="29.15" x14ac:dyDescent="0.4">
      <c r="A78" s="129" t="s">
        <v>1505</v>
      </c>
      <c r="B78" s="129" t="s">
        <v>1317</v>
      </c>
      <c r="C78" s="129" t="s">
        <v>572</v>
      </c>
      <c r="D78" s="130" t="s">
        <v>1318</v>
      </c>
      <c r="E78" s="129" t="s">
        <v>1294</v>
      </c>
      <c r="F78" s="129" t="s">
        <v>1305</v>
      </c>
      <c r="G78" s="129" t="s">
        <v>1319</v>
      </c>
      <c r="H78" s="109">
        <v>1</v>
      </c>
      <c r="I78" s="109">
        <v>3</v>
      </c>
      <c r="J78" s="109">
        <v>2</v>
      </c>
      <c r="K78" s="123">
        <v>46295</v>
      </c>
      <c r="L78" s="129" t="s">
        <v>1319</v>
      </c>
      <c r="M78" s="130" t="s">
        <v>1518</v>
      </c>
      <c r="N78" s="109" t="str">
        <f t="shared" si="4"/>
        <v>Ambra</v>
      </c>
      <c r="O78" s="129" t="s">
        <v>558</v>
      </c>
      <c r="P78" s="129" t="s">
        <v>617</v>
      </c>
      <c r="Q78" s="129" t="s">
        <v>1505</v>
      </c>
      <c r="R78" s="130" t="s">
        <v>1519</v>
      </c>
      <c r="S78" s="109" t="str">
        <f t="shared" si="5"/>
        <v>2026Q3|NFR-04-K1</v>
      </c>
      <c r="T78" s="129" t="s">
        <v>753</v>
      </c>
    </row>
    <row r="79" spans="1:20" ht="29.15" x14ac:dyDescent="0.4">
      <c r="A79" s="129" t="s">
        <v>1505</v>
      </c>
      <c r="B79" s="129" t="s">
        <v>1321</v>
      </c>
      <c r="C79" s="129" t="s">
        <v>572</v>
      </c>
      <c r="D79" s="130" t="s">
        <v>1322</v>
      </c>
      <c r="E79" s="129" t="s">
        <v>821</v>
      </c>
      <c r="F79" s="129" t="s">
        <v>1323</v>
      </c>
      <c r="G79" s="129" t="s">
        <v>1324</v>
      </c>
      <c r="H79" s="109">
        <v>2</v>
      </c>
      <c r="I79" s="109">
        <v>5</v>
      </c>
      <c r="J79" s="109">
        <v>0</v>
      </c>
      <c r="K79" s="123">
        <v>46295</v>
      </c>
      <c r="L79" s="129" t="s">
        <v>1324</v>
      </c>
      <c r="M79" s="130" t="s">
        <v>1520</v>
      </c>
      <c r="N79" s="109" t="str">
        <f t="shared" si="4"/>
        <v>Verde</v>
      </c>
      <c r="O79" s="129" t="s">
        <v>558</v>
      </c>
      <c r="P79" s="129" t="s">
        <v>617</v>
      </c>
      <c r="Q79" s="129" t="s">
        <v>1505</v>
      </c>
      <c r="R79" s="130" t="s">
        <v>1521</v>
      </c>
      <c r="S79" s="109" t="str">
        <f t="shared" si="5"/>
        <v>2026Q3|NFR-04-K2</v>
      </c>
      <c r="T79" s="129" t="s">
        <v>753</v>
      </c>
    </row>
    <row r="80" spans="1:20" x14ac:dyDescent="0.4">
      <c r="A80" s="129" t="s">
        <v>1505</v>
      </c>
      <c r="B80" s="129" t="s">
        <v>1326</v>
      </c>
      <c r="C80" s="129" t="s">
        <v>576</v>
      </c>
      <c r="D80" s="130" t="s">
        <v>1327</v>
      </c>
      <c r="E80" s="129" t="s">
        <v>821</v>
      </c>
      <c r="F80" s="129" t="s">
        <v>1305</v>
      </c>
      <c r="G80" s="129" t="s">
        <v>1328</v>
      </c>
      <c r="H80" s="109">
        <v>3</v>
      </c>
      <c r="I80" s="109">
        <v>6</v>
      </c>
      <c r="J80" s="109">
        <v>4</v>
      </c>
      <c r="K80" s="123">
        <v>46295</v>
      </c>
      <c r="L80" s="129" t="s">
        <v>1328</v>
      </c>
      <c r="M80" s="130" t="s">
        <v>1522</v>
      </c>
      <c r="N80" s="109" t="str">
        <f t="shared" si="4"/>
        <v>Ambra</v>
      </c>
      <c r="O80" s="129" t="s">
        <v>558</v>
      </c>
      <c r="P80" s="129" t="s">
        <v>617</v>
      </c>
      <c r="Q80" s="129" t="s">
        <v>1505</v>
      </c>
      <c r="R80" s="130" t="s">
        <v>1523</v>
      </c>
      <c r="S80" s="109" t="str">
        <f t="shared" si="5"/>
        <v>2026Q3|NFR-05-K2</v>
      </c>
      <c r="T80" s="129" t="s">
        <v>753</v>
      </c>
    </row>
    <row r="81" spans="1:20" ht="29.15" x14ac:dyDescent="0.4">
      <c r="A81" s="129" t="s">
        <v>1505</v>
      </c>
      <c r="B81" s="129" t="s">
        <v>1330</v>
      </c>
      <c r="C81" s="129" t="s">
        <v>576</v>
      </c>
      <c r="D81" s="130" t="s">
        <v>1331</v>
      </c>
      <c r="E81" s="129" t="s">
        <v>1294</v>
      </c>
      <c r="F81" s="129" t="s">
        <v>1300</v>
      </c>
      <c r="G81" s="129" t="s">
        <v>1332</v>
      </c>
      <c r="H81" s="109">
        <v>30</v>
      </c>
      <c r="I81" s="109">
        <v>60</v>
      </c>
      <c r="J81" s="109">
        <v>18</v>
      </c>
      <c r="K81" s="123">
        <v>46295</v>
      </c>
      <c r="L81" s="129" t="s">
        <v>1332</v>
      </c>
      <c r="M81" s="130" t="s">
        <v>1524</v>
      </c>
      <c r="N81" s="109" t="str">
        <f t="shared" si="4"/>
        <v>Verde</v>
      </c>
      <c r="O81" s="129" t="s">
        <v>558</v>
      </c>
      <c r="P81" s="129" t="s">
        <v>617</v>
      </c>
      <c r="Q81" s="129" t="s">
        <v>1505</v>
      </c>
      <c r="R81" s="130" t="s">
        <v>1525</v>
      </c>
      <c r="S81" s="109" t="str">
        <f t="shared" si="5"/>
        <v>2026Q3|NFR-05-K3</v>
      </c>
      <c r="T81" s="129" t="s">
        <v>753</v>
      </c>
    </row>
    <row r="82" spans="1:20" ht="29.15" x14ac:dyDescent="0.4">
      <c r="A82" s="129" t="s">
        <v>1505</v>
      </c>
      <c r="B82" s="129" t="s">
        <v>1366</v>
      </c>
      <c r="C82" s="129" t="s">
        <v>581</v>
      </c>
      <c r="D82" s="130" t="s">
        <v>1367</v>
      </c>
      <c r="E82" s="129" t="s">
        <v>821</v>
      </c>
      <c r="F82" s="129" t="s">
        <v>1342</v>
      </c>
      <c r="G82" s="129" t="s">
        <v>1368</v>
      </c>
      <c r="H82" s="109">
        <v>10</v>
      </c>
      <c r="I82" s="109">
        <v>30</v>
      </c>
      <c r="J82" s="109">
        <v>6</v>
      </c>
      <c r="K82" s="123">
        <v>46295</v>
      </c>
      <c r="L82" s="129" t="s">
        <v>1368</v>
      </c>
      <c r="M82" s="130" t="s">
        <v>1526</v>
      </c>
      <c r="N82" s="109" t="str">
        <f t="shared" si="4"/>
        <v>Verde</v>
      </c>
      <c r="O82" s="129" t="s">
        <v>558</v>
      </c>
      <c r="P82" s="129" t="s">
        <v>614</v>
      </c>
      <c r="Q82" s="129" t="s">
        <v>1505</v>
      </c>
      <c r="R82" s="130" t="s">
        <v>1527</v>
      </c>
      <c r="S82" s="109" t="str">
        <f t="shared" si="5"/>
        <v>2026Q3|NFR-06-K1</v>
      </c>
      <c r="T82" s="129" t="s">
        <v>753</v>
      </c>
    </row>
    <row r="83" spans="1:20" ht="29.15" x14ac:dyDescent="0.4">
      <c r="A83" s="129" t="s">
        <v>1505</v>
      </c>
      <c r="B83" s="129" t="s">
        <v>1370</v>
      </c>
      <c r="C83" s="129" t="s">
        <v>581</v>
      </c>
      <c r="D83" s="130" t="s">
        <v>1371</v>
      </c>
      <c r="E83" s="129" t="s">
        <v>1294</v>
      </c>
      <c r="F83" s="129" t="s">
        <v>1300</v>
      </c>
      <c r="G83" s="129" t="s">
        <v>1372</v>
      </c>
      <c r="H83" s="109">
        <v>20</v>
      </c>
      <c r="I83" s="109">
        <v>40</v>
      </c>
      <c r="J83" s="109">
        <v>22</v>
      </c>
      <c r="K83" s="123">
        <v>46295</v>
      </c>
      <c r="L83" s="129" t="s">
        <v>1372</v>
      </c>
      <c r="M83" s="130" t="s">
        <v>1528</v>
      </c>
      <c r="N83" s="109" t="str">
        <f t="shared" si="4"/>
        <v>Ambra</v>
      </c>
      <c r="O83" s="129" t="s">
        <v>558</v>
      </c>
      <c r="P83" s="129" t="s">
        <v>614</v>
      </c>
      <c r="Q83" s="129" t="s">
        <v>1505</v>
      </c>
      <c r="R83" s="130" t="s">
        <v>1529</v>
      </c>
      <c r="S83" s="109" t="str">
        <f t="shared" si="5"/>
        <v>2026Q3|NFR-06-K2</v>
      </c>
      <c r="T83" s="129" t="s">
        <v>753</v>
      </c>
    </row>
    <row r="84" spans="1:20" ht="29.15" x14ac:dyDescent="0.4">
      <c r="A84" s="129" t="s">
        <v>1505</v>
      </c>
      <c r="B84" s="129" t="s">
        <v>1334</v>
      </c>
      <c r="C84" s="129" t="s">
        <v>587</v>
      </c>
      <c r="D84" s="130" t="s">
        <v>1335</v>
      </c>
      <c r="E84" s="129" t="s">
        <v>1294</v>
      </c>
      <c r="F84" s="129" t="s">
        <v>1305</v>
      </c>
      <c r="G84" s="129" t="s">
        <v>1301</v>
      </c>
      <c r="H84" s="109">
        <v>1</v>
      </c>
      <c r="I84" s="109">
        <v>2</v>
      </c>
      <c r="J84" s="109">
        <v>1</v>
      </c>
      <c r="K84" s="123">
        <v>46295</v>
      </c>
      <c r="L84" s="129" t="s">
        <v>1301</v>
      </c>
      <c r="M84" s="130" t="s">
        <v>1530</v>
      </c>
      <c r="N84" s="109" t="str">
        <f t="shared" si="4"/>
        <v>Ambra</v>
      </c>
      <c r="O84" s="129" t="s">
        <v>558</v>
      </c>
      <c r="P84" s="129" t="s">
        <v>617</v>
      </c>
      <c r="Q84" s="129" t="s">
        <v>1505</v>
      </c>
      <c r="R84" s="130" t="s">
        <v>1531</v>
      </c>
      <c r="S84" s="109" t="str">
        <f t="shared" si="5"/>
        <v>2026Q3|NFR-07-K1</v>
      </c>
      <c r="T84" s="129" t="s">
        <v>753</v>
      </c>
    </row>
    <row r="85" spans="1:20" ht="29.15" x14ac:dyDescent="0.4">
      <c r="A85" s="129" t="s">
        <v>1505</v>
      </c>
      <c r="B85" s="129" t="s">
        <v>1337</v>
      </c>
      <c r="C85" s="129" t="s">
        <v>587</v>
      </c>
      <c r="D85" s="130" t="s">
        <v>1338</v>
      </c>
      <c r="E85" s="129" t="s">
        <v>821</v>
      </c>
      <c r="F85" s="129" t="s">
        <v>1295</v>
      </c>
      <c r="G85" s="129" t="s">
        <v>1306</v>
      </c>
      <c r="H85" s="109">
        <v>4</v>
      </c>
      <c r="I85" s="109">
        <v>12</v>
      </c>
      <c r="J85" s="109">
        <v>2.5</v>
      </c>
      <c r="K85" s="123">
        <v>46295</v>
      </c>
      <c r="L85" s="129" t="s">
        <v>1306</v>
      </c>
      <c r="M85" s="130" t="s">
        <v>1530</v>
      </c>
      <c r="N85" s="109" t="str">
        <f t="shared" si="4"/>
        <v>Verde</v>
      </c>
      <c r="O85" s="129" t="s">
        <v>558</v>
      </c>
      <c r="P85" s="129" t="s">
        <v>617</v>
      </c>
      <c r="Q85" s="129" t="s">
        <v>1505</v>
      </c>
      <c r="R85" s="130" t="s">
        <v>1531</v>
      </c>
      <c r="S85" s="109" t="str">
        <f t="shared" si="5"/>
        <v>2026Q3|NFR-07-K2</v>
      </c>
      <c r="T85" s="129" t="s">
        <v>753</v>
      </c>
    </row>
    <row r="86" spans="1:20" ht="29.15" x14ac:dyDescent="0.4">
      <c r="A86" s="129" t="s">
        <v>1505</v>
      </c>
      <c r="B86" s="129" t="s">
        <v>1340</v>
      </c>
      <c r="C86" s="129" t="s">
        <v>591</v>
      </c>
      <c r="D86" s="130" t="s">
        <v>1341</v>
      </c>
      <c r="E86" s="129" t="s">
        <v>821</v>
      </c>
      <c r="F86" s="129" t="s">
        <v>1342</v>
      </c>
      <c r="G86" s="129" t="s">
        <v>1343</v>
      </c>
      <c r="H86" s="109">
        <v>20</v>
      </c>
      <c r="I86" s="109">
        <v>50</v>
      </c>
      <c r="J86" s="109">
        <v>22</v>
      </c>
      <c r="K86" s="123">
        <v>46295</v>
      </c>
      <c r="L86" s="129" t="s">
        <v>1343</v>
      </c>
      <c r="M86" s="130" t="s">
        <v>1530</v>
      </c>
      <c r="N86" s="109" t="str">
        <f t="shared" si="4"/>
        <v>Ambra</v>
      </c>
      <c r="O86" s="129" t="s">
        <v>558</v>
      </c>
      <c r="P86" s="129" t="s">
        <v>617</v>
      </c>
      <c r="Q86" s="129" t="s">
        <v>1505</v>
      </c>
      <c r="R86" s="130" t="s">
        <v>1532</v>
      </c>
      <c r="S86" s="109" t="str">
        <f t="shared" si="5"/>
        <v>2026Q3|NFR-08-K1</v>
      </c>
      <c r="T86" s="129" t="s">
        <v>753</v>
      </c>
    </row>
    <row r="87" spans="1:20" ht="29.15" x14ac:dyDescent="0.4">
      <c r="A87" s="129" t="s">
        <v>1505</v>
      </c>
      <c r="B87" s="129" t="s">
        <v>1345</v>
      </c>
      <c r="C87" s="129" t="s">
        <v>591</v>
      </c>
      <c r="D87" s="130" t="s">
        <v>1346</v>
      </c>
      <c r="E87" s="129" t="s">
        <v>1294</v>
      </c>
      <c r="F87" s="129" t="s">
        <v>1300</v>
      </c>
      <c r="G87" s="129" t="s">
        <v>1347</v>
      </c>
      <c r="H87" s="109">
        <v>5</v>
      </c>
      <c r="I87" s="109">
        <v>15</v>
      </c>
      <c r="J87" s="109">
        <v>5</v>
      </c>
      <c r="K87" s="123">
        <v>46295</v>
      </c>
      <c r="L87" s="129" t="s">
        <v>1347</v>
      </c>
      <c r="M87" s="130" t="s">
        <v>1530</v>
      </c>
      <c r="N87" s="109" t="str">
        <f t="shared" si="4"/>
        <v>Ambra</v>
      </c>
      <c r="O87" s="129" t="s">
        <v>558</v>
      </c>
      <c r="P87" s="129" t="s">
        <v>617</v>
      </c>
      <c r="Q87" s="129" t="s">
        <v>1505</v>
      </c>
      <c r="R87" s="130" t="s">
        <v>1532</v>
      </c>
      <c r="S87" s="109" t="str">
        <f t="shared" si="5"/>
        <v>2026Q3|NFR-08-K2</v>
      </c>
      <c r="T87" s="129" t="s">
        <v>753</v>
      </c>
    </row>
    <row r="88" spans="1:20" ht="29.15" x14ac:dyDescent="0.4">
      <c r="A88" s="129" t="s">
        <v>1505</v>
      </c>
      <c r="B88" s="129" t="s">
        <v>1374</v>
      </c>
      <c r="C88" s="129" t="s">
        <v>595</v>
      </c>
      <c r="D88" s="130" t="s">
        <v>1375</v>
      </c>
      <c r="E88" s="129" t="s">
        <v>821</v>
      </c>
      <c r="F88" s="129" t="s">
        <v>824</v>
      </c>
      <c r="G88" s="129" t="s">
        <v>1376</v>
      </c>
      <c r="H88" s="109">
        <v>2</v>
      </c>
      <c r="I88" s="109">
        <v>5</v>
      </c>
      <c r="J88" s="109">
        <v>4.2</v>
      </c>
      <c r="K88" s="123">
        <v>46295</v>
      </c>
      <c r="L88" s="129" t="s">
        <v>1376</v>
      </c>
      <c r="M88" s="130" t="s">
        <v>1530</v>
      </c>
      <c r="N88" s="109" t="str">
        <f t="shared" si="4"/>
        <v>Ambra</v>
      </c>
      <c r="O88" s="129" t="s">
        <v>558</v>
      </c>
      <c r="P88" s="129" t="s">
        <v>614</v>
      </c>
      <c r="Q88" s="129" t="s">
        <v>1505</v>
      </c>
      <c r="R88" s="130" t="s">
        <v>1533</v>
      </c>
      <c r="S88" s="109" t="str">
        <f t="shared" si="5"/>
        <v>2026Q3|NFR-09-K1</v>
      </c>
      <c r="T88" s="129" t="s">
        <v>753</v>
      </c>
    </row>
    <row r="89" spans="1:20" ht="29.15" x14ac:dyDescent="0.4">
      <c r="A89" s="129" t="s">
        <v>1505</v>
      </c>
      <c r="B89" s="129" t="s">
        <v>1378</v>
      </c>
      <c r="C89" s="129" t="s">
        <v>595</v>
      </c>
      <c r="D89" s="130" t="s">
        <v>1379</v>
      </c>
      <c r="E89" s="129" t="s">
        <v>1294</v>
      </c>
      <c r="F89" s="129" t="s">
        <v>1300</v>
      </c>
      <c r="G89" s="129" t="s">
        <v>1380</v>
      </c>
      <c r="H89" s="109">
        <v>5</v>
      </c>
      <c r="I89" s="109">
        <v>15</v>
      </c>
      <c r="J89" s="109">
        <v>9</v>
      </c>
      <c r="K89" s="123">
        <v>46295</v>
      </c>
      <c r="L89" s="129" t="s">
        <v>1380</v>
      </c>
      <c r="M89" s="130" t="s">
        <v>1530</v>
      </c>
      <c r="N89" s="109" t="str">
        <f t="shared" si="4"/>
        <v>Ambra</v>
      </c>
      <c r="O89" s="129" t="s">
        <v>558</v>
      </c>
      <c r="P89" s="129" t="s">
        <v>614</v>
      </c>
      <c r="Q89" s="129" t="s">
        <v>1505</v>
      </c>
      <c r="R89" s="130" t="s">
        <v>1533</v>
      </c>
      <c r="S89" s="109" t="str">
        <f t="shared" si="5"/>
        <v>2026Q3|NFR-09-K2</v>
      </c>
      <c r="T89" s="129" t="s">
        <v>753</v>
      </c>
    </row>
    <row r="90" spans="1:20" ht="29.15" x14ac:dyDescent="0.4">
      <c r="A90" s="129" t="s">
        <v>1505</v>
      </c>
      <c r="B90" s="129" t="s">
        <v>1382</v>
      </c>
      <c r="C90" s="129" t="s">
        <v>598</v>
      </c>
      <c r="D90" s="130" t="s">
        <v>1383</v>
      </c>
      <c r="E90" s="129" t="s">
        <v>821</v>
      </c>
      <c r="F90" s="129" t="s">
        <v>1310</v>
      </c>
      <c r="G90" s="129" t="s">
        <v>1384</v>
      </c>
      <c r="H90" s="109">
        <v>2</v>
      </c>
      <c r="I90" s="109">
        <v>5</v>
      </c>
      <c r="J90" s="109">
        <v>1.9</v>
      </c>
      <c r="K90" s="123">
        <v>46295</v>
      </c>
      <c r="L90" s="129" t="s">
        <v>1384</v>
      </c>
      <c r="M90" s="130" t="s">
        <v>1530</v>
      </c>
      <c r="N90" s="109" t="str">
        <f t="shared" si="4"/>
        <v>Verde</v>
      </c>
      <c r="O90" s="129" t="s">
        <v>558</v>
      </c>
      <c r="P90" s="129" t="s">
        <v>614</v>
      </c>
      <c r="Q90" s="129" t="s">
        <v>1505</v>
      </c>
      <c r="R90" s="130" t="s">
        <v>1534</v>
      </c>
      <c r="S90" s="109" t="str">
        <f t="shared" si="5"/>
        <v>2026Q3|NFR-10-K1</v>
      </c>
      <c r="T90" s="129" t="s">
        <v>966</v>
      </c>
    </row>
    <row r="91" spans="1:20" ht="29.15" x14ac:dyDescent="0.4">
      <c r="A91" s="129" t="s">
        <v>1505</v>
      </c>
      <c r="B91" s="129" t="s">
        <v>1386</v>
      </c>
      <c r="C91" s="129" t="s">
        <v>598</v>
      </c>
      <c r="D91" s="130" t="s">
        <v>1387</v>
      </c>
      <c r="E91" s="129" t="s">
        <v>1294</v>
      </c>
      <c r="F91" s="129" t="s">
        <v>1300</v>
      </c>
      <c r="G91" s="129" t="s">
        <v>1388</v>
      </c>
      <c r="H91" s="109">
        <v>20</v>
      </c>
      <c r="I91" s="109">
        <v>50</v>
      </c>
      <c r="J91" s="109">
        <v>45</v>
      </c>
      <c r="K91" s="123">
        <v>46295</v>
      </c>
      <c r="L91" s="129" t="s">
        <v>1388</v>
      </c>
      <c r="M91" s="130" t="s">
        <v>1530</v>
      </c>
      <c r="N91" s="109" t="str">
        <f t="shared" si="4"/>
        <v>Ambra</v>
      </c>
      <c r="O91" s="129" t="s">
        <v>558</v>
      </c>
      <c r="P91" s="129" t="s">
        <v>614</v>
      </c>
      <c r="Q91" s="129" t="s">
        <v>1505</v>
      </c>
      <c r="R91" s="130" t="s">
        <v>1534</v>
      </c>
      <c r="S91" s="109" t="str">
        <f t="shared" si="5"/>
        <v>2026Q3|NFR-10-K3</v>
      </c>
      <c r="T91" s="129" t="s">
        <v>753</v>
      </c>
    </row>
    <row r="92" spans="1:20" ht="29.15" x14ac:dyDescent="0.4">
      <c r="A92" s="129" t="s">
        <v>1505</v>
      </c>
      <c r="B92" s="129" t="s">
        <v>1349</v>
      </c>
      <c r="C92" s="129" t="s">
        <v>604</v>
      </c>
      <c r="D92" s="130" t="s">
        <v>1350</v>
      </c>
      <c r="E92" s="129" t="s">
        <v>1294</v>
      </c>
      <c r="F92" s="129" t="s">
        <v>1305</v>
      </c>
      <c r="G92" s="129" t="s">
        <v>1351</v>
      </c>
      <c r="H92" s="109">
        <v>3</v>
      </c>
      <c r="I92" s="109">
        <v>8</v>
      </c>
      <c r="J92" s="109">
        <v>6</v>
      </c>
      <c r="K92" s="123">
        <v>46295</v>
      </c>
      <c r="L92" s="129" t="s">
        <v>1351</v>
      </c>
      <c r="M92" s="130" t="s">
        <v>1530</v>
      </c>
      <c r="N92" s="109" t="str">
        <f t="shared" si="4"/>
        <v>Ambra</v>
      </c>
      <c r="O92" s="129" t="s">
        <v>558</v>
      </c>
      <c r="P92" s="129" t="s">
        <v>617</v>
      </c>
      <c r="Q92" s="129" t="s">
        <v>1505</v>
      </c>
      <c r="R92" s="130" t="s">
        <v>1535</v>
      </c>
      <c r="S92" s="109" t="str">
        <f t="shared" si="5"/>
        <v>2026Q3|NFR-11-K1</v>
      </c>
      <c r="T92" s="129" t="s">
        <v>753</v>
      </c>
    </row>
    <row r="93" spans="1:20" ht="29.15" x14ac:dyDescent="0.4">
      <c r="A93" s="129" t="s">
        <v>1505</v>
      </c>
      <c r="B93" s="129" t="s">
        <v>1353</v>
      </c>
      <c r="C93" s="129" t="s">
        <v>604</v>
      </c>
      <c r="D93" s="130" t="s">
        <v>1354</v>
      </c>
      <c r="E93" s="129" t="s">
        <v>821</v>
      </c>
      <c r="F93" s="129" t="s">
        <v>1305</v>
      </c>
      <c r="G93" s="129" t="s">
        <v>1355</v>
      </c>
      <c r="H93" s="109">
        <v>2</v>
      </c>
      <c r="I93" s="109">
        <v>6</v>
      </c>
      <c r="J93" s="109">
        <v>5</v>
      </c>
      <c r="K93" s="123">
        <v>46295</v>
      </c>
      <c r="L93" s="129" t="s">
        <v>1355</v>
      </c>
      <c r="M93" s="130" t="s">
        <v>1530</v>
      </c>
      <c r="N93" s="109" t="str">
        <f t="shared" si="4"/>
        <v>Ambra</v>
      </c>
      <c r="O93" s="129" t="s">
        <v>558</v>
      </c>
      <c r="P93" s="129" t="s">
        <v>617</v>
      </c>
      <c r="Q93" s="129" t="s">
        <v>1505</v>
      </c>
      <c r="R93" s="130" t="s">
        <v>1535</v>
      </c>
      <c r="S93" s="109" t="str">
        <f t="shared" si="5"/>
        <v>2026Q3|NFR-11-K2</v>
      </c>
      <c r="T93" s="129" t="s">
        <v>753</v>
      </c>
    </row>
    <row r="94" spans="1:20" ht="29.15" x14ac:dyDescent="0.4">
      <c r="A94" s="129" t="s">
        <v>1505</v>
      </c>
      <c r="B94" s="129" t="s">
        <v>1357</v>
      </c>
      <c r="C94" s="129" t="s">
        <v>611</v>
      </c>
      <c r="D94" s="130" t="s">
        <v>1358</v>
      </c>
      <c r="E94" s="129" t="s">
        <v>821</v>
      </c>
      <c r="F94" s="129" t="s">
        <v>1305</v>
      </c>
      <c r="G94" s="129" t="s">
        <v>1359</v>
      </c>
      <c r="H94" s="109">
        <v>10</v>
      </c>
      <c r="I94" s="109">
        <v>30</v>
      </c>
      <c r="J94" s="109">
        <v>12</v>
      </c>
      <c r="K94" s="123">
        <v>46295</v>
      </c>
      <c r="L94" s="129" t="s">
        <v>1359</v>
      </c>
      <c r="M94" s="130" t="s">
        <v>1530</v>
      </c>
      <c r="N94" s="109" t="str">
        <f t="shared" si="4"/>
        <v>Ambra</v>
      </c>
      <c r="O94" s="129" t="s">
        <v>558</v>
      </c>
      <c r="P94" s="129" t="s">
        <v>617</v>
      </c>
      <c r="Q94" s="129" t="s">
        <v>1505</v>
      </c>
      <c r="R94" s="130" t="s">
        <v>1536</v>
      </c>
      <c r="S94" s="109" t="str">
        <f t="shared" si="5"/>
        <v>2026Q3|NFR-12-K1</v>
      </c>
      <c r="T94" s="129" t="s">
        <v>753</v>
      </c>
    </row>
    <row r="95" spans="1:20" ht="29.15" x14ac:dyDescent="0.4">
      <c r="A95" s="129" t="s">
        <v>1505</v>
      </c>
      <c r="B95" s="129" t="s">
        <v>1361</v>
      </c>
      <c r="C95" s="129" t="s">
        <v>611</v>
      </c>
      <c r="D95" s="130" t="s">
        <v>1362</v>
      </c>
      <c r="E95" s="129" t="s">
        <v>1294</v>
      </c>
      <c r="F95" s="129" t="s">
        <v>1295</v>
      </c>
      <c r="G95" s="129" t="s">
        <v>1363</v>
      </c>
      <c r="H95" s="109">
        <v>4</v>
      </c>
      <c r="I95" s="109">
        <v>12</v>
      </c>
      <c r="J95" s="109">
        <v>4.5</v>
      </c>
      <c r="K95" s="123">
        <v>46295</v>
      </c>
      <c r="L95" s="129" t="s">
        <v>1363</v>
      </c>
      <c r="M95" s="130" t="s">
        <v>1530</v>
      </c>
      <c r="N95" s="109" t="str">
        <f t="shared" si="4"/>
        <v>Ambra</v>
      </c>
      <c r="O95" s="129" t="s">
        <v>558</v>
      </c>
      <c r="P95" s="129" t="s">
        <v>617</v>
      </c>
      <c r="Q95" s="129" t="s">
        <v>1505</v>
      </c>
      <c r="R95" s="130" t="s">
        <v>1536</v>
      </c>
      <c r="S95" s="109" t="str">
        <f t="shared" si="5"/>
        <v>2026Q3|NFR-12-K3</v>
      </c>
      <c r="T95" s="129" t="s">
        <v>753</v>
      </c>
    </row>
    <row r="96" spans="1:20" ht="58.3" x14ac:dyDescent="0.4">
      <c r="A96" s="129" t="s">
        <v>1505</v>
      </c>
      <c r="B96" s="129" t="s">
        <v>1537</v>
      </c>
      <c r="C96" s="129" t="s">
        <v>560</v>
      </c>
      <c r="D96" s="130" t="s">
        <v>1538</v>
      </c>
      <c r="E96" s="129" t="s">
        <v>821</v>
      </c>
      <c r="F96" s="129" t="s">
        <v>1305</v>
      </c>
      <c r="G96" s="129" t="s">
        <v>1539</v>
      </c>
      <c r="H96" s="109">
        <v>1</v>
      </c>
      <c r="I96" s="109">
        <v>3</v>
      </c>
      <c r="J96" s="109"/>
      <c r="K96" s="123"/>
      <c r="L96" s="129"/>
      <c r="M96" s="130"/>
      <c r="N96" s="109" t="str">
        <f t="shared" si="4"/>
        <v>Non rilevato</v>
      </c>
      <c r="O96" s="129" t="s">
        <v>558</v>
      </c>
      <c r="P96" s="129" t="s">
        <v>1505</v>
      </c>
      <c r="Q96" s="129" t="s">
        <v>1505</v>
      </c>
      <c r="R96" s="130" t="s">
        <v>1540</v>
      </c>
      <c r="S96" s="109" t="str">
        <f t="shared" si="5"/>
        <v>2026Q3|NFR-02-K3</v>
      </c>
      <c r="T96" s="129" t="s">
        <v>753</v>
      </c>
    </row>
    <row r="97" spans="1:20" ht="87.45" x14ac:dyDescent="0.4">
      <c r="A97" s="129" t="s">
        <v>1650</v>
      </c>
      <c r="B97" s="129" t="s">
        <v>437</v>
      </c>
      <c r="C97" s="129" t="s">
        <v>554</v>
      </c>
      <c r="D97" s="130" t="s">
        <v>1290</v>
      </c>
      <c r="E97" s="129" t="s">
        <v>821</v>
      </c>
      <c r="F97" s="129" t="s">
        <v>824</v>
      </c>
      <c r="G97" s="129" t="s">
        <v>827</v>
      </c>
      <c r="H97" s="109">
        <v>3</v>
      </c>
      <c r="I97" s="109">
        <v>6</v>
      </c>
      <c r="J97" s="109">
        <v>6.4</v>
      </c>
      <c r="K97" s="123">
        <v>46387</v>
      </c>
      <c r="L97" s="129" t="s">
        <v>827</v>
      </c>
      <c r="M97" s="130" t="s">
        <v>1651</v>
      </c>
      <c r="N97" s="109" t="str">
        <f t="shared" ref="N97:N122" si="6">IF(OR(H97="",I97=""),"Soglie da definire",IF(I97&lt;H97,"SOGLIE INVERTITE — correggere",IF(J97="","Non rilevato",IF(J97&gt;=I97,"Rosso",IF(J97&gt;=H97,"Ambra","Verde")))))</f>
        <v>Rosso</v>
      </c>
      <c r="O97" s="129" t="s">
        <v>558</v>
      </c>
      <c r="P97" s="129" t="s">
        <v>617</v>
      </c>
      <c r="Q97" s="129" t="s">
        <v>1650</v>
      </c>
      <c r="R97" s="130" t="s">
        <v>1652</v>
      </c>
      <c r="S97" s="109" t="str">
        <f t="shared" ref="S97:S122" si="7">A97&amp;"|"&amp;B97</f>
        <v>2026Q4|NFR-01-K1</v>
      </c>
      <c r="T97" s="129" t="s">
        <v>753</v>
      </c>
    </row>
    <row r="98" spans="1:20" ht="72.900000000000006" x14ac:dyDescent="0.4">
      <c r="A98" s="129" t="s">
        <v>1650</v>
      </c>
      <c r="B98" s="129" t="s">
        <v>1292</v>
      </c>
      <c r="C98" s="129" t="s">
        <v>554</v>
      </c>
      <c r="D98" s="130" t="s">
        <v>1293</v>
      </c>
      <c r="E98" s="129" t="s">
        <v>1294</v>
      </c>
      <c r="F98" s="129" t="s">
        <v>1295</v>
      </c>
      <c r="G98" s="129" t="s">
        <v>1296</v>
      </c>
      <c r="H98" s="109">
        <v>4</v>
      </c>
      <c r="I98" s="109">
        <v>12</v>
      </c>
      <c r="J98" s="109">
        <v>3.5</v>
      </c>
      <c r="K98" s="123">
        <v>46387</v>
      </c>
      <c r="L98" s="129" t="s">
        <v>1296</v>
      </c>
      <c r="M98" s="130" t="s">
        <v>1508</v>
      </c>
      <c r="N98" s="109" t="str">
        <f t="shared" si="6"/>
        <v>Verde</v>
      </c>
      <c r="O98" s="129" t="s">
        <v>558</v>
      </c>
      <c r="P98" s="129" t="s">
        <v>617</v>
      </c>
      <c r="Q98" s="129" t="s">
        <v>1650</v>
      </c>
      <c r="R98" s="130" t="s">
        <v>1653</v>
      </c>
      <c r="S98" s="109" t="str">
        <f t="shared" si="7"/>
        <v>2026Q4|NFR-01-K3</v>
      </c>
      <c r="T98" s="129" t="s">
        <v>753</v>
      </c>
    </row>
    <row r="99" spans="1:20" ht="72.900000000000006" x14ac:dyDescent="0.4">
      <c r="A99" s="129" t="s">
        <v>1650</v>
      </c>
      <c r="B99" s="129" t="s">
        <v>1298</v>
      </c>
      <c r="C99" s="129" t="s">
        <v>560</v>
      </c>
      <c r="D99" s="130" t="s">
        <v>1299</v>
      </c>
      <c r="E99" s="129" t="s">
        <v>1294</v>
      </c>
      <c r="F99" s="129" t="s">
        <v>1300</v>
      </c>
      <c r="G99" s="129" t="s">
        <v>1301</v>
      </c>
      <c r="H99" s="109">
        <v>60</v>
      </c>
      <c r="I99" s="109">
        <v>75</v>
      </c>
      <c r="J99" s="109">
        <v>78</v>
      </c>
      <c r="K99" s="123">
        <v>46387</v>
      </c>
      <c r="L99" s="129" t="s">
        <v>1301</v>
      </c>
      <c r="M99" s="130" t="s">
        <v>1654</v>
      </c>
      <c r="N99" s="109" t="str">
        <f t="shared" si="6"/>
        <v>Rosso</v>
      </c>
      <c r="O99" s="129" t="s">
        <v>558</v>
      </c>
      <c r="P99" s="129" t="s">
        <v>617</v>
      </c>
      <c r="Q99" s="129" t="s">
        <v>1650</v>
      </c>
      <c r="R99" s="130" t="s">
        <v>1655</v>
      </c>
      <c r="S99" s="109" t="str">
        <f t="shared" si="7"/>
        <v>2026Q4|NFR-02-K1</v>
      </c>
      <c r="T99" s="129" t="s">
        <v>966</v>
      </c>
    </row>
    <row r="100" spans="1:20" ht="43.75" x14ac:dyDescent="0.4">
      <c r="A100" s="129" t="s">
        <v>1650</v>
      </c>
      <c r="B100" s="129" t="s">
        <v>1308</v>
      </c>
      <c r="C100" s="129" t="s">
        <v>566</v>
      </c>
      <c r="D100" s="130" t="s">
        <v>1309</v>
      </c>
      <c r="E100" s="129" t="s">
        <v>821</v>
      </c>
      <c r="F100" s="129" t="s">
        <v>1310</v>
      </c>
      <c r="G100" s="129" t="s">
        <v>1311</v>
      </c>
      <c r="H100" s="109">
        <v>1.5</v>
      </c>
      <c r="I100" s="109">
        <v>3</v>
      </c>
      <c r="J100" s="109">
        <v>1.7</v>
      </c>
      <c r="K100" s="123">
        <v>46387</v>
      </c>
      <c r="L100" s="129" t="s">
        <v>1311</v>
      </c>
      <c r="M100" s="130" t="s">
        <v>1654</v>
      </c>
      <c r="N100" s="109" t="str">
        <f t="shared" si="6"/>
        <v>Ambra</v>
      </c>
      <c r="O100" s="129" t="s">
        <v>558</v>
      </c>
      <c r="P100" s="129" t="s">
        <v>617</v>
      </c>
      <c r="Q100" s="129" t="s">
        <v>1650</v>
      </c>
      <c r="R100" s="130" t="s">
        <v>1656</v>
      </c>
      <c r="S100" s="109" t="str">
        <f t="shared" si="7"/>
        <v>2026Q4|NFR-03-K1</v>
      </c>
      <c r="T100" s="129" t="s">
        <v>753</v>
      </c>
    </row>
    <row r="101" spans="1:20" ht="58.3" x14ac:dyDescent="0.4">
      <c r="A101" s="129" t="s">
        <v>1650</v>
      </c>
      <c r="B101" s="129" t="s">
        <v>1313</v>
      </c>
      <c r="C101" s="129" t="s">
        <v>566</v>
      </c>
      <c r="D101" s="130" t="s">
        <v>1314</v>
      </c>
      <c r="E101" s="129" t="s">
        <v>1294</v>
      </c>
      <c r="F101" s="129" t="s">
        <v>1300</v>
      </c>
      <c r="G101" s="129" t="s">
        <v>1315</v>
      </c>
      <c r="H101" s="109">
        <v>20</v>
      </c>
      <c r="I101" s="109">
        <v>40</v>
      </c>
      <c r="J101" s="109">
        <v>35</v>
      </c>
      <c r="K101" s="123">
        <v>46387</v>
      </c>
      <c r="L101" s="129" t="s">
        <v>1315</v>
      </c>
      <c r="M101" s="130" t="s">
        <v>1657</v>
      </c>
      <c r="N101" s="109" t="str">
        <f t="shared" si="6"/>
        <v>Ambra</v>
      </c>
      <c r="O101" s="129" t="s">
        <v>558</v>
      </c>
      <c r="P101" s="129" t="s">
        <v>617</v>
      </c>
      <c r="Q101" s="129" t="s">
        <v>1650</v>
      </c>
      <c r="R101" s="130" t="s">
        <v>1658</v>
      </c>
      <c r="S101" s="109" t="str">
        <f t="shared" si="7"/>
        <v>2026Q4|NFR-03-K2</v>
      </c>
      <c r="T101" s="129" t="s">
        <v>753</v>
      </c>
    </row>
    <row r="102" spans="1:20" ht="72.900000000000006" x14ac:dyDescent="0.4">
      <c r="A102" s="129" t="s">
        <v>1650</v>
      </c>
      <c r="B102" s="129" t="s">
        <v>1317</v>
      </c>
      <c r="C102" s="129" t="s">
        <v>572</v>
      </c>
      <c r="D102" s="130" t="s">
        <v>1318</v>
      </c>
      <c r="E102" s="129" t="s">
        <v>1294</v>
      </c>
      <c r="F102" s="129" t="s">
        <v>1305</v>
      </c>
      <c r="G102" s="129" t="s">
        <v>1319</v>
      </c>
      <c r="H102" s="109">
        <v>1</v>
      </c>
      <c r="I102" s="109">
        <v>3</v>
      </c>
      <c r="J102" s="109">
        <v>2</v>
      </c>
      <c r="K102" s="123">
        <v>46387</v>
      </c>
      <c r="L102" s="129" t="s">
        <v>1319</v>
      </c>
      <c r="M102" s="130" t="s">
        <v>1659</v>
      </c>
      <c r="N102" s="109" t="str">
        <f t="shared" si="6"/>
        <v>Ambra</v>
      </c>
      <c r="O102" s="129" t="s">
        <v>558</v>
      </c>
      <c r="P102" s="129" t="s">
        <v>617</v>
      </c>
      <c r="Q102" s="129" t="s">
        <v>1650</v>
      </c>
      <c r="R102" s="130" t="s">
        <v>1660</v>
      </c>
      <c r="S102" s="109" t="str">
        <f t="shared" si="7"/>
        <v>2026Q4|NFR-04-K1</v>
      </c>
      <c r="T102" s="129" t="s">
        <v>753</v>
      </c>
    </row>
    <row r="103" spans="1:20" ht="72.900000000000006" x14ac:dyDescent="0.4">
      <c r="A103" s="129" t="s">
        <v>1650</v>
      </c>
      <c r="B103" s="129" t="s">
        <v>1321</v>
      </c>
      <c r="C103" s="129" t="s">
        <v>572</v>
      </c>
      <c r="D103" s="130" t="s">
        <v>1322</v>
      </c>
      <c r="E103" s="129" t="s">
        <v>821</v>
      </c>
      <c r="F103" s="129" t="s">
        <v>1323</v>
      </c>
      <c r="G103" s="129" t="s">
        <v>1324</v>
      </c>
      <c r="H103" s="109">
        <v>2</v>
      </c>
      <c r="I103" s="109">
        <v>5</v>
      </c>
      <c r="J103" s="109">
        <v>0</v>
      </c>
      <c r="K103" s="123">
        <v>46387</v>
      </c>
      <c r="L103" s="129" t="s">
        <v>1324</v>
      </c>
      <c r="M103" s="130" t="s">
        <v>1661</v>
      </c>
      <c r="N103" s="109" t="str">
        <f t="shared" si="6"/>
        <v>Verde</v>
      </c>
      <c r="O103" s="129" t="s">
        <v>558</v>
      </c>
      <c r="P103" s="129" t="s">
        <v>617</v>
      </c>
      <c r="Q103" s="129" t="s">
        <v>1650</v>
      </c>
      <c r="R103" s="130" t="s">
        <v>1662</v>
      </c>
      <c r="S103" s="109" t="str">
        <f t="shared" si="7"/>
        <v>2026Q4|NFR-04-K2</v>
      </c>
      <c r="T103" s="129" t="s">
        <v>753</v>
      </c>
    </row>
    <row r="104" spans="1:20" ht="58.3" x14ac:dyDescent="0.4">
      <c r="A104" s="129" t="s">
        <v>1650</v>
      </c>
      <c r="B104" s="129" t="s">
        <v>1326</v>
      </c>
      <c r="C104" s="129" t="s">
        <v>576</v>
      </c>
      <c r="D104" s="130" t="s">
        <v>1327</v>
      </c>
      <c r="E104" s="129" t="s">
        <v>821</v>
      </c>
      <c r="F104" s="129" t="s">
        <v>1305</v>
      </c>
      <c r="G104" s="129" t="s">
        <v>1328</v>
      </c>
      <c r="H104" s="109">
        <v>3</v>
      </c>
      <c r="I104" s="109">
        <v>6</v>
      </c>
      <c r="J104" s="109">
        <v>2</v>
      </c>
      <c r="K104" s="123">
        <v>46387</v>
      </c>
      <c r="L104" s="129" t="s">
        <v>1328</v>
      </c>
      <c r="M104" s="130" t="s">
        <v>1663</v>
      </c>
      <c r="N104" s="109" t="str">
        <f t="shared" si="6"/>
        <v>Verde</v>
      </c>
      <c r="O104" s="129" t="s">
        <v>558</v>
      </c>
      <c r="P104" s="129" t="s">
        <v>617</v>
      </c>
      <c r="Q104" s="129" t="s">
        <v>1650</v>
      </c>
      <c r="R104" s="130" t="s">
        <v>1664</v>
      </c>
      <c r="S104" s="109" t="str">
        <f t="shared" si="7"/>
        <v>2026Q4|NFR-05-K2</v>
      </c>
      <c r="T104" s="129" t="s">
        <v>753</v>
      </c>
    </row>
    <row r="105" spans="1:20" ht="72.900000000000006" x14ac:dyDescent="0.4">
      <c r="A105" s="129" t="s">
        <v>1650</v>
      </c>
      <c r="B105" s="129" t="s">
        <v>1330</v>
      </c>
      <c r="C105" s="129" t="s">
        <v>576</v>
      </c>
      <c r="D105" s="130" t="s">
        <v>1331</v>
      </c>
      <c r="E105" s="129" t="s">
        <v>1294</v>
      </c>
      <c r="F105" s="129" t="s">
        <v>1300</v>
      </c>
      <c r="G105" s="129" t="s">
        <v>1332</v>
      </c>
      <c r="H105" s="109">
        <v>30</v>
      </c>
      <c r="I105" s="109">
        <v>60</v>
      </c>
      <c r="J105" s="109">
        <v>12</v>
      </c>
      <c r="K105" s="123">
        <v>46387</v>
      </c>
      <c r="L105" s="129" t="s">
        <v>1332</v>
      </c>
      <c r="M105" s="130" t="s">
        <v>1524</v>
      </c>
      <c r="N105" s="109" t="str">
        <f t="shared" si="6"/>
        <v>Verde</v>
      </c>
      <c r="O105" s="129" t="s">
        <v>558</v>
      </c>
      <c r="P105" s="129" t="s">
        <v>617</v>
      </c>
      <c r="Q105" s="129" t="s">
        <v>1650</v>
      </c>
      <c r="R105" s="130" t="s">
        <v>1665</v>
      </c>
      <c r="S105" s="109" t="str">
        <f t="shared" si="7"/>
        <v>2026Q4|NFR-05-K3</v>
      </c>
      <c r="T105" s="129" t="s">
        <v>753</v>
      </c>
    </row>
    <row r="106" spans="1:20" ht="72.900000000000006" x14ac:dyDescent="0.4">
      <c r="A106" s="129" t="s">
        <v>1650</v>
      </c>
      <c r="B106" s="129" t="s">
        <v>1366</v>
      </c>
      <c r="C106" s="129" t="s">
        <v>581</v>
      </c>
      <c r="D106" s="130" t="s">
        <v>1367</v>
      </c>
      <c r="E106" s="129" t="s">
        <v>821</v>
      </c>
      <c r="F106" s="129" t="s">
        <v>1342</v>
      </c>
      <c r="G106" s="129" t="s">
        <v>1368</v>
      </c>
      <c r="H106" s="109">
        <v>10</v>
      </c>
      <c r="I106" s="109">
        <v>30</v>
      </c>
      <c r="J106" s="109">
        <v>5</v>
      </c>
      <c r="K106" s="123">
        <v>46387</v>
      </c>
      <c r="L106" s="129" t="s">
        <v>1368</v>
      </c>
      <c r="M106" s="130" t="s">
        <v>1666</v>
      </c>
      <c r="N106" s="109" t="str">
        <f t="shared" si="6"/>
        <v>Verde</v>
      </c>
      <c r="O106" s="129" t="s">
        <v>558</v>
      </c>
      <c r="P106" s="129" t="s">
        <v>614</v>
      </c>
      <c r="Q106" s="129" t="s">
        <v>1650</v>
      </c>
      <c r="R106" s="130" t="s">
        <v>1667</v>
      </c>
      <c r="S106" s="109" t="str">
        <f t="shared" si="7"/>
        <v>2026Q4|NFR-06-K1</v>
      </c>
      <c r="T106" s="129" t="s">
        <v>753</v>
      </c>
    </row>
    <row r="107" spans="1:20" ht="43.75" x14ac:dyDescent="0.4">
      <c r="A107" s="129" t="s">
        <v>1650</v>
      </c>
      <c r="B107" s="129" t="s">
        <v>1370</v>
      </c>
      <c r="C107" s="129" t="s">
        <v>581</v>
      </c>
      <c r="D107" s="130" t="s">
        <v>1371</v>
      </c>
      <c r="E107" s="129" t="s">
        <v>1294</v>
      </c>
      <c r="F107" s="129" t="s">
        <v>1300</v>
      </c>
      <c r="G107" s="129" t="s">
        <v>1372</v>
      </c>
      <c r="H107" s="109">
        <v>20</v>
      </c>
      <c r="I107" s="109">
        <v>40</v>
      </c>
      <c r="J107" s="109">
        <v>12</v>
      </c>
      <c r="K107" s="123">
        <v>46387</v>
      </c>
      <c r="L107" s="129" t="s">
        <v>1372</v>
      </c>
      <c r="M107" s="130" t="s">
        <v>1663</v>
      </c>
      <c r="N107" s="109" t="str">
        <f t="shared" si="6"/>
        <v>Verde</v>
      </c>
      <c r="O107" s="129" t="s">
        <v>558</v>
      </c>
      <c r="P107" s="129" t="s">
        <v>614</v>
      </c>
      <c r="Q107" s="129" t="s">
        <v>1650</v>
      </c>
      <c r="R107" s="130" t="s">
        <v>1668</v>
      </c>
      <c r="S107" s="109" t="str">
        <f t="shared" si="7"/>
        <v>2026Q4|NFR-06-K2</v>
      </c>
      <c r="T107" s="129" t="s">
        <v>753</v>
      </c>
    </row>
    <row r="108" spans="1:20" ht="58.3" x14ac:dyDescent="0.4">
      <c r="A108" s="129" t="s">
        <v>1650</v>
      </c>
      <c r="B108" s="129" t="s">
        <v>1334</v>
      </c>
      <c r="C108" s="129" t="s">
        <v>587</v>
      </c>
      <c r="D108" s="130" t="s">
        <v>1335</v>
      </c>
      <c r="E108" s="129" t="s">
        <v>1294</v>
      </c>
      <c r="F108" s="129" t="s">
        <v>1305</v>
      </c>
      <c r="G108" s="129" t="s">
        <v>1301</v>
      </c>
      <c r="H108" s="109">
        <v>1</v>
      </c>
      <c r="I108" s="109">
        <v>2</v>
      </c>
      <c r="J108" s="109">
        <v>1</v>
      </c>
      <c r="K108" s="123">
        <v>46387</v>
      </c>
      <c r="L108" s="129" t="s">
        <v>1301</v>
      </c>
      <c r="M108" s="130" t="s">
        <v>1530</v>
      </c>
      <c r="N108" s="109" t="str">
        <f t="shared" si="6"/>
        <v>Ambra</v>
      </c>
      <c r="O108" s="129" t="s">
        <v>558</v>
      </c>
      <c r="P108" s="129" t="s">
        <v>617</v>
      </c>
      <c r="Q108" s="129" t="s">
        <v>1650</v>
      </c>
      <c r="R108" s="130" t="s">
        <v>1669</v>
      </c>
      <c r="S108" s="109" t="str">
        <f t="shared" si="7"/>
        <v>2026Q4|NFR-07-K1</v>
      </c>
      <c r="T108" s="129" t="s">
        <v>753</v>
      </c>
    </row>
    <row r="109" spans="1:20" ht="58.3" x14ac:dyDescent="0.4">
      <c r="A109" s="129" t="s">
        <v>1650</v>
      </c>
      <c r="B109" s="129" t="s">
        <v>1337</v>
      </c>
      <c r="C109" s="129" t="s">
        <v>587</v>
      </c>
      <c r="D109" s="130" t="s">
        <v>1338</v>
      </c>
      <c r="E109" s="129" t="s">
        <v>821</v>
      </c>
      <c r="F109" s="129" t="s">
        <v>1295</v>
      </c>
      <c r="G109" s="129" t="s">
        <v>1306</v>
      </c>
      <c r="H109" s="109">
        <v>4</v>
      </c>
      <c r="I109" s="109">
        <v>12</v>
      </c>
      <c r="J109" s="109">
        <v>0.5</v>
      </c>
      <c r="K109" s="123">
        <v>46387</v>
      </c>
      <c r="L109" s="129" t="s">
        <v>1306</v>
      </c>
      <c r="M109" s="130" t="s">
        <v>1530</v>
      </c>
      <c r="N109" s="109" t="str">
        <f t="shared" si="6"/>
        <v>Verde</v>
      </c>
      <c r="O109" s="129" t="s">
        <v>558</v>
      </c>
      <c r="P109" s="129" t="s">
        <v>617</v>
      </c>
      <c r="Q109" s="129" t="s">
        <v>1650</v>
      </c>
      <c r="R109" s="130" t="s">
        <v>1670</v>
      </c>
      <c r="S109" s="109" t="str">
        <f t="shared" si="7"/>
        <v>2026Q4|NFR-07-K2</v>
      </c>
      <c r="T109" s="129" t="s">
        <v>753</v>
      </c>
    </row>
    <row r="110" spans="1:20" ht="58.3" x14ac:dyDescent="0.4">
      <c r="A110" s="129" t="s">
        <v>1650</v>
      </c>
      <c r="B110" s="129" t="s">
        <v>1340</v>
      </c>
      <c r="C110" s="129" t="s">
        <v>591</v>
      </c>
      <c r="D110" s="130" t="s">
        <v>1341</v>
      </c>
      <c r="E110" s="129" t="s">
        <v>821</v>
      </c>
      <c r="F110" s="129" t="s">
        <v>1342</v>
      </c>
      <c r="G110" s="129" t="s">
        <v>1343</v>
      </c>
      <c r="H110" s="109">
        <v>20</v>
      </c>
      <c r="I110" s="109">
        <v>50</v>
      </c>
      <c r="J110" s="109">
        <v>19</v>
      </c>
      <c r="K110" s="123">
        <v>46387</v>
      </c>
      <c r="L110" s="129" t="s">
        <v>1343</v>
      </c>
      <c r="M110" s="130" t="s">
        <v>1530</v>
      </c>
      <c r="N110" s="109" t="str">
        <f t="shared" si="6"/>
        <v>Verde</v>
      </c>
      <c r="O110" s="129" t="s">
        <v>558</v>
      </c>
      <c r="P110" s="129" t="s">
        <v>617</v>
      </c>
      <c r="Q110" s="129" t="s">
        <v>1650</v>
      </c>
      <c r="R110" s="130" t="s">
        <v>1671</v>
      </c>
      <c r="S110" s="109" t="str">
        <f t="shared" si="7"/>
        <v>2026Q4|NFR-08-K1</v>
      </c>
      <c r="T110" s="129" t="s">
        <v>753</v>
      </c>
    </row>
    <row r="111" spans="1:20" ht="43.75" x14ac:dyDescent="0.4">
      <c r="A111" s="129" t="s">
        <v>1650</v>
      </c>
      <c r="B111" s="129" t="s">
        <v>1345</v>
      </c>
      <c r="C111" s="129" t="s">
        <v>591</v>
      </c>
      <c r="D111" s="130" t="s">
        <v>1346</v>
      </c>
      <c r="E111" s="129" t="s">
        <v>1294</v>
      </c>
      <c r="F111" s="129" t="s">
        <v>1300</v>
      </c>
      <c r="G111" s="129" t="s">
        <v>1347</v>
      </c>
      <c r="H111" s="109">
        <v>5</v>
      </c>
      <c r="I111" s="109">
        <v>15</v>
      </c>
      <c r="J111" s="109">
        <v>4</v>
      </c>
      <c r="K111" s="123">
        <v>46387</v>
      </c>
      <c r="L111" s="129" t="s">
        <v>1347</v>
      </c>
      <c r="M111" s="130" t="s">
        <v>1530</v>
      </c>
      <c r="N111" s="109" t="str">
        <f t="shared" si="6"/>
        <v>Verde</v>
      </c>
      <c r="O111" s="129" t="s">
        <v>558</v>
      </c>
      <c r="P111" s="129" t="s">
        <v>617</v>
      </c>
      <c r="Q111" s="129" t="s">
        <v>1650</v>
      </c>
      <c r="R111" s="130" t="s">
        <v>1672</v>
      </c>
      <c r="S111" s="109" t="str">
        <f t="shared" si="7"/>
        <v>2026Q4|NFR-08-K2</v>
      </c>
      <c r="T111" s="129" t="s">
        <v>753</v>
      </c>
    </row>
    <row r="112" spans="1:20" ht="58.3" x14ac:dyDescent="0.4">
      <c r="A112" s="129" t="s">
        <v>1650</v>
      </c>
      <c r="B112" s="129" t="s">
        <v>1374</v>
      </c>
      <c r="C112" s="129" t="s">
        <v>595</v>
      </c>
      <c r="D112" s="130" t="s">
        <v>1375</v>
      </c>
      <c r="E112" s="129" t="s">
        <v>821</v>
      </c>
      <c r="F112" s="129" t="s">
        <v>824</v>
      </c>
      <c r="G112" s="129" t="s">
        <v>1376</v>
      </c>
      <c r="H112" s="109">
        <v>2</v>
      </c>
      <c r="I112" s="109">
        <v>5</v>
      </c>
      <c r="J112" s="109">
        <v>4</v>
      </c>
      <c r="K112" s="123">
        <v>46387</v>
      </c>
      <c r="L112" s="129" t="s">
        <v>1376</v>
      </c>
      <c r="M112" s="130" t="s">
        <v>1530</v>
      </c>
      <c r="N112" s="109" t="str">
        <f t="shared" si="6"/>
        <v>Ambra</v>
      </c>
      <c r="O112" s="129" t="s">
        <v>558</v>
      </c>
      <c r="P112" s="129" t="s">
        <v>614</v>
      </c>
      <c r="Q112" s="129" t="s">
        <v>1650</v>
      </c>
      <c r="R112" s="130" t="s">
        <v>1673</v>
      </c>
      <c r="S112" s="109" t="str">
        <f t="shared" si="7"/>
        <v>2026Q4|NFR-09-K1</v>
      </c>
      <c r="T112" s="129" t="s">
        <v>753</v>
      </c>
    </row>
    <row r="113" spans="1:20" ht="58.3" x14ac:dyDescent="0.4">
      <c r="A113" s="129" t="s">
        <v>1650</v>
      </c>
      <c r="B113" s="129" t="s">
        <v>1378</v>
      </c>
      <c r="C113" s="129" t="s">
        <v>595</v>
      </c>
      <c r="D113" s="130" t="s">
        <v>1379</v>
      </c>
      <c r="E113" s="129" t="s">
        <v>1294</v>
      </c>
      <c r="F113" s="129" t="s">
        <v>1300</v>
      </c>
      <c r="G113" s="129" t="s">
        <v>1380</v>
      </c>
      <c r="H113" s="109">
        <v>5</v>
      </c>
      <c r="I113" s="109">
        <v>15</v>
      </c>
      <c r="J113" s="109">
        <v>8</v>
      </c>
      <c r="K113" s="123">
        <v>46387</v>
      </c>
      <c r="L113" s="129" t="s">
        <v>1380</v>
      </c>
      <c r="M113" s="130" t="s">
        <v>1530</v>
      </c>
      <c r="N113" s="109" t="str">
        <f t="shared" si="6"/>
        <v>Ambra</v>
      </c>
      <c r="O113" s="129" t="s">
        <v>558</v>
      </c>
      <c r="P113" s="129" t="s">
        <v>614</v>
      </c>
      <c r="Q113" s="129" t="s">
        <v>1650</v>
      </c>
      <c r="R113" s="130" t="s">
        <v>1674</v>
      </c>
      <c r="S113" s="109" t="str">
        <f t="shared" si="7"/>
        <v>2026Q4|NFR-09-K2</v>
      </c>
      <c r="T113" s="129" t="s">
        <v>753</v>
      </c>
    </row>
    <row r="114" spans="1:20" ht="43.75" x14ac:dyDescent="0.4">
      <c r="A114" s="129" t="s">
        <v>1650</v>
      </c>
      <c r="B114" s="129" t="s">
        <v>1382</v>
      </c>
      <c r="C114" s="129" t="s">
        <v>598</v>
      </c>
      <c r="D114" s="130" t="s">
        <v>1383</v>
      </c>
      <c r="E114" s="129" t="s">
        <v>821</v>
      </c>
      <c r="F114" s="129" t="s">
        <v>1310</v>
      </c>
      <c r="G114" s="129" t="s">
        <v>1384</v>
      </c>
      <c r="H114" s="109">
        <v>2</v>
      </c>
      <c r="I114" s="109">
        <v>5</v>
      </c>
      <c r="J114" s="109">
        <v>2.2999999999999998</v>
      </c>
      <c r="K114" s="123">
        <v>46387</v>
      </c>
      <c r="L114" s="129" t="s">
        <v>1384</v>
      </c>
      <c r="M114" s="130" t="s">
        <v>1530</v>
      </c>
      <c r="N114" s="109" t="str">
        <f t="shared" si="6"/>
        <v>Ambra</v>
      </c>
      <c r="O114" s="129" t="s">
        <v>558</v>
      </c>
      <c r="P114" s="129" t="s">
        <v>614</v>
      </c>
      <c r="Q114" s="129" t="s">
        <v>1650</v>
      </c>
      <c r="R114" s="130" t="s">
        <v>1675</v>
      </c>
      <c r="S114" s="109" t="str">
        <f t="shared" si="7"/>
        <v>2026Q4|NFR-10-K1</v>
      </c>
      <c r="T114" s="129" t="s">
        <v>753</v>
      </c>
    </row>
    <row r="115" spans="1:20" ht="43.75" x14ac:dyDescent="0.4">
      <c r="A115" s="129" t="s">
        <v>1650</v>
      </c>
      <c r="B115" s="129" t="s">
        <v>1386</v>
      </c>
      <c r="C115" s="129" t="s">
        <v>598</v>
      </c>
      <c r="D115" s="130" t="s">
        <v>1387</v>
      </c>
      <c r="E115" s="129" t="s">
        <v>1294</v>
      </c>
      <c r="F115" s="129" t="s">
        <v>1300</v>
      </c>
      <c r="G115" s="129" t="s">
        <v>1388</v>
      </c>
      <c r="H115" s="109">
        <v>20</v>
      </c>
      <c r="I115" s="109">
        <v>50</v>
      </c>
      <c r="J115" s="109">
        <v>40</v>
      </c>
      <c r="K115" s="123">
        <v>46387</v>
      </c>
      <c r="L115" s="129" t="s">
        <v>1388</v>
      </c>
      <c r="M115" s="130" t="s">
        <v>1530</v>
      </c>
      <c r="N115" s="109" t="str">
        <f t="shared" si="6"/>
        <v>Ambra</v>
      </c>
      <c r="O115" s="129" t="s">
        <v>558</v>
      </c>
      <c r="P115" s="129" t="s">
        <v>614</v>
      </c>
      <c r="Q115" s="129" t="s">
        <v>1650</v>
      </c>
      <c r="R115" s="130" t="s">
        <v>1676</v>
      </c>
      <c r="S115" s="109" t="str">
        <f t="shared" si="7"/>
        <v>2026Q4|NFR-10-K3</v>
      </c>
      <c r="T115" s="129" t="s">
        <v>753</v>
      </c>
    </row>
    <row r="116" spans="1:20" ht="58.3" x14ac:dyDescent="0.4">
      <c r="A116" s="129" t="s">
        <v>1650</v>
      </c>
      <c r="B116" s="129" t="s">
        <v>1349</v>
      </c>
      <c r="C116" s="129" t="s">
        <v>604</v>
      </c>
      <c r="D116" s="130" t="s">
        <v>1350</v>
      </c>
      <c r="E116" s="129" t="s">
        <v>1294</v>
      </c>
      <c r="F116" s="129" t="s">
        <v>1305</v>
      </c>
      <c r="G116" s="129" t="s">
        <v>1351</v>
      </c>
      <c r="H116" s="109">
        <v>3</v>
      </c>
      <c r="I116" s="109">
        <v>8</v>
      </c>
      <c r="J116" s="109">
        <v>6</v>
      </c>
      <c r="K116" s="123">
        <v>46387</v>
      </c>
      <c r="L116" s="129" t="s">
        <v>1351</v>
      </c>
      <c r="M116" s="130" t="s">
        <v>1530</v>
      </c>
      <c r="N116" s="109" t="str">
        <f t="shared" si="6"/>
        <v>Ambra</v>
      </c>
      <c r="O116" s="129" t="s">
        <v>558</v>
      </c>
      <c r="P116" s="129" t="s">
        <v>617</v>
      </c>
      <c r="Q116" s="129" t="s">
        <v>1650</v>
      </c>
      <c r="R116" s="130" t="s">
        <v>1677</v>
      </c>
      <c r="S116" s="109" t="str">
        <f t="shared" si="7"/>
        <v>2026Q4|NFR-11-K1</v>
      </c>
      <c r="T116" s="129" t="s">
        <v>753</v>
      </c>
    </row>
    <row r="117" spans="1:20" ht="58.3" x14ac:dyDescent="0.4">
      <c r="A117" s="129" t="s">
        <v>1650</v>
      </c>
      <c r="B117" s="129" t="s">
        <v>1353</v>
      </c>
      <c r="C117" s="129" t="s">
        <v>604</v>
      </c>
      <c r="D117" s="130" t="s">
        <v>1354</v>
      </c>
      <c r="E117" s="129" t="s">
        <v>821</v>
      </c>
      <c r="F117" s="129" t="s">
        <v>1305</v>
      </c>
      <c r="G117" s="129" t="s">
        <v>1355</v>
      </c>
      <c r="H117" s="109">
        <v>2</v>
      </c>
      <c r="I117" s="109">
        <v>6</v>
      </c>
      <c r="J117" s="109">
        <v>6</v>
      </c>
      <c r="K117" s="123">
        <v>46387</v>
      </c>
      <c r="L117" s="129" t="s">
        <v>1355</v>
      </c>
      <c r="M117" s="130" t="s">
        <v>1530</v>
      </c>
      <c r="N117" s="109" t="str">
        <f t="shared" si="6"/>
        <v>Rosso</v>
      </c>
      <c r="O117" s="129" t="s">
        <v>558</v>
      </c>
      <c r="P117" s="129" t="s">
        <v>617</v>
      </c>
      <c r="Q117" s="129" t="s">
        <v>1650</v>
      </c>
      <c r="R117" s="130" t="s">
        <v>1678</v>
      </c>
      <c r="S117" s="109" t="str">
        <f t="shared" si="7"/>
        <v>2026Q4|NFR-11-K2</v>
      </c>
      <c r="T117" s="129" t="s">
        <v>753</v>
      </c>
    </row>
    <row r="118" spans="1:20" ht="58.3" x14ac:dyDescent="0.4">
      <c r="A118" s="129" t="s">
        <v>1650</v>
      </c>
      <c r="B118" s="129" t="s">
        <v>1357</v>
      </c>
      <c r="C118" s="129" t="s">
        <v>611</v>
      </c>
      <c r="D118" s="130" t="s">
        <v>1358</v>
      </c>
      <c r="E118" s="129" t="s">
        <v>821</v>
      </c>
      <c r="F118" s="129" t="s">
        <v>1305</v>
      </c>
      <c r="G118" s="129" t="s">
        <v>1359</v>
      </c>
      <c r="H118" s="109">
        <v>10</v>
      </c>
      <c r="I118" s="109">
        <v>30</v>
      </c>
      <c r="J118" s="109">
        <v>9</v>
      </c>
      <c r="K118" s="123">
        <v>46387</v>
      </c>
      <c r="L118" s="129" t="s">
        <v>1359</v>
      </c>
      <c r="M118" s="130" t="s">
        <v>1530</v>
      </c>
      <c r="N118" s="109" t="str">
        <f t="shared" si="6"/>
        <v>Verde</v>
      </c>
      <c r="O118" s="129" t="s">
        <v>558</v>
      </c>
      <c r="P118" s="129" t="s">
        <v>617</v>
      </c>
      <c r="Q118" s="129" t="s">
        <v>1650</v>
      </c>
      <c r="R118" s="130" t="s">
        <v>1679</v>
      </c>
      <c r="S118" s="109" t="str">
        <f t="shared" si="7"/>
        <v>2026Q4|NFR-12-K1</v>
      </c>
      <c r="T118" s="129" t="s">
        <v>753</v>
      </c>
    </row>
    <row r="119" spans="1:20" ht="43.75" x14ac:dyDescent="0.4">
      <c r="A119" s="129" t="s">
        <v>1650</v>
      </c>
      <c r="B119" s="129" t="s">
        <v>1361</v>
      </c>
      <c r="C119" s="129" t="s">
        <v>611</v>
      </c>
      <c r="D119" s="130" t="s">
        <v>1362</v>
      </c>
      <c r="E119" s="129" t="s">
        <v>1294</v>
      </c>
      <c r="F119" s="129" t="s">
        <v>1295</v>
      </c>
      <c r="G119" s="129" t="s">
        <v>1363</v>
      </c>
      <c r="H119" s="109">
        <v>4</v>
      </c>
      <c r="I119" s="109">
        <v>12</v>
      </c>
      <c r="J119" s="109">
        <v>4</v>
      </c>
      <c r="K119" s="123">
        <v>46387</v>
      </c>
      <c r="L119" s="129" t="s">
        <v>1363</v>
      </c>
      <c r="M119" s="130" t="s">
        <v>1530</v>
      </c>
      <c r="N119" s="109" t="str">
        <f t="shared" si="6"/>
        <v>Ambra</v>
      </c>
      <c r="O119" s="129" t="s">
        <v>558</v>
      </c>
      <c r="P119" s="129" t="s">
        <v>617</v>
      </c>
      <c r="Q119" s="129" t="s">
        <v>1650</v>
      </c>
      <c r="R119" s="130" t="s">
        <v>1680</v>
      </c>
      <c r="S119" s="109" t="str">
        <f t="shared" si="7"/>
        <v>2026Q4|NFR-12-K3</v>
      </c>
      <c r="T119" s="129" t="s">
        <v>753</v>
      </c>
    </row>
    <row r="120" spans="1:20" ht="72.900000000000006" x14ac:dyDescent="0.4">
      <c r="A120" s="129" t="s">
        <v>1650</v>
      </c>
      <c r="B120" s="129" t="s">
        <v>1537</v>
      </c>
      <c r="C120" s="129" t="s">
        <v>560</v>
      </c>
      <c r="D120" s="130" t="s">
        <v>1538</v>
      </c>
      <c r="E120" s="129" t="s">
        <v>821</v>
      </c>
      <c r="F120" s="129" t="s">
        <v>1305</v>
      </c>
      <c r="G120" s="129" t="s">
        <v>1539</v>
      </c>
      <c r="H120" s="109">
        <v>1</v>
      </c>
      <c r="I120" s="109">
        <v>3</v>
      </c>
      <c r="J120" s="109">
        <v>0</v>
      </c>
      <c r="K120" s="123">
        <v>46387</v>
      </c>
      <c r="L120" s="129" t="s">
        <v>1512</v>
      </c>
      <c r="M120" s="130" t="s">
        <v>1681</v>
      </c>
      <c r="N120" s="109" t="str">
        <f t="shared" si="6"/>
        <v>Verde</v>
      </c>
      <c r="O120" s="129" t="s">
        <v>558</v>
      </c>
      <c r="P120" s="129" t="s">
        <v>1505</v>
      </c>
      <c r="Q120" s="129" t="s">
        <v>1650</v>
      </c>
      <c r="R120" s="130" t="s">
        <v>1682</v>
      </c>
      <c r="S120" s="109" t="str">
        <f t="shared" si="7"/>
        <v>2026Q4|NFR-02-K3</v>
      </c>
      <c r="T120" s="129" t="s">
        <v>753</v>
      </c>
    </row>
    <row r="121" spans="1:20" ht="43.75" x14ac:dyDescent="0.4">
      <c r="A121" s="129" t="s">
        <v>1650</v>
      </c>
      <c r="B121" s="129" t="s">
        <v>1683</v>
      </c>
      <c r="C121" s="129" t="s">
        <v>1567</v>
      </c>
      <c r="D121" s="130" t="s">
        <v>1684</v>
      </c>
      <c r="E121" s="129" t="s">
        <v>1294</v>
      </c>
      <c r="F121" s="129" t="s">
        <v>1305</v>
      </c>
      <c r="G121" s="129" t="s">
        <v>1685</v>
      </c>
      <c r="H121" s="109">
        <v>3</v>
      </c>
      <c r="I121" s="109">
        <v>6</v>
      </c>
      <c r="J121" s="109"/>
      <c r="K121" s="123"/>
      <c r="L121" s="129"/>
      <c r="M121" s="130"/>
      <c r="N121" s="109" t="str">
        <f t="shared" si="6"/>
        <v>Non rilevato</v>
      </c>
      <c r="O121" s="129" t="s">
        <v>558</v>
      </c>
      <c r="P121" s="129" t="s">
        <v>1650</v>
      </c>
      <c r="Q121" s="129" t="s">
        <v>1650</v>
      </c>
      <c r="R121" s="130" t="s">
        <v>1686</v>
      </c>
      <c r="S121" s="109" t="str">
        <f t="shared" si="7"/>
        <v>2026Q4|NFR-16-K1</v>
      </c>
      <c r="T121" s="129" t="s">
        <v>753</v>
      </c>
    </row>
    <row r="122" spans="1:20" ht="43.75" x14ac:dyDescent="0.4">
      <c r="A122" s="129" t="s">
        <v>1650</v>
      </c>
      <c r="B122" s="129" t="s">
        <v>1687</v>
      </c>
      <c r="C122" s="129" t="s">
        <v>1567</v>
      </c>
      <c r="D122" s="130" t="s">
        <v>1688</v>
      </c>
      <c r="E122" s="129" t="s">
        <v>821</v>
      </c>
      <c r="F122" s="129" t="s">
        <v>1300</v>
      </c>
      <c r="G122" s="129" t="s">
        <v>1689</v>
      </c>
      <c r="H122" s="109">
        <v>8</v>
      </c>
      <c r="I122" s="109">
        <v>12</v>
      </c>
      <c r="J122" s="109"/>
      <c r="K122" s="123"/>
      <c r="L122" s="129"/>
      <c r="M122" s="130"/>
      <c r="N122" s="109" t="str">
        <f t="shared" si="6"/>
        <v>Non rilevato</v>
      </c>
      <c r="O122" s="129" t="s">
        <v>558</v>
      </c>
      <c r="P122" s="129" t="s">
        <v>1650</v>
      </c>
      <c r="Q122" s="129" t="s">
        <v>1650</v>
      </c>
      <c r="R122" s="130" t="s">
        <v>1690</v>
      </c>
      <c r="S122" s="109" t="str">
        <f t="shared" si="7"/>
        <v>2026Q4|NFR-16-K2</v>
      </c>
      <c r="T122" s="129" t="s">
        <v>753</v>
      </c>
    </row>
  </sheetData>
  <mergeCells count="6">
    <mergeCell ref="Q3:R3"/>
    <mergeCell ref="A1:L1"/>
    <mergeCell ref="L3:M3"/>
    <mergeCell ref="C3:J3"/>
    <mergeCell ref="O3:P3"/>
    <mergeCell ref="A2:I2"/>
  </mergeCells>
  <conditionalFormatting sqref="N6:N20051">
    <cfRule type="expression" dxfId="7" priority="1">
      <formula>N6="Rosso"</formula>
    </cfRule>
    <cfRule type="expression" dxfId="6" priority="2">
      <formula>N6="Ambra"</formula>
    </cfRule>
    <cfRule type="expression" dxfId="5" priority="3">
      <formula>N6="Verde"</formula>
    </cfRule>
    <cfRule type="expression" dxfId="4" priority="4">
      <formula>N6="SOGLIE INVERTITE — correggere"</formula>
    </cfRule>
    <cfRule type="expression" dxfId="3" priority="5">
      <formula>N6="Soglie da definire"</formula>
    </cfRule>
  </conditionalFormatting>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sheetPr>
  <dimension ref="A1:S21"/>
  <sheetViews>
    <sheetView workbookViewId="0"/>
  </sheetViews>
  <sheetFormatPr defaultRowHeight="14.6" x14ac:dyDescent="0.4"/>
  <cols>
    <col min="1" max="3" width="15" customWidth="1"/>
    <col min="4" max="4" width="50" customWidth="1"/>
    <col min="5" max="17" width="15" customWidth="1"/>
    <col min="18" max="18" width="60" customWidth="1"/>
    <col min="19" max="19" width="15" customWidth="1"/>
  </cols>
  <sheetData>
    <row r="1" spans="1:19" ht="28" customHeight="1" x14ac:dyDescent="0.4">
      <c r="A1" s="161" t="str">
        <f>"Horizon Scan NFR — NewsLog — notizie valutate ogni settimana   ·   "&amp;etichettaCiclo</f>
        <v>Horizon Scan NFR — NewsLog — notizie valutate ogni settimana   ·   Ciclo 2026Q4 · dati al 31/12/2026 · validato · Uso interno</v>
      </c>
      <c r="B1" s="162"/>
      <c r="C1" s="162"/>
      <c r="D1" s="162"/>
      <c r="E1" s="162"/>
      <c r="F1" s="162"/>
      <c r="G1" s="162"/>
      <c r="H1" s="162"/>
      <c r="I1" s="162"/>
      <c r="J1" s="162"/>
      <c r="K1" s="162"/>
      <c r="L1" s="162"/>
    </row>
    <row r="2" spans="1:19" ht="72.55" customHeight="1" x14ac:dyDescent="0.4">
      <c r="A2" s="197" t="s">
        <v>1390</v>
      </c>
      <c r="B2" s="142"/>
      <c r="C2" s="142"/>
      <c r="D2" s="142"/>
      <c r="E2" s="142"/>
      <c r="F2" s="142"/>
      <c r="G2" s="142"/>
      <c r="H2" s="142"/>
      <c r="I2" s="142"/>
    </row>
    <row r="3" spans="1:19" x14ac:dyDescent="0.4">
      <c r="A3" s="126" t="s">
        <v>1391</v>
      </c>
      <c r="B3" s="119" t="s">
        <v>1092</v>
      </c>
      <c r="C3" s="217" t="s">
        <v>1391</v>
      </c>
      <c r="D3" s="142"/>
      <c r="E3" s="142"/>
      <c r="F3" s="142"/>
      <c r="G3" s="142"/>
      <c r="H3" s="142"/>
      <c r="I3" s="142"/>
      <c r="J3" s="142"/>
      <c r="K3" s="142"/>
      <c r="L3" s="142"/>
      <c r="M3" s="142"/>
      <c r="N3" s="142"/>
      <c r="O3" s="142"/>
      <c r="P3" s="142"/>
      <c r="Q3" s="142"/>
      <c r="R3" s="142"/>
      <c r="S3" s="120" t="s">
        <v>1094</v>
      </c>
    </row>
    <row r="4" spans="1:19" ht="58" customHeight="1" x14ac:dyDescent="0.4">
      <c r="A4" s="121" t="s">
        <v>1392</v>
      </c>
      <c r="B4" s="121" t="s">
        <v>1393</v>
      </c>
      <c r="C4" s="121" t="s">
        <v>1394</v>
      </c>
      <c r="D4" s="121" t="s">
        <v>1395</v>
      </c>
      <c r="E4" s="121" t="s">
        <v>1396</v>
      </c>
      <c r="F4" s="121" t="s">
        <v>1397</v>
      </c>
      <c r="G4" s="121" t="s">
        <v>1398</v>
      </c>
      <c r="H4" s="121" t="s">
        <v>1399</v>
      </c>
      <c r="I4" s="121" t="s">
        <v>1400</v>
      </c>
      <c r="J4" s="121" t="s">
        <v>1401</v>
      </c>
      <c r="K4" s="121" t="s">
        <v>1402</v>
      </c>
      <c r="L4" s="121" t="s">
        <v>1403</v>
      </c>
      <c r="M4" s="121" t="s">
        <v>1404</v>
      </c>
      <c r="N4" s="121" t="s">
        <v>1405</v>
      </c>
      <c r="O4" s="121" t="s">
        <v>1406</v>
      </c>
      <c r="P4" s="121" t="s">
        <v>1407</v>
      </c>
      <c r="Q4" s="121" t="s">
        <v>1408</v>
      </c>
      <c r="R4" s="121" t="s">
        <v>1409</v>
      </c>
      <c r="S4" s="121" t="s">
        <v>1230</v>
      </c>
    </row>
    <row r="5" spans="1:19" x14ac:dyDescent="0.4">
      <c r="A5" s="127" t="s">
        <v>861</v>
      </c>
      <c r="B5" s="62" t="s">
        <v>483</v>
      </c>
      <c r="C5" s="127" t="s">
        <v>868</v>
      </c>
      <c r="D5" s="127" t="s">
        <v>541</v>
      </c>
      <c r="E5" s="127" t="s">
        <v>378</v>
      </c>
      <c r="F5" s="127" t="s">
        <v>875</v>
      </c>
      <c r="G5" s="127" t="s">
        <v>878</v>
      </c>
      <c r="H5" s="127" t="s">
        <v>544</v>
      </c>
      <c r="I5" s="127" t="s">
        <v>884</v>
      </c>
      <c r="J5" s="127" t="s">
        <v>887</v>
      </c>
      <c r="K5" s="127" t="s">
        <v>890</v>
      </c>
      <c r="L5" s="127" t="s">
        <v>892</v>
      </c>
      <c r="M5" s="127" t="s">
        <v>894</v>
      </c>
      <c r="N5" s="127" t="s">
        <v>896</v>
      </c>
      <c r="O5" s="127" t="s">
        <v>898</v>
      </c>
      <c r="P5" s="127" t="s">
        <v>900</v>
      </c>
      <c r="Q5" s="127" t="s">
        <v>902</v>
      </c>
      <c r="R5" s="127" t="s">
        <v>904</v>
      </c>
      <c r="S5" s="60" t="s">
        <v>9</v>
      </c>
    </row>
    <row r="6" spans="1:19" ht="29.15" x14ac:dyDescent="0.4">
      <c r="A6" s="123">
        <v>46162</v>
      </c>
      <c r="B6" s="123">
        <f t="shared" ref="B6:B15" si="0">A6-WEEKDAY(A6,2)+1</f>
        <v>46160</v>
      </c>
      <c r="C6" s="109" t="s">
        <v>1410</v>
      </c>
      <c r="D6" s="125" t="s">
        <v>1411</v>
      </c>
      <c r="E6" s="109" t="s">
        <v>1412</v>
      </c>
      <c r="F6" s="109" t="s">
        <v>1413</v>
      </c>
      <c r="G6" s="109" t="s">
        <v>560</v>
      </c>
      <c r="H6" s="109" t="s">
        <v>883</v>
      </c>
      <c r="I6" s="109">
        <v>0</v>
      </c>
      <c r="J6" s="109">
        <v>0</v>
      </c>
      <c r="K6" s="109">
        <v>0</v>
      </c>
      <c r="L6" s="109">
        <v>0</v>
      </c>
      <c r="M6" s="109">
        <v>0</v>
      </c>
      <c r="N6" s="109">
        <v>0</v>
      </c>
      <c r="O6" s="109">
        <v>2</v>
      </c>
      <c r="P6" s="109">
        <v>0</v>
      </c>
      <c r="Q6" s="109">
        <v>0</v>
      </c>
      <c r="R6" s="125" t="s">
        <v>1414</v>
      </c>
      <c r="S6" s="109" t="s">
        <v>753</v>
      </c>
    </row>
    <row r="7" spans="1:19" ht="29.15" x14ac:dyDescent="0.4">
      <c r="A7" s="123">
        <v>46182</v>
      </c>
      <c r="B7" s="123">
        <f t="shared" si="0"/>
        <v>46181</v>
      </c>
      <c r="C7" s="109" t="s">
        <v>870</v>
      </c>
      <c r="D7" s="125" t="s">
        <v>1415</v>
      </c>
      <c r="E7" s="109" t="s">
        <v>874</v>
      </c>
      <c r="F7" s="109" t="s">
        <v>877</v>
      </c>
      <c r="G7" s="109" t="s">
        <v>554</v>
      </c>
      <c r="H7" s="109" t="s">
        <v>883</v>
      </c>
      <c r="I7" s="109">
        <v>1</v>
      </c>
      <c r="J7" s="109">
        <v>0</v>
      </c>
      <c r="K7" s="109">
        <v>0</v>
      </c>
      <c r="L7" s="109">
        <v>0</v>
      </c>
      <c r="M7" s="109">
        <v>3</v>
      </c>
      <c r="N7" s="109">
        <v>0</v>
      </c>
      <c r="O7" s="109">
        <v>0</v>
      </c>
      <c r="P7" s="109">
        <v>0</v>
      </c>
      <c r="Q7" s="109">
        <v>0</v>
      </c>
      <c r="R7" s="125" t="s">
        <v>1416</v>
      </c>
      <c r="S7" s="109" t="s">
        <v>753</v>
      </c>
    </row>
    <row r="8" spans="1:19" ht="29.15" x14ac:dyDescent="0.4">
      <c r="A8" s="123">
        <v>46183</v>
      </c>
      <c r="B8" s="123">
        <f t="shared" si="0"/>
        <v>46181</v>
      </c>
      <c r="C8" s="109" t="s">
        <v>1417</v>
      </c>
      <c r="D8" s="125" t="s">
        <v>1418</v>
      </c>
      <c r="E8" s="109" t="s">
        <v>1419</v>
      </c>
      <c r="F8" s="109" t="s">
        <v>1420</v>
      </c>
      <c r="G8" s="109" t="s">
        <v>576</v>
      </c>
      <c r="H8" s="109" t="s">
        <v>1421</v>
      </c>
      <c r="I8" s="109">
        <v>0</v>
      </c>
      <c r="J8" s="109">
        <v>0</v>
      </c>
      <c r="K8" s="109">
        <v>0</v>
      </c>
      <c r="L8" s="109">
        <v>0</v>
      </c>
      <c r="M8" s="109">
        <v>0</v>
      </c>
      <c r="N8" s="109">
        <v>0</v>
      </c>
      <c r="O8" s="109">
        <v>0</v>
      </c>
      <c r="P8" s="109">
        <v>0</v>
      </c>
      <c r="Q8" s="109">
        <v>2</v>
      </c>
      <c r="R8" s="125" t="s">
        <v>1422</v>
      </c>
      <c r="S8" s="109" t="s">
        <v>753</v>
      </c>
    </row>
    <row r="9" spans="1:19" ht="29.15" x14ac:dyDescent="0.4">
      <c r="A9" s="123">
        <v>46184</v>
      </c>
      <c r="B9" s="123">
        <f t="shared" si="0"/>
        <v>46181</v>
      </c>
      <c r="C9" s="109" t="s">
        <v>1423</v>
      </c>
      <c r="D9" s="125" t="s">
        <v>1424</v>
      </c>
      <c r="E9" s="109" t="s">
        <v>1425</v>
      </c>
      <c r="F9" s="109" t="s">
        <v>1420</v>
      </c>
      <c r="G9" s="109" t="s">
        <v>560</v>
      </c>
      <c r="H9" s="109" t="s">
        <v>1421</v>
      </c>
      <c r="I9" s="109">
        <v>0</v>
      </c>
      <c r="J9" s="109">
        <v>0</v>
      </c>
      <c r="K9" s="109">
        <v>0</v>
      </c>
      <c r="L9" s="109">
        <v>0</v>
      </c>
      <c r="M9" s="109">
        <v>0</v>
      </c>
      <c r="N9" s="109">
        <v>0</v>
      </c>
      <c r="O9" s="109">
        <v>1</v>
      </c>
      <c r="P9" s="109">
        <v>0</v>
      </c>
      <c r="Q9" s="109">
        <v>0</v>
      </c>
      <c r="R9" s="125" t="s">
        <v>1426</v>
      </c>
      <c r="S9" s="109" t="s">
        <v>753</v>
      </c>
    </row>
    <row r="10" spans="1:19" ht="29.15" x14ac:dyDescent="0.4">
      <c r="A10" s="123">
        <v>46189</v>
      </c>
      <c r="B10" s="123">
        <f t="shared" si="0"/>
        <v>46188</v>
      </c>
      <c r="C10" s="109" t="s">
        <v>1427</v>
      </c>
      <c r="D10" s="125" t="s">
        <v>1428</v>
      </c>
      <c r="E10" s="109" t="s">
        <v>1429</v>
      </c>
      <c r="F10" s="109" t="s">
        <v>1430</v>
      </c>
      <c r="G10" s="109" t="s">
        <v>554</v>
      </c>
      <c r="H10" s="109" t="s">
        <v>883</v>
      </c>
      <c r="I10" s="109">
        <v>0</v>
      </c>
      <c r="J10" s="109">
        <v>0</v>
      </c>
      <c r="K10" s="109">
        <v>0</v>
      </c>
      <c r="L10" s="109">
        <v>0</v>
      </c>
      <c r="M10" s="109">
        <v>2</v>
      </c>
      <c r="N10" s="109">
        <v>0</v>
      </c>
      <c r="O10" s="109">
        <v>0</v>
      </c>
      <c r="P10" s="109">
        <v>0</v>
      </c>
      <c r="Q10" s="109">
        <v>0</v>
      </c>
      <c r="R10" s="125" t="s">
        <v>1431</v>
      </c>
      <c r="S10" s="109" t="s">
        <v>753</v>
      </c>
    </row>
    <row r="11" spans="1:19" x14ac:dyDescent="0.4">
      <c r="A11" s="123">
        <v>46190</v>
      </c>
      <c r="B11" s="123">
        <f t="shared" si="0"/>
        <v>46188</v>
      </c>
      <c r="C11" s="109" t="s">
        <v>1432</v>
      </c>
      <c r="D11" s="125" t="s">
        <v>1433</v>
      </c>
      <c r="E11" s="109" t="s">
        <v>1434</v>
      </c>
      <c r="F11" s="109" t="s">
        <v>1435</v>
      </c>
      <c r="G11" s="109" t="s">
        <v>576</v>
      </c>
      <c r="H11" s="109" t="s">
        <v>1421</v>
      </c>
      <c r="I11" s="109">
        <v>0</v>
      </c>
      <c r="J11" s="109">
        <v>0</v>
      </c>
      <c r="K11" s="109">
        <v>0</v>
      </c>
      <c r="L11" s="109">
        <v>0</v>
      </c>
      <c r="M11" s="109">
        <v>0</v>
      </c>
      <c r="N11" s="109">
        <v>0</v>
      </c>
      <c r="O11" s="109">
        <v>0</v>
      </c>
      <c r="P11" s="109">
        <v>0</v>
      </c>
      <c r="Q11" s="109">
        <v>1</v>
      </c>
      <c r="R11" s="125" t="s">
        <v>1436</v>
      </c>
      <c r="S11" s="109" t="s">
        <v>753</v>
      </c>
    </row>
    <row r="12" spans="1:19" ht="29.15" x14ac:dyDescent="0.4">
      <c r="A12" s="123">
        <v>46191</v>
      </c>
      <c r="B12" s="123">
        <f t="shared" si="0"/>
        <v>46188</v>
      </c>
      <c r="C12" s="109" t="s">
        <v>1437</v>
      </c>
      <c r="D12" s="125" t="s">
        <v>1438</v>
      </c>
      <c r="E12" s="109" t="s">
        <v>1439</v>
      </c>
      <c r="F12" s="109" t="s">
        <v>1440</v>
      </c>
      <c r="G12" s="109" t="s">
        <v>572</v>
      </c>
      <c r="H12" s="109" t="s">
        <v>1441</v>
      </c>
      <c r="I12" s="109">
        <v>0</v>
      </c>
      <c r="J12" s="109">
        <v>0</v>
      </c>
      <c r="K12" s="109">
        <v>0</v>
      </c>
      <c r="L12" s="109">
        <v>0</v>
      </c>
      <c r="M12" s="109">
        <v>0</v>
      </c>
      <c r="N12" s="109">
        <v>1</v>
      </c>
      <c r="O12" s="109">
        <v>0</v>
      </c>
      <c r="P12" s="109">
        <v>0</v>
      </c>
      <c r="Q12" s="109">
        <v>0</v>
      </c>
      <c r="R12" s="125" t="s">
        <v>1442</v>
      </c>
      <c r="S12" s="109" t="s">
        <v>753</v>
      </c>
    </row>
    <row r="13" spans="1:19" ht="29.15" x14ac:dyDescent="0.4">
      <c r="A13" s="123">
        <v>46196</v>
      </c>
      <c r="B13" s="123">
        <f t="shared" si="0"/>
        <v>46195</v>
      </c>
      <c r="C13" s="109" t="s">
        <v>1443</v>
      </c>
      <c r="D13" s="125" t="s">
        <v>1444</v>
      </c>
      <c r="E13" s="109" t="s">
        <v>1425</v>
      </c>
      <c r="F13" s="109" t="s">
        <v>1420</v>
      </c>
      <c r="G13" s="109" t="s">
        <v>560</v>
      </c>
      <c r="H13" s="109" t="s">
        <v>883</v>
      </c>
      <c r="I13" s="109">
        <v>0</v>
      </c>
      <c r="J13" s="109">
        <v>0</v>
      </c>
      <c r="K13" s="109">
        <v>0</v>
      </c>
      <c r="L13" s="109">
        <v>0</v>
      </c>
      <c r="M13" s="109">
        <v>0</v>
      </c>
      <c r="N13" s="109">
        <v>0</v>
      </c>
      <c r="O13" s="109">
        <v>1</v>
      </c>
      <c r="P13" s="109">
        <v>0</v>
      </c>
      <c r="Q13" s="109">
        <v>0</v>
      </c>
      <c r="R13" s="125" t="s">
        <v>1445</v>
      </c>
      <c r="S13" s="109" t="s">
        <v>753</v>
      </c>
    </row>
    <row r="14" spans="1:19" ht="29.15" x14ac:dyDescent="0.4">
      <c r="A14" s="123">
        <v>46197</v>
      </c>
      <c r="B14" s="123">
        <f t="shared" si="0"/>
        <v>46195</v>
      </c>
      <c r="C14" s="109" t="s">
        <v>1446</v>
      </c>
      <c r="D14" s="125" t="s">
        <v>1447</v>
      </c>
      <c r="E14" s="109" t="s">
        <v>1448</v>
      </c>
      <c r="F14" s="109" t="s">
        <v>1449</v>
      </c>
      <c r="G14" s="109" t="s">
        <v>554</v>
      </c>
      <c r="H14" s="109" t="s">
        <v>883</v>
      </c>
      <c r="I14" s="109">
        <v>2</v>
      </c>
      <c r="J14" s="109">
        <v>0</v>
      </c>
      <c r="K14" s="109">
        <v>0</v>
      </c>
      <c r="L14" s="109">
        <v>0</v>
      </c>
      <c r="M14" s="109">
        <v>2</v>
      </c>
      <c r="N14" s="109">
        <v>0</v>
      </c>
      <c r="O14" s="109">
        <v>0</v>
      </c>
      <c r="P14" s="109">
        <v>0</v>
      </c>
      <c r="Q14" s="109">
        <v>0</v>
      </c>
      <c r="R14" s="125" t="s">
        <v>1450</v>
      </c>
      <c r="S14" s="109" t="s">
        <v>753</v>
      </c>
    </row>
    <row r="15" spans="1:19" ht="29.15" x14ac:dyDescent="0.4">
      <c r="A15" s="123">
        <v>46198</v>
      </c>
      <c r="B15" s="123">
        <f t="shared" si="0"/>
        <v>46195</v>
      </c>
      <c r="C15" s="109" t="s">
        <v>1451</v>
      </c>
      <c r="D15" s="125" t="s">
        <v>1452</v>
      </c>
      <c r="E15" s="109" t="s">
        <v>1453</v>
      </c>
      <c r="F15" s="109" t="s">
        <v>1420</v>
      </c>
      <c r="G15" s="109" t="s">
        <v>576</v>
      </c>
      <c r="H15" s="109" t="s">
        <v>1421</v>
      </c>
      <c r="I15" s="109">
        <v>0</v>
      </c>
      <c r="J15" s="109">
        <v>0</v>
      </c>
      <c r="K15" s="109">
        <v>0</v>
      </c>
      <c r="L15" s="109">
        <v>0</v>
      </c>
      <c r="M15" s="109">
        <v>0</v>
      </c>
      <c r="N15" s="109">
        <v>0</v>
      </c>
      <c r="O15" s="109">
        <v>0</v>
      </c>
      <c r="P15" s="109">
        <v>0</v>
      </c>
      <c r="Q15" s="109">
        <v>2</v>
      </c>
      <c r="R15" s="125" t="s">
        <v>1454</v>
      </c>
      <c r="S15" s="109" t="s">
        <v>753</v>
      </c>
    </row>
    <row r="16" spans="1:19" ht="29.15" x14ac:dyDescent="0.4">
      <c r="A16" s="123">
        <v>46301</v>
      </c>
      <c r="B16" s="123">
        <f>A16-WEEKDAY(A16,2)+1</f>
        <v>46300</v>
      </c>
      <c r="C16" s="129" t="s">
        <v>1630</v>
      </c>
      <c r="D16" s="130" t="s">
        <v>1631</v>
      </c>
      <c r="E16" s="129" t="s">
        <v>1412</v>
      </c>
      <c r="F16" s="129" t="s">
        <v>1413</v>
      </c>
      <c r="G16" s="129" t="s">
        <v>1567</v>
      </c>
      <c r="H16" s="129" t="s">
        <v>883</v>
      </c>
      <c r="I16" s="109">
        <v>0</v>
      </c>
      <c r="J16" s="109">
        <v>0</v>
      </c>
      <c r="K16" s="109">
        <v>0</v>
      </c>
      <c r="L16" s="109">
        <v>0</v>
      </c>
      <c r="M16" s="109">
        <v>0</v>
      </c>
      <c r="N16" s="109">
        <v>0</v>
      </c>
      <c r="O16" s="109">
        <v>1</v>
      </c>
      <c r="P16" s="109">
        <v>2</v>
      </c>
      <c r="Q16" s="109">
        <v>1</v>
      </c>
      <c r="R16" s="130" t="s">
        <v>1632</v>
      </c>
      <c r="S16" s="129" t="s">
        <v>753</v>
      </c>
    </row>
    <row r="17" spans="1:19" ht="29.15" x14ac:dyDescent="0.4">
      <c r="A17" s="123">
        <v>46302</v>
      </c>
      <c r="B17" s="123">
        <f>A17-WEEKDAY(A17,2)+1</f>
        <v>46300</v>
      </c>
      <c r="C17" s="129" t="s">
        <v>1633</v>
      </c>
      <c r="D17" s="130" t="s">
        <v>1634</v>
      </c>
      <c r="E17" s="129" t="s">
        <v>1429</v>
      </c>
      <c r="F17" s="129" t="s">
        <v>1430</v>
      </c>
      <c r="G17" s="129" t="s">
        <v>554</v>
      </c>
      <c r="H17" s="129" t="s">
        <v>883</v>
      </c>
      <c r="I17" s="109">
        <v>1</v>
      </c>
      <c r="J17" s="109">
        <v>0</v>
      </c>
      <c r="K17" s="109">
        <v>0</v>
      </c>
      <c r="L17" s="109">
        <v>0</v>
      </c>
      <c r="M17" s="109">
        <v>3</v>
      </c>
      <c r="N17" s="109">
        <v>0</v>
      </c>
      <c r="O17" s="109">
        <v>0</v>
      </c>
      <c r="P17" s="109">
        <v>0</v>
      </c>
      <c r="Q17" s="109">
        <v>0</v>
      </c>
      <c r="R17" s="130" t="s">
        <v>1635</v>
      </c>
      <c r="S17" s="129" t="s">
        <v>753</v>
      </c>
    </row>
    <row r="18" spans="1:19" ht="29.15" x14ac:dyDescent="0.4">
      <c r="A18" s="123">
        <v>46303</v>
      </c>
      <c r="B18" s="123">
        <f>A18-WEEKDAY(A18,2)+1</f>
        <v>46300</v>
      </c>
      <c r="C18" s="129" t="s">
        <v>1636</v>
      </c>
      <c r="D18" s="130" t="s">
        <v>1637</v>
      </c>
      <c r="E18" s="129" t="s">
        <v>874</v>
      </c>
      <c r="F18" s="129" t="s">
        <v>877</v>
      </c>
      <c r="G18" s="129" t="s">
        <v>554</v>
      </c>
      <c r="H18" s="129" t="s">
        <v>883</v>
      </c>
      <c r="I18" s="109">
        <v>0</v>
      </c>
      <c r="J18" s="109">
        <v>0</v>
      </c>
      <c r="K18" s="109">
        <v>0</v>
      </c>
      <c r="L18" s="109">
        <v>0</v>
      </c>
      <c r="M18" s="109">
        <v>2</v>
      </c>
      <c r="N18" s="109">
        <v>0</v>
      </c>
      <c r="O18" s="109">
        <v>0</v>
      </c>
      <c r="P18" s="109">
        <v>0</v>
      </c>
      <c r="Q18" s="109">
        <v>0</v>
      </c>
      <c r="R18" s="130" t="s">
        <v>1638</v>
      </c>
      <c r="S18" s="129" t="s">
        <v>753</v>
      </c>
    </row>
    <row r="19" spans="1:19" ht="29.15" x14ac:dyDescent="0.4">
      <c r="A19" s="123">
        <v>46303</v>
      </c>
      <c r="B19" s="123">
        <f>A19-WEEKDAY(A19,2)+1</f>
        <v>46300</v>
      </c>
      <c r="C19" s="129" t="s">
        <v>1639</v>
      </c>
      <c r="D19" s="130" t="s">
        <v>1640</v>
      </c>
      <c r="E19" s="129" t="s">
        <v>1425</v>
      </c>
      <c r="F19" s="129" t="s">
        <v>1420</v>
      </c>
      <c r="G19" s="129" t="s">
        <v>560</v>
      </c>
      <c r="H19" s="129" t="s">
        <v>1421</v>
      </c>
      <c r="I19" s="109">
        <v>0</v>
      </c>
      <c r="J19" s="109">
        <v>0</v>
      </c>
      <c r="K19" s="109">
        <v>0</v>
      </c>
      <c r="L19" s="109">
        <v>0</v>
      </c>
      <c r="M19" s="109">
        <v>0</v>
      </c>
      <c r="N19" s="109">
        <v>0</v>
      </c>
      <c r="O19" s="109">
        <v>1</v>
      </c>
      <c r="P19" s="109">
        <v>0</v>
      </c>
      <c r="Q19" s="109">
        <v>0</v>
      </c>
      <c r="R19" s="130" t="s">
        <v>1641</v>
      </c>
      <c r="S19" s="129" t="s">
        <v>966</v>
      </c>
    </row>
    <row r="20" spans="1:19" ht="29.15" x14ac:dyDescent="0.4">
      <c r="A20" s="123">
        <v>46304</v>
      </c>
      <c r="B20" s="123">
        <f>A20-WEEKDAY(A20,2)+1</f>
        <v>46300</v>
      </c>
      <c r="C20" s="129" t="s">
        <v>1642</v>
      </c>
      <c r="D20" s="130" t="s">
        <v>1643</v>
      </c>
      <c r="E20" s="129" t="s">
        <v>1448</v>
      </c>
      <c r="F20" s="129" t="s">
        <v>1449</v>
      </c>
      <c r="G20" s="129" t="s">
        <v>554</v>
      </c>
      <c r="H20" s="129" t="s">
        <v>883</v>
      </c>
      <c r="I20" s="109">
        <v>2</v>
      </c>
      <c r="J20" s="109">
        <v>0</v>
      </c>
      <c r="K20" s="109">
        <v>0</v>
      </c>
      <c r="L20" s="109">
        <v>0</v>
      </c>
      <c r="M20" s="109">
        <v>2</v>
      </c>
      <c r="N20" s="109">
        <v>0</v>
      </c>
      <c r="O20" s="109">
        <v>0</v>
      </c>
      <c r="P20" s="109">
        <v>0</v>
      </c>
      <c r="Q20" s="109">
        <v>0</v>
      </c>
      <c r="R20" s="130" t="s">
        <v>1644</v>
      </c>
      <c r="S20" s="129" t="s">
        <v>753</v>
      </c>
    </row>
    <row r="21" spans="1:19" ht="43.75" x14ac:dyDescent="0.4">
      <c r="A21" s="123">
        <v>46339</v>
      </c>
      <c r="B21" s="123">
        <f>A21-WEEKDAY(A21,2)+1</f>
        <v>46335</v>
      </c>
      <c r="C21" s="129" t="s">
        <v>1768</v>
      </c>
      <c r="D21" s="130" t="s">
        <v>1769</v>
      </c>
      <c r="E21" s="129" t="s">
        <v>1429</v>
      </c>
      <c r="F21" s="129" t="s">
        <v>1430</v>
      </c>
      <c r="G21" s="129" t="s">
        <v>554</v>
      </c>
      <c r="H21" s="129" t="s">
        <v>883</v>
      </c>
      <c r="I21" s="109">
        <v>1</v>
      </c>
      <c r="J21" s="109">
        <v>0</v>
      </c>
      <c r="K21" s="109">
        <v>0</v>
      </c>
      <c r="L21" s="109">
        <v>0</v>
      </c>
      <c r="M21" s="109">
        <v>3</v>
      </c>
      <c r="N21" s="109">
        <v>0</v>
      </c>
      <c r="O21" s="109">
        <v>0</v>
      </c>
      <c r="P21" s="109">
        <v>0</v>
      </c>
      <c r="Q21" s="109">
        <v>0</v>
      </c>
      <c r="R21" s="130" t="s">
        <v>1770</v>
      </c>
      <c r="S21" s="129" t="s">
        <v>1771</v>
      </c>
    </row>
  </sheetData>
  <mergeCells count="3">
    <mergeCell ref="A2:I2"/>
    <mergeCell ref="A1:L1"/>
    <mergeCell ref="C3:R3"/>
  </mergeCells>
  <dataValidations count="1">
    <dataValidation type="list" allowBlank="1" sqref="H6:H20006" xr:uid="{00000000-0002-0000-1400-000000000000}">
      <formula1>"Peggiorativo,Migliorativo,Neutro,Non rilevante"</formula1>
    </dataValidation>
  </dataValidation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A6A6A6"/>
  </sheetPr>
  <dimension ref="A1:J10"/>
  <sheetViews>
    <sheetView workbookViewId="0"/>
  </sheetViews>
  <sheetFormatPr defaultRowHeight="14.6" x14ac:dyDescent="0.4"/>
  <cols>
    <col min="1" max="2" width="15" customWidth="1"/>
    <col min="3" max="3" width="80" customWidth="1"/>
    <col min="4" max="4" width="60" customWidth="1"/>
    <col min="5" max="5" width="15" customWidth="1"/>
    <col min="6" max="7" width="50" customWidth="1"/>
    <col min="8" max="8" width="60" customWidth="1"/>
    <col min="9" max="9" width="15" customWidth="1"/>
    <col min="10" max="10" width="60" customWidth="1"/>
  </cols>
  <sheetData>
    <row r="1" spans="1:10" ht="28" customHeight="1" x14ac:dyDescent="0.4">
      <c r="A1" s="161" t="str">
        <f>"Horizon Scan NFR — Sintesi_Cicli — commento di A1 e sintesi di A5, una riga per ciclo   ·   "&amp;etichettaCiclo</f>
        <v>Horizon Scan NFR — Sintesi_Cicli — commento di A1 e sintesi di A5, una riga per ciclo   ·   Ciclo 2026Q4 · dati al 31/12/2026 · validato · Uso interno</v>
      </c>
      <c r="B1" s="162"/>
      <c r="C1" s="162"/>
      <c r="D1" s="162"/>
      <c r="E1" s="162"/>
      <c r="F1" s="162"/>
      <c r="G1" s="162"/>
      <c r="H1" s="162"/>
      <c r="I1" s="162"/>
      <c r="J1" s="162"/>
    </row>
    <row r="2" spans="1:10" ht="72.55" customHeight="1" x14ac:dyDescent="0.4">
      <c r="A2" s="173" t="s">
        <v>1455</v>
      </c>
      <c r="B2" s="142"/>
      <c r="C2" s="142"/>
      <c r="D2" s="142"/>
    </row>
    <row r="3" spans="1:10" x14ac:dyDescent="0.4">
      <c r="A3" s="214" t="s">
        <v>1091</v>
      </c>
      <c r="B3" s="142"/>
      <c r="C3" s="142"/>
      <c r="D3" s="118" t="s">
        <v>1456</v>
      </c>
      <c r="E3" s="215" t="s">
        <v>1093</v>
      </c>
      <c r="F3" s="142"/>
      <c r="G3" s="142"/>
      <c r="H3" s="142"/>
      <c r="I3" s="142"/>
      <c r="J3" s="142"/>
    </row>
    <row r="4" spans="1:10" ht="47.05" customHeight="1" x14ac:dyDescent="0.4">
      <c r="A4" s="121" t="s">
        <v>1457</v>
      </c>
      <c r="B4" s="121" t="s">
        <v>1458</v>
      </c>
      <c r="C4" s="121" t="s">
        <v>1459</v>
      </c>
      <c r="D4" s="121" t="s">
        <v>1460</v>
      </c>
      <c r="E4" s="121" t="s">
        <v>1461</v>
      </c>
      <c r="F4" s="121" t="s">
        <v>1462</v>
      </c>
      <c r="G4" s="121" t="s">
        <v>1463</v>
      </c>
      <c r="H4" s="121" t="s">
        <v>1464</v>
      </c>
      <c r="I4" s="121" t="s">
        <v>1115</v>
      </c>
      <c r="J4" s="121" t="s">
        <v>1465</v>
      </c>
    </row>
    <row r="5" spans="1:10" x14ac:dyDescent="0.4">
      <c r="A5" s="122" t="s">
        <v>451</v>
      </c>
      <c r="B5" s="122" t="s">
        <v>683</v>
      </c>
      <c r="C5" s="122" t="s">
        <v>910</v>
      </c>
      <c r="D5" s="122" t="s">
        <v>914</v>
      </c>
      <c r="E5" s="62" t="s">
        <v>918</v>
      </c>
      <c r="F5" s="62" t="s">
        <v>921</v>
      </c>
      <c r="G5" s="62" t="s">
        <v>924</v>
      </c>
      <c r="H5" s="62" t="s">
        <v>927</v>
      </c>
      <c r="I5" s="62" t="s">
        <v>742</v>
      </c>
      <c r="J5" s="62" t="s">
        <v>929</v>
      </c>
    </row>
    <row r="6" spans="1:10" ht="72.900000000000006" x14ac:dyDescent="0.4">
      <c r="A6" s="125" t="s">
        <v>617</v>
      </c>
      <c r="B6" s="128">
        <v>46022</v>
      </c>
      <c r="C6" s="125" t="s">
        <v>1466</v>
      </c>
      <c r="D6" s="125" t="s">
        <v>1467</v>
      </c>
      <c r="E6" s="125">
        <v>2</v>
      </c>
      <c r="F6" s="125"/>
      <c r="G6" s="125"/>
      <c r="H6" s="125"/>
      <c r="I6" s="128">
        <v>46022</v>
      </c>
      <c r="J6" s="125"/>
    </row>
    <row r="7" spans="1:10" ht="58.3" x14ac:dyDescent="0.4">
      <c r="A7" s="125" t="s">
        <v>614</v>
      </c>
      <c r="B7" s="128">
        <v>46112</v>
      </c>
      <c r="C7" s="125" t="s">
        <v>1468</v>
      </c>
      <c r="D7" s="125" t="s">
        <v>1469</v>
      </c>
      <c r="E7" s="125">
        <v>1</v>
      </c>
      <c r="F7" s="125"/>
      <c r="G7" s="125"/>
      <c r="H7" s="125"/>
      <c r="I7" s="128">
        <v>46112</v>
      </c>
      <c r="J7" s="125"/>
    </row>
    <row r="8" spans="1:10" ht="87.45" x14ac:dyDescent="0.4">
      <c r="A8" s="125" t="s">
        <v>608</v>
      </c>
      <c r="B8" s="128">
        <v>46203</v>
      </c>
      <c r="C8" s="125" t="s">
        <v>1470</v>
      </c>
      <c r="D8" s="125" t="s">
        <v>1471</v>
      </c>
      <c r="E8" s="125">
        <v>1</v>
      </c>
      <c r="F8" s="125"/>
      <c r="G8" s="125" t="s">
        <v>1472</v>
      </c>
      <c r="H8" s="125"/>
      <c r="I8" s="128">
        <v>46203</v>
      </c>
      <c r="J8" s="125"/>
    </row>
    <row r="9" spans="1:10" ht="131.15" x14ac:dyDescent="0.4">
      <c r="A9" s="130" t="s">
        <v>1505</v>
      </c>
      <c r="B9" s="128">
        <v>46295</v>
      </c>
      <c r="C9" s="130" t="s">
        <v>1622</v>
      </c>
      <c r="D9" s="130" t="s">
        <v>1623</v>
      </c>
      <c r="E9" s="125">
        <v>2</v>
      </c>
      <c r="F9" s="125"/>
      <c r="G9" s="125"/>
      <c r="H9" s="125"/>
      <c r="I9" s="128">
        <v>46303</v>
      </c>
      <c r="J9" s="125"/>
    </row>
    <row r="10" spans="1:10" ht="87.45" x14ac:dyDescent="0.4">
      <c r="A10" s="130" t="s">
        <v>1650</v>
      </c>
      <c r="B10" s="128">
        <v>46387</v>
      </c>
      <c r="C10" s="130" t="s">
        <v>1758</v>
      </c>
      <c r="D10" s="130" t="s">
        <v>1759</v>
      </c>
      <c r="E10" s="125">
        <v>0</v>
      </c>
      <c r="F10" s="125"/>
      <c r="G10" s="125"/>
      <c r="H10" s="125"/>
      <c r="I10" s="128">
        <v>46303</v>
      </c>
      <c r="J10" s="125"/>
    </row>
  </sheetData>
  <mergeCells count="4">
    <mergeCell ref="A1:J1"/>
    <mergeCell ref="A3:C3"/>
    <mergeCell ref="E3:J3"/>
    <mergeCell ref="A2:D2"/>
  </mergeCell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A6A6A6"/>
  </sheetPr>
  <dimension ref="A1:F10"/>
  <sheetViews>
    <sheetView workbookViewId="0"/>
  </sheetViews>
  <sheetFormatPr defaultRowHeight="14.6" x14ac:dyDescent="0.4"/>
  <cols>
    <col min="1" max="2" width="15" customWidth="1"/>
    <col min="3" max="3" width="80" customWidth="1"/>
    <col min="4" max="4" width="50" customWidth="1"/>
    <col min="5" max="5" width="70" customWidth="1"/>
    <col min="6" max="6" width="15" customWidth="1"/>
  </cols>
  <sheetData>
    <row r="1" spans="1:6" ht="28" customHeight="1" x14ac:dyDescent="0.4">
      <c r="A1" s="161" t="str">
        <f>"Horizon Scan NFR — Sintesi_Settimane — sintesi di A3 e flag proposti, una riga per settimana   ·   "&amp;etichettaCiclo</f>
        <v>Horizon Scan NFR — Sintesi_Settimane — sintesi di A3 e flag proposti, una riga per settimana   ·   Ciclo 2026Q4 · dati al 31/12/2026 · validato · Uso interno</v>
      </c>
      <c r="B1" s="162"/>
      <c r="C1" s="162"/>
      <c r="D1" s="162"/>
      <c r="E1" s="162"/>
      <c r="F1" s="162"/>
    </row>
    <row r="2" spans="1:6" ht="72.55" customHeight="1" x14ac:dyDescent="0.4">
      <c r="A2" s="197" t="s">
        <v>1473</v>
      </c>
      <c r="B2" s="142"/>
      <c r="C2" s="142"/>
      <c r="D2" s="142"/>
      <c r="E2" s="142"/>
    </row>
    <row r="3" spans="1:6" x14ac:dyDescent="0.4">
      <c r="A3" s="126" t="s">
        <v>1391</v>
      </c>
      <c r="B3" s="119" t="s">
        <v>1093</v>
      </c>
      <c r="C3" s="126" t="s">
        <v>1391</v>
      </c>
      <c r="D3" s="215" t="s">
        <v>1093</v>
      </c>
      <c r="E3" s="142"/>
      <c r="F3" s="142"/>
    </row>
    <row r="4" spans="1:6" ht="36" customHeight="1" x14ac:dyDescent="0.4">
      <c r="A4" s="121" t="s">
        <v>1474</v>
      </c>
      <c r="B4" s="121" t="s">
        <v>1475</v>
      </c>
      <c r="C4" s="121" t="s">
        <v>1476</v>
      </c>
      <c r="D4" s="121" t="s">
        <v>1477</v>
      </c>
      <c r="E4" s="121" t="s">
        <v>1478</v>
      </c>
      <c r="F4" s="121" t="s">
        <v>1115</v>
      </c>
    </row>
    <row r="5" spans="1:6" x14ac:dyDescent="0.4">
      <c r="A5" s="127" t="s">
        <v>483</v>
      </c>
      <c r="B5" s="62" t="s">
        <v>95</v>
      </c>
      <c r="C5" s="127" t="s">
        <v>935</v>
      </c>
      <c r="D5" s="62" t="s">
        <v>938</v>
      </c>
      <c r="E5" s="62" t="s">
        <v>940</v>
      </c>
      <c r="F5" s="62" t="s">
        <v>742</v>
      </c>
    </row>
    <row r="6" spans="1:6" ht="43.75" x14ac:dyDescent="0.4">
      <c r="A6" s="128">
        <v>46188</v>
      </c>
      <c r="B6" s="125">
        <v>3</v>
      </c>
      <c r="C6" s="125" t="s">
        <v>1479</v>
      </c>
      <c r="D6" s="125"/>
      <c r="E6" s="128" t="s">
        <v>1480</v>
      </c>
      <c r="F6" s="128">
        <v>46188</v>
      </c>
    </row>
    <row r="7" spans="1:6" ht="43.75" x14ac:dyDescent="0.4">
      <c r="A7" s="128">
        <v>46195</v>
      </c>
      <c r="B7" s="125">
        <v>3</v>
      </c>
      <c r="C7" s="125" t="s">
        <v>1481</v>
      </c>
      <c r="D7" s="125"/>
      <c r="E7" s="128" t="s">
        <v>1482</v>
      </c>
      <c r="F7" s="128">
        <v>46195</v>
      </c>
    </row>
    <row r="8" spans="1:6" ht="58.3" x14ac:dyDescent="0.4">
      <c r="A8" s="128">
        <v>46202</v>
      </c>
      <c r="B8" s="125">
        <v>3</v>
      </c>
      <c r="C8" s="125" t="s">
        <v>1483</v>
      </c>
      <c r="D8" s="125"/>
      <c r="E8" s="128" t="s">
        <v>1484</v>
      </c>
      <c r="F8" s="128">
        <v>46202</v>
      </c>
    </row>
    <row r="9" spans="1:6" ht="102" x14ac:dyDescent="0.4">
      <c r="A9" s="128">
        <v>46307</v>
      </c>
      <c r="B9" s="125">
        <v>5</v>
      </c>
      <c r="C9" s="130" t="s">
        <v>1645</v>
      </c>
      <c r="D9" s="130" t="s">
        <v>691</v>
      </c>
      <c r="E9" s="140" t="s">
        <v>1646</v>
      </c>
      <c r="F9" s="128">
        <v>46303</v>
      </c>
    </row>
    <row r="10" spans="1:6" ht="58.3" x14ac:dyDescent="0.4">
      <c r="A10" s="128">
        <v>46342</v>
      </c>
      <c r="B10" s="125">
        <v>1</v>
      </c>
      <c r="C10" s="130" t="s">
        <v>1772</v>
      </c>
      <c r="D10" s="130" t="s">
        <v>1773</v>
      </c>
      <c r="E10" s="140" t="s">
        <v>1482</v>
      </c>
      <c r="F10" s="128">
        <v>46303</v>
      </c>
    </row>
  </sheetData>
  <mergeCells count="3">
    <mergeCell ref="A2:E2"/>
    <mergeCell ref="D3:F3"/>
    <mergeCell ref="A1:F1"/>
  </mergeCells>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A6A6A6"/>
  </sheetPr>
  <dimension ref="A1:L616"/>
  <sheetViews>
    <sheetView workbookViewId="0"/>
  </sheetViews>
  <sheetFormatPr defaultRowHeight="14.6" x14ac:dyDescent="0.4"/>
  <cols>
    <col min="1" max="3" width="15" customWidth="1"/>
    <col min="4" max="4" width="44" customWidth="1"/>
    <col min="5" max="8" width="15" customWidth="1"/>
    <col min="9" max="9" width="50" customWidth="1"/>
    <col min="10" max="10" width="20" customWidth="1"/>
    <col min="11" max="12" width="15" customWidth="1"/>
  </cols>
  <sheetData>
    <row r="1" spans="1:12" ht="28" customHeight="1" x14ac:dyDescent="0.4">
      <c r="A1" s="161" t="str">
        <f>"Horizon Scan NFR — Storico_Validazioni — proposte degli agenti e decisioni, una riga per oggetto e campo   ·   "&amp;etichettaCiclo</f>
        <v>Horizon Scan NFR — Storico_Validazioni — proposte degli agenti e decisioni, una riga per oggetto e campo   ·   Ciclo 2026Q4 · dati al 31/12/2026 · validato · Uso interno</v>
      </c>
      <c r="B1" s="162"/>
      <c r="C1" s="162"/>
      <c r="D1" s="162"/>
      <c r="E1" s="162"/>
      <c r="F1" s="162"/>
      <c r="G1" s="162"/>
      <c r="H1" s="162"/>
      <c r="I1" s="162"/>
      <c r="J1" s="162"/>
      <c r="K1" s="162"/>
      <c r="L1" s="162"/>
    </row>
    <row r="2" spans="1:12" ht="72.55" customHeight="1" x14ac:dyDescent="0.4">
      <c r="A2" s="198" t="s">
        <v>1485</v>
      </c>
      <c r="B2" s="142"/>
      <c r="C2" s="142"/>
      <c r="D2" s="142"/>
      <c r="E2" s="142"/>
      <c r="F2" s="142"/>
      <c r="G2" s="142"/>
      <c r="H2" s="142"/>
      <c r="I2" s="142"/>
    </row>
    <row r="3" spans="1:12" x14ac:dyDescent="0.4">
      <c r="A3" s="215" t="s">
        <v>1093</v>
      </c>
      <c r="B3" s="142"/>
      <c r="C3" s="142"/>
      <c r="D3" s="142"/>
      <c r="E3" s="142"/>
      <c r="F3" s="142"/>
      <c r="G3" s="216" t="s">
        <v>1094</v>
      </c>
      <c r="H3" s="142"/>
      <c r="I3" s="142"/>
      <c r="J3" s="142"/>
      <c r="K3" s="142"/>
      <c r="L3" s="142"/>
    </row>
    <row r="4" spans="1:12" ht="168" customHeight="1" x14ac:dyDescent="0.4">
      <c r="A4" s="121" t="s">
        <v>1486</v>
      </c>
      <c r="B4" s="121" t="s">
        <v>1487</v>
      </c>
      <c r="C4" s="121" t="s">
        <v>1488</v>
      </c>
      <c r="D4" s="121" t="s">
        <v>1489</v>
      </c>
      <c r="E4" s="121" t="s">
        <v>1490</v>
      </c>
      <c r="F4" s="121" t="s">
        <v>1491</v>
      </c>
      <c r="G4" s="121" t="s">
        <v>1492</v>
      </c>
      <c r="H4" s="121" t="s">
        <v>1493</v>
      </c>
      <c r="I4" s="121" t="s">
        <v>1494</v>
      </c>
      <c r="J4" s="121" t="s">
        <v>1495</v>
      </c>
      <c r="K4" s="121" t="s">
        <v>1118</v>
      </c>
      <c r="L4" s="121" t="s">
        <v>1496</v>
      </c>
    </row>
    <row r="5" spans="1:12" x14ac:dyDescent="0.4">
      <c r="A5" s="62" t="s">
        <v>945</v>
      </c>
      <c r="B5" s="62" t="s">
        <v>948</v>
      </c>
      <c r="C5" s="62" t="s">
        <v>173</v>
      </c>
      <c r="D5" s="62" t="s">
        <v>174</v>
      </c>
      <c r="E5" s="62" t="s">
        <v>956</v>
      </c>
      <c r="F5" s="62" t="s">
        <v>959</v>
      </c>
      <c r="G5" s="60" t="s">
        <v>962</v>
      </c>
      <c r="H5" s="60" t="s">
        <v>967</v>
      </c>
      <c r="I5" s="60" t="s">
        <v>970</v>
      </c>
      <c r="J5" s="60" t="s">
        <v>974</v>
      </c>
      <c r="K5" s="60" t="s">
        <v>754</v>
      </c>
      <c r="L5" s="60" t="s">
        <v>444</v>
      </c>
    </row>
    <row r="6" spans="1:12" ht="29.15" x14ac:dyDescent="0.4">
      <c r="A6" s="109" t="s">
        <v>608</v>
      </c>
      <c r="B6" s="109" t="s">
        <v>18</v>
      </c>
      <c r="C6" s="109" t="s">
        <v>554</v>
      </c>
      <c r="D6" s="125" t="s">
        <v>555</v>
      </c>
      <c r="E6" s="109" t="s">
        <v>203</v>
      </c>
      <c r="F6" s="109">
        <v>4</v>
      </c>
      <c r="G6" s="109" t="s">
        <v>753</v>
      </c>
      <c r="H6" s="109">
        <v>4</v>
      </c>
      <c r="I6" s="125"/>
      <c r="J6" s="109" t="s">
        <v>749</v>
      </c>
      <c r="K6" s="123">
        <v>46218</v>
      </c>
      <c r="L6" s="109" t="s">
        <v>978</v>
      </c>
    </row>
    <row r="7" spans="1:12" ht="29.15" x14ac:dyDescent="0.4">
      <c r="A7" s="109" t="s">
        <v>608</v>
      </c>
      <c r="B7" s="109" t="s">
        <v>18</v>
      </c>
      <c r="C7" s="109" t="s">
        <v>554</v>
      </c>
      <c r="D7" s="125" t="s">
        <v>555</v>
      </c>
      <c r="E7" s="109" t="s">
        <v>300</v>
      </c>
      <c r="F7" s="109">
        <v>5</v>
      </c>
      <c r="G7" s="109" t="s">
        <v>753</v>
      </c>
      <c r="H7" s="109">
        <v>5</v>
      </c>
      <c r="I7" s="125"/>
      <c r="J7" s="109" t="s">
        <v>749</v>
      </c>
      <c r="K7" s="123">
        <v>46218</v>
      </c>
      <c r="L7" s="109" t="s">
        <v>978</v>
      </c>
    </row>
    <row r="8" spans="1:12" ht="29.15" x14ac:dyDescent="0.4">
      <c r="A8" s="109" t="s">
        <v>608</v>
      </c>
      <c r="B8" s="109" t="s">
        <v>18</v>
      </c>
      <c r="C8" s="109" t="s">
        <v>554</v>
      </c>
      <c r="D8" s="125" t="s">
        <v>555</v>
      </c>
      <c r="E8" s="109" t="s">
        <v>206</v>
      </c>
      <c r="F8" s="109">
        <v>4</v>
      </c>
      <c r="G8" s="109" t="s">
        <v>753</v>
      </c>
      <c r="H8" s="109">
        <v>4</v>
      </c>
      <c r="I8" s="125"/>
      <c r="J8" s="109" t="s">
        <v>749</v>
      </c>
      <c r="K8" s="123">
        <v>46218</v>
      </c>
      <c r="L8" s="109" t="s">
        <v>978</v>
      </c>
    </row>
    <row r="9" spans="1:12" ht="29.15" x14ac:dyDescent="0.4">
      <c r="A9" s="109" t="s">
        <v>608</v>
      </c>
      <c r="B9" s="109" t="s">
        <v>18</v>
      </c>
      <c r="C9" s="109" t="s">
        <v>554</v>
      </c>
      <c r="D9" s="125" t="s">
        <v>555</v>
      </c>
      <c r="E9" s="109" t="s">
        <v>204</v>
      </c>
      <c r="F9" s="109">
        <v>4</v>
      </c>
      <c r="G9" s="109" t="s">
        <v>753</v>
      </c>
      <c r="H9" s="109">
        <v>4</v>
      </c>
      <c r="I9" s="125"/>
      <c r="J9" s="109" t="s">
        <v>749</v>
      </c>
      <c r="K9" s="123">
        <v>46218</v>
      </c>
      <c r="L9" s="109" t="s">
        <v>978</v>
      </c>
    </row>
    <row r="10" spans="1:12" ht="29.15" x14ac:dyDescent="0.4">
      <c r="A10" s="109" t="s">
        <v>608</v>
      </c>
      <c r="B10" s="109" t="s">
        <v>18</v>
      </c>
      <c r="C10" s="109" t="s">
        <v>554</v>
      </c>
      <c r="D10" s="125" t="s">
        <v>555</v>
      </c>
      <c r="E10" s="109" t="s">
        <v>551</v>
      </c>
      <c r="F10" s="109"/>
      <c r="G10" s="109" t="s">
        <v>753</v>
      </c>
      <c r="H10" s="109"/>
      <c r="I10" s="125"/>
      <c r="J10" s="109" t="s">
        <v>749</v>
      </c>
      <c r="K10" s="123">
        <v>46218</v>
      </c>
      <c r="L10" s="109" t="s">
        <v>978</v>
      </c>
    </row>
    <row r="11" spans="1:12" ht="29.15" x14ac:dyDescent="0.4">
      <c r="A11" s="109" t="s">
        <v>608</v>
      </c>
      <c r="B11" s="109" t="s">
        <v>18</v>
      </c>
      <c r="C11" s="109" t="s">
        <v>554</v>
      </c>
      <c r="D11" s="125" t="s">
        <v>555</v>
      </c>
      <c r="E11" s="109" t="s">
        <v>772</v>
      </c>
      <c r="F11" s="109" t="s">
        <v>776</v>
      </c>
      <c r="G11" s="109" t="s">
        <v>753</v>
      </c>
      <c r="H11" s="109" t="s">
        <v>776</v>
      </c>
      <c r="I11" s="125"/>
      <c r="J11" s="109" t="s">
        <v>749</v>
      </c>
      <c r="K11" s="123">
        <v>46218</v>
      </c>
      <c r="L11" s="109" t="s">
        <v>978</v>
      </c>
    </row>
    <row r="12" spans="1:12" x14ac:dyDescent="0.4">
      <c r="A12" s="109" t="s">
        <v>608</v>
      </c>
      <c r="B12" s="109" t="s">
        <v>18</v>
      </c>
      <c r="C12" s="109" t="s">
        <v>560</v>
      </c>
      <c r="D12" s="125" t="s">
        <v>561</v>
      </c>
      <c r="E12" s="109" t="s">
        <v>203</v>
      </c>
      <c r="F12" s="109">
        <v>4</v>
      </c>
      <c r="G12" s="109" t="s">
        <v>753</v>
      </c>
      <c r="H12" s="109">
        <v>4</v>
      </c>
      <c r="I12" s="125"/>
      <c r="J12" s="109" t="s">
        <v>749</v>
      </c>
      <c r="K12" s="123">
        <v>46218</v>
      </c>
      <c r="L12" s="109" t="s">
        <v>978</v>
      </c>
    </row>
    <row r="13" spans="1:12" x14ac:dyDescent="0.4">
      <c r="A13" s="109" t="s">
        <v>608</v>
      </c>
      <c r="B13" s="109" t="s">
        <v>18</v>
      </c>
      <c r="C13" s="109" t="s">
        <v>560</v>
      </c>
      <c r="D13" s="125" t="s">
        <v>561</v>
      </c>
      <c r="E13" s="109" t="s">
        <v>300</v>
      </c>
      <c r="F13" s="109">
        <v>4</v>
      </c>
      <c r="G13" s="109" t="s">
        <v>753</v>
      </c>
      <c r="H13" s="109">
        <v>4</v>
      </c>
      <c r="I13" s="125"/>
      <c r="J13" s="109" t="s">
        <v>749</v>
      </c>
      <c r="K13" s="123">
        <v>46218</v>
      </c>
      <c r="L13" s="109" t="s">
        <v>978</v>
      </c>
    </row>
    <row r="14" spans="1:12" x14ac:dyDescent="0.4">
      <c r="A14" s="109" t="s">
        <v>608</v>
      </c>
      <c r="B14" s="109" t="s">
        <v>18</v>
      </c>
      <c r="C14" s="109" t="s">
        <v>560</v>
      </c>
      <c r="D14" s="125" t="s">
        <v>561</v>
      </c>
      <c r="E14" s="109" t="s">
        <v>206</v>
      </c>
      <c r="F14" s="109">
        <v>3</v>
      </c>
      <c r="G14" s="109" t="s">
        <v>753</v>
      </c>
      <c r="H14" s="109">
        <v>3</v>
      </c>
      <c r="I14" s="125"/>
      <c r="J14" s="109" t="s">
        <v>749</v>
      </c>
      <c r="K14" s="123">
        <v>46218</v>
      </c>
      <c r="L14" s="109" t="s">
        <v>978</v>
      </c>
    </row>
    <row r="15" spans="1:12" x14ac:dyDescent="0.4">
      <c r="A15" s="109" t="s">
        <v>608</v>
      </c>
      <c r="B15" s="109" t="s">
        <v>18</v>
      </c>
      <c r="C15" s="109" t="s">
        <v>560</v>
      </c>
      <c r="D15" s="125" t="s">
        <v>561</v>
      </c>
      <c r="E15" s="109" t="s">
        <v>204</v>
      </c>
      <c r="F15" s="109">
        <v>2</v>
      </c>
      <c r="G15" s="109" t="s">
        <v>753</v>
      </c>
      <c r="H15" s="109">
        <v>2</v>
      </c>
      <c r="I15" s="125"/>
      <c r="J15" s="109" t="s">
        <v>749</v>
      </c>
      <c r="K15" s="123">
        <v>46218</v>
      </c>
      <c r="L15" s="109" t="s">
        <v>978</v>
      </c>
    </row>
    <row r="16" spans="1:12" x14ac:dyDescent="0.4">
      <c r="A16" s="109" t="s">
        <v>608</v>
      </c>
      <c r="B16" s="109" t="s">
        <v>18</v>
      </c>
      <c r="C16" s="109" t="s">
        <v>560</v>
      </c>
      <c r="D16" s="125" t="s">
        <v>561</v>
      </c>
      <c r="E16" s="109" t="s">
        <v>551</v>
      </c>
      <c r="F16" s="109"/>
      <c r="G16" s="109" t="s">
        <v>753</v>
      </c>
      <c r="H16" s="109"/>
      <c r="I16" s="125"/>
      <c r="J16" s="109" t="s">
        <v>749</v>
      </c>
      <c r="K16" s="123">
        <v>46218</v>
      </c>
      <c r="L16" s="109" t="s">
        <v>978</v>
      </c>
    </row>
    <row r="17" spans="1:12" x14ac:dyDescent="0.4">
      <c r="A17" s="109" t="s">
        <v>608</v>
      </c>
      <c r="B17" s="109" t="s">
        <v>18</v>
      </c>
      <c r="C17" s="109" t="s">
        <v>560</v>
      </c>
      <c r="D17" s="125" t="s">
        <v>561</v>
      </c>
      <c r="E17" s="109" t="s">
        <v>772</v>
      </c>
      <c r="F17" s="109" t="s">
        <v>776</v>
      </c>
      <c r="G17" s="109" t="s">
        <v>753</v>
      </c>
      <c r="H17" s="109" t="s">
        <v>776</v>
      </c>
      <c r="I17" s="125"/>
      <c r="J17" s="109" t="s">
        <v>749</v>
      </c>
      <c r="K17" s="123">
        <v>46218</v>
      </c>
      <c r="L17" s="109" t="s">
        <v>978</v>
      </c>
    </row>
    <row r="18" spans="1:12" ht="29.15" x14ac:dyDescent="0.4">
      <c r="A18" s="109" t="s">
        <v>608</v>
      </c>
      <c r="B18" s="109" t="s">
        <v>18</v>
      </c>
      <c r="C18" s="109" t="s">
        <v>566</v>
      </c>
      <c r="D18" s="125" t="s">
        <v>567</v>
      </c>
      <c r="E18" s="109" t="s">
        <v>203</v>
      </c>
      <c r="F18" s="109">
        <v>3</v>
      </c>
      <c r="G18" s="109" t="s">
        <v>753</v>
      </c>
      <c r="H18" s="109">
        <v>3</v>
      </c>
      <c r="I18" s="125"/>
      <c r="J18" s="109" t="s">
        <v>749</v>
      </c>
      <c r="K18" s="123">
        <v>46218</v>
      </c>
      <c r="L18" s="109" t="s">
        <v>978</v>
      </c>
    </row>
    <row r="19" spans="1:12" ht="29.15" x14ac:dyDescent="0.4">
      <c r="A19" s="109" t="s">
        <v>608</v>
      </c>
      <c r="B19" s="109" t="s">
        <v>18</v>
      </c>
      <c r="C19" s="109" t="s">
        <v>566</v>
      </c>
      <c r="D19" s="125" t="s">
        <v>567</v>
      </c>
      <c r="E19" s="109" t="s">
        <v>300</v>
      </c>
      <c r="F19" s="109">
        <v>2</v>
      </c>
      <c r="G19" s="109" t="s">
        <v>753</v>
      </c>
      <c r="H19" s="109">
        <v>2</v>
      </c>
      <c r="I19" s="125"/>
      <c r="J19" s="109" t="s">
        <v>749</v>
      </c>
      <c r="K19" s="123">
        <v>46218</v>
      </c>
      <c r="L19" s="109" t="s">
        <v>978</v>
      </c>
    </row>
    <row r="20" spans="1:12" ht="29.15" x14ac:dyDescent="0.4">
      <c r="A20" s="109" t="s">
        <v>608</v>
      </c>
      <c r="B20" s="109" t="s">
        <v>18</v>
      </c>
      <c r="C20" s="109" t="s">
        <v>566</v>
      </c>
      <c r="D20" s="125" t="s">
        <v>567</v>
      </c>
      <c r="E20" s="109" t="s">
        <v>206</v>
      </c>
      <c r="F20" s="109">
        <v>3</v>
      </c>
      <c r="G20" s="109" t="s">
        <v>753</v>
      </c>
      <c r="H20" s="109">
        <v>3</v>
      </c>
      <c r="I20" s="125"/>
      <c r="J20" s="109" t="s">
        <v>749</v>
      </c>
      <c r="K20" s="123">
        <v>46218</v>
      </c>
      <c r="L20" s="109" t="s">
        <v>978</v>
      </c>
    </row>
    <row r="21" spans="1:12" ht="29.15" x14ac:dyDescent="0.4">
      <c r="A21" s="109" t="s">
        <v>608</v>
      </c>
      <c r="B21" s="109" t="s">
        <v>18</v>
      </c>
      <c r="C21" s="109" t="s">
        <v>566</v>
      </c>
      <c r="D21" s="125" t="s">
        <v>567</v>
      </c>
      <c r="E21" s="109" t="s">
        <v>204</v>
      </c>
      <c r="F21" s="109">
        <v>3</v>
      </c>
      <c r="G21" s="109" t="s">
        <v>753</v>
      </c>
      <c r="H21" s="109">
        <v>3</v>
      </c>
      <c r="I21" s="125"/>
      <c r="J21" s="109" t="s">
        <v>749</v>
      </c>
      <c r="K21" s="123">
        <v>46218</v>
      </c>
      <c r="L21" s="109" t="s">
        <v>978</v>
      </c>
    </row>
    <row r="22" spans="1:12" ht="29.15" x14ac:dyDescent="0.4">
      <c r="A22" s="109" t="s">
        <v>608</v>
      </c>
      <c r="B22" s="109" t="s">
        <v>18</v>
      </c>
      <c r="C22" s="109" t="s">
        <v>566</v>
      </c>
      <c r="D22" s="125" t="s">
        <v>567</v>
      </c>
      <c r="E22" s="109" t="s">
        <v>551</v>
      </c>
      <c r="F22" s="109"/>
      <c r="G22" s="109" t="s">
        <v>753</v>
      </c>
      <c r="H22" s="109"/>
      <c r="I22" s="125"/>
      <c r="J22" s="109" t="s">
        <v>749</v>
      </c>
      <c r="K22" s="123">
        <v>46218</v>
      </c>
      <c r="L22" s="109" t="s">
        <v>978</v>
      </c>
    </row>
    <row r="23" spans="1:12" ht="29.15" x14ac:dyDescent="0.4">
      <c r="A23" s="109" t="s">
        <v>608</v>
      </c>
      <c r="B23" s="109" t="s">
        <v>18</v>
      </c>
      <c r="C23" s="109" t="s">
        <v>566</v>
      </c>
      <c r="D23" s="125" t="s">
        <v>567</v>
      </c>
      <c r="E23" s="109" t="s">
        <v>772</v>
      </c>
      <c r="F23" s="109" t="s">
        <v>776</v>
      </c>
      <c r="G23" s="109" t="s">
        <v>753</v>
      </c>
      <c r="H23" s="109" t="s">
        <v>776</v>
      </c>
      <c r="I23" s="125"/>
      <c r="J23" s="109" t="s">
        <v>749</v>
      </c>
      <c r="K23" s="123">
        <v>46218</v>
      </c>
      <c r="L23" s="109" t="s">
        <v>978</v>
      </c>
    </row>
    <row r="24" spans="1:12" x14ac:dyDescent="0.4">
      <c r="A24" s="109" t="s">
        <v>608</v>
      </c>
      <c r="B24" s="109" t="s">
        <v>18</v>
      </c>
      <c r="C24" s="109" t="s">
        <v>572</v>
      </c>
      <c r="D24" s="125" t="s">
        <v>573</v>
      </c>
      <c r="E24" s="109" t="s">
        <v>203</v>
      </c>
      <c r="F24" s="109">
        <v>3</v>
      </c>
      <c r="G24" s="109" t="s">
        <v>753</v>
      </c>
      <c r="H24" s="109">
        <v>3</v>
      </c>
      <c r="I24" s="125"/>
      <c r="J24" s="109" t="s">
        <v>749</v>
      </c>
      <c r="K24" s="123">
        <v>46218</v>
      </c>
      <c r="L24" s="109" t="s">
        <v>978</v>
      </c>
    </row>
    <row r="25" spans="1:12" x14ac:dyDescent="0.4">
      <c r="A25" s="109" t="s">
        <v>608</v>
      </c>
      <c r="B25" s="109" t="s">
        <v>18</v>
      </c>
      <c r="C25" s="109" t="s">
        <v>572</v>
      </c>
      <c r="D25" s="125" t="s">
        <v>573</v>
      </c>
      <c r="E25" s="109" t="s">
        <v>300</v>
      </c>
      <c r="F25" s="109">
        <v>2</v>
      </c>
      <c r="G25" s="109" t="s">
        <v>753</v>
      </c>
      <c r="H25" s="109">
        <v>2</v>
      </c>
      <c r="I25" s="125"/>
      <c r="J25" s="109" t="s">
        <v>749</v>
      </c>
      <c r="K25" s="123">
        <v>46218</v>
      </c>
      <c r="L25" s="109" t="s">
        <v>978</v>
      </c>
    </row>
    <row r="26" spans="1:12" x14ac:dyDescent="0.4">
      <c r="A26" s="109" t="s">
        <v>608</v>
      </c>
      <c r="B26" s="109" t="s">
        <v>18</v>
      </c>
      <c r="C26" s="109" t="s">
        <v>572</v>
      </c>
      <c r="D26" s="125" t="s">
        <v>573</v>
      </c>
      <c r="E26" s="109" t="s">
        <v>206</v>
      </c>
      <c r="F26" s="109">
        <v>3</v>
      </c>
      <c r="G26" s="109" t="s">
        <v>753</v>
      </c>
      <c r="H26" s="109">
        <v>3</v>
      </c>
      <c r="I26" s="125"/>
      <c r="J26" s="109" t="s">
        <v>749</v>
      </c>
      <c r="K26" s="123">
        <v>46218</v>
      </c>
      <c r="L26" s="109" t="s">
        <v>978</v>
      </c>
    </row>
    <row r="27" spans="1:12" x14ac:dyDescent="0.4">
      <c r="A27" s="109" t="s">
        <v>608</v>
      </c>
      <c r="B27" s="109" t="s">
        <v>18</v>
      </c>
      <c r="C27" s="109" t="s">
        <v>572</v>
      </c>
      <c r="D27" s="125" t="s">
        <v>573</v>
      </c>
      <c r="E27" s="109" t="s">
        <v>204</v>
      </c>
      <c r="F27" s="109">
        <v>3</v>
      </c>
      <c r="G27" s="109" t="s">
        <v>753</v>
      </c>
      <c r="H27" s="109">
        <v>3</v>
      </c>
      <c r="I27" s="125"/>
      <c r="J27" s="109" t="s">
        <v>749</v>
      </c>
      <c r="K27" s="123">
        <v>46218</v>
      </c>
      <c r="L27" s="109" t="s">
        <v>978</v>
      </c>
    </row>
    <row r="28" spans="1:12" x14ac:dyDescent="0.4">
      <c r="A28" s="109" t="s">
        <v>608</v>
      </c>
      <c r="B28" s="109" t="s">
        <v>18</v>
      </c>
      <c r="C28" s="109" t="s">
        <v>572</v>
      </c>
      <c r="D28" s="125" t="s">
        <v>573</v>
      </c>
      <c r="E28" s="109" t="s">
        <v>551</v>
      </c>
      <c r="F28" s="109"/>
      <c r="G28" s="109" t="s">
        <v>753</v>
      </c>
      <c r="H28" s="109"/>
      <c r="I28" s="125"/>
      <c r="J28" s="109" t="s">
        <v>749</v>
      </c>
      <c r="K28" s="123">
        <v>46218</v>
      </c>
      <c r="L28" s="109" t="s">
        <v>978</v>
      </c>
    </row>
    <row r="29" spans="1:12" x14ac:dyDescent="0.4">
      <c r="A29" s="109" t="s">
        <v>608</v>
      </c>
      <c r="B29" s="109" t="s">
        <v>18</v>
      </c>
      <c r="C29" s="109" t="s">
        <v>572</v>
      </c>
      <c r="D29" s="125" t="s">
        <v>573</v>
      </c>
      <c r="E29" s="109" t="s">
        <v>772</v>
      </c>
      <c r="F29" s="109" t="s">
        <v>776</v>
      </c>
      <c r="G29" s="109" t="s">
        <v>753</v>
      </c>
      <c r="H29" s="109" t="s">
        <v>776</v>
      </c>
      <c r="I29" s="125"/>
      <c r="J29" s="109" t="s">
        <v>749</v>
      </c>
      <c r="K29" s="123">
        <v>46218</v>
      </c>
      <c r="L29" s="109" t="s">
        <v>978</v>
      </c>
    </row>
    <row r="30" spans="1:12" x14ac:dyDescent="0.4">
      <c r="A30" s="109" t="s">
        <v>608</v>
      </c>
      <c r="B30" s="109" t="s">
        <v>18</v>
      </c>
      <c r="C30" s="109" t="s">
        <v>576</v>
      </c>
      <c r="D30" s="125" t="s">
        <v>577</v>
      </c>
      <c r="E30" s="109" t="s">
        <v>203</v>
      </c>
      <c r="F30" s="109">
        <v>3</v>
      </c>
      <c r="G30" s="109" t="s">
        <v>753</v>
      </c>
      <c r="H30" s="109">
        <v>3</v>
      </c>
      <c r="I30" s="125"/>
      <c r="J30" s="109" t="s">
        <v>749</v>
      </c>
      <c r="K30" s="123">
        <v>46218</v>
      </c>
      <c r="L30" s="109" t="s">
        <v>978</v>
      </c>
    </row>
    <row r="31" spans="1:12" x14ac:dyDescent="0.4">
      <c r="A31" s="109" t="s">
        <v>608</v>
      </c>
      <c r="B31" s="109" t="s">
        <v>18</v>
      </c>
      <c r="C31" s="109" t="s">
        <v>576</v>
      </c>
      <c r="D31" s="125" t="s">
        <v>577</v>
      </c>
      <c r="E31" s="109" t="s">
        <v>300</v>
      </c>
      <c r="F31" s="109">
        <v>3</v>
      </c>
      <c r="G31" s="109" t="s">
        <v>753</v>
      </c>
      <c r="H31" s="109">
        <v>3</v>
      </c>
      <c r="I31" s="125"/>
      <c r="J31" s="109" t="s">
        <v>749</v>
      </c>
      <c r="K31" s="123">
        <v>46218</v>
      </c>
      <c r="L31" s="109" t="s">
        <v>978</v>
      </c>
    </row>
    <row r="32" spans="1:12" x14ac:dyDescent="0.4">
      <c r="A32" s="109" t="s">
        <v>608</v>
      </c>
      <c r="B32" s="109" t="s">
        <v>18</v>
      </c>
      <c r="C32" s="109" t="s">
        <v>576</v>
      </c>
      <c r="D32" s="125" t="s">
        <v>577</v>
      </c>
      <c r="E32" s="109" t="s">
        <v>206</v>
      </c>
      <c r="F32" s="109">
        <v>3</v>
      </c>
      <c r="G32" s="109" t="s">
        <v>753</v>
      </c>
      <c r="H32" s="109">
        <v>3</v>
      </c>
      <c r="I32" s="125"/>
      <c r="J32" s="109" t="s">
        <v>749</v>
      </c>
      <c r="K32" s="123">
        <v>46218</v>
      </c>
      <c r="L32" s="109" t="s">
        <v>978</v>
      </c>
    </row>
    <row r="33" spans="1:12" x14ac:dyDescent="0.4">
      <c r="A33" s="109" t="s">
        <v>608</v>
      </c>
      <c r="B33" s="109" t="s">
        <v>18</v>
      </c>
      <c r="C33" s="109" t="s">
        <v>576</v>
      </c>
      <c r="D33" s="125" t="s">
        <v>577</v>
      </c>
      <c r="E33" s="109" t="s">
        <v>204</v>
      </c>
      <c r="F33" s="109">
        <v>3</v>
      </c>
      <c r="G33" s="109" t="s">
        <v>753</v>
      </c>
      <c r="H33" s="109">
        <v>3</v>
      </c>
      <c r="I33" s="125"/>
      <c r="J33" s="109" t="s">
        <v>749</v>
      </c>
      <c r="K33" s="123">
        <v>46218</v>
      </c>
      <c r="L33" s="109" t="s">
        <v>978</v>
      </c>
    </row>
    <row r="34" spans="1:12" x14ac:dyDescent="0.4">
      <c r="A34" s="109" t="s">
        <v>608</v>
      </c>
      <c r="B34" s="109" t="s">
        <v>18</v>
      </c>
      <c r="C34" s="109" t="s">
        <v>576</v>
      </c>
      <c r="D34" s="125" t="s">
        <v>577</v>
      </c>
      <c r="E34" s="109" t="s">
        <v>551</v>
      </c>
      <c r="F34" s="109"/>
      <c r="G34" s="109" t="s">
        <v>753</v>
      </c>
      <c r="H34" s="109"/>
      <c r="I34" s="125"/>
      <c r="J34" s="109" t="s">
        <v>749</v>
      </c>
      <c r="K34" s="123">
        <v>46218</v>
      </c>
      <c r="L34" s="109" t="s">
        <v>978</v>
      </c>
    </row>
    <row r="35" spans="1:12" x14ac:dyDescent="0.4">
      <c r="A35" s="109" t="s">
        <v>608</v>
      </c>
      <c r="B35" s="109" t="s">
        <v>18</v>
      </c>
      <c r="C35" s="109" t="s">
        <v>576</v>
      </c>
      <c r="D35" s="125" t="s">
        <v>577</v>
      </c>
      <c r="E35" s="109" t="s">
        <v>772</v>
      </c>
      <c r="F35" s="109" t="s">
        <v>776</v>
      </c>
      <c r="G35" s="109" t="s">
        <v>753</v>
      </c>
      <c r="H35" s="109" t="s">
        <v>776</v>
      </c>
      <c r="I35" s="125"/>
      <c r="J35" s="109" t="s">
        <v>749</v>
      </c>
      <c r="K35" s="123">
        <v>46218</v>
      </c>
      <c r="L35" s="109" t="s">
        <v>978</v>
      </c>
    </row>
    <row r="36" spans="1:12" ht="29.15" x14ac:dyDescent="0.4">
      <c r="A36" s="109" t="s">
        <v>608</v>
      </c>
      <c r="B36" s="109" t="s">
        <v>18</v>
      </c>
      <c r="C36" s="109" t="s">
        <v>581</v>
      </c>
      <c r="D36" s="125" t="s">
        <v>582</v>
      </c>
      <c r="E36" s="109" t="s">
        <v>203</v>
      </c>
      <c r="F36" s="109">
        <v>3</v>
      </c>
      <c r="G36" s="109" t="s">
        <v>753</v>
      </c>
      <c r="H36" s="109">
        <v>3</v>
      </c>
      <c r="I36" s="125"/>
      <c r="J36" s="109" t="s">
        <v>749</v>
      </c>
      <c r="K36" s="123">
        <v>46218</v>
      </c>
      <c r="L36" s="109" t="s">
        <v>978</v>
      </c>
    </row>
    <row r="37" spans="1:12" ht="29.15" x14ac:dyDescent="0.4">
      <c r="A37" s="109" t="s">
        <v>608</v>
      </c>
      <c r="B37" s="109" t="s">
        <v>18</v>
      </c>
      <c r="C37" s="109" t="s">
        <v>581</v>
      </c>
      <c r="D37" s="125" t="s">
        <v>582</v>
      </c>
      <c r="E37" s="109" t="s">
        <v>300</v>
      </c>
      <c r="F37" s="109">
        <v>3</v>
      </c>
      <c r="G37" s="109" t="s">
        <v>753</v>
      </c>
      <c r="H37" s="109">
        <v>3</v>
      </c>
      <c r="I37" s="125"/>
      <c r="J37" s="109" t="s">
        <v>749</v>
      </c>
      <c r="K37" s="123">
        <v>46218</v>
      </c>
      <c r="L37" s="109" t="s">
        <v>978</v>
      </c>
    </row>
    <row r="38" spans="1:12" ht="29.15" x14ac:dyDescent="0.4">
      <c r="A38" s="109" t="s">
        <v>608</v>
      </c>
      <c r="B38" s="109" t="s">
        <v>18</v>
      </c>
      <c r="C38" s="109" t="s">
        <v>581</v>
      </c>
      <c r="D38" s="125" t="s">
        <v>582</v>
      </c>
      <c r="E38" s="109" t="s">
        <v>206</v>
      </c>
      <c r="F38" s="109">
        <v>3</v>
      </c>
      <c r="G38" s="109" t="s">
        <v>753</v>
      </c>
      <c r="H38" s="109">
        <v>3</v>
      </c>
      <c r="I38" s="125"/>
      <c r="J38" s="109" t="s">
        <v>749</v>
      </c>
      <c r="K38" s="123">
        <v>46218</v>
      </c>
      <c r="L38" s="109" t="s">
        <v>978</v>
      </c>
    </row>
    <row r="39" spans="1:12" ht="29.15" x14ac:dyDescent="0.4">
      <c r="A39" s="109" t="s">
        <v>608</v>
      </c>
      <c r="B39" s="109" t="s">
        <v>18</v>
      </c>
      <c r="C39" s="109" t="s">
        <v>581</v>
      </c>
      <c r="D39" s="125" t="s">
        <v>582</v>
      </c>
      <c r="E39" s="109" t="s">
        <v>204</v>
      </c>
      <c r="F39" s="109">
        <v>3</v>
      </c>
      <c r="G39" s="109" t="s">
        <v>753</v>
      </c>
      <c r="H39" s="109">
        <v>3</v>
      </c>
      <c r="I39" s="125"/>
      <c r="J39" s="109" t="s">
        <v>749</v>
      </c>
      <c r="K39" s="123">
        <v>46218</v>
      </c>
      <c r="L39" s="109" t="s">
        <v>978</v>
      </c>
    </row>
    <row r="40" spans="1:12" ht="29.15" x14ac:dyDescent="0.4">
      <c r="A40" s="109" t="s">
        <v>608</v>
      </c>
      <c r="B40" s="109" t="s">
        <v>18</v>
      </c>
      <c r="C40" s="109" t="s">
        <v>581</v>
      </c>
      <c r="D40" s="125" t="s">
        <v>582</v>
      </c>
      <c r="E40" s="109" t="s">
        <v>551</v>
      </c>
      <c r="F40" s="109"/>
      <c r="G40" s="109" t="s">
        <v>753</v>
      </c>
      <c r="H40" s="109"/>
      <c r="I40" s="125"/>
      <c r="J40" s="109" t="s">
        <v>749</v>
      </c>
      <c r="K40" s="123">
        <v>46218</v>
      </c>
      <c r="L40" s="109" t="s">
        <v>978</v>
      </c>
    </row>
    <row r="41" spans="1:12" ht="29.15" x14ac:dyDescent="0.4">
      <c r="A41" s="109" t="s">
        <v>608</v>
      </c>
      <c r="B41" s="109" t="s">
        <v>18</v>
      </c>
      <c r="C41" s="109" t="s">
        <v>581</v>
      </c>
      <c r="D41" s="125" t="s">
        <v>582</v>
      </c>
      <c r="E41" s="109" t="s">
        <v>772</v>
      </c>
      <c r="F41" s="109" t="s">
        <v>776</v>
      </c>
      <c r="G41" s="109" t="s">
        <v>753</v>
      </c>
      <c r="H41" s="109" t="s">
        <v>776</v>
      </c>
      <c r="I41" s="125"/>
      <c r="J41" s="109" t="s">
        <v>749</v>
      </c>
      <c r="K41" s="123">
        <v>46218</v>
      </c>
      <c r="L41" s="109" t="s">
        <v>978</v>
      </c>
    </row>
    <row r="42" spans="1:12" ht="29.15" x14ac:dyDescent="0.4">
      <c r="A42" s="109" t="s">
        <v>608</v>
      </c>
      <c r="B42" s="109" t="s">
        <v>18</v>
      </c>
      <c r="C42" s="109" t="s">
        <v>587</v>
      </c>
      <c r="D42" s="125" t="s">
        <v>588</v>
      </c>
      <c r="E42" s="109" t="s">
        <v>203</v>
      </c>
      <c r="F42" s="109">
        <v>4</v>
      </c>
      <c r="G42" s="109" t="s">
        <v>753</v>
      </c>
      <c r="H42" s="109">
        <v>4</v>
      </c>
      <c r="I42" s="125"/>
      <c r="J42" s="109" t="s">
        <v>749</v>
      </c>
      <c r="K42" s="123">
        <v>46218</v>
      </c>
      <c r="L42" s="109" t="s">
        <v>978</v>
      </c>
    </row>
    <row r="43" spans="1:12" ht="29.15" x14ac:dyDescent="0.4">
      <c r="A43" s="109" t="s">
        <v>608</v>
      </c>
      <c r="B43" s="109" t="s">
        <v>18</v>
      </c>
      <c r="C43" s="109" t="s">
        <v>587</v>
      </c>
      <c r="D43" s="125" t="s">
        <v>588</v>
      </c>
      <c r="E43" s="109" t="s">
        <v>300</v>
      </c>
      <c r="F43" s="109">
        <v>5</v>
      </c>
      <c r="G43" s="109" t="s">
        <v>753</v>
      </c>
      <c r="H43" s="109">
        <v>5</v>
      </c>
      <c r="I43" s="125"/>
      <c r="J43" s="109" t="s">
        <v>749</v>
      </c>
      <c r="K43" s="123">
        <v>46218</v>
      </c>
      <c r="L43" s="109" t="s">
        <v>978</v>
      </c>
    </row>
    <row r="44" spans="1:12" ht="29.15" x14ac:dyDescent="0.4">
      <c r="A44" s="109" t="s">
        <v>608</v>
      </c>
      <c r="B44" s="109" t="s">
        <v>18</v>
      </c>
      <c r="C44" s="109" t="s">
        <v>587</v>
      </c>
      <c r="D44" s="125" t="s">
        <v>588</v>
      </c>
      <c r="E44" s="109" t="s">
        <v>206</v>
      </c>
      <c r="F44" s="109">
        <v>3</v>
      </c>
      <c r="G44" s="109" t="s">
        <v>753</v>
      </c>
      <c r="H44" s="109">
        <v>3</v>
      </c>
      <c r="I44" s="125"/>
      <c r="J44" s="109" t="s">
        <v>749</v>
      </c>
      <c r="K44" s="123">
        <v>46218</v>
      </c>
      <c r="L44" s="109" t="s">
        <v>978</v>
      </c>
    </row>
    <row r="45" spans="1:12" ht="29.15" x14ac:dyDescent="0.4">
      <c r="A45" s="109" t="s">
        <v>608</v>
      </c>
      <c r="B45" s="109" t="s">
        <v>18</v>
      </c>
      <c r="C45" s="109" t="s">
        <v>587</v>
      </c>
      <c r="D45" s="125" t="s">
        <v>588</v>
      </c>
      <c r="E45" s="109" t="s">
        <v>204</v>
      </c>
      <c r="F45" s="109">
        <v>3</v>
      </c>
      <c r="G45" s="109" t="s">
        <v>753</v>
      </c>
      <c r="H45" s="109">
        <v>3</v>
      </c>
      <c r="I45" s="125"/>
      <c r="J45" s="109" t="s">
        <v>749</v>
      </c>
      <c r="K45" s="123">
        <v>46218</v>
      </c>
      <c r="L45" s="109" t="s">
        <v>978</v>
      </c>
    </row>
    <row r="46" spans="1:12" ht="29.15" x14ac:dyDescent="0.4">
      <c r="A46" s="109" t="s">
        <v>608</v>
      </c>
      <c r="B46" s="109" t="s">
        <v>18</v>
      </c>
      <c r="C46" s="109" t="s">
        <v>587</v>
      </c>
      <c r="D46" s="125" t="s">
        <v>588</v>
      </c>
      <c r="E46" s="109" t="s">
        <v>551</v>
      </c>
      <c r="F46" s="109"/>
      <c r="G46" s="109" t="s">
        <v>753</v>
      </c>
      <c r="H46" s="109"/>
      <c r="I46" s="125"/>
      <c r="J46" s="109" t="s">
        <v>749</v>
      </c>
      <c r="K46" s="123">
        <v>46218</v>
      </c>
      <c r="L46" s="109" t="s">
        <v>978</v>
      </c>
    </row>
    <row r="47" spans="1:12" ht="29.15" x14ac:dyDescent="0.4">
      <c r="A47" s="109" t="s">
        <v>608</v>
      </c>
      <c r="B47" s="109" t="s">
        <v>18</v>
      </c>
      <c r="C47" s="109" t="s">
        <v>587</v>
      </c>
      <c r="D47" s="125" t="s">
        <v>588</v>
      </c>
      <c r="E47" s="109" t="s">
        <v>772</v>
      </c>
      <c r="F47" s="109" t="s">
        <v>776</v>
      </c>
      <c r="G47" s="109" t="s">
        <v>753</v>
      </c>
      <c r="H47" s="109" t="s">
        <v>776</v>
      </c>
      <c r="I47" s="125"/>
      <c r="J47" s="109" t="s">
        <v>749</v>
      </c>
      <c r="K47" s="123">
        <v>46218</v>
      </c>
      <c r="L47" s="109" t="s">
        <v>978</v>
      </c>
    </row>
    <row r="48" spans="1:12" x14ac:dyDescent="0.4">
      <c r="A48" s="109" t="s">
        <v>608</v>
      </c>
      <c r="B48" s="109" t="s">
        <v>18</v>
      </c>
      <c r="C48" s="109" t="s">
        <v>591</v>
      </c>
      <c r="D48" s="125" t="s">
        <v>592</v>
      </c>
      <c r="E48" s="109" t="s">
        <v>203</v>
      </c>
      <c r="F48" s="109">
        <v>3</v>
      </c>
      <c r="G48" s="109" t="s">
        <v>753</v>
      </c>
      <c r="H48" s="109">
        <v>3</v>
      </c>
      <c r="I48" s="125"/>
      <c r="J48" s="109" t="s">
        <v>749</v>
      </c>
      <c r="K48" s="123">
        <v>46218</v>
      </c>
      <c r="L48" s="109" t="s">
        <v>978</v>
      </c>
    </row>
    <row r="49" spans="1:12" x14ac:dyDescent="0.4">
      <c r="A49" s="109" t="s">
        <v>608</v>
      </c>
      <c r="B49" s="109" t="s">
        <v>18</v>
      </c>
      <c r="C49" s="109" t="s">
        <v>591</v>
      </c>
      <c r="D49" s="125" t="s">
        <v>592</v>
      </c>
      <c r="E49" s="109" t="s">
        <v>300</v>
      </c>
      <c r="F49" s="109">
        <v>3</v>
      </c>
      <c r="G49" s="109" t="s">
        <v>753</v>
      </c>
      <c r="H49" s="109">
        <v>3</v>
      </c>
      <c r="I49" s="125"/>
      <c r="J49" s="109" t="s">
        <v>749</v>
      </c>
      <c r="K49" s="123">
        <v>46218</v>
      </c>
      <c r="L49" s="109" t="s">
        <v>978</v>
      </c>
    </row>
    <row r="50" spans="1:12" x14ac:dyDescent="0.4">
      <c r="A50" s="109" t="s">
        <v>608</v>
      </c>
      <c r="B50" s="109" t="s">
        <v>18</v>
      </c>
      <c r="C50" s="109" t="s">
        <v>591</v>
      </c>
      <c r="D50" s="125" t="s">
        <v>592</v>
      </c>
      <c r="E50" s="109" t="s">
        <v>206</v>
      </c>
      <c r="F50" s="109">
        <v>3</v>
      </c>
      <c r="G50" s="109" t="s">
        <v>753</v>
      </c>
      <c r="H50" s="109">
        <v>3</v>
      </c>
      <c r="I50" s="125"/>
      <c r="J50" s="109" t="s">
        <v>749</v>
      </c>
      <c r="K50" s="123">
        <v>46218</v>
      </c>
      <c r="L50" s="109" t="s">
        <v>978</v>
      </c>
    </row>
    <row r="51" spans="1:12" x14ac:dyDescent="0.4">
      <c r="A51" s="109" t="s">
        <v>608</v>
      </c>
      <c r="B51" s="109" t="s">
        <v>18</v>
      </c>
      <c r="C51" s="109" t="s">
        <v>591</v>
      </c>
      <c r="D51" s="125" t="s">
        <v>592</v>
      </c>
      <c r="E51" s="109" t="s">
        <v>204</v>
      </c>
      <c r="F51" s="109">
        <v>2</v>
      </c>
      <c r="G51" s="109" t="s">
        <v>753</v>
      </c>
      <c r="H51" s="109">
        <v>2</v>
      </c>
      <c r="I51" s="125"/>
      <c r="J51" s="109" t="s">
        <v>749</v>
      </c>
      <c r="K51" s="123">
        <v>46218</v>
      </c>
      <c r="L51" s="109" t="s">
        <v>978</v>
      </c>
    </row>
    <row r="52" spans="1:12" x14ac:dyDescent="0.4">
      <c r="A52" s="109" t="s">
        <v>608</v>
      </c>
      <c r="B52" s="109" t="s">
        <v>18</v>
      </c>
      <c r="C52" s="109" t="s">
        <v>591</v>
      </c>
      <c r="D52" s="125" t="s">
        <v>592</v>
      </c>
      <c r="E52" s="109" t="s">
        <v>551</v>
      </c>
      <c r="F52" s="109"/>
      <c r="G52" s="109" t="s">
        <v>753</v>
      </c>
      <c r="H52" s="109"/>
      <c r="I52" s="125"/>
      <c r="J52" s="109" t="s">
        <v>749</v>
      </c>
      <c r="K52" s="123">
        <v>46218</v>
      </c>
      <c r="L52" s="109" t="s">
        <v>978</v>
      </c>
    </row>
    <row r="53" spans="1:12" x14ac:dyDescent="0.4">
      <c r="A53" s="109" t="s">
        <v>608</v>
      </c>
      <c r="B53" s="109" t="s">
        <v>18</v>
      </c>
      <c r="C53" s="109" t="s">
        <v>591</v>
      </c>
      <c r="D53" s="125" t="s">
        <v>592</v>
      </c>
      <c r="E53" s="109" t="s">
        <v>772</v>
      </c>
      <c r="F53" s="109" t="s">
        <v>776</v>
      </c>
      <c r="G53" s="109" t="s">
        <v>753</v>
      </c>
      <c r="H53" s="109" t="s">
        <v>776</v>
      </c>
      <c r="I53" s="125"/>
      <c r="J53" s="109" t="s">
        <v>749</v>
      </c>
      <c r="K53" s="123">
        <v>46218</v>
      </c>
      <c r="L53" s="109" t="s">
        <v>978</v>
      </c>
    </row>
    <row r="54" spans="1:12" ht="29.15" x14ac:dyDescent="0.4">
      <c r="A54" s="109" t="s">
        <v>608</v>
      </c>
      <c r="B54" s="109" t="s">
        <v>18</v>
      </c>
      <c r="C54" s="109" t="s">
        <v>595</v>
      </c>
      <c r="D54" s="125" t="s">
        <v>596</v>
      </c>
      <c r="E54" s="109" t="s">
        <v>203</v>
      </c>
      <c r="F54" s="109">
        <v>4</v>
      </c>
      <c r="G54" s="109" t="s">
        <v>753</v>
      </c>
      <c r="H54" s="109">
        <v>4</v>
      </c>
      <c r="I54" s="125"/>
      <c r="J54" s="109" t="s">
        <v>749</v>
      </c>
      <c r="K54" s="123">
        <v>46218</v>
      </c>
      <c r="L54" s="109" t="s">
        <v>978</v>
      </c>
    </row>
    <row r="55" spans="1:12" ht="29.15" x14ac:dyDescent="0.4">
      <c r="A55" s="109" t="s">
        <v>608</v>
      </c>
      <c r="B55" s="109" t="s">
        <v>18</v>
      </c>
      <c r="C55" s="109" t="s">
        <v>595</v>
      </c>
      <c r="D55" s="125" t="s">
        <v>596</v>
      </c>
      <c r="E55" s="109" t="s">
        <v>300</v>
      </c>
      <c r="F55" s="109">
        <v>3</v>
      </c>
      <c r="G55" s="109" t="s">
        <v>753</v>
      </c>
      <c r="H55" s="109">
        <v>3</v>
      </c>
      <c r="I55" s="125"/>
      <c r="J55" s="109" t="s">
        <v>749</v>
      </c>
      <c r="K55" s="123">
        <v>46218</v>
      </c>
      <c r="L55" s="109" t="s">
        <v>978</v>
      </c>
    </row>
    <row r="56" spans="1:12" ht="29.15" x14ac:dyDescent="0.4">
      <c r="A56" s="109" t="s">
        <v>608</v>
      </c>
      <c r="B56" s="109" t="s">
        <v>18</v>
      </c>
      <c r="C56" s="109" t="s">
        <v>595</v>
      </c>
      <c r="D56" s="125" t="s">
        <v>596</v>
      </c>
      <c r="E56" s="109" t="s">
        <v>206</v>
      </c>
      <c r="F56" s="109">
        <v>2</v>
      </c>
      <c r="G56" s="109" t="s">
        <v>753</v>
      </c>
      <c r="H56" s="109">
        <v>2</v>
      </c>
      <c r="I56" s="125"/>
      <c r="J56" s="109" t="s">
        <v>749</v>
      </c>
      <c r="K56" s="123">
        <v>46218</v>
      </c>
      <c r="L56" s="109" t="s">
        <v>978</v>
      </c>
    </row>
    <row r="57" spans="1:12" ht="29.15" x14ac:dyDescent="0.4">
      <c r="A57" s="109" t="s">
        <v>608</v>
      </c>
      <c r="B57" s="109" t="s">
        <v>18</v>
      </c>
      <c r="C57" s="109" t="s">
        <v>595</v>
      </c>
      <c r="D57" s="125" t="s">
        <v>596</v>
      </c>
      <c r="E57" s="109" t="s">
        <v>204</v>
      </c>
      <c r="F57" s="109">
        <v>2</v>
      </c>
      <c r="G57" s="109" t="s">
        <v>753</v>
      </c>
      <c r="H57" s="109">
        <v>2</v>
      </c>
      <c r="I57" s="125"/>
      <c r="J57" s="109" t="s">
        <v>749</v>
      </c>
      <c r="K57" s="123">
        <v>46218</v>
      </c>
      <c r="L57" s="109" t="s">
        <v>978</v>
      </c>
    </row>
    <row r="58" spans="1:12" ht="29.15" x14ac:dyDescent="0.4">
      <c r="A58" s="109" t="s">
        <v>608</v>
      </c>
      <c r="B58" s="109" t="s">
        <v>18</v>
      </c>
      <c r="C58" s="109" t="s">
        <v>595</v>
      </c>
      <c r="D58" s="125" t="s">
        <v>596</v>
      </c>
      <c r="E58" s="109" t="s">
        <v>551</v>
      </c>
      <c r="F58" s="109"/>
      <c r="G58" s="109" t="s">
        <v>753</v>
      </c>
      <c r="H58" s="109"/>
      <c r="I58" s="125"/>
      <c r="J58" s="109" t="s">
        <v>749</v>
      </c>
      <c r="K58" s="123">
        <v>46218</v>
      </c>
      <c r="L58" s="109" t="s">
        <v>978</v>
      </c>
    </row>
    <row r="59" spans="1:12" ht="29.15" x14ac:dyDescent="0.4">
      <c r="A59" s="109" t="s">
        <v>608</v>
      </c>
      <c r="B59" s="109" t="s">
        <v>18</v>
      </c>
      <c r="C59" s="109" t="s">
        <v>595</v>
      </c>
      <c r="D59" s="125" t="s">
        <v>596</v>
      </c>
      <c r="E59" s="109" t="s">
        <v>772</v>
      </c>
      <c r="F59" s="109" t="s">
        <v>776</v>
      </c>
      <c r="G59" s="109" t="s">
        <v>753</v>
      </c>
      <c r="H59" s="109" t="s">
        <v>776</v>
      </c>
      <c r="I59" s="125"/>
      <c r="J59" s="109" t="s">
        <v>749</v>
      </c>
      <c r="K59" s="123">
        <v>46218</v>
      </c>
      <c r="L59" s="109" t="s">
        <v>978</v>
      </c>
    </row>
    <row r="60" spans="1:12" ht="29.15" x14ac:dyDescent="0.4">
      <c r="A60" s="109" t="s">
        <v>608</v>
      </c>
      <c r="B60" s="109" t="s">
        <v>18</v>
      </c>
      <c r="C60" s="109" t="s">
        <v>598</v>
      </c>
      <c r="D60" s="125" t="s">
        <v>599</v>
      </c>
      <c r="E60" s="109" t="s">
        <v>203</v>
      </c>
      <c r="F60" s="109">
        <v>3</v>
      </c>
      <c r="G60" s="109" t="s">
        <v>753</v>
      </c>
      <c r="H60" s="109">
        <v>3</v>
      </c>
      <c r="I60" s="125" t="s">
        <v>1497</v>
      </c>
      <c r="J60" s="109" t="s">
        <v>749</v>
      </c>
      <c r="K60" s="123">
        <v>46218</v>
      </c>
      <c r="L60" s="109" t="s">
        <v>978</v>
      </c>
    </row>
    <row r="61" spans="1:12" ht="29.15" x14ac:dyDescent="0.4">
      <c r="A61" s="109" t="s">
        <v>608</v>
      </c>
      <c r="B61" s="109" t="s">
        <v>18</v>
      </c>
      <c r="C61" s="109" t="s">
        <v>598</v>
      </c>
      <c r="D61" s="125" t="s">
        <v>599</v>
      </c>
      <c r="E61" s="109" t="s">
        <v>300</v>
      </c>
      <c r="F61" s="109"/>
      <c r="G61" s="109" t="s">
        <v>753</v>
      </c>
      <c r="H61" s="109"/>
      <c r="I61" s="125" t="s">
        <v>1497</v>
      </c>
      <c r="J61" s="109" t="s">
        <v>749</v>
      </c>
      <c r="K61" s="123">
        <v>46218</v>
      </c>
      <c r="L61" s="109" t="s">
        <v>978</v>
      </c>
    </row>
    <row r="62" spans="1:12" ht="29.15" x14ac:dyDescent="0.4">
      <c r="A62" s="109" t="s">
        <v>608</v>
      </c>
      <c r="B62" s="109" t="s">
        <v>18</v>
      </c>
      <c r="C62" s="109" t="s">
        <v>598</v>
      </c>
      <c r="D62" s="125" t="s">
        <v>599</v>
      </c>
      <c r="E62" s="109" t="s">
        <v>206</v>
      </c>
      <c r="F62" s="109">
        <v>3</v>
      </c>
      <c r="G62" s="109" t="s">
        <v>753</v>
      </c>
      <c r="H62" s="109">
        <v>3</v>
      </c>
      <c r="I62" s="125" t="s">
        <v>1497</v>
      </c>
      <c r="J62" s="109" t="s">
        <v>749</v>
      </c>
      <c r="K62" s="123">
        <v>46218</v>
      </c>
      <c r="L62" s="109" t="s">
        <v>978</v>
      </c>
    </row>
    <row r="63" spans="1:12" ht="29.15" x14ac:dyDescent="0.4">
      <c r="A63" s="109" t="s">
        <v>608</v>
      </c>
      <c r="B63" s="109" t="s">
        <v>18</v>
      </c>
      <c r="C63" s="109" t="s">
        <v>598</v>
      </c>
      <c r="D63" s="125" t="s">
        <v>599</v>
      </c>
      <c r="E63" s="109" t="s">
        <v>204</v>
      </c>
      <c r="F63" s="109">
        <v>4</v>
      </c>
      <c r="G63" s="109" t="s">
        <v>966</v>
      </c>
      <c r="H63" s="109">
        <v>3</v>
      </c>
      <c r="I63" s="125" t="s">
        <v>1497</v>
      </c>
      <c r="J63" s="109" t="s">
        <v>749</v>
      </c>
      <c r="K63" s="123">
        <v>46218</v>
      </c>
      <c r="L63" s="109" t="s">
        <v>978</v>
      </c>
    </row>
    <row r="64" spans="1:12" ht="29.15" x14ac:dyDescent="0.4">
      <c r="A64" s="109" t="s">
        <v>608</v>
      </c>
      <c r="B64" s="109" t="s">
        <v>18</v>
      </c>
      <c r="C64" s="109" t="s">
        <v>598</v>
      </c>
      <c r="D64" s="125" t="s">
        <v>599</v>
      </c>
      <c r="E64" s="109" t="s">
        <v>551</v>
      </c>
      <c r="F64" s="109"/>
      <c r="G64" s="109" t="s">
        <v>753</v>
      </c>
      <c r="H64" s="109"/>
      <c r="I64" s="125" t="s">
        <v>1497</v>
      </c>
      <c r="J64" s="109" t="s">
        <v>749</v>
      </c>
      <c r="K64" s="123">
        <v>46218</v>
      </c>
      <c r="L64" s="109" t="s">
        <v>978</v>
      </c>
    </row>
    <row r="65" spans="1:12" ht="29.15" x14ac:dyDescent="0.4">
      <c r="A65" s="109" t="s">
        <v>608</v>
      </c>
      <c r="B65" s="109" t="s">
        <v>18</v>
      </c>
      <c r="C65" s="109" t="s">
        <v>598</v>
      </c>
      <c r="D65" s="125" t="s">
        <v>599</v>
      </c>
      <c r="E65" s="109" t="s">
        <v>772</v>
      </c>
      <c r="F65" s="109" t="s">
        <v>776</v>
      </c>
      <c r="G65" s="109" t="s">
        <v>753</v>
      </c>
      <c r="H65" s="109" t="s">
        <v>776</v>
      </c>
      <c r="I65" s="125" t="s">
        <v>1497</v>
      </c>
      <c r="J65" s="109" t="s">
        <v>749</v>
      </c>
      <c r="K65" s="123">
        <v>46218</v>
      </c>
      <c r="L65" s="109" t="s">
        <v>978</v>
      </c>
    </row>
    <row r="66" spans="1:12" x14ac:dyDescent="0.4">
      <c r="A66" s="109" t="s">
        <v>608</v>
      </c>
      <c r="B66" s="109" t="s">
        <v>18</v>
      </c>
      <c r="C66" s="109" t="s">
        <v>604</v>
      </c>
      <c r="D66" s="125" t="s">
        <v>605</v>
      </c>
      <c r="E66" s="109" t="s">
        <v>203</v>
      </c>
      <c r="F66" s="109">
        <v>3</v>
      </c>
      <c r="G66" s="109" t="s">
        <v>753</v>
      </c>
      <c r="H66" s="109">
        <v>3</v>
      </c>
      <c r="I66" s="125"/>
      <c r="J66" s="109" t="s">
        <v>749</v>
      </c>
      <c r="K66" s="123">
        <v>46218</v>
      </c>
      <c r="L66" s="109" t="s">
        <v>978</v>
      </c>
    </row>
    <row r="67" spans="1:12" x14ac:dyDescent="0.4">
      <c r="A67" s="109" t="s">
        <v>608</v>
      </c>
      <c r="B67" s="109" t="s">
        <v>18</v>
      </c>
      <c r="C67" s="109" t="s">
        <v>604</v>
      </c>
      <c r="D67" s="125" t="s">
        <v>605</v>
      </c>
      <c r="E67" s="109" t="s">
        <v>300</v>
      </c>
      <c r="F67" s="109">
        <v>2</v>
      </c>
      <c r="G67" s="109" t="s">
        <v>753</v>
      </c>
      <c r="H67" s="109">
        <v>2</v>
      </c>
      <c r="I67" s="125"/>
      <c r="J67" s="109" t="s">
        <v>749</v>
      </c>
      <c r="K67" s="123">
        <v>46218</v>
      </c>
      <c r="L67" s="109" t="s">
        <v>978</v>
      </c>
    </row>
    <row r="68" spans="1:12" x14ac:dyDescent="0.4">
      <c r="A68" s="109" t="s">
        <v>608</v>
      </c>
      <c r="B68" s="109" t="s">
        <v>18</v>
      </c>
      <c r="C68" s="109" t="s">
        <v>604</v>
      </c>
      <c r="D68" s="125" t="s">
        <v>605</v>
      </c>
      <c r="E68" s="109" t="s">
        <v>206</v>
      </c>
      <c r="F68" s="109">
        <v>3</v>
      </c>
      <c r="G68" s="109" t="s">
        <v>753</v>
      </c>
      <c r="H68" s="109">
        <v>3</v>
      </c>
      <c r="I68" s="125"/>
      <c r="J68" s="109" t="s">
        <v>749</v>
      </c>
      <c r="K68" s="123">
        <v>46218</v>
      </c>
      <c r="L68" s="109" t="s">
        <v>978</v>
      </c>
    </row>
    <row r="69" spans="1:12" x14ac:dyDescent="0.4">
      <c r="A69" s="109" t="s">
        <v>608</v>
      </c>
      <c r="B69" s="109" t="s">
        <v>18</v>
      </c>
      <c r="C69" s="109" t="s">
        <v>604</v>
      </c>
      <c r="D69" s="125" t="s">
        <v>605</v>
      </c>
      <c r="E69" s="109" t="s">
        <v>204</v>
      </c>
      <c r="F69" s="109">
        <v>3</v>
      </c>
      <c r="G69" s="109" t="s">
        <v>753</v>
      </c>
      <c r="H69" s="109">
        <v>3</v>
      </c>
      <c r="I69" s="125"/>
      <c r="J69" s="109" t="s">
        <v>749</v>
      </c>
      <c r="K69" s="123">
        <v>46218</v>
      </c>
      <c r="L69" s="109" t="s">
        <v>978</v>
      </c>
    </row>
    <row r="70" spans="1:12" x14ac:dyDescent="0.4">
      <c r="A70" s="109" t="s">
        <v>608</v>
      </c>
      <c r="B70" s="109" t="s">
        <v>18</v>
      </c>
      <c r="C70" s="109" t="s">
        <v>604</v>
      </c>
      <c r="D70" s="125" t="s">
        <v>605</v>
      </c>
      <c r="E70" s="109" t="s">
        <v>551</v>
      </c>
      <c r="F70" s="109">
        <v>3</v>
      </c>
      <c r="G70" s="109" t="s">
        <v>753</v>
      </c>
      <c r="H70" s="109">
        <v>3</v>
      </c>
      <c r="I70" s="125"/>
      <c r="J70" s="109" t="s">
        <v>749</v>
      </c>
      <c r="K70" s="123">
        <v>46218</v>
      </c>
      <c r="L70" s="109" t="s">
        <v>978</v>
      </c>
    </row>
    <row r="71" spans="1:12" x14ac:dyDescent="0.4">
      <c r="A71" s="109" t="s">
        <v>608</v>
      </c>
      <c r="B71" s="109" t="s">
        <v>18</v>
      </c>
      <c r="C71" s="109" t="s">
        <v>604</v>
      </c>
      <c r="D71" s="125" t="s">
        <v>605</v>
      </c>
      <c r="E71" s="109" t="s">
        <v>772</v>
      </c>
      <c r="F71" s="109" t="s">
        <v>776</v>
      </c>
      <c r="G71" s="109" t="s">
        <v>753</v>
      </c>
      <c r="H71" s="109" t="s">
        <v>776</v>
      </c>
      <c r="I71" s="125"/>
      <c r="J71" s="109" t="s">
        <v>749</v>
      </c>
      <c r="K71" s="123">
        <v>46218</v>
      </c>
      <c r="L71" s="109" t="s">
        <v>978</v>
      </c>
    </row>
    <row r="72" spans="1:12" ht="29.15" x14ac:dyDescent="0.4">
      <c r="A72" s="109" t="s">
        <v>608</v>
      </c>
      <c r="B72" s="109" t="s">
        <v>18</v>
      </c>
      <c r="C72" s="109" t="s">
        <v>611</v>
      </c>
      <c r="D72" s="125" t="s">
        <v>612</v>
      </c>
      <c r="E72" s="109" t="s">
        <v>203</v>
      </c>
      <c r="F72" s="109">
        <v>3</v>
      </c>
      <c r="G72" s="109" t="s">
        <v>753</v>
      </c>
      <c r="H72" s="109">
        <v>3</v>
      </c>
      <c r="I72" s="125" t="s">
        <v>1498</v>
      </c>
      <c r="J72" s="109" t="s">
        <v>749</v>
      </c>
      <c r="K72" s="123">
        <v>46218</v>
      </c>
      <c r="L72" s="109" t="s">
        <v>978</v>
      </c>
    </row>
    <row r="73" spans="1:12" ht="29.15" x14ac:dyDescent="0.4">
      <c r="A73" s="109" t="s">
        <v>608</v>
      </c>
      <c r="B73" s="109" t="s">
        <v>18</v>
      </c>
      <c r="C73" s="109" t="s">
        <v>611</v>
      </c>
      <c r="D73" s="125" t="s">
        <v>612</v>
      </c>
      <c r="E73" s="109" t="s">
        <v>300</v>
      </c>
      <c r="F73" s="109">
        <v>4</v>
      </c>
      <c r="G73" s="109" t="s">
        <v>753</v>
      </c>
      <c r="H73" s="109">
        <v>4</v>
      </c>
      <c r="I73" s="125" t="s">
        <v>1498</v>
      </c>
      <c r="J73" s="109" t="s">
        <v>749</v>
      </c>
      <c r="K73" s="123">
        <v>46218</v>
      </c>
      <c r="L73" s="109" t="s">
        <v>978</v>
      </c>
    </row>
    <row r="74" spans="1:12" ht="29.15" x14ac:dyDescent="0.4">
      <c r="A74" s="109" t="s">
        <v>608</v>
      </c>
      <c r="B74" s="109" t="s">
        <v>18</v>
      </c>
      <c r="C74" s="109" t="s">
        <v>611</v>
      </c>
      <c r="D74" s="125" t="s">
        <v>612</v>
      </c>
      <c r="E74" s="109" t="s">
        <v>206</v>
      </c>
      <c r="F74" s="109">
        <v>4</v>
      </c>
      <c r="G74" s="109" t="s">
        <v>753</v>
      </c>
      <c r="H74" s="109">
        <v>4</v>
      </c>
      <c r="I74" s="125" t="s">
        <v>1498</v>
      </c>
      <c r="J74" s="109" t="s">
        <v>749</v>
      </c>
      <c r="K74" s="123">
        <v>46218</v>
      </c>
      <c r="L74" s="109" t="s">
        <v>978</v>
      </c>
    </row>
    <row r="75" spans="1:12" ht="29.15" x14ac:dyDescent="0.4">
      <c r="A75" s="109" t="s">
        <v>608</v>
      </c>
      <c r="B75" s="109" t="s">
        <v>18</v>
      </c>
      <c r="C75" s="109" t="s">
        <v>611</v>
      </c>
      <c r="D75" s="125" t="s">
        <v>612</v>
      </c>
      <c r="E75" s="109" t="s">
        <v>204</v>
      </c>
      <c r="F75" s="109">
        <v>4</v>
      </c>
      <c r="G75" s="109" t="s">
        <v>753</v>
      </c>
      <c r="H75" s="109">
        <v>4</v>
      </c>
      <c r="I75" s="125" t="s">
        <v>1498</v>
      </c>
      <c r="J75" s="109" t="s">
        <v>749</v>
      </c>
      <c r="K75" s="123">
        <v>46218</v>
      </c>
      <c r="L75" s="109" t="s">
        <v>978</v>
      </c>
    </row>
    <row r="76" spans="1:12" ht="29.15" x14ac:dyDescent="0.4">
      <c r="A76" s="109" t="s">
        <v>608</v>
      </c>
      <c r="B76" s="109" t="s">
        <v>18</v>
      </c>
      <c r="C76" s="109" t="s">
        <v>611</v>
      </c>
      <c r="D76" s="125" t="s">
        <v>612</v>
      </c>
      <c r="E76" s="109" t="s">
        <v>551</v>
      </c>
      <c r="F76" s="109"/>
      <c r="G76" s="109" t="s">
        <v>753</v>
      </c>
      <c r="H76" s="109"/>
      <c r="I76" s="125" t="s">
        <v>1498</v>
      </c>
      <c r="J76" s="109" t="s">
        <v>749</v>
      </c>
      <c r="K76" s="123">
        <v>46218</v>
      </c>
      <c r="L76" s="109" t="s">
        <v>978</v>
      </c>
    </row>
    <row r="77" spans="1:12" ht="29.15" x14ac:dyDescent="0.4">
      <c r="A77" s="109" t="s">
        <v>608</v>
      </c>
      <c r="B77" s="109" t="s">
        <v>18</v>
      </c>
      <c r="C77" s="109" t="s">
        <v>611</v>
      </c>
      <c r="D77" s="125" t="s">
        <v>612</v>
      </c>
      <c r="E77" s="109" t="s">
        <v>772</v>
      </c>
      <c r="F77" s="109" t="s">
        <v>776</v>
      </c>
      <c r="G77" s="109" t="s">
        <v>753</v>
      </c>
      <c r="H77" s="109" t="s">
        <v>776</v>
      </c>
      <c r="I77" s="125" t="s">
        <v>1498</v>
      </c>
      <c r="J77" s="109" t="s">
        <v>749</v>
      </c>
      <c r="K77" s="123">
        <v>46218</v>
      </c>
      <c r="L77" s="109" t="s">
        <v>978</v>
      </c>
    </row>
    <row r="78" spans="1:12" ht="29.15" x14ac:dyDescent="0.4">
      <c r="A78" s="109" t="s">
        <v>608</v>
      </c>
      <c r="B78" s="109" t="s">
        <v>18</v>
      </c>
      <c r="C78" s="109" t="s">
        <v>1190</v>
      </c>
      <c r="D78" s="125" t="s">
        <v>1191</v>
      </c>
      <c r="E78" s="109" t="s">
        <v>203</v>
      </c>
      <c r="F78" s="109">
        <v>4</v>
      </c>
      <c r="G78" s="109" t="s">
        <v>753</v>
      </c>
      <c r="H78" s="109">
        <v>4</v>
      </c>
      <c r="I78" s="125"/>
      <c r="J78" s="109" t="s">
        <v>749</v>
      </c>
      <c r="K78" s="123">
        <v>46218</v>
      </c>
      <c r="L78" s="109" t="s">
        <v>978</v>
      </c>
    </row>
    <row r="79" spans="1:12" ht="29.15" x14ac:dyDescent="0.4">
      <c r="A79" s="109" t="s">
        <v>608</v>
      </c>
      <c r="B79" s="109" t="s">
        <v>18</v>
      </c>
      <c r="C79" s="109" t="s">
        <v>1190</v>
      </c>
      <c r="D79" s="125" t="s">
        <v>1191</v>
      </c>
      <c r="E79" s="109" t="s">
        <v>300</v>
      </c>
      <c r="F79" s="109">
        <v>4</v>
      </c>
      <c r="G79" s="109" t="s">
        <v>753</v>
      </c>
      <c r="H79" s="109">
        <v>4</v>
      </c>
      <c r="I79" s="125"/>
      <c r="J79" s="109" t="s">
        <v>749</v>
      </c>
      <c r="K79" s="123">
        <v>46218</v>
      </c>
      <c r="L79" s="109" t="s">
        <v>978</v>
      </c>
    </row>
    <row r="80" spans="1:12" ht="29.15" x14ac:dyDescent="0.4">
      <c r="A80" s="109" t="s">
        <v>608</v>
      </c>
      <c r="B80" s="109" t="s">
        <v>18</v>
      </c>
      <c r="C80" s="109" t="s">
        <v>1190</v>
      </c>
      <c r="D80" s="125" t="s">
        <v>1191</v>
      </c>
      <c r="E80" s="109" t="s">
        <v>206</v>
      </c>
      <c r="F80" s="109">
        <v>1</v>
      </c>
      <c r="G80" s="109" t="s">
        <v>753</v>
      </c>
      <c r="H80" s="109">
        <v>1</v>
      </c>
      <c r="I80" s="125"/>
      <c r="J80" s="109" t="s">
        <v>749</v>
      </c>
      <c r="K80" s="123">
        <v>46218</v>
      </c>
      <c r="L80" s="109" t="s">
        <v>978</v>
      </c>
    </row>
    <row r="81" spans="1:12" ht="29.15" x14ac:dyDescent="0.4">
      <c r="A81" s="109" t="s">
        <v>608</v>
      </c>
      <c r="B81" s="109" t="s">
        <v>18</v>
      </c>
      <c r="C81" s="109" t="s">
        <v>1190</v>
      </c>
      <c r="D81" s="125" t="s">
        <v>1191</v>
      </c>
      <c r="E81" s="109" t="s">
        <v>204</v>
      </c>
      <c r="F81" s="109">
        <v>2</v>
      </c>
      <c r="G81" s="109" t="s">
        <v>753</v>
      </c>
      <c r="H81" s="109">
        <v>2</v>
      </c>
      <c r="I81" s="125"/>
      <c r="J81" s="109" t="s">
        <v>749</v>
      </c>
      <c r="K81" s="123">
        <v>46218</v>
      </c>
      <c r="L81" s="109" t="s">
        <v>978</v>
      </c>
    </row>
    <row r="82" spans="1:12" ht="29.15" x14ac:dyDescent="0.4">
      <c r="A82" s="109" t="s">
        <v>608</v>
      </c>
      <c r="B82" s="109" t="s">
        <v>18</v>
      </c>
      <c r="C82" s="109" t="s">
        <v>1190</v>
      </c>
      <c r="D82" s="125" t="s">
        <v>1191</v>
      </c>
      <c r="E82" s="109" t="s">
        <v>551</v>
      </c>
      <c r="F82" s="109"/>
      <c r="G82" s="109" t="s">
        <v>753</v>
      </c>
      <c r="H82" s="109"/>
      <c r="I82" s="125"/>
      <c r="J82" s="109" t="s">
        <v>749</v>
      </c>
      <c r="K82" s="123">
        <v>46218</v>
      </c>
      <c r="L82" s="109" t="s">
        <v>978</v>
      </c>
    </row>
    <row r="83" spans="1:12" ht="29.15" x14ac:dyDescent="0.4">
      <c r="A83" s="109" t="s">
        <v>608</v>
      </c>
      <c r="B83" s="109" t="s">
        <v>18</v>
      </c>
      <c r="C83" s="109" t="s">
        <v>1190</v>
      </c>
      <c r="D83" s="125" t="s">
        <v>1191</v>
      </c>
      <c r="E83" s="109" t="s">
        <v>772</v>
      </c>
      <c r="F83" s="109" t="s">
        <v>776</v>
      </c>
      <c r="G83" s="109" t="s">
        <v>753</v>
      </c>
      <c r="H83" s="109" t="s">
        <v>776</v>
      </c>
      <c r="I83" s="125"/>
      <c r="J83" s="109" t="s">
        <v>749</v>
      </c>
      <c r="K83" s="123">
        <v>46218</v>
      </c>
      <c r="L83" s="109" t="s">
        <v>978</v>
      </c>
    </row>
    <row r="84" spans="1:12" ht="29.15" x14ac:dyDescent="0.4">
      <c r="A84" s="109" t="s">
        <v>608</v>
      </c>
      <c r="B84" s="109" t="s">
        <v>18</v>
      </c>
      <c r="C84" s="109" t="s">
        <v>1211</v>
      </c>
      <c r="D84" s="125" t="s">
        <v>1212</v>
      </c>
      <c r="E84" s="109" t="s">
        <v>203</v>
      </c>
      <c r="F84" s="109">
        <v>3</v>
      </c>
      <c r="G84" s="109" t="s">
        <v>753</v>
      </c>
      <c r="H84" s="109">
        <v>3</v>
      </c>
      <c r="I84" s="125"/>
      <c r="J84" s="109" t="s">
        <v>749</v>
      </c>
      <c r="K84" s="123">
        <v>46218</v>
      </c>
      <c r="L84" s="109" t="s">
        <v>978</v>
      </c>
    </row>
    <row r="85" spans="1:12" ht="29.15" x14ac:dyDescent="0.4">
      <c r="A85" s="109" t="s">
        <v>608</v>
      </c>
      <c r="B85" s="109" t="s">
        <v>18</v>
      </c>
      <c r="C85" s="109" t="s">
        <v>1211</v>
      </c>
      <c r="D85" s="125" t="s">
        <v>1212</v>
      </c>
      <c r="E85" s="109" t="s">
        <v>300</v>
      </c>
      <c r="F85" s="109"/>
      <c r="G85" s="109" t="s">
        <v>753</v>
      </c>
      <c r="H85" s="109"/>
      <c r="I85" s="125"/>
      <c r="J85" s="109" t="s">
        <v>749</v>
      </c>
      <c r="K85" s="123">
        <v>46218</v>
      </c>
      <c r="L85" s="109" t="s">
        <v>978</v>
      </c>
    </row>
    <row r="86" spans="1:12" ht="29.15" x14ac:dyDescent="0.4">
      <c r="A86" s="109" t="s">
        <v>608</v>
      </c>
      <c r="B86" s="109" t="s">
        <v>18</v>
      </c>
      <c r="C86" s="109" t="s">
        <v>1211</v>
      </c>
      <c r="D86" s="125" t="s">
        <v>1212</v>
      </c>
      <c r="E86" s="109" t="s">
        <v>206</v>
      </c>
      <c r="F86" s="109">
        <v>2</v>
      </c>
      <c r="G86" s="109" t="s">
        <v>753</v>
      </c>
      <c r="H86" s="109">
        <v>2</v>
      </c>
      <c r="I86" s="125"/>
      <c r="J86" s="109" t="s">
        <v>749</v>
      </c>
      <c r="K86" s="123">
        <v>46218</v>
      </c>
      <c r="L86" s="109" t="s">
        <v>978</v>
      </c>
    </row>
    <row r="87" spans="1:12" ht="29.15" x14ac:dyDescent="0.4">
      <c r="A87" s="109" t="s">
        <v>608</v>
      </c>
      <c r="B87" s="109" t="s">
        <v>18</v>
      </c>
      <c r="C87" s="109" t="s">
        <v>1211</v>
      </c>
      <c r="D87" s="125" t="s">
        <v>1212</v>
      </c>
      <c r="E87" s="109" t="s">
        <v>204</v>
      </c>
      <c r="F87" s="109">
        <v>1</v>
      </c>
      <c r="G87" s="109" t="s">
        <v>753</v>
      </c>
      <c r="H87" s="109">
        <v>1</v>
      </c>
      <c r="I87" s="125"/>
      <c r="J87" s="109" t="s">
        <v>749</v>
      </c>
      <c r="K87" s="123">
        <v>46218</v>
      </c>
      <c r="L87" s="109" t="s">
        <v>978</v>
      </c>
    </row>
    <row r="88" spans="1:12" ht="29.15" x14ac:dyDescent="0.4">
      <c r="A88" s="109" t="s">
        <v>608</v>
      </c>
      <c r="B88" s="109" t="s">
        <v>18</v>
      </c>
      <c r="C88" s="109" t="s">
        <v>1211</v>
      </c>
      <c r="D88" s="125" t="s">
        <v>1212</v>
      </c>
      <c r="E88" s="109" t="s">
        <v>551</v>
      </c>
      <c r="F88" s="109"/>
      <c r="G88" s="109" t="s">
        <v>753</v>
      </c>
      <c r="H88" s="109"/>
      <c r="I88" s="125"/>
      <c r="J88" s="109" t="s">
        <v>749</v>
      </c>
      <c r="K88" s="123">
        <v>46218</v>
      </c>
      <c r="L88" s="109" t="s">
        <v>978</v>
      </c>
    </row>
    <row r="89" spans="1:12" ht="29.15" x14ac:dyDescent="0.4">
      <c r="A89" s="109" t="s">
        <v>608</v>
      </c>
      <c r="B89" s="109" t="s">
        <v>18</v>
      </c>
      <c r="C89" s="109" t="s">
        <v>1211</v>
      </c>
      <c r="D89" s="125" t="s">
        <v>1212</v>
      </c>
      <c r="E89" s="109" t="s">
        <v>772</v>
      </c>
      <c r="F89" s="109" t="s">
        <v>776</v>
      </c>
      <c r="G89" s="109" t="s">
        <v>753</v>
      </c>
      <c r="H89" s="109" t="s">
        <v>776</v>
      </c>
      <c r="I89" s="125"/>
      <c r="J89" s="109" t="s">
        <v>749</v>
      </c>
      <c r="K89" s="123">
        <v>46218</v>
      </c>
      <c r="L89" s="109" t="s">
        <v>978</v>
      </c>
    </row>
    <row r="90" spans="1:12" x14ac:dyDescent="0.4">
      <c r="A90" s="109" t="s">
        <v>608</v>
      </c>
      <c r="B90" s="109" t="s">
        <v>124</v>
      </c>
      <c r="C90" s="109" t="s">
        <v>437</v>
      </c>
      <c r="D90" s="125" t="s">
        <v>1290</v>
      </c>
      <c r="E90" s="109" t="s">
        <v>834</v>
      </c>
      <c r="F90" s="109">
        <v>4.2</v>
      </c>
      <c r="G90" s="109" t="s">
        <v>753</v>
      </c>
      <c r="H90" s="109">
        <v>4.2</v>
      </c>
      <c r="I90" s="125"/>
      <c r="J90" s="109" t="s">
        <v>749</v>
      </c>
      <c r="K90" s="123">
        <v>46218</v>
      </c>
      <c r="L90" s="109" t="s">
        <v>978</v>
      </c>
    </row>
    <row r="91" spans="1:12" x14ac:dyDescent="0.4">
      <c r="A91" s="109" t="s">
        <v>608</v>
      </c>
      <c r="B91" s="109" t="s">
        <v>124</v>
      </c>
      <c r="C91" s="109" t="s">
        <v>437</v>
      </c>
      <c r="D91" s="125" t="s">
        <v>1290</v>
      </c>
      <c r="E91" s="109" t="s">
        <v>828</v>
      </c>
      <c r="F91" s="109">
        <v>3</v>
      </c>
      <c r="G91" s="109" t="s">
        <v>753</v>
      </c>
      <c r="H91" s="109">
        <v>3</v>
      </c>
      <c r="I91" s="125"/>
      <c r="J91" s="109" t="s">
        <v>749</v>
      </c>
      <c r="K91" s="123">
        <v>46218</v>
      </c>
      <c r="L91" s="109" t="s">
        <v>978</v>
      </c>
    </row>
    <row r="92" spans="1:12" x14ac:dyDescent="0.4">
      <c r="A92" s="109" t="s">
        <v>608</v>
      </c>
      <c r="B92" s="109" t="s">
        <v>124</v>
      </c>
      <c r="C92" s="109" t="s">
        <v>437</v>
      </c>
      <c r="D92" s="125" t="s">
        <v>1290</v>
      </c>
      <c r="E92" s="109" t="s">
        <v>832</v>
      </c>
      <c r="F92" s="109">
        <v>6</v>
      </c>
      <c r="G92" s="109" t="s">
        <v>753</v>
      </c>
      <c r="H92" s="109">
        <v>6</v>
      </c>
      <c r="I92" s="125"/>
      <c r="J92" s="109" t="s">
        <v>749</v>
      </c>
      <c r="K92" s="123">
        <v>46218</v>
      </c>
      <c r="L92" s="109" t="s">
        <v>978</v>
      </c>
    </row>
    <row r="93" spans="1:12" ht="29.15" x14ac:dyDescent="0.4">
      <c r="A93" s="109" t="s">
        <v>608</v>
      </c>
      <c r="B93" s="109" t="s">
        <v>124</v>
      </c>
      <c r="C93" s="109" t="s">
        <v>1292</v>
      </c>
      <c r="D93" s="125" t="s">
        <v>1293</v>
      </c>
      <c r="E93" s="109" t="s">
        <v>834</v>
      </c>
      <c r="F93" s="109">
        <v>2.5</v>
      </c>
      <c r="G93" s="109" t="s">
        <v>753</v>
      </c>
      <c r="H93" s="109">
        <v>2.5</v>
      </c>
      <c r="I93" s="125"/>
      <c r="J93" s="109" t="s">
        <v>749</v>
      </c>
      <c r="K93" s="123">
        <v>46218</v>
      </c>
      <c r="L93" s="109" t="s">
        <v>978</v>
      </c>
    </row>
    <row r="94" spans="1:12" ht="29.15" x14ac:dyDescent="0.4">
      <c r="A94" s="109" t="s">
        <v>608</v>
      </c>
      <c r="B94" s="109" t="s">
        <v>124</v>
      </c>
      <c r="C94" s="109" t="s">
        <v>1292</v>
      </c>
      <c r="D94" s="125" t="s">
        <v>1293</v>
      </c>
      <c r="E94" s="109" t="s">
        <v>828</v>
      </c>
      <c r="F94" s="109">
        <v>4</v>
      </c>
      <c r="G94" s="109" t="s">
        <v>753</v>
      </c>
      <c r="H94" s="109">
        <v>4</v>
      </c>
      <c r="I94" s="125"/>
      <c r="J94" s="109" t="s">
        <v>749</v>
      </c>
      <c r="K94" s="123">
        <v>46218</v>
      </c>
      <c r="L94" s="109" t="s">
        <v>978</v>
      </c>
    </row>
    <row r="95" spans="1:12" ht="29.15" x14ac:dyDescent="0.4">
      <c r="A95" s="109" t="s">
        <v>608</v>
      </c>
      <c r="B95" s="109" t="s">
        <v>124</v>
      </c>
      <c r="C95" s="109" t="s">
        <v>1292</v>
      </c>
      <c r="D95" s="125" t="s">
        <v>1293</v>
      </c>
      <c r="E95" s="109" t="s">
        <v>832</v>
      </c>
      <c r="F95" s="109">
        <v>12</v>
      </c>
      <c r="G95" s="109" t="s">
        <v>753</v>
      </c>
      <c r="H95" s="109">
        <v>12</v>
      </c>
      <c r="I95" s="125"/>
      <c r="J95" s="109" t="s">
        <v>749</v>
      </c>
      <c r="K95" s="123">
        <v>46218</v>
      </c>
      <c r="L95" s="109" t="s">
        <v>978</v>
      </c>
    </row>
    <row r="96" spans="1:12" x14ac:dyDescent="0.4">
      <c r="A96" s="109" t="s">
        <v>608</v>
      </c>
      <c r="B96" s="109" t="s">
        <v>124</v>
      </c>
      <c r="C96" s="109" t="s">
        <v>1298</v>
      </c>
      <c r="D96" s="125" t="s">
        <v>1299</v>
      </c>
      <c r="E96" s="109" t="s">
        <v>834</v>
      </c>
      <c r="F96" s="109">
        <v>78</v>
      </c>
      <c r="G96" s="109" t="s">
        <v>753</v>
      </c>
      <c r="H96" s="109">
        <v>78</v>
      </c>
      <c r="I96" s="125"/>
      <c r="J96" s="109" t="s">
        <v>749</v>
      </c>
      <c r="K96" s="123">
        <v>46218</v>
      </c>
      <c r="L96" s="109" t="s">
        <v>978</v>
      </c>
    </row>
    <row r="97" spans="1:12" x14ac:dyDescent="0.4">
      <c r="A97" s="109" t="s">
        <v>608</v>
      </c>
      <c r="B97" s="109" t="s">
        <v>124</v>
      </c>
      <c r="C97" s="109" t="s">
        <v>1298</v>
      </c>
      <c r="D97" s="125" t="s">
        <v>1299</v>
      </c>
      <c r="E97" s="109" t="s">
        <v>828</v>
      </c>
      <c r="F97" s="109">
        <v>60</v>
      </c>
      <c r="G97" s="109" t="s">
        <v>753</v>
      </c>
      <c r="H97" s="109">
        <v>60</v>
      </c>
      <c r="I97" s="125"/>
      <c r="J97" s="109" t="s">
        <v>749</v>
      </c>
      <c r="K97" s="123">
        <v>46218</v>
      </c>
      <c r="L97" s="109" t="s">
        <v>978</v>
      </c>
    </row>
    <row r="98" spans="1:12" x14ac:dyDescent="0.4">
      <c r="A98" s="109" t="s">
        <v>608</v>
      </c>
      <c r="B98" s="109" t="s">
        <v>124</v>
      </c>
      <c r="C98" s="109" t="s">
        <v>1298</v>
      </c>
      <c r="D98" s="125" t="s">
        <v>1299</v>
      </c>
      <c r="E98" s="109" t="s">
        <v>832</v>
      </c>
      <c r="F98" s="109">
        <v>75</v>
      </c>
      <c r="G98" s="109" t="s">
        <v>753</v>
      </c>
      <c r="H98" s="109">
        <v>75</v>
      </c>
      <c r="I98" s="125"/>
      <c r="J98" s="109" t="s">
        <v>749</v>
      </c>
      <c r="K98" s="123">
        <v>46218</v>
      </c>
      <c r="L98" s="109" t="s">
        <v>978</v>
      </c>
    </row>
    <row r="99" spans="1:12" ht="29.15" x14ac:dyDescent="0.4">
      <c r="A99" s="109" t="s">
        <v>608</v>
      </c>
      <c r="B99" s="109" t="s">
        <v>124</v>
      </c>
      <c r="C99" s="109" t="s">
        <v>1303</v>
      </c>
      <c r="D99" s="125" t="s">
        <v>1304</v>
      </c>
      <c r="E99" s="109" t="s">
        <v>834</v>
      </c>
      <c r="F99" s="109">
        <v>1</v>
      </c>
      <c r="G99" s="109" t="s">
        <v>753</v>
      </c>
      <c r="H99" s="109">
        <v>1</v>
      </c>
      <c r="I99" s="125"/>
      <c r="J99" s="109" t="s">
        <v>749</v>
      </c>
      <c r="K99" s="123">
        <v>46218</v>
      </c>
      <c r="L99" s="109" t="s">
        <v>978</v>
      </c>
    </row>
    <row r="100" spans="1:12" ht="29.15" x14ac:dyDescent="0.4">
      <c r="A100" s="109" t="s">
        <v>608</v>
      </c>
      <c r="B100" s="109" t="s">
        <v>124</v>
      </c>
      <c r="C100" s="109" t="s">
        <v>1303</v>
      </c>
      <c r="D100" s="125" t="s">
        <v>1304</v>
      </c>
      <c r="E100" s="109" t="s">
        <v>828</v>
      </c>
      <c r="F100" s="109">
        <v>2</v>
      </c>
      <c r="G100" s="109" t="s">
        <v>753</v>
      </c>
      <c r="H100" s="109">
        <v>2</v>
      </c>
      <c r="I100" s="125"/>
      <c r="J100" s="109" t="s">
        <v>749</v>
      </c>
      <c r="K100" s="123">
        <v>46218</v>
      </c>
      <c r="L100" s="109" t="s">
        <v>978</v>
      </c>
    </row>
    <row r="101" spans="1:12" ht="29.15" x14ac:dyDescent="0.4">
      <c r="A101" s="109" t="s">
        <v>608</v>
      </c>
      <c r="B101" s="109" t="s">
        <v>124</v>
      </c>
      <c r="C101" s="109" t="s">
        <v>1303</v>
      </c>
      <c r="D101" s="125" t="s">
        <v>1304</v>
      </c>
      <c r="E101" s="109" t="s">
        <v>832</v>
      </c>
      <c r="F101" s="109">
        <v>4</v>
      </c>
      <c r="G101" s="109" t="s">
        <v>753</v>
      </c>
      <c r="H101" s="109">
        <v>4</v>
      </c>
      <c r="I101" s="125"/>
      <c r="J101" s="109" t="s">
        <v>749</v>
      </c>
      <c r="K101" s="123">
        <v>46218</v>
      </c>
      <c r="L101" s="109" t="s">
        <v>978</v>
      </c>
    </row>
    <row r="102" spans="1:12" x14ac:dyDescent="0.4">
      <c r="A102" s="109" t="s">
        <v>608</v>
      </c>
      <c r="B102" s="109" t="s">
        <v>124</v>
      </c>
      <c r="C102" s="109" t="s">
        <v>1308</v>
      </c>
      <c r="D102" s="125" t="s">
        <v>1309</v>
      </c>
      <c r="E102" s="109" t="s">
        <v>834</v>
      </c>
      <c r="F102" s="109">
        <v>0.8</v>
      </c>
      <c r="G102" s="109" t="s">
        <v>753</v>
      </c>
      <c r="H102" s="109">
        <v>0.8</v>
      </c>
      <c r="I102" s="125"/>
      <c r="J102" s="109" t="s">
        <v>749</v>
      </c>
      <c r="K102" s="123">
        <v>46218</v>
      </c>
      <c r="L102" s="109" t="s">
        <v>978</v>
      </c>
    </row>
    <row r="103" spans="1:12" x14ac:dyDescent="0.4">
      <c r="A103" s="109" t="s">
        <v>608</v>
      </c>
      <c r="B103" s="109" t="s">
        <v>124</v>
      </c>
      <c r="C103" s="109" t="s">
        <v>1308</v>
      </c>
      <c r="D103" s="125" t="s">
        <v>1309</v>
      </c>
      <c r="E103" s="109" t="s">
        <v>828</v>
      </c>
      <c r="F103" s="109">
        <v>1.5</v>
      </c>
      <c r="G103" s="109" t="s">
        <v>753</v>
      </c>
      <c r="H103" s="109">
        <v>1.5</v>
      </c>
      <c r="I103" s="125"/>
      <c r="J103" s="109" t="s">
        <v>749</v>
      </c>
      <c r="K103" s="123">
        <v>46218</v>
      </c>
      <c r="L103" s="109" t="s">
        <v>978</v>
      </c>
    </row>
    <row r="104" spans="1:12" x14ac:dyDescent="0.4">
      <c r="A104" s="109" t="s">
        <v>608</v>
      </c>
      <c r="B104" s="109" t="s">
        <v>124</v>
      </c>
      <c r="C104" s="109" t="s">
        <v>1308</v>
      </c>
      <c r="D104" s="125" t="s">
        <v>1309</v>
      </c>
      <c r="E104" s="109" t="s">
        <v>832</v>
      </c>
      <c r="F104" s="109">
        <v>3</v>
      </c>
      <c r="G104" s="109" t="s">
        <v>753</v>
      </c>
      <c r="H104" s="109">
        <v>3</v>
      </c>
      <c r="I104" s="125"/>
      <c r="J104" s="109" t="s">
        <v>749</v>
      </c>
      <c r="K104" s="123">
        <v>46218</v>
      </c>
      <c r="L104" s="109" t="s">
        <v>978</v>
      </c>
    </row>
    <row r="105" spans="1:12" ht="29.15" x14ac:dyDescent="0.4">
      <c r="A105" s="109" t="s">
        <v>608</v>
      </c>
      <c r="B105" s="109" t="s">
        <v>124</v>
      </c>
      <c r="C105" s="109" t="s">
        <v>1313</v>
      </c>
      <c r="D105" s="125" t="s">
        <v>1314</v>
      </c>
      <c r="E105" s="109" t="s">
        <v>834</v>
      </c>
      <c r="F105" s="109"/>
      <c r="G105" s="109" t="s">
        <v>753</v>
      </c>
      <c r="H105" s="109"/>
      <c r="I105" s="125"/>
      <c r="J105" s="109" t="s">
        <v>749</v>
      </c>
      <c r="K105" s="123">
        <v>46218</v>
      </c>
      <c r="L105" s="109" t="s">
        <v>978</v>
      </c>
    </row>
    <row r="106" spans="1:12" ht="29.15" x14ac:dyDescent="0.4">
      <c r="A106" s="109" t="s">
        <v>608</v>
      </c>
      <c r="B106" s="109" t="s">
        <v>124</v>
      </c>
      <c r="C106" s="109" t="s">
        <v>1313</v>
      </c>
      <c r="D106" s="125" t="s">
        <v>1314</v>
      </c>
      <c r="E106" s="109" t="s">
        <v>828</v>
      </c>
      <c r="F106" s="109">
        <v>20</v>
      </c>
      <c r="G106" s="109" t="s">
        <v>753</v>
      </c>
      <c r="H106" s="109">
        <v>20</v>
      </c>
      <c r="I106" s="125"/>
      <c r="J106" s="109" t="s">
        <v>749</v>
      </c>
      <c r="K106" s="123">
        <v>46218</v>
      </c>
      <c r="L106" s="109" t="s">
        <v>978</v>
      </c>
    </row>
    <row r="107" spans="1:12" ht="29.15" x14ac:dyDescent="0.4">
      <c r="A107" s="109" t="s">
        <v>608</v>
      </c>
      <c r="B107" s="109" t="s">
        <v>124</v>
      </c>
      <c r="C107" s="109" t="s">
        <v>1313</v>
      </c>
      <c r="D107" s="125" t="s">
        <v>1314</v>
      </c>
      <c r="E107" s="109" t="s">
        <v>832</v>
      </c>
      <c r="F107" s="109">
        <v>40</v>
      </c>
      <c r="G107" s="109" t="s">
        <v>753</v>
      </c>
      <c r="H107" s="109">
        <v>40</v>
      </c>
      <c r="I107" s="125"/>
      <c r="J107" s="109" t="s">
        <v>749</v>
      </c>
      <c r="K107" s="123">
        <v>46218</v>
      </c>
      <c r="L107" s="109" t="s">
        <v>978</v>
      </c>
    </row>
    <row r="108" spans="1:12" ht="29.15" x14ac:dyDescent="0.4">
      <c r="A108" s="109" t="s">
        <v>608</v>
      </c>
      <c r="B108" s="109" t="s">
        <v>124</v>
      </c>
      <c r="C108" s="109" t="s">
        <v>1317</v>
      </c>
      <c r="D108" s="125" t="s">
        <v>1318</v>
      </c>
      <c r="E108" s="109" t="s">
        <v>834</v>
      </c>
      <c r="F108" s="109">
        <v>2</v>
      </c>
      <c r="G108" s="109" t="s">
        <v>753</v>
      </c>
      <c r="H108" s="109">
        <v>2</v>
      </c>
      <c r="I108" s="125"/>
      <c r="J108" s="109" t="s">
        <v>749</v>
      </c>
      <c r="K108" s="123">
        <v>46218</v>
      </c>
      <c r="L108" s="109" t="s">
        <v>978</v>
      </c>
    </row>
    <row r="109" spans="1:12" ht="29.15" x14ac:dyDescent="0.4">
      <c r="A109" s="109" t="s">
        <v>608</v>
      </c>
      <c r="B109" s="109" t="s">
        <v>124</v>
      </c>
      <c r="C109" s="109" t="s">
        <v>1317</v>
      </c>
      <c r="D109" s="125" t="s">
        <v>1318</v>
      </c>
      <c r="E109" s="109" t="s">
        <v>828</v>
      </c>
      <c r="F109" s="109">
        <v>1</v>
      </c>
      <c r="G109" s="109" t="s">
        <v>753</v>
      </c>
      <c r="H109" s="109">
        <v>1</v>
      </c>
      <c r="I109" s="125"/>
      <c r="J109" s="109" t="s">
        <v>749</v>
      </c>
      <c r="K109" s="123">
        <v>46218</v>
      </c>
      <c r="L109" s="109" t="s">
        <v>978</v>
      </c>
    </row>
    <row r="110" spans="1:12" ht="29.15" x14ac:dyDescent="0.4">
      <c r="A110" s="109" t="s">
        <v>608</v>
      </c>
      <c r="B110" s="109" t="s">
        <v>124</v>
      </c>
      <c r="C110" s="109" t="s">
        <v>1317</v>
      </c>
      <c r="D110" s="125" t="s">
        <v>1318</v>
      </c>
      <c r="E110" s="109" t="s">
        <v>832</v>
      </c>
      <c r="F110" s="109">
        <v>3</v>
      </c>
      <c r="G110" s="109" t="s">
        <v>753</v>
      </c>
      <c r="H110" s="109">
        <v>3</v>
      </c>
      <c r="I110" s="125"/>
      <c r="J110" s="109" t="s">
        <v>749</v>
      </c>
      <c r="K110" s="123">
        <v>46218</v>
      </c>
      <c r="L110" s="109" t="s">
        <v>978</v>
      </c>
    </row>
    <row r="111" spans="1:12" x14ac:dyDescent="0.4">
      <c r="A111" s="109" t="s">
        <v>608</v>
      </c>
      <c r="B111" s="109" t="s">
        <v>124</v>
      </c>
      <c r="C111" s="109" t="s">
        <v>1321</v>
      </c>
      <c r="D111" s="125" t="s">
        <v>1322</v>
      </c>
      <c r="E111" s="109" t="s">
        <v>834</v>
      </c>
      <c r="F111" s="109">
        <v>3</v>
      </c>
      <c r="G111" s="109" t="s">
        <v>753</v>
      </c>
      <c r="H111" s="109">
        <v>3</v>
      </c>
      <c r="I111" s="125"/>
      <c r="J111" s="109" t="s">
        <v>749</v>
      </c>
      <c r="K111" s="123">
        <v>46218</v>
      </c>
      <c r="L111" s="109" t="s">
        <v>978</v>
      </c>
    </row>
    <row r="112" spans="1:12" x14ac:dyDescent="0.4">
      <c r="A112" s="109" t="s">
        <v>608</v>
      </c>
      <c r="B112" s="109" t="s">
        <v>124</v>
      </c>
      <c r="C112" s="109" t="s">
        <v>1321</v>
      </c>
      <c r="D112" s="125" t="s">
        <v>1322</v>
      </c>
      <c r="E112" s="109" t="s">
        <v>828</v>
      </c>
      <c r="F112" s="109">
        <v>2</v>
      </c>
      <c r="G112" s="109" t="s">
        <v>753</v>
      </c>
      <c r="H112" s="109">
        <v>2</v>
      </c>
      <c r="I112" s="125"/>
      <c r="J112" s="109" t="s">
        <v>749</v>
      </c>
      <c r="K112" s="123">
        <v>46218</v>
      </c>
      <c r="L112" s="109" t="s">
        <v>978</v>
      </c>
    </row>
    <row r="113" spans="1:12" x14ac:dyDescent="0.4">
      <c r="A113" s="109" t="s">
        <v>608</v>
      </c>
      <c r="B113" s="109" t="s">
        <v>124</v>
      </c>
      <c r="C113" s="109" t="s">
        <v>1321</v>
      </c>
      <c r="D113" s="125" t="s">
        <v>1322</v>
      </c>
      <c r="E113" s="109" t="s">
        <v>832</v>
      </c>
      <c r="F113" s="109">
        <v>5</v>
      </c>
      <c r="G113" s="109" t="s">
        <v>753</v>
      </c>
      <c r="H113" s="109">
        <v>5</v>
      </c>
      <c r="I113" s="125"/>
      <c r="J113" s="109" t="s">
        <v>749</v>
      </c>
      <c r="K113" s="123">
        <v>46218</v>
      </c>
      <c r="L113" s="109" t="s">
        <v>978</v>
      </c>
    </row>
    <row r="114" spans="1:12" x14ac:dyDescent="0.4">
      <c r="A114" s="109" t="s">
        <v>608</v>
      </c>
      <c r="B114" s="109" t="s">
        <v>124</v>
      </c>
      <c r="C114" s="109" t="s">
        <v>1326</v>
      </c>
      <c r="D114" s="125" t="s">
        <v>1327</v>
      </c>
      <c r="E114" s="109" t="s">
        <v>834</v>
      </c>
      <c r="F114" s="109">
        <v>7</v>
      </c>
      <c r="G114" s="109" t="s">
        <v>753</v>
      </c>
      <c r="H114" s="109">
        <v>7</v>
      </c>
      <c r="I114" s="125"/>
      <c r="J114" s="109" t="s">
        <v>749</v>
      </c>
      <c r="K114" s="123">
        <v>46218</v>
      </c>
      <c r="L114" s="109" t="s">
        <v>978</v>
      </c>
    </row>
    <row r="115" spans="1:12" x14ac:dyDescent="0.4">
      <c r="A115" s="109" t="s">
        <v>608</v>
      </c>
      <c r="B115" s="109" t="s">
        <v>124</v>
      </c>
      <c r="C115" s="109" t="s">
        <v>1326</v>
      </c>
      <c r="D115" s="125" t="s">
        <v>1327</v>
      </c>
      <c r="E115" s="109" t="s">
        <v>828</v>
      </c>
      <c r="F115" s="109">
        <v>3</v>
      </c>
      <c r="G115" s="109" t="s">
        <v>753</v>
      </c>
      <c r="H115" s="109">
        <v>3</v>
      </c>
      <c r="I115" s="125"/>
      <c r="J115" s="109" t="s">
        <v>749</v>
      </c>
      <c r="K115" s="123">
        <v>46218</v>
      </c>
      <c r="L115" s="109" t="s">
        <v>978</v>
      </c>
    </row>
    <row r="116" spans="1:12" x14ac:dyDescent="0.4">
      <c r="A116" s="109" t="s">
        <v>608</v>
      </c>
      <c r="B116" s="109" t="s">
        <v>124</v>
      </c>
      <c r="C116" s="109" t="s">
        <v>1326</v>
      </c>
      <c r="D116" s="125" t="s">
        <v>1327</v>
      </c>
      <c r="E116" s="109" t="s">
        <v>832</v>
      </c>
      <c r="F116" s="109">
        <v>6</v>
      </c>
      <c r="G116" s="109" t="s">
        <v>753</v>
      </c>
      <c r="H116" s="109">
        <v>6</v>
      </c>
      <c r="I116" s="125"/>
      <c r="J116" s="109" t="s">
        <v>749</v>
      </c>
      <c r="K116" s="123">
        <v>46218</v>
      </c>
      <c r="L116" s="109" t="s">
        <v>978</v>
      </c>
    </row>
    <row r="117" spans="1:12" ht="29.15" x14ac:dyDescent="0.4">
      <c r="A117" s="109" t="s">
        <v>608</v>
      </c>
      <c r="B117" s="109" t="s">
        <v>124</v>
      </c>
      <c r="C117" s="109" t="s">
        <v>1330</v>
      </c>
      <c r="D117" s="125" t="s">
        <v>1331</v>
      </c>
      <c r="E117" s="109" t="s">
        <v>834</v>
      </c>
      <c r="F117" s="109">
        <v>25</v>
      </c>
      <c r="G117" s="109" t="s">
        <v>753</v>
      </c>
      <c r="H117" s="109">
        <v>25</v>
      </c>
      <c r="I117" s="125"/>
      <c r="J117" s="109" t="s">
        <v>749</v>
      </c>
      <c r="K117" s="123">
        <v>46218</v>
      </c>
      <c r="L117" s="109" t="s">
        <v>978</v>
      </c>
    </row>
    <row r="118" spans="1:12" ht="29.15" x14ac:dyDescent="0.4">
      <c r="A118" s="109" t="s">
        <v>608</v>
      </c>
      <c r="B118" s="109" t="s">
        <v>124</v>
      </c>
      <c r="C118" s="109" t="s">
        <v>1330</v>
      </c>
      <c r="D118" s="125" t="s">
        <v>1331</v>
      </c>
      <c r="E118" s="109" t="s">
        <v>828</v>
      </c>
      <c r="F118" s="109">
        <v>30</v>
      </c>
      <c r="G118" s="109" t="s">
        <v>753</v>
      </c>
      <c r="H118" s="109">
        <v>30</v>
      </c>
      <c r="I118" s="125"/>
      <c r="J118" s="109" t="s">
        <v>749</v>
      </c>
      <c r="K118" s="123">
        <v>46218</v>
      </c>
      <c r="L118" s="109" t="s">
        <v>978</v>
      </c>
    </row>
    <row r="119" spans="1:12" ht="29.15" x14ac:dyDescent="0.4">
      <c r="A119" s="109" t="s">
        <v>608</v>
      </c>
      <c r="B119" s="109" t="s">
        <v>124</v>
      </c>
      <c r="C119" s="109" t="s">
        <v>1330</v>
      </c>
      <c r="D119" s="125" t="s">
        <v>1331</v>
      </c>
      <c r="E119" s="109" t="s">
        <v>832</v>
      </c>
      <c r="F119" s="109">
        <v>60</v>
      </c>
      <c r="G119" s="109" t="s">
        <v>753</v>
      </c>
      <c r="H119" s="109">
        <v>60</v>
      </c>
      <c r="I119" s="125"/>
      <c r="J119" s="109" t="s">
        <v>749</v>
      </c>
      <c r="K119" s="123">
        <v>46218</v>
      </c>
      <c r="L119" s="109" t="s">
        <v>978</v>
      </c>
    </row>
    <row r="120" spans="1:12" ht="29.15" x14ac:dyDescent="0.4">
      <c r="A120" s="109" t="s">
        <v>608</v>
      </c>
      <c r="B120" s="109" t="s">
        <v>124</v>
      </c>
      <c r="C120" s="109" t="s">
        <v>1366</v>
      </c>
      <c r="D120" s="125" t="s">
        <v>1367</v>
      </c>
      <c r="E120" s="109" t="s">
        <v>834</v>
      </c>
      <c r="F120" s="109">
        <v>14</v>
      </c>
      <c r="G120" s="109" t="s">
        <v>753</v>
      </c>
      <c r="H120" s="109">
        <v>14</v>
      </c>
      <c r="I120" s="125"/>
      <c r="J120" s="109" t="s">
        <v>749</v>
      </c>
      <c r="K120" s="123">
        <v>46218</v>
      </c>
      <c r="L120" s="109" t="s">
        <v>978</v>
      </c>
    </row>
    <row r="121" spans="1:12" ht="29.15" x14ac:dyDescent="0.4">
      <c r="A121" s="109" t="s">
        <v>608</v>
      </c>
      <c r="B121" s="109" t="s">
        <v>124</v>
      </c>
      <c r="C121" s="109" t="s">
        <v>1366</v>
      </c>
      <c r="D121" s="125" t="s">
        <v>1367</v>
      </c>
      <c r="E121" s="109" t="s">
        <v>828</v>
      </c>
      <c r="F121" s="109">
        <v>10</v>
      </c>
      <c r="G121" s="109" t="s">
        <v>753</v>
      </c>
      <c r="H121" s="109">
        <v>10</v>
      </c>
      <c r="I121" s="125"/>
      <c r="J121" s="109" t="s">
        <v>749</v>
      </c>
      <c r="K121" s="123">
        <v>46218</v>
      </c>
      <c r="L121" s="109" t="s">
        <v>978</v>
      </c>
    </row>
    <row r="122" spans="1:12" ht="29.15" x14ac:dyDescent="0.4">
      <c r="A122" s="109" t="s">
        <v>608</v>
      </c>
      <c r="B122" s="109" t="s">
        <v>124</v>
      </c>
      <c r="C122" s="109" t="s">
        <v>1366</v>
      </c>
      <c r="D122" s="125" t="s">
        <v>1367</v>
      </c>
      <c r="E122" s="109" t="s">
        <v>832</v>
      </c>
      <c r="F122" s="109">
        <v>30</v>
      </c>
      <c r="G122" s="109" t="s">
        <v>753</v>
      </c>
      <c r="H122" s="109">
        <v>30</v>
      </c>
      <c r="I122" s="125"/>
      <c r="J122" s="109" t="s">
        <v>749</v>
      </c>
      <c r="K122" s="123">
        <v>46218</v>
      </c>
      <c r="L122" s="109" t="s">
        <v>978</v>
      </c>
    </row>
    <row r="123" spans="1:12" ht="29.15" x14ac:dyDescent="0.4">
      <c r="A123" s="109" t="s">
        <v>608</v>
      </c>
      <c r="B123" s="109" t="s">
        <v>124</v>
      </c>
      <c r="C123" s="109" t="s">
        <v>1370</v>
      </c>
      <c r="D123" s="125" t="s">
        <v>1371</v>
      </c>
      <c r="E123" s="109" t="s">
        <v>834</v>
      </c>
      <c r="F123" s="109">
        <v>35</v>
      </c>
      <c r="G123" s="109" t="s">
        <v>753</v>
      </c>
      <c r="H123" s="109">
        <v>35</v>
      </c>
      <c r="I123" s="125" t="s">
        <v>1499</v>
      </c>
      <c r="J123" s="109" t="s">
        <v>749</v>
      </c>
      <c r="K123" s="123">
        <v>46218</v>
      </c>
      <c r="L123" s="109" t="s">
        <v>978</v>
      </c>
    </row>
    <row r="124" spans="1:12" ht="29.15" x14ac:dyDescent="0.4">
      <c r="A124" s="109" t="s">
        <v>608</v>
      </c>
      <c r="B124" s="109" t="s">
        <v>124</v>
      </c>
      <c r="C124" s="109" t="s">
        <v>1370</v>
      </c>
      <c r="D124" s="125" t="s">
        <v>1371</v>
      </c>
      <c r="E124" s="109" t="s">
        <v>828</v>
      </c>
      <c r="F124" s="109">
        <v>30</v>
      </c>
      <c r="G124" s="109" t="s">
        <v>966</v>
      </c>
      <c r="H124" s="109">
        <v>20</v>
      </c>
      <c r="I124" s="125" t="s">
        <v>1499</v>
      </c>
      <c r="J124" s="109" t="s">
        <v>749</v>
      </c>
      <c r="K124" s="123">
        <v>46218</v>
      </c>
      <c r="L124" s="109" t="s">
        <v>978</v>
      </c>
    </row>
    <row r="125" spans="1:12" ht="29.15" x14ac:dyDescent="0.4">
      <c r="A125" s="109" t="s">
        <v>608</v>
      </c>
      <c r="B125" s="109" t="s">
        <v>124</v>
      </c>
      <c r="C125" s="109" t="s">
        <v>1370</v>
      </c>
      <c r="D125" s="125" t="s">
        <v>1371</v>
      </c>
      <c r="E125" s="109" t="s">
        <v>832</v>
      </c>
      <c r="F125" s="109">
        <v>40</v>
      </c>
      <c r="G125" s="109" t="s">
        <v>753</v>
      </c>
      <c r="H125" s="109">
        <v>40</v>
      </c>
      <c r="I125" s="125" t="s">
        <v>1499</v>
      </c>
      <c r="J125" s="109" t="s">
        <v>749</v>
      </c>
      <c r="K125" s="123">
        <v>46218</v>
      </c>
      <c r="L125" s="109" t="s">
        <v>978</v>
      </c>
    </row>
    <row r="126" spans="1:12" ht="29.15" x14ac:dyDescent="0.4">
      <c r="A126" s="109" t="s">
        <v>608</v>
      </c>
      <c r="B126" s="109" t="s">
        <v>124</v>
      </c>
      <c r="C126" s="109" t="s">
        <v>1334</v>
      </c>
      <c r="D126" s="125" t="s">
        <v>1335</v>
      </c>
      <c r="E126" s="109" t="s">
        <v>834</v>
      </c>
      <c r="F126" s="109">
        <v>1</v>
      </c>
      <c r="G126" s="109" t="s">
        <v>753</v>
      </c>
      <c r="H126" s="109">
        <v>1</v>
      </c>
      <c r="I126" s="125"/>
      <c r="J126" s="109" t="s">
        <v>749</v>
      </c>
      <c r="K126" s="123">
        <v>46218</v>
      </c>
      <c r="L126" s="109" t="s">
        <v>978</v>
      </c>
    </row>
    <row r="127" spans="1:12" ht="29.15" x14ac:dyDescent="0.4">
      <c r="A127" s="109" t="s">
        <v>608</v>
      </c>
      <c r="B127" s="109" t="s">
        <v>124</v>
      </c>
      <c r="C127" s="109" t="s">
        <v>1334</v>
      </c>
      <c r="D127" s="125" t="s">
        <v>1335</v>
      </c>
      <c r="E127" s="109" t="s">
        <v>828</v>
      </c>
      <c r="F127" s="109">
        <v>1</v>
      </c>
      <c r="G127" s="109" t="s">
        <v>753</v>
      </c>
      <c r="H127" s="109">
        <v>1</v>
      </c>
      <c r="I127" s="125"/>
      <c r="J127" s="109" t="s">
        <v>749</v>
      </c>
      <c r="K127" s="123">
        <v>46218</v>
      </c>
      <c r="L127" s="109" t="s">
        <v>978</v>
      </c>
    </row>
    <row r="128" spans="1:12" ht="29.15" x14ac:dyDescent="0.4">
      <c r="A128" s="109" t="s">
        <v>608</v>
      </c>
      <c r="B128" s="109" t="s">
        <v>124</v>
      </c>
      <c r="C128" s="109" t="s">
        <v>1334</v>
      </c>
      <c r="D128" s="125" t="s">
        <v>1335</v>
      </c>
      <c r="E128" s="109" t="s">
        <v>832</v>
      </c>
      <c r="F128" s="109">
        <v>2</v>
      </c>
      <c r="G128" s="109" t="s">
        <v>753</v>
      </c>
      <c r="H128" s="109">
        <v>2</v>
      </c>
      <c r="I128" s="125"/>
      <c r="J128" s="109" t="s">
        <v>749</v>
      </c>
      <c r="K128" s="123">
        <v>46218</v>
      </c>
      <c r="L128" s="109" t="s">
        <v>978</v>
      </c>
    </row>
    <row r="129" spans="1:12" ht="29.15" x14ac:dyDescent="0.4">
      <c r="A129" s="109" t="s">
        <v>608</v>
      </c>
      <c r="B129" s="109" t="s">
        <v>124</v>
      </c>
      <c r="C129" s="109" t="s">
        <v>1337</v>
      </c>
      <c r="D129" s="125" t="s">
        <v>1338</v>
      </c>
      <c r="E129" s="109" t="s">
        <v>834</v>
      </c>
      <c r="F129" s="109">
        <v>3</v>
      </c>
      <c r="G129" s="109" t="s">
        <v>753</v>
      </c>
      <c r="H129" s="109">
        <v>3</v>
      </c>
      <c r="I129" s="125"/>
      <c r="J129" s="109" t="s">
        <v>749</v>
      </c>
      <c r="K129" s="123">
        <v>46218</v>
      </c>
      <c r="L129" s="109" t="s">
        <v>978</v>
      </c>
    </row>
    <row r="130" spans="1:12" ht="29.15" x14ac:dyDescent="0.4">
      <c r="A130" s="109" t="s">
        <v>608</v>
      </c>
      <c r="B130" s="109" t="s">
        <v>124</v>
      </c>
      <c r="C130" s="109" t="s">
        <v>1337</v>
      </c>
      <c r="D130" s="125" t="s">
        <v>1338</v>
      </c>
      <c r="E130" s="109" t="s">
        <v>828</v>
      </c>
      <c r="F130" s="109">
        <v>4</v>
      </c>
      <c r="G130" s="109" t="s">
        <v>753</v>
      </c>
      <c r="H130" s="109">
        <v>4</v>
      </c>
      <c r="I130" s="125"/>
      <c r="J130" s="109" t="s">
        <v>749</v>
      </c>
      <c r="K130" s="123">
        <v>46218</v>
      </c>
      <c r="L130" s="109" t="s">
        <v>978</v>
      </c>
    </row>
    <row r="131" spans="1:12" ht="29.15" x14ac:dyDescent="0.4">
      <c r="A131" s="109" t="s">
        <v>608</v>
      </c>
      <c r="B131" s="109" t="s">
        <v>124</v>
      </c>
      <c r="C131" s="109" t="s">
        <v>1337</v>
      </c>
      <c r="D131" s="125" t="s">
        <v>1338</v>
      </c>
      <c r="E131" s="109" t="s">
        <v>832</v>
      </c>
      <c r="F131" s="109">
        <v>12</v>
      </c>
      <c r="G131" s="109" t="s">
        <v>753</v>
      </c>
      <c r="H131" s="109">
        <v>12</v>
      </c>
      <c r="I131" s="125"/>
      <c r="J131" s="109" t="s">
        <v>749</v>
      </c>
      <c r="K131" s="123">
        <v>46218</v>
      </c>
      <c r="L131" s="109" t="s">
        <v>978</v>
      </c>
    </row>
    <row r="132" spans="1:12" x14ac:dyDescent="0.4">
      <c r="A132" s="109" t="s">
        <v>608</v>
      </c>
      <c r="B132" s="109" t="s">
        <v>124</v>
      </c>
      <c r="C132" s="109" t="s">
        <v>1340</v>
      </c>
      <c r="D132" s="125" t="s">
        <v>1341</v>
      </c>
      <c r="E132" s="109" t="s">
        <v>834</v>
      </c>
      <c r="F132" s="109">
        <v>24</v>
      </c>
      <c r="G132" s="109" t="s">
        <v>753</v>
      </c>
      <c r="H132" s="109">
        <v>24</v>
      </c>
      <c r="I132" s="125"/>
      <c r="J132" s="109" t="s">
        <v>749</v>
      </c>
      <c r="K132" s="123">
        <v>46218</v>
      </c>
      <c r="L132" s="109" t="s">
        <v>978</v>
      </c>
    </row>
    <row r="133" spans="1:12" x14ac:dyDescent="0.4">
      <c r="A133" s="109" t="s">
        <v>608</v>
      </c>
      <c r="B133" s="109" t="s">
        <v>124</v>
      </c>
      <c r="C133" s="109" t="s">
        <v>1340</v>
      </c>
      <c r="D133" s="125" t="s">
        <v>1341</v>
      </c>
      <c r="E133" s="109" t="s">
        <v>828</v>
      </c>
      <c r="F133" s="109">
        <v>20</v>
      </c>
      <c r="G133" s="109" t="s">
        <v>753</v>
      </c>
      <c r="H133" s="109">
        <v>20</v>
      </c>
      <c r="I133" s="125"/>
      <c r="J133" s="109" t="s">
        <v>749</v>
      </c>
      <c r="K133" s="123">
        <v>46218</v>
      </c>
      <c r="L133" s="109" t="s">
        <v>978</v>
      </c>
    </row>
    <row r="134" spans="1:12" x14ac:dyDescent="0.4">
      <c r="A134" s="109" t="s">
        <v>608</v>
      </c>
      <c r="B134" s="109" t="s">
        <v>124</v>
      </c>
      <c r="C134" s="109" t="s">
        <v>1340</v>
      </c>
      <c r="D134" s="125" t="s">
        <v>1341</v>
      </c>
      <c r="E134" s="109" t="s">
        <v>832</v>
      </c>
      <c r="F134" s="109">
        <v>50</v>
      </c>
      <c r="G134" s="109" t="s">
        <v>753</v>
      </c>
      <c r="H134" s="109">
        <v>50</v>
      </c>
      <c r="I134" s="125"/>
      <c r="J134" s="109" t="s">
        <v>749</v>
      </c>
      <c r="K134" s="123">
        <v>46218</v>
      </c>
      <c r="L134" s="109" t="s">
        <v>978</v>
      </c>
    </row>
    <row r="135" spans="1:12" x14ac:dyDescent="0.4">
      <c r="A135" s="109" t="s">
        <v>608</v>
      </c>
      <c r="B135" s="109" t="s">
        <v>124</v>
      </c>
      <c r="C135" s="109" t="s">
        <v>1345</v>
      </c>
      <c r="D135" s="125" t="s">
        <v>1346</v>
      </c>
      <c r="E135" s="109" t="s">
        <v>834</v>
      </c>
      <c r="F135" s="109">
        <v>6</v>
      </c>
      <c r="G135" s="109" t="s">
        <v>753</v>
      </c>
      <c r="H135" s="109">
        <v>6</v>
      </c>
      <c r="I135" s="125"/>
      <c r="J135" s="109" t="s">
        <v>749</v>
      </c>
      <c r="K135" s="123">
        <v>46218</v>
      </c>
      <c r="L135" s="109" t="s">
        <v>978</v>
      </c>
    </row>
    <row r="136" spans="1:12" x14ac:dyDescent="0.4">
      <c r="A136" s="109" t="s">
        <v>608</v>
      </c>
      <c r="B136" s="109" t="s">
        <v>124</v>
      </c>
      <c r="C136" s="109" t="s">
        <v>1345</v>
      </c>
      <c r="D136" s="125" t="s">
        <v>1346</v>
      </c>
      <c r="E136" s="109" t="s">
        <v>828</v>
      </c>
      <c r="F136" s="109">
        <v>5</v>
      </c>
      <c r="G136" s="109" t="s">
        <v>753</v>
      </c>
      <c r="H136" s="109">
        <v>5</v>
      </c>
      <c r="I136" s="125"/>
      <c r="J136" s="109" t="s">
        <v>749</v>
      </c>
      <c r="K136" s="123">
        <v>46218</v>
      </c>
      <c r="L136" s="109" t="s">
        <v>978</v>
      </c>
    </row>
    <row r="137" spans="1:12" x14ac:dyDescent="0.4">
      <c r="A137" s="109" t="s">
        <v>608</v>
      </c>
      <c r="B137" s="109" t="s">
        <v>124</v>
      </c>
      <c r="C137" s="109" t="s">
        <v>1345</v>
      </c>
      <c r="D137" s="125" t="s">
        <v>1346</v>
      </c>
      <c r="E137" s="109" t="s">
        <v>832</v>
      </c>
      <c r="F137" s="109">
        <v>15</v>
      </c>
      <c r="G137" s="109" t="s">
        <v>753</v>
      </c>
      <c r="H137" s="109">
        <v>15</v>
      </c>
      <c r="I137" s="125"/>
      <c r="J137" s="109" t="s">
        <v>749</v>
      </c>
      <c r="K137" s="123">
        <v>46218</v>
      </c>
      <c r="L137" s="109" t="s">
        <v>978</v>
      </c>
    </row>
    <row r="138" spans="1:12" ht="29.15" x14ac:dyDescent="0.4">
      <c r="A138" s="109" t="s">
        <v>608</v>
      </c>
      <c r="B138" s="109" t="s">
        <v>124</v>
      </c>
      <c r="C138" s="109" t="s">
        <v>1374</v>
      </c>
      <c r="D138" s="125" t="s">
        <v>1375</v>
      </c>
      <c r="E138" s="109" t="s">
        <v>834</v>
      </c>
      <c r="F138" s="109">
        <v>3.8</v>
      </c>
      <c r="G138" s="109" t="s">
        <v>753</v>
      </c>
      <c r="H138" s="109">
        <v>3.8</v>
      </c>
      <c r="I138" s="125"/>
      <c r="J138" s="109" t="s">
        <v>749</v>
      </c>
      <c r="K138" s="123">
        <v>46218</v>
      </c>
      <c r="L138" s="109" t="s">
        <v>978</v>
      </c>
    </row>
    <row r="139" spans="1:12" ht="29.15" x14ac:dyDescent="0.4">
      <c r="A139" s="109" t="s">
        <v>608</v>
      </c>
      <c r="B139" s="109" t="s">
        <v>124</v>
      </c>
      <c r="C139" s="109" t="s">
        <v>1374</v>
      </c>
      <c r="D139" s="125" t="s">
        <v>1375</v>
      </c>
      <c r="E139" s="109" t="s">
        <v>828</v>
      </c>
      <c r="F139" s="109">
        <v>2</v>
      </c>
      <c r="G139" s="109" t="s">
        <v>753</v>
      </c>
      <c r="H139" s="109">
        <v>2</v>
      </c>
      <c r="I139" s="125"/>
      <c r="J139" s="109" t="s">
        <v>749</v>
      </c>
      <c r="K139" s="123">
        <v>46218</v>
      </c>
      <c r="L139" s="109" t="s">
        <v>978</v>
      </c>
    </row>
    <row r="140" spans="1:12" ht="29.15" x14ac:dyDescent="0.4">
      <c r="A140" s="109" t="s">
        <v>608</v>
      </c>
      <c r="B140" s="109" t="s">
        <v>124</v>
      </c>
      <c r="C140" s="109" t="s">
        <v>1374</v>
      </c>
      <c r="D140" s="125" t="s">
        <v>1375</v>
      </c>
      <c r="E140" s="109" t="s">
        <v>832</v>
      </c>
      <c r="F140" s="109">
        <v>5</v>
      </c>
      <c r="G140" s="109" t="s">
        <v>753</v>
      </c>
      <c r="H140" s="109">
        <v>5</v>
      </c>
      <c r="I140" s="125"/>
      <c r="J140" s="109" t="s">
        <v>749</v>
      </c>
      <c r="K140" s="123">
        <v>46218</v>
      </c>
      <c r="L140" s="109" t="s">
        <v>978</v>
      </c>
    </row>
    <row r="141" spans="1:12" ht="29.15" x14ac:dyDescent="0.4">
      <c r="A141" s="109" t="s">
        <v>608</v>
      </c>
      <c r="B141" s="109" t="s">
        <v>124</v>
      </c>
      <c r="C141" s="109" t="s">
        <v>1378</v>
      </c>
      <c r="D141" s="125" t="s">
        <v>1379</v>
      </c>
      <c r="E141" s="109" t="s">
        <v>834</v>
      </c>
      <c r="F141" s="109">
        <v>11</v>
      </c>
      <c r="G141" s="109" t="s">
        <v>753</v>
      </c>
      <c r="H141" s="109">
        <v>11</v>
      </c>
      <c r="I141" s="125"/>
      <c r="J141" s="109" t="s">
        <v>749</v>
      </c>
      <c r="K141" s="123">
        <v>46218</v>
      </c>
      <c r="L141" s="109" t="s">
        <v>978</v>
      </c>
    </row>
    <row r="142" spans="1:12" ht="29.15" x14ac:dyDescent="0.4">
      <c r="A142" s="109" t="s">
        <v>608</v>
      </c>
      <c r="B142" s="109" t="s">
        <v>124</v>
      </c>
      <c r="C142" s="109" t="s">
        <v>1378</v>
      </c>
      <c r="D142" s="125" t="s">
        <v>1379</v>
      </c>
      <c r="E142" s="109" t="s">
        <v>828</v>
      </c>
      <c r="F142" s="109">
        <v>5</v>
      </c>
      <c r="G142" s="109" t="s">
        <v>753</v>
      </c>
      <c r="H142" s="109">
        <v>5</v>
      </c>
      <c r="I142" s="125"/>
      <c r="J142" s="109" t="s">
        <v>749</v>
      </c>
      <c r="K142" s="123">
        <v>46218</v>
      </c>
      <c r="L142" s="109" t="s">
        <v>978</v>
      </c>
    </row>
    <row r="143" spans="1:12" ht="29.15" x14ac:dyDescent="0.4">
      <c r="A143" s="109" t="s">
        <v>608</v>
      </c>
      <c r="B143" s="109" t="s">
        <v>124</v>
      </c>
      <c r="C143" s="109" t="s">
        <v>1378</v>
      </c>
      <c r="D143" s="125" t="s">
        <v>1379</v>
      </c>
      <c r="E143" s="109" t="s">
        <v>832</v>
      </c>
      <c r="F143" s="109">
        <v>15</v>
      </c>
      <c r="G143" s="109" t="s">
        <v>753</v>
      </c>
      <c r="H143" s="109">
        <v>15</v>
      </c>
      <c r="I143" s="125"/>
      <c r="J143" s="109" t="s">
        <v>749</v>
      </c>
      <c r="K143" s="123">
        <v>46218</v>
      </c>
      <c r="L143" s="109" t="s">
        <v>978</v>
      </c>
    </row>
    <row r="144" spans="1:12" ht="29.15" x14ac:dyDescent="0.4">
      <c r="A144" s="109" t="s">
        <v>608</v>
      </c>
      <c r="B144" s="109" t="s">
        <v>124</v>
      </c>
      <c r="C144" s="109" t="s">
        <v>1382</v>
      </c>
      <c r="D144" s="125" t="s">
        <v>1383</v>
      </c>
      <c r="E144" s="109" t="s">
        <v>834</v>
      </c>
      <c r="F144" s="109">
        <v>1.4</v>
      </c>
      <c r="G144" s="109" t="s">
        <v>753</v>
      </c>
      <c r="H144" s="109">
        <v>1.4</v>
      </c>
      <c r="I144" s="125"/>
      <c r="J144" s="109" t="s">
        <v>749</v>
      </c>
      <c r="K144" s="123">
        <v>46218</v>
      </c>
      <c r="L144" s="109" t="s">
        <v>978</v>
      </c>
    </row>
    <row r="145" spans="1:12" ht="29.15" x14ac:dyDescent="0.4">
      <c r="A145" s="109" t="s">
        <v>608</v>
      </c>
      <c r="B145" s="109" t="s">
        <v>124</v>
      </c>
      <c r="C145" s="109" t="s">
        <v>1382</v>
      </c>
      <c r="D145" s="125" t="s">
        <v>1383</v>
      </c>
      <c r="E145" s="109" t="s">
        <v>828</v>
      </c>
      <c r="F145" s="109"/>
      <c r="G145" s="109" t="s">
        <v>753</v>
      </c>
      <c r="H145" s="109"/>
      <c r="I145" s="125"/>
      <c r="J145" s="109" t="s">
        <v>749</v>
      </c>
      <c r="K145" s="123">
        <v>46218</v>
      </c>
      <c r="L145" s="109" t="s">
        <v>978</v>
      </c>
    </row>
    <row r="146" spans="1:12" ht="29.15" x14ac:dyDescent="0.4">
      <c r="A146" s="109" t="s">
        <v>608</v>
      </c>
      <c r="B146" s="109" t="s">
        <v>124</v>
      </c>
      <c r="C146" s="109" t="s">
        <v>1382</v>
      </c>
      <c r="D146" s="125" t="s">
        <v>1383</v>
      </c>
      <c r="E146" s="109" t="s">
        <v>832</v>
      </c>
      <c r="F146" s="109"/>
      <c r="G146" s="109" t="s">
        <v>753</v>
      </c>
      <c r="H146" s="109"/>
      <c r="I146" s="125"/>
      <c r="J146" s="109" t="s">
        <v>749</v>
      </c>
      <c r="K146" s="123">
        <v>46218</v>
      </c>
      <c r="L146" s="109" t="s">
        <v>978</v>
      </c>
    </row>
    <row r="147" spans="1:12" ht="29.15" x14ac:dyDescent="0.4">
      <c r="A147" s="109" t="s">
        <v>608</v>
      </c>
      <c r="B147" s="109" t="s">
        <v>124</v>
      </c>
      <c r="C147" s="109" t="s">
        <v>1386</v>
      </c>
      <c r="D147" s="125" t="s">
        <v>1387</v>
      </c>
      <c r="E147" s="109" t="s">
        <v>834</v>
      </c>
      <c r="F147" s="109">
        <v>60</v>
      </c>
      <c r="G147" s="109" t="s">
        <v>753</v>
      </c>
      <c r="H147" s="109">
        <v>60</v>
      </c>
      <c r="I147" s="125"/>
      <c r="J147" s="109" t="s">
        <v>749</v>
      </c>
      <c r="K147" s="123">
        <v>46218</v>
      </c>
      <c r="L147" s="109" t="s">
        <v>978</v>
      </c>
    </row>
    <row r="148" spans="1:12" ht="29.15" x14ac:dyDescent="0.4">
      <c r="A148" s="109" t="s">
        <v>608</v>
      </c>
      <c r="B148" s="109" t="s">
        <v>124</v>
      </c>
      <c r="C148" s="109" t="s">
        <v>1386</v>
      </c>
      <c r="D148" s="125" t="s">
        <v>1387</v>
      </c>
      <c r="E148" s="109" t="s">
        <v>828</v>
      </c>
      <c r="F148" s="109">
        <v>20</v>
      </c>
      <c r="G148" s="109" t="s">
        <v>753</v>
      </c>
      <c r="H148" s="109">
        <v>20</v>
      </c>
      <c r="I148" s="125"/>
      <c r="J148" s="109" t="s">
        <v>749</v>
      </c>
      <c r="K148" s="123">
        <v>46218</v>
      </c>
      <c r="L148" s="109" t="s">
        <v>978</v>
      </c>
    </row>
    <row r="149" spans="1:12" ht="29.15" x14ac:dyDescent="0.4">
      <c r="A149" s="109" t="s">
        <v>608</v>
      </c>
      <c r="B149" s="109" t="s">
        <v>124</v>
      </c>
      <c r="C149" s="109" t="s">
        <v>1386</v>
      </c>
      <c r="D149" s="125" t="s">
        <v>1387</v>
      </c>
      <c r="E149" s="109" t="s">
        <v>832</v>
      </c>
      <c r="F149" s="109">
        <v>50</v>
      </c>
      <c r="G149" s="109" t="s">
        <v>753</v>
      </c>
      <c r="H149" s="109">
        <v>50</v>
      </c>
      <c r="I149" s="125"/>
      <c r="J149" s="109" t="s">
        <v>749</v>
      </c>
      <c r="K149" s="123">
        <v>46218</v>
      </c>
      <c r="L149" s="109" t="s">
        <v>978</v>
      </c>
    </row>
    <row r="150" spans="1:12" ht="29.15" x14ac:dyDescent="0.4">
      <c r="A150" s="109" t="s">
        <v>608</v>
      </c>
      <c r="B150" s="109" t="s">
        <v>124</v>
      </c>
      <c r="C150" s="109" t="s">
        <v>1349</v>
      </c>
      <c r="D150" s="125" t="s">
        <v>1350</v>
      </c>
      <c r="E150" s="109" t="s">
        <v>834</v>
      </c>
      <c r="F150" s="109">
        <v>7</v>
      </c>
      <c r="G150" s="109" t="s">
        <v>753</v>
      </c>
      <c r="H150" s="109">
        <v>7</v>
      </c>
      <c r="I150" s="125"/>
      <c r="J150" s="109" t="s">
        <v>749</v>
      </c>
      <c r="K150" s="123">
        <v>46218</v>
      </c>
      <c r="L150" s="109" t="s">
        <v>978</v>
      </c>
    </row>
    <row r="151" spans="1:12" ht="29.15" x14ac:dyDescent="0.4">
      <c r="A151" s="109" t="s">
        <v>608</v>
      </c>
      <c r="B151" s="109" t="s">
        <v>124</v>
      </c>
      <c r="C151" s="109" t="s">
        <v>1349</v>
      </c>
      <c r="D151" s="125" t="s">
        <v>1350</v>
      </c>
      <c r="E151" s="109" t="s">
        <v>828</v>
      </c>
      <c r="F151" s="109">
        <v>3</v>
      </c>
      <c r="G151" s="109" t="s">
        <v>753</v>
      </c>
      <c r="H151" s="109">
        <v>3</v>
      </c>
      <c r="I151" s="125"/>
      <c r="J151" s="109" t="s">
        <v>749</v>
      </c>
      <c r="K151" s="123">
        <v>46218</v>
      </c>
      <c r="L151" s="109" t="s">
        <v>978</v>
      </c>
    </row>
    <row r="152" spans="1:12" ht="29.15" x14ac:dyDescent="0.4">
      <c r="A152" s="109" t="s">
        <v>608</v>
      </c>
      <c r="B152" s="109" t="s">
        <v>124</v>
      </c>
      <c r="C152" s="109" t="s">
        <v>1349</v>
      </c>
      <c r="D152" s="125" t="s">
        <v>1350</v>
      </c>
      <c r="E152" s="109" t="s">
        <v>832</v>
      </c>
      <c r="F152" s="109">
        <v>8</v>
      </c>
      <c r="G152" s="109" t="s">
        <v>753</v>
      </c>
      <c r="H152" s="109">
        <v>8</v>
      </c>
      <c r="I152" s="125"/>
      <c r="J152" s="109" t="s">
        <v>749</v>
      </c>
      <c r="K152" s="123">
        <v>46218</v>
      </c>
      <c r="L152" s="109" t="s">
        <v>978</v>
      </c>
    </row>
    <row r="153" spans="1:12" ht="29.15" x14ac:dyDescent="0.4">
      <c r="A153" s="109" t="s">
        <v>608</v>
      </c>
      <c r="B153" s="109" t="s">
        <v>124</v>
      </c>
      <c r="C153" s="109" t="s">
        <v>1353</v>
      </c>
      <c r="D153" s="125" t="s">
        <v>1354</v>
      </c>
      <c r="E153" s="109" t="s">
        <v>834</v>
      </c>
      <c r="F153" s="109">
        <v>5</v>
      </c>
      <c r="G153" s="109" t="s">
        <v>753</v>
      </c>
      <c r="H153" s="109">
        <v>5</v>
      </c>
      <c r="I153" s="125"/>
      <c r="J153" s="109" t="s">
        <v>749</v>
      </c>
      <c r="K153" s="123">
        <v>46218</v>
      </c>
      <c r="L153" s="109" t="s">
        <v>978</v>
      </c>
    </row>
    <row r="154" spans="1:12" ht="29.15" x14ac:dyDescent="0.4">
      <c r="A154" s="109" t="s">
        <v>608</v>
      </c>
      <c r="B154" s="109" t="s">
        <v>124</v>
      </c>
      <c r="C154" s="109" t="s">
        <v>1353</v>
      </c>
      <c r="D154" s="125" t="s">
        <v>1354</v>
      </c>
      <c r="E154" s="109" t="s">
        <v>828</v>
      </c>
      <c r="F154" s="109">
        <v>2</v>
      </c>
      <c r="G154" s="109" t="s">
        <v>753</v>
      </c>
      <c r="H154" s="109">
        <v>2</v>
      </c>
      <c r="I154" s="125"/>
      <c r="J154" s="109" t="s">
        <v>749</v>
      </c>
      <c r="K154" s="123">
        <v>46218</v>
      </c>
      <c r="L154" s="109" t="s">
        <v>978</v>
      </c>
    </row>
    <row r="155" spans="1:12" ht="29.15" x14ac:dyDescent="0.4">
      <c r="A155" s="109" t="s">
        <v>608</v>
      </c>
      <c r="B155" s="109" t="s">
        <v>124</v>
      </c>
      <c r="C155" s="109" t="s">
        <v>1353</v>
      </c>
      <c r="D155" s="125" t="s">
        <v>1354</v>
      </c>
      <c r="E155" s="109" t="s">
        <v>832</v>
      </c>
      <c r="F155" s="109">
        <v>6</v>
      </c>
      <c r="G155" s="109" t="s">
        <v>753</v>
      </c>
      <c r="H155" s="109">
        <v>6</v>
      </c>
      <c r="I155" s="125"/>
      <c r="J155" s="109" t="s">
        <v>749</v>
      </c>
      <c r="K155" s="123">
        <v>46218</v>
      </c>
      <c r="L155" s="109" t="s">
        <v>978</v>
      </c>
    </row>
    <row r="156" spans="1:12" ht="29.15" x14ac:dyDescent="0.4">
      <c r="A156" s="109" t="s">
        <v>608</v>
      </c>
      <c r="B156" s="109" t="s">
        <v>124</v>
      </c>
      <c r="C156" s="109" t="s">
        <v>1357</v>
      </c>
      <c r="D156" s="125" t="s">
        <v>1358</v>
      </c>
      <c r="E156" s="109" t="s">
        <v>834</v>
      </c>
      <c r="F156" s="109">
        <v>14</v>
      </c>
      <c r="G156" s="109" t="s">
        <v>753</v>
      </c>
      <c r="H156" s="109">
        <v>14</v>
      </c>
      <c r="I156" s="125"/>
      <c r="J156" s="109" t="s">
        <v>749</v>
      </c>
      <c r="K156" s="123">
        <v>46218</v>
      </c>
      <c r="L156" s="109" t="s">
        <v>978</v>
      </c>
    </row>
    <row r="157" spans="1:12" ht="29.15" x14ac:dyDescent="0.4">
      <c r="A157" s="109" t="s">
        <v>608</v>
      </c>
      <c r="B157" s="109" t="s">
        <v>124</v>
      </c>
      <c r="C157" s="109" t="s">
        <v>1357</v>
      </c>
      <c r="D157" s="125" t="s">
        <v>1358</v>
      </c>
      <c r="E157" s="109" t="s">
        <v>828</v>
      </c>
      <c r="F157" s="109">
        <v>10</v>
      </c>
      <c r="G157" s="109" t="s">
        <v>753</v>
      </c>
      <c r="H157" s="109">
        <v>10</v>
      </c>
      <c r="I157" s="125"/>
      <c r="J157" s="109" t="s">
        <v>749</v>
      </c>
      <c r="K157" s="123">
        <v>46218</v>
      </c>
      <c r="L157" s="109" t="s">
        <v>978</v>
      </c>
    </row>
    <row r="158" spans="1:12" ht="29.15" x14ac:dyDescent="0.4">
      <c r="A158" s="109" t="s">
        <v>608</v>
      </c>
      <c r="B158" s="109" t="s">
        <v>124</v>
      </c>
      <c r="C158" s="109" t="s">
        <v>1357</v>
      </c>
      <c r="D158" s="125" t="s">
        <v>1358</v>
      </c>
      <c r="E158" s="109" t="s">
        <v>832</v>
      </c>
      <c r="F158" s="109">
        <v>30</v>
      </c>
      <c r="G158" s="109" t="s">
        <v>753</v>
      </c>
      <c r="H158" s="109">
        <v>30</v>
      </c>
      <c r="I158" s="125"/>
      <c r="J158" s="109" t="s">
        <v>749</v>
      </c>
      <c r="K158" s="123">
        <v>46218</v>
      </c>
      <c r="L158" s="109" t="s">
        <v>978</v>
      </c>
    </row>
    <row r="159" spans="1:12" ht="29.15" x14ac:dyDescent="0.4">
      <c r="A159" s="109" t="s">
        <v>608</v>
      </c>
      <c r="B159" s="109" t="s">
        <v>124</v>
      </c>
      <c r="C159" s="109" t="s">
        <v>1361</v>
      </c>
      <c r="D159" s="125" t="s">
        <v>1362</v>
      </c>
      <c r="E159" s="109" t="s">
        <v>834</v>
      </c>
      <c r="F159" s="109">
        <v>5</v>
      </c>
      <c r="G159" s="109" t="s">
        <v>753</v>
      </c>
      <c r="H159" s="109">
        <v>5</v>
      </c>
      <c r="I159" s="125"/>
      <c r="J159" s="109" t="s">
        <v>749</v>
      </c>
      <c r="K159" s="123">
        <v>46218</v>
      </c>
      <c r="L159" s="109" t="s">
        <v>978</v>
      </c>
    </row>
    <row r="160" spans="1:12" ht="29.15" x14ac:dyDescent="0.4">
      <c r="A160" s="109" t="s">
        <v>608</v>
      </c>
      <c r="B160" s="109" t="s">
        <v>124</v>
      </c>
      <c r="C160" s="109" t="s">
        <v>1361</v>
      </c>
      <c r="D160" s="125" t="s">
        <v>1362</v>
      </c>
      <c r="E160" s="109" t="s">
        <v>828</v>
      </c>
      <c r="F160" s="109">
        <v>4</v>
      </c>
      <c r="G160" s="109" t="s">
        <v>753</v>
      </c>
      <c r="H160" s="109">
        <v>4</v>
      </c>
      <c r="I160" s="125"/>
      <c r="J160" s="109" t="s">
        <v>749</v>
      </c>
      <c r="K160" s="123">
        <v>46218</v>
      </c>
      <c r="L160" s="109" t="s">
        <v>978</v>
      </c>
    </row>
    <row r="161" spans="1:12" ht="29.15" x14ac:dyDescent="0.4">
      <c r="A161" s="109" t="s">
        <v>608</v>
      </c>
      <c r="B161" s="109" t="s">
        <v>124</v>
      </c>
      <c r="C161" s="109" t="s">
        <v>1361</v>
      </c>
      <c r="D161" s="125" t="s">
        <v>1362</v>
      </c>
      <c r="E161" s="109" t="s">
        <v>832</v>
      </c>
      <c r="F161" s="109">
        <v>12</v>
      </c>
      <c r="G161" s="109" t="s">
        <v>753</v>
      </c>
      <c r="H161" s="109">
        <v>12</v>
      </c>
      <c r="I161" s="125"/>
      <c r="J161" s="109" t="s">
        <v>749</v>
      </c>
      <c r="K161" s="123">
        <v>46218</v>
      </c>
      <c r="L161" s="109" t="s">
        <v>978</v>
      </c>
    </row>
    <row r="162" spans="1:12" ht="29.15" x14ac:dyDescent="0.4">
      <c r="A162" s="109" t="s">
        <v>608</v>
      </c>
      <c r="B162" s="109" t="s">
        <v>493</v>
      </c>
      <c r="C162" s="109" t="s">
        <v>791</v>
      </c>
      <c r="D162" s="125" t="s">
        <v>1231</v>
      </c>
      <c r="E162" s="109" t="s">
        <v>181</v>
      </c>
      <c r="F162" s="109" t="s">
        <v>557</v>
      </c>
      <c r="G162" s="109" t="s">
        <v>753</v>
      </c>
      <c r="H162" s="109" t="s">
        <v>557</v>
      </c>
      <c r="I162" s="125"/>
      <c r="J162" s="109" t="s">
        <v>749</v>
      </c>
      <c r="K162" s="123">
        <v>46218</v>
      </c>
      <c r="L162" s="109" t="s">
        <v>978</v>
      </c>
    </row>
    <row r="163" spans="1:12" ht="29.15" x14ac:dyDescent="0.4">
      <c r="A163" s="109" t="s">
        <v>608</v>
      </c>
      <c r="B163" s="109" t="s">
        <v>493</v>
      </c>
      <c r="C163" s="109" t="s">
        <v>791</v>
      </c>
      <c r="D163" s="125" t="s">
        <v>1231</v>
      </c>
      <c r="E163" s="109" t="s">
        <v>267</v>
      </c>
      <c r="F163" s="109" t="s">
        <v>797</v>
      </c>
      <c r="G163" s="109" t="s">
        <v>753</v>
      </c>
      <c r="H163" s="109" t="s">
        <v>797</v>
      </c>
      <c r="I163" s="125"/>
      <c r="J163" s="109" t="s">
        <v>749</v>
      </c>
      <c r="K163" s="123">
        <v>46218</v>
      </c>
      <c r="L163" s="109" t="s">
        <v>978</v>
      </c>
    </row>
    <row r="164" spans="1:12" ht="29.15" x14ac:dyDescent="0.4">
      <c r="A164" s="109" t="s">
        <v>608</v>
      </c>
      <c r="B164" s="109" t="s">
        <v>493</v>
      </c>
      <c r="C164" s="109" t="s">
        <v>1233</v>
      </c>
      <c r="D164" s="125" t="s">
        <v>1234</v>
      </c>
      <c r="E164" s="109" t="s">
        <v>181</v>
      </c>
      <c r="F164" s="109" t="s">
        <v>563</v>
      </c>
      <c r="G164" s="109" t="s">
        <v>753</v>
      </c>
      <c r="H164" s="109" t="s">
        <v>563</v>
      </c>
      <c r="I164" s="125"/>
      <c r="J164" s="109" t="s">
        <v>749</v>
      </c>
      <c r="K164" s="123">
        <v>46218</v>
      </c>
      <c r="L164" s="109" t="s">
        <v>978</v>
      </c>
    </row>
    <row r="165" spans="1:12" ht="29.15" x14ac:dyDescent="0.4">
      <c r="A165" s="109" t="s">
        <v>608</v>
      </c>
      <c r="B165" s="109" t="s">
        <v>493</v>
      </c>
      <c r="C165" s="109" t="s">
        <v>1233</v>
      </c>
      <c r="D165" s="125" t="s">
        <v>1234</v>
      </c>
      <c r="E165" s="109" t="s">
        <v>267</v>
      </c>
      <c r="F165" s="109" t="s">
        <v>1235</v>
      </c>
      <c r="G165" s="109" t="s">
        <v>753</v>
      </c>
      <c r="H165" s="109" t="s">
        <v>1235</v>
      </c>
      <c r="I165" s="125"/>
      <c r="J165" s="109" t="s">
        <v>749</v>
      </c>
      <c r="K165" s="123">
        <v>46218</v>
      </c>
      <c r="L165" s="109" t="s">
        <v>978</v>
      </c>
    </row>
    <row r="166" spans="1:12" ht="29.15" x14ac:dyDescent="0.4">
      <c r="A166" s="109" t="s">
        <v>608</v>
      </c>
      <c r="B166" s="109" t="s">
        <v>493</v>
      </c>
      <c r="C166" s="109" t="s">
        <v>1237</v>
      </c>
      <c r="D166" s="125" t="s">
        <v>1238</v>
      </c>
      <c r="E166" s="109" t="s">
        <v>181</v>
      </c>
      <c r="F166" s="109" t="s">
        <v>569</v>
      </c>
      <c r="G166" s="109" t="s">
        <v>753</v>
      </c>
      <c r="H166" s="109" t="s">
        <v>569</v>
      </c>
      <c r="I166" s="125"/>
      <c r="J166" s="109" t="s">
        <v>749</v>
      </c>
      <c r="K166" s="123">
        <v>46218</v>
      </c>
      <c r="L166" s="109" t="s">
        <v>978</v>
      </c>
    </row>
    <row r="167" spans="1:12" ht="29.15" x14ac:dyDescent="0.4">
      <c r="A167" s="109" t="s">
        <v>608</v>
      </c>
      <c r="B167" s="109" t="s">
        <v>493</v>
      </c>
      <c r="C167" s="109" t="s">
        <v>1237</v>
      </c>
      <c r="D167" s="125" t="s">
        <v>1238</v>
      </c>
      <c r="E167" s="109" t="s">
        <v>267</v>
      </c>
      <c r="F167" s="109" t="s">
        <v>797</v>
      </c>
      <c r="G167" s="109" t="s">
        <v>753</v>
      </c>
      <c r="H167" s="109" t="s">
        <v>797</v>
      </c>
      <c r="I167" s="125"/>
      <c r="J167" s="109" t="s">
        <v>749</v>
      </c>
      <c r="K167" s="123">
        <v>46218</v>
      </c>
      <c r="L167" s="109" t="s">
        <v>978</v>
      </c>
    </row>
    <row r="168" spans="1:12" ht="29.15" x14ac:dyDescent="0.4">
      <c r="A168" s="109" t="s">
        <v>608</v>
      </c>
      <c r="B168" s="109" t="s">
        <v>493</v>
      </c>
      <c r="C168" s="109" t="s">
        <v>1240</v>
      </c>
      <c r="D168" s="125" t="s">
        <v>1241</v>
      </c>
      <c r="E168" s="109" t="s">
        <v>181</v>
      </c>
      <c r="F168" s="109" t="s">
        <v>575</v>
      </c>
      <c r="G168" s="109" t="s">
        <v>753</v>
      </c>
      <c r="H168" s="109" t="s">
        <v>575</v>
      </c>
      <c r="I168" s="125"/>
      <c r="J168" s="109" t="s">
        <v>749</v>
      </c>
      <c r="K168" s="123">
        <v>46218</v>
      </c>
      <c r="L168" s="109" t="s">
        <v>978</v>
      </c>
    </row>
    <row r="169" spans="1:12" ht="29.15" x14ac:dyDescent="0.4">
      <c r="A169" s="109" t="s">
        <v>608</v>
      </c>
      <c r="B169" s="109" t="s">
        <v>493</v>
      </c>
      <c r="C169" s="109" t="s">
        <v>1240</v>
      </c>
      <c r="D169" s="125" t="s">
        <v>1241</v>
      </c>
      <c r="E169" s="109" t="s">
        <v>267</v>
      </c>
      <c r="F169" s="109" t="s">
        <v>1235</v>
      </c>
      <c r="G169" s="109" t="s">
        <v>753</v>
      </c>
      <c r="H169" s="109" t="s">
        <v>1235</v>
      </c>
      <c r="I169" s="125"/>
      <c r="J169" s="109" t="s">
        <v>749</v>
      </c>
      <c r="K169" s="123">
        <v>46218</v>
      </c>
      <c r="L169" s="109" t="s">
        <v>978</v>
      </c>
    </row>
    <row r="170" spans="1:12" ht="29.15" x14ac:dyDescent="0.4">
      <c r="A170" s="109" t="s">
        <v>608</v>
      </c>
      <c r="B170" s="109" t="s">
        <v>493</v>
      </c>
      <c r="C170" s="109" t="s">
        <v>1243</v>
      </c>
      <c r="D170" s="125" t="s">
        <v>1244</v>
      </c>
      <c r="E170" s="109" t="s">
        <v>181</v>
      </c>
      <c r="F170" s="109" t="s">
        <v>579</v>
      </c>
      <c r="G170" s="109" t="s">
        <v>1248</v>
      </c>
      <c r="H170" s="109"/>
      <c r="I170" s="125" t="s">
        <v>1500</v>
      </c>
      <c r="J170" s="109" t="s">
        <v>749</v>
      </c>
      <c r="K170" s="123">
        <v>46218</v>
      </c>
      <c r="L170" s="109" t="s">
        <v>978</v>
      </c>
    </row>
    <row r="171" spans="1:12" ht="29.15" x14ac:dyDescent="0.4">
      <c r="A171" s="109" t="s">
        <v>608</v>
      </c>
      <c r="B171" s="109" t="s">
        <v>493</v>
      </c>
      <c r="C171" s="109" t="s">
        <v>1243</v>
      </c>
      <c r="D171" s="125" t="s">
        <v>1244</v>
      </c>
      <c r="E171" s="109" t="s">
        <v>267</v>
      </c>
      <c r="F171" s="109" t="s">
        <v>1245</v>
      </c>
      <c r="G171" s="109" t="s">
        <v>1248</v>
      </c>
      <c r="H171" s="109"/>
      <c r="I171" s="125" t="s">
        <v>1500</v>
      </c>
      <c r="J171" s="109" t="s">
        <v>749</v>
      </c>
      <c r="K171" s="123">
        <v>46218</v>
      </c>
      <c r="L171" s="109" t="s">
        <v>978</v>
      </c>
    </row>
    <row r="172" spans="1:12" ht="29.15" x14ac:dyDescent="0.4">
      <c r="A172" s="109" t="s">
        <v>608</v>
      </c>
      <c r="B172" s="109" t="s">
        <v>493</v>
      </c>
      <c r="C172" s="109" t="s">
        <v>1249</v>
      </c>
      <c r="D172" s="125" t="s">
        <v>1250</v>
      </c>
      <c r="E172" s="109" t="s">
        <v>181</v>
      </c>
      <c r="F172" s="109" t="s">
        <v>584</v>
      </c>
      <c r="G172" s="109" t="s">
        <v>753</v>
      </c>
      <c r="H172" s="109" t="s">
        <v>584</v>
      </c>
      <c r="I172" s="125"/>
      <c r="J172" s="109" t="s">
        <v>749</v>
      </c>
      <c r="K172" s="123">
        <v>46218</v>
      </c>
      <c r="L172" s="109" t="s">
        <v>978</v>
      </c>
    </row>
    <row r="173" spans="1:12" ht="29.15" x14ac:dyDescent="0.4">
      <c r="A173" s="109" t="s">
        <v>608</v>
      </c>
      <c r="B173" s="109" t="s">
        <v>493</v>
      </c>
      <c r="C173" s="109" t="s">
        <v>1249</v>
      </c>
      <c r="D173" s="125" t="s">
        <v>1250</v>
      </c>
      <c r="E173" s="109" t="s">
        <v>267</v>
      </c>
      <c r="F173" s="109" t="s">
        <v>1245</v>
      </c>
      <c r="G173" s="109" t="s">
        <v>753</v>
      </c>
      <c r="H173" s="109" t="s">
        <v>1245</v>
      </c>
      <c r="I173" s="125"/>
      <c r="J173" s="109" t="s">
        <v>749</v>
      </c>
      <c r="K173" s="123">
        <v>46218</v>
      </c>
      <c r="L173" s="109" t="s">
        <v>978</v>
      </c>
    </row>
    <row r="174" spans="1:12" ht="29.15" x14ac:dyDescent="0.4">
      <c r="A174" s="109" t="s">
        <v>608</v>
      </c>
      <c r="B174" s="109" t="s">
        <v>493</v>
      </c>
      <c r="C174" s="109" t="s">
        <v>1252</v>
      </c>
      <c r="D174" s="125" t="s">
        <v>1253</v>
      </c>
      <c r="E174" s="109" t="s">
        <v>181</v>
      </c>
      <c r="F174" s="109" t="s">
        <v>563</v>
      </c>
      <c r="G174" s="109" t="s">
        <v>753</v>
      </c>
      <c r="H174" s="109" t="s">
        <v>563</v>
      </c>
      <c r="I174" s="125"/>
      <c r="J174" s="109" t="s">
        <v>749</v>
      </c>
      <c r="K174" s="123">
        <v>46218</v>
      </c>
      <c r="L174" s="109" t="s">
        <v>978</v>
      </c>
    </row>
    <row r="175" spans="1:12" ht="29.15" x14ac:dyDescent="0.4">
      <c r="A175" s="109" t="s">
        <v>608</v>
      </c>
      <c r="B175" s="109" t="s">
        <v>493</v>
      </c>
      <c r="C175" s="109" t="s">
        <v>1252</v>
      </c>
      <c r="D175" s="125" t="s">
        <v>1253</v>
      </c>
      <c r="E175" s="109" t="s">
        <v>267</v>
      </c>
      <c r="F175" s="109" t="s">
        <v>797</v>
      </c>
      <c r="G175" s="109" t="s">
        <v>753</v>
      </c>
      <c r="H175" s="109" t="s">
        <v>797</v>
      </c>
      <c r="I175" s="125"/>
      <c r="J175" s="109" t="s">
        <v>749</v>
      </c>
      <c r="K175" s="123">
        <v>46218</v>
      </c>
      <c r="L175" s="109" t="s">
        <v>978</v>
      </c>
    </row>
    <row r="176" spans="1:12" ht="29.15" x14ac:dyDescent="0.4">
      <c r="A176" s="109" t="s">
        <v>608</v>
      </c>
      <c r="B176" s="109" t="s">
        <v>493</v>
      </c>
      <c r="C176" s="109" t="s">
        <v>1255</v>
      </c>
      <c r="D176" s="125" t="s">
        <v>1256</v>
      </c>
      <c r="E176" s="109" t="s">
        <v>181</v>
      </c>
      <c r="F176" s="109" t="s">
        <v>584</v>
      </c>
      <c r="G176" s="109" t="s">
        <v>753</v>
      </c>
      <c r="H176" s="109" t="s">
        <v>584</v>
      </c>
      <c r="I176" s="125"/>
      <c r="J176" s="109" t="s">
        <v>749</v>
      </c>
      <c r="K176" s="123">
        <v>46218</v>
      </c>
      <c r="L176" s="109" t="s">
        <v>978</v>
      </c>
    </row>
    <row r="177" spans="1:12" ht="29.15" x14ac:dyDescent="0.4">
      <c r="A177" s="109" t="s">
        <v>608</v>
      </c>
      <c r="B177" s="109" t="s">
        <v>493</v>
      </c>
      <c r="C177" s="109" t="s">
        <v>1255</v>
      </c>
      <c r="D177" s="125" t="s">
        <v>1256</v>
      </c>
      <c r="E177" s="109" t="s">
        <v>267</v>
      </c>
      <c r="F177" s="109" t="s">
        <v>1245</v>
      </c>
      <c r="G177" s="109" t="s">
        <v>753</v>
      </c>
      <c r="H177" s="109" t="s">
        <v>1245</v>
      </c>
      <c r="I177" s="125"/>
      <c r="J177" s="109" t="s">
        <v>749</v>
      </c>
      <c r="K177" s="123">
        <v>46218</v>
      </c>
      <c r="L177" s="109" t="s">
        <v>978</v>
      </c>
    </row>
    <row r="178" spans="1:12" ht="29.15" x14ac:dyDescent="0.4">
      <c r="A178" s="109" t="s">
        <v>608</v>
      </c>
      <c r="B178" s="109" t="s">
        <v>493</v>
      </c>
      <c r="C178" s="109" t="s">
        <v>1258</v>
      </c>
      <c r="D178" s="125" t="s">
        <v>1259</v>
      </c>
      <c r="E178" s="109" t="s">
        <v>181</v>
      </c>
      <c r="F178" s="109" t="s">
        <v>569</v>
      </c>
      <c r="G178" s="109" t="s">
        <v>753</v>
      </c>
      <c r="H178" s="109" t="s">
        <v>569</v>
      </c>
      <c r="I178" s="125"/>
      <c r="J178" s="109" t="s">
        <v>749</v>
      </c>
      <c r="K178" s="123">
        <v>46218</v>
      </c>
      <c r="L178" s="109" t="s">
        <v>978</v>
      </c>
    </row>
    <row r="179" spans="1:12" ht="29.15" x14ac:dyDescent="0.4">
      <c r="A179" s="109" t="s">
        <v>608</v>
      </c>
      <c r="B179" s="109" t="s">
        <v>493</v>
      </c>
      <c r="C179" s="109" t="s">
        <v>1258</v>
      </c>
      <c r="D179" s="125" t="s">
        <v>1259</v>
      </c>
      <c r="E179" s="109" t="s">
        <v>267</v>
      </c>
      <c r="F179" s="109" t="s">
        <v>1235</v>
      </c>
      <c r="G179" s="109" t="s">
        <v>753</v>
      </c>
      <c r="H179" s="109" t="s">
        <v>1235</v>
      </c>
      <c r="I179" s="125"/>
      <c r="J179" s="109" t="s">
        <v>749</v>
      </c>
      <c r="K179" s="123">
        <v>46218</v>
      </c>
      <c r="L179" s="109" t="s">
        <v>978</v>
      </c>
    </row>
    <row r="180" spans="1:12" ht="29.15" x14ac:dyDescent="0.4">
      <c r="A180" s="109" t="s">
        <v>608</v>
      </c>
      <c r="B180" s="109" t="s">
        <v>493</v>
      </c>
      <c r="C180" s="109" t="s">
        <v>1261</v>
      </c>
      <c r="D180" s="125" t="s">
        <v>1262</v>
      </c>
      <c r="E180" s="109" t="s">
        <v>181</v>
      </c>
      <c r="F180" s="109" t="s">
        <v>601</v>
      </c>
      <c r="G180" s="109" t="s">
        <v>753</v>
      </c>
      <c r="H180" s="109" t="s">
        <v>601</v>
      </c>
      <c r="I180" s="125"/>
      <c r="J180" s="109" t="s">
        <v>749</v>
      </c>
      <c r="K180" s="123">
        <v>46218</v>
      </c>
      <c r="L180" s="109" t="s">
        <v>978</v>
      </c>
    </row>
    <row r="181" spans="1:12" ht="29.15" x14ac:dyDescent="0.4">
      <c r="A181" s="109" t="s">
        <v>608</v>
      </c>
      <c r="B181" s="109" t="s">
        <v>493</v>
      </c>
      <c r="C181" s="109" t="s">
        <v>1261</v>
      </c>
      <c r="D181" s="125" t="s">
        <v>1262</v>
      </c>
      <c r="E181" s="109" t="s">
        <v>267</v>
      </c>
      <c r="F181" s="109" t="s">
        <v>1245</v>
      </c>
      <c r="G181" s="109" t="s">
        <v>753</v>
      </c>
      <c r="H181" s="109" t="s">
        <v>1245</v>
      </c>
      <c r="I181" s="125"/>
      <c r="J181" s="109" t="s">
        <v>749</v>
      </c>
      <c r="K181" s="123">
        <v>46218</v>
      </c>
      <c r="L181" s="109" t="s">
        <v>978</v>
      </c>
    </row>
    <row r="182" spans="1:12" ht="29.15" x14ac:dyDescent="0.4">
      <c r="A182" s="109" t="s">
        <v>608</v>
      </c>
      <c r="B182" s="109" t="s">
        <v>493</v>
      </c>
      <c r="C182" s="109" t="s">
        <v>1264</v>
      </c>
      <c r="D182" s="125" t="s">
        <v>1265</v>
      </c>
      <c r="E182" s="109" t="s">
        <v>181</v>
      </c>
      <c r="F182" s="109" t="s">
        <v>606</v>
      </c>
      <c r="G182" s="109" t="s">
        <v>753</v>
      </c>
      <c r="H182" s="109" t="s">
        <v>606</v>
      </c>
      <c r="I182" s="125"/>
      <c r="J182" s="109" t="s">
        <v>749</v>
      </c>
      <c r="K182" s="123">
        <v>46218</v>
      </c>
      <c r="L182" s="109" t="s">
        <v>978</v>
      </c>
    </row>
    <row r="183" spans="1:12" ht="29.15" x14ac:dyDescent="0.4">
      <c r="A183" s="109" t="s">
        <v>608</v>
      </c>
      <c r="B183" s="109" t="s">
        <v>493</v>
      </c>
      <c r="C183" s="109" t="s">
        <v>1264</v>
      </c>
      <c r="D183" s="125" t="s">
        <v>1265</v>
      </c>
      <c r="E183" s="109" t="s">
        <v>267</v>
      </c>
      <c r="F183" s="109" t="s">
        <v>1235</v>
      </c>
      <c r="G183" s="109" t="s">
        <v>753</v>
      </c>
      <c r="H183" s="109" t="s">
        <v>1235</v>
      </c>
      <c r="I183" s="125"/>
      <c r="J183" s="109" t="s">
        <v>749</v>
      </c>
      <c r="K183" s="123">
        <v>46218</v>
      </c>
      <c r="L183" s="109" t="s">
        <v>978</v>
      </c>
    </row>
    <row r="184" spans="1:12" ht="29.15" x14ac:dyDescent="0.4">
      <c r="A184" s="109" t="s">
        <v>608</v>
      </c>
      <c r="B184" s="109" t="s">
        <v>493</v>
      </c>
      <c r="C184" s="109" t="s">
        <v>1267</v>
      </c>
      <c r="D184" s="125" t="s">
        <v>1268</v>
      </c>
      <c r="E184" s="109" t="s">
        <v>181</v>
      </c>
      <c r="F184" s="109" t="s">
        <v>579</v>
      </c>
      <c r="G184" s="109" t="s">
        <v>753</v>
      </c>
      <c r="H184" s="109" t="s">
        <v>579</v>
      </c>
      <c r="I184" s="125"/>
      <c r="J184" s="109" t="s">
        <v>749</v>
      </c>
      <c r="K184" s="123">
        <v>46218</v>
      </c>
      <c r="L184" s="109" t="s">
        <v>978</v>
      </c>
    </row>
    <row r="185" spans="1:12" ht="29.15" x14ac:dyDescent="0.4">
      <c r="A185" s="109" t="s">
        <v>608</v>
      </c>
      <c r="B185" s="109" t="s">
        <v>493</v>
      </c>
      <c r="C185" s="109" t="s">
        <v>1267</v>
      </c>
      <c r="D185" s="125" t="s">
        <v>1268</v>
      </c>
      <c r="E185" s="109" t="s">
        <v>267</v>
      </c>
      <c r="F185" s="109" t="s">
        <v>1245</v>
      </c>
      <c r="G185" s="109" t="s">
        <v>753</v>
      </c>
      <c r="H185" s="109" t="s">
        <v>1245</v>
      </c>
      <c r="I185" s="125"/>
      <c r="J185" s="109" t="s">
        <v>749</v>
      </c>
      <c r="K185" s="123">
        <v>46218</v>
      </c>
      <c r="L185" s="109" t="s">
        <v>978</v>
      </c>
    </row>
    <row r="186" spans="1:12" x14ac:dyDescent="0.4">
      <c r="A186" s="109" t="s">
        <v>1501</v>
      </c>
      <c r="B186" s="109" t="s">
        <v>540</v>
      </c>
      <c r="C186" s="109" t="s">
        <v>1410</v>
      </c>
      <c r="D186" s="125" t="s">
        <v>1411</v>
      </c>
      <c r="E186" s="109" t="s">
        <v>878</v>
      </c>
      <c r="F186" s="109" t="s">
        <v>560</v>
      </c>
      <c r="G186" s="109" t="s">
        <v>753</v>
      </c>
      <c r="H186" s="109" t="s">
        <v>560</v>
      </c>
      <c r="I186" s="125"/>
      <c r="J186" s="109" t="s">
        <v>749</v>
      </c>
      <c r="K186" s="123">
        <v>46169</v>
      </c>
      <c r="L186" s="109" t="s">
        <v>978</v>
      </c>
    </row>
    <row r="187" spans="1:12" x14ac:dyDescent="0.4">
      <c r="A187" s="109" t="s">
        <v>1501</v>
      </c>
      <c r="B187" s="109" t="s">
        <v>540</v>
      </c>
      <c r="C187" s="109" t="s">
        <v>1410</v>
      </c>
      <c r="D187" s="125" t="s">
        <v>1411</v>
      </c>
      <c r="E187" s="109" t="s">
        <v>544</v>
      </c>
      <c r="F187" s="109" t="s">
        <v>883</v>
      </c>
      <c r="G187" s="109" t="s">
        <v>753</v>
      </c>
      <c r="H187" s="109" t="s">
        <v>883</v>
      </c>
      <c r="I187" s="125"/>
      <c r="J187" s="109" t="s">
        <v>749</v>
      </c>
      <c r="K187" s="123">
        <v>46169</v>
      </c>
      <c r="L187" s="109" t="s">
        <v>978</v>
      </c>
    </row>
    <row r="188" spans="1:12" ht="29.15" x14ac:dyDescent="0.4">
      <c r="A188" s="109" t="s">
        <v>1502</v>
      </c>
      <c r="B188" s="109" t="s">
        <v>540</v>
      </c>
      <c r="C188" s="109" t="s">
        <v>870</v>
      </c>
      <c r="D188" s="125" t="s">
        <v>1415</v>
      </c>
      <c r="E188" s="109" t="s">
        <v>878</v>
      </c>
      <c r="F188" s="109" t="s">
        <v>554</v>
      </c>
      <c r="G188" s="109" t="s">
        <v>753</v>
      </c>
      <c r="H188" s="109" t="s">
        <v>554</v>
      </c>
      <c r="I188" s="125"/>
      <c r="J188" s="109" t="s">
        <v>749</v>
      </c>
      <c r="K188" s="123">
        <v>46190</v>
      </c>
      <c r="L188" s="109" t="s">
        <v>978</v>
      </c>
    </row>
    <row r="189" spans="1:12" ht="29.15" x14ac:dyDescent="0.4">
      <c r="A189" s="109" t="s">
        <v>1502</v>
      </c>
      <c r="B189" s="109" t="s">
        <v>540</v>
      </c>
      <c r="C189" s="109" t="s">
        <v>870</v>
      </c>
      <c r="D189" s="125" t="s">
        <v>1415</v>
      </c>
      <c r="E189" s="109" t="s">
        <v>544</v>
      </c>
      <c r="F189" s="109" t="s">
        <v>883</v>
      </c>
      <c r="G189" s="109" t="s">
        <v>753</v>
      </c>
      <c r="H189" s="109" t="s">
        <v>883</v>
      </c>
      <c r="I189" s="125"/>
      <c r="J189" s="109" t="s">
        <v>749</v>
      </c>
      <c r="K189" s="123">
        <v>46190</v>
      </c>
      <c r="L189" s="109" t="s">
        <v>978</v>
      </c>
    </row>
    <row r="190" spans="1:12" ht="29.15" x14ac:dyDescent="0.4">
      <c r="A190" s="109" t="s">
        <v>1502</v>
      </c>
      <c r="B190" s="109" t="s">
        <v>540</v>
      </c>
      <c r="C190" s="109" t="s">
        <v>1417</v>
      </c>
      <c r="D190" s="125" t="s">
        <v>1418</v>
      </c>
      <c r="E190" s="109" t="s">
        <v>878</v>
      </c>
      <c r="F190" s="109" t="s">
        <v>576</v>
      </c>
      <c r="G190" s="109" t="s">
        <v>753</v>
      </c>
      <c r="H190" s="109" t="s">
        <v>576</v>
      </c>
      <c r="I190" s="125"/>
      <c r="J190" s="109" t="s">
        <v>749</v>
      </c>
      <c r="K190" s="123">
        <v>46190</v>
      </c>
      <c r="L190" s="109" t="s">
        <v>978</v>
      </c>
    </row>
    <row r="191" spans="1:12" ht="29.15" x14ac:dyDescent="0.4">
      <c r="A191" s="109" t="s">
        <v>1502</v>
      </c>
      <c r="B191" s="109" t="s">
        <v>540</v>
      </c>
      <c r="C191" s="109" t="s">
        <v>1417</v>
      </c>
      <c r="D191" s="125" t="s">
        <v>1418</v>
      </c>
      <c r="E191" s="109" t="s">
        <v>544</v>
      </c>
      <c r="F191" s="109" t="s">
        <v>1421</v>
      </c>
      <c r="G191" s="109" t="s">
        <v>753</v>
      </c>
      <c r="H191" s="109" t="s">
        <v>1421</v>
      </c>
      <c r="I191" s="125"/>
      <c r="J191" s="109" t="s">
        <v>749</v>
      </c>
      <c r="K191" s="123">
        <v>46190</v>
      </c>
      <c r="L191" s="109" t="s">
        <v>978</v>
      </c>
    </row>
    <row r="192" spans="1:12" ht="29.15" x14ac:dyDescent="0.4">
      <c r="A192" s="109" t="s">
        <v>1502</v>
      </c>
      <c r="B192" s="109" t="s">
        <v>540</v>
      </c>
      <c r="C192" s="109" t="s">
        <v>1423</v>
      </c>
      <c r="D192" s="125" t="s">
        <v>1424</v>
      </c>
      <c r="E192" s="109" t="s">
        <v>878</v>
      </c>
      <c r="F192" s="109" t="s">
        <v>560</v>
      </c>
      <c r="G192" s="109" t="s">
        <v>753</v>
      </c>
      <c r="H192" s="109" t="s">
        <v>560</v>
      </c>
      <c r="I192" s="125"/>
      <c r="J192" s="109" t="s">
        <v>749</v>
      </c>
      <c r="K192" s="123">
        <v>46190</v>
      </c>
      <c r="L192" s="109" t="s">
        <v>978</v>
      </c>
    </row>
    <row r="193" spans="1:12" ht="29.15" x14ac:dyDescent="0.4">
      <c r="A193" s="109" t="s">
        <v>1502</v>
      </c>
      <c r="B193" s="109" t="s">
        <v>540</v>
      </c>
      <c r="C193" s="109" t="s">
        <v>1423</v>
      </c>
      <c r="D193" s="125" t="s">
        <v>1424</v>
      </c>
      <c r="E193" s="109" t="s">
        <v>544</v>
      </c>
      <c r="F193" s="109" t="s">
        <v>1421</v>
      </c>
      <c r="G193" s="109" t="s">
        <v>753</v>
      </c>
      <c r="H193" s="109" t="s">
        <v>1421</v>
      </c>
      <c r="I193" s="125"/>
      <c r="J193" s="109" t="s">
        <v>749</v>
      </c>
      <c r="K193" s="123">
        <v>46190</v>
      </c>
      <c r="L193" s="109" t="s">
        <v>978</v>
      </c>
    </row>
    <row r="194" spans="1:12" x14ac:dyDescent="0.4">
      <c r="A194" s="109" t="s">
        <v>1503</v>
      </c>
      <c r="B194" s="109" t="s">
        <v>540</v>
      </c>
      <c r="C194" s="109" t="s">
        <v>1427</v>
      </c>
      <c r="D194" s="125" t="s">
        <v>1428</v>
      </c>
      <c r="E194" s="109" t="s">
        <v>878</v>
      </c>
      <c r="F194" s="109" t="s">
        <v>554</v>
      </c>
      <c r="G194" s="109" t="s">
        <v>753</v>
      </c>
      <c r="H194" s="109" t="s">
        <v>554</v>
      </c>
      <c r="I194" s="125"/>
      <c r="J194" s="109" t="s">
        <v>749</v>
      </c>
      <c r="K194" s="123">
        <v>46197</v>
      </c>
      <c r="L194" s="109" t="s">
        <v>978</v>
      </c>
    </row>
    <row r="195" spans="1:12" x14ac:dyDescent="0.4">
      <c r="A195" s="109" t="s">
        <v>1503</v>
      </c>
      <c r="B195" s="109" t="s">
        <v>540</v>
      </c>
      <c r="C195" s="109" t="s">
        <v>1427</v>
      </c>
      <c r="D195" s="125" t="s">
        <v>1428</v>
      </c>
      <c r="E195" s="109" t="s">
        <v>544</v>
      </c>
      <c r="F195" s="109" t="s">
        <v>883</v>
      </c>
      <c r="G195" s="109" t="s">
        <v>753</v>
      </c>
      <c r="H195" s="109" t="s">
        <v>883</v>
      </c>
      <c r="I195" s="125"/>
      <c r="J195" s="109" t="s">
        <v>749</v>
      </c>
      <c r="K195" s="123">
        <v>46197</v>
      </c>
      <c r="L195" s="109" t="s">
        <v>978</v>
      </c>
    </row>
    <row r="196" spans="1:12" ht="29.15" x14ac:dyDescent="0.4">
      <c r="A196" s="109" t="s">
        <v>1503</v>
      </c>
      <c r="B196" s="109" t="s">
        <v>540</v>
      </c>
      <c r="C196" s="109" t="s">
        <v>1432</v>
      </c>
      <c r="D196" s="125" t="s">
        <v>1433</v>
      </c>
      <c r="E196" s="109" t="s">
        <v>878</v>
      </c>
      <c r="F196" s="109" t="s">
        <v>576</v>
      </c>
      <c r="G196" s="109" t="s">
        <v>753</v>
      </c>
      <c r="H196" s="109" t="s">
        <v>576</v>
      </c>
      <c r="I196" s="125"/>
      <c r="J196" s="109" t="s">
        <v>749</v>
      </c>
      <c r="K196" s="123">
        <v>46197</v>
      </c>
      <c r="L196" s="109" t="s">
        <v>978</v>
      </c>
    </row>
    <row r="197" spans="1:12" ht="29.15" x14ac:dyDescent="0.4">
      <c r="A197" s="109" t="s">
        <v>1503</v>
      </c>
      <c r="B197" s="109" t="s">
        <v>540</v>
      </c>
      <c r="C197" s="109" t="s">
        <v>1432</v>
      </c>
      <c r="D197" s="125" t="s">
        <v>1433</v>
      </c>
      <c r="E197" s="109" t="s">
        <v>544</v>
      </c>
      <c r="F197" s="109" t="s">
        <v>1421</v>
      </c>
      <c r="G197" s="109" t="s">
        <v>753</v>
      </c>
      <c r="H197" s="109" t="s">
        <v>1421</v>
      </c>
      <c r="I197" s="125"/>
      <c r="J197" s="109" t="s">
        <v>749</v>
      </c>
      <c r="K197" s="123">
        <v>46197</v>
      </c>
      <c r="L197" s="109" t="s">
        <v>978</v>
      </c>
    </row>
    <row r="198" spans="1:12" x14ac:dyDescent="0.4">
      <c r="A198" s="109" t="s">
        <v>1503</v>
      </c>
      <c r="B198" s="109" t="s">
        <v>540</v>
      </c>
      <c r="C198" s="109" t="s">
        <v>1437</v>
      </c>
      <c r="D198" s="125" t="s">
        <v>1438</v>
      </c>
      <c r="E198" s="109" t="s">
        <v>878</v>
      </c>
      <c r="F198" s="109" t="s">
        <v>572</v>
      </c>
      <c r="G198" s="109" t="s">
        <v>753</v>
      </c>
      <c r="H198" s="109" t="s">
        <v>572</v>
      </c>
      <c r="I198" s="125"/>
      <c r="J198" s="109" t="s">
        <v>749</v>
      </c>
      <c r="K198" s="123">
        <v>46197</v>
      </c>
      <c r="L198" s="109" t="s">
        <v>978</v>
      </c>
    </row>
    <row r="199" spans="1:12" x14ac:dyDescent="0.4">
      <c r="A199" s="109" t="s">
        <v>1503</v>
      </c>
      <c r="B199" s="109" t="s">
        <v>540</v>
      </c>
      <c r="C199" s="109" t="s">
        <v>1437</v>
      </c>
      <c r="D199" s="125" t="s">
        <v>1438</v>
      </c>
      <c r="E199" s="109" t="s">
        <v>544</v>
      </c>
      <c r="F199" s="109" t="s">
        <v>1441</v>
      </c>
      <c r="G199" s="109" t="s">
        <v>753</v>
      </c>
      <c r="H199" s="109" t="s">
        <v>1441</v>
      </c>
      <c r="I199" s="125"/>
      <c r="J199" s="109" t="s">
        <v>749</v>
      </c>
      <c r="K199" s="123">
        <v>46197</v>
      </c>
      <c r="L199" s="109" t="s">
        <v>978</v>
      </c>
    </row>
    <row r="200" spans="1:12" x14ac:dyDescent="0.4">
      <c r="A200" s="109" t="s">
        <v>1504</v>
      </c>
      <c r="B200" s="109" t="s">
        <v>540</v>
      </c>
      <c r="C200" s="109" t="s">
        <v>1443</v>
      </c>
      <c r="D200" s="125" t="s">
        <v>1444</v>
      </c>
      <c r="E200" s="109" t="s">
        <v>878</v>
      </c>
      <c r="F200" s="109" t="s">
        <v>560</v>
      </c>
      <c r="G200" s="109" t="s">
        <v>753</v>
      </c>
      <c r="H200" s="109" t="s">
        <v>560</v>
      </c>
      <c r="I200" s="125"/>
      <c r="J200" s="109" t="s">
        <v>749</v>
      </c>
      <c r="K200" s="123">
        <v>46204</v>
      </c>
      <c r="L200" s="109" t="s">
        <v>978</v>
      </c>
    </row>
    <row r="201" spans="1:12" x14ac:dyDescent="0.4">
      <c r="A201" s="109" t="s">
        <v>1504</v>
      </c>
      <c r="B201" s="109" t="s">
        <v>540</v>
      </c>
      <c r="C201" s="109" t="s">
        <v>1443</v>
      </c>
      <c r="D201" s="125" t="s">
        <v>1444</v>
      </c>
      <c r="E201" s="109" t="s">
        <v>544</v>
      </c>
      <c r="F201" s="109" t="s">
        <v>883</v>
      </c>
      <c r="G201" s="109" t="s">
        <v>753</v>
      </c>
      <c r="H201" s="109" t="s">
        <v>883</v>
      </c>
      <c r="I201" s="125"/>
      <c r="J201" s="109" t="s">
        <v>749</v>
      </c>
      <c r="K201" s="123">
        <v>46204</v>
      </c>
      <c r="L201" s="109" t="s">
        <v>978</v>
      </c>
    </row>
    <row r="202" spans="1:12" x14ac:dyDescent="0.4">
      <c r="A202" s="109" t="s">
        <v>1504</v>
      </c>
      <c r="B202" s="109" t="s">
        <v>540</v>
      </c>
      <c r="C202" s="109" t="s">
        <v>1446</v>
      </c>
      <c r="D202" s="125" t="s">
        <v>1447</v>
      </c>
      <c r="E202" s="109" t="s">
        <v>878</v>
      </c>
      <c r="F202" s="109" t="s">
        <v>554</v>
      </c>
      <c r="G202" s="109" t="s">
        <v>753</v>
      </c>
      <c r="H202" s="109" t="s">
        <v>554</v>
      </c>
      <c r="I202" s="125"/>
      <c r="J202" s="109" t="s">
        <v>749</v>
      </c>
      <c r="K202" s="123">
        <v>46204</v>
      </c>
      <c r="L202" s="109" t="s">
        <v>978</v>
      </c>
    </row>
    <row r="203" spans="1:12" x14ac:dyDescent="0.4">
      <c r="A203" s="109" t="s">
        <v>1504</v>
      </c>
      <c r="B203" s="109" t="s">
        <v>540</v>
      </c>
      <c r="C203" s="109" t="s">
        <v>1446</v>
      </c>
      <c r="D203" s="125" t="s">
        <v>1447</v>
      </c>
      <c r="E203" s="109" t="s">
        <v>544</v>
      </c>
      <c r="F203" s="109" t="s">
        <v>883</v>
      </c>
      <c r="G203" s="109" t="s">
        <v>753</v>
      </c>
      <c r="H203" s="109" t="s">
        <v>883</v>
      </c>
      <c r="I203" s="125"/>
      <c r="J203" s="109" t="s">
        <v>749</v>
      </c>
      <c r="K203" s="123">
        <v>46204</v>
      </c>
      <c r="L203" s="109" t="s">
        <v>978</v>
      </c>
    </row>
    <row r="204" spans="1:12" x14ac:dyDescent="0.4">
      <c r="A204" s="109" t="s">
        <v>1504</v>
      </c>
      <c r="B204" s="109" t="s">
        <v>540</v>
      </c>
      <c r="C204" s="109" t="s">
        <v>1451</v>
      </c>
      <c r="D204" s="125" t="s">
        <v>1452</v>
      </c>
      <c r="E204" s="109" t="s">
        <v>878</v>
      </c>
      <c r="F204" s="109" t="s">
        <v>576</v>
      </c>
      <c r="G204" s="109" t="s">
        <v>753</v>
      </c>
      <c r="H204" s="109" t="s">
        <v>576</v>
      </c>
      <c r="I204" s="125"/>
      <c r="J204" s="109" t="s">
        <v>749</v>
      </c>
      <c r="K204" s="123">
        <v>46204</v>
      </c>
      <c r="L204" s="109" t="s">
        <v>978</v>
      </c>
    </row>
    <row r="205" spans="1:12" x14ac:dyDescent="0.4">
      <c r="A205" s="109" t="s">
        <v>1504</v>
      </c>
      <c r="B205" s="109" t="s">
        <v>540</v>
      </c>
      <c r="C205" s="109" t="s">
        <v>1451</v>
      </c>
      <c r="D205" s="125" t="s">
        <v>1452</v>
      </c>
      <c r="E205" s="109" t="s">
        <v>544</v>
      </c>
      <c r="F205" s="109" t="s">
        <v>1421</v>
      </c>
      <c r="G205" s="109" t="s">
        <v>753</v>
      </c>
      <c r="H205" s="109" t="s">
        <v>1421</v>
      </c>
      <c r="I205" s="125"/>
      <c r="J205" s="109" t="s">
        <v>749</v>
      </c>
      <c r="K205" s="123">
        <v>46204</v>
      </c>
      <c r="L205" s="109" t="s">
        <v>978</v>
      </c>
    </row>
    <row r="206" spans="1:12" ht="29.15" x14ac:dyDescent="0.4">
      <c r="A206" s="129" t="s">
        <v>1505</v>
      </c>
      <c r="B206" s="129" t="s">
        <v>18</v>
      </c>
      <c r="C206" s="129" t="s">
        <v>554</v>
      </c>
      <c r="D206" s="130" t="s">
        <v>555</v>
      </c>
      <c r="E206" s="129" t="s">
        <v>203</v>
      </c>
      <c r="F206" s="109">
        <v>4</v>
      </c>
      <c r="G206" s="129" t="s">
        <v>753</v>
      </c>
      <c r="H206" s="109">
        <v>4</v>
      </c>
      <c r="I206" s="125"/>
      <c r="J206" s="129" t="s">
        <v>749</v>
      </c>
      <c r="K206" s="123">
        <v>46303</v>
      </c>
      <c r="L206" s="129" t="s">
        <v>978</v>
      </c>
    </row>
    <row r="207" spans="1:12" ht="29.15" x14ac:dyDescent="0.4">
      <c r="A207" s="129" t="s">
        <v>1505</v>
      </c>
      <c r="B207" s="129" t="s">
        <v>18</v>
      </c>
      <c r="C207" s="129" t="s">
        <v>554</v>
      </c>
      <c r="D207" s="130" t="s">
        <v>555</v>
      </c>
      <c r="E207" s="129" t="s">
        <v>300</v>
      </c>
      <c r="F207" s="109">
        <v>5</v>
      </c>
      <c r="G207" s="129" t="s">
        <v>753</v>
      </c>
      <c r="H207" s="109">
        <v>5</v>
      </c>
      <c r="I207" s="125"/>
      <c r="J207" s="129" t="s">
        <v>749</v>
      </c>
      <c r="K207" s="123">
        <v>46303</v>
      </c>
      <c r="L207" s="129" t="s">
        <v>978</v>
      </c>
    </row>
    <row r="208" spans="1:12" ht="29.15" x14ac:dyDescent="0.4">
      <c r="A208" s="129" t="s">
        <v>1505</v>
      </c>
      <c r="B208" s="129" t="s">
        <v>18</v>
      </c>
      <c r="C208" s="129" t="s">
        <v>554</v>
      </c>
      <c r="D208" s="130" t="s">
        <v>555</v>
      </c>
      <c r="E208" s="129" t="s">
        <v>206</v>
      </c>
      <c r="F208" s="109">
        <v>4</v>
      </c>
      <c r="G208" s="129" t="s">
        <v>753</v>
      </c>
      <c r="H208" s="109">
        <v>4</v>
      </c>
      <c r="I208" s="125"/>
      <c r="J208" s="129" t="s">
        <v>749</v>
      </c>
      <c r="K208" s="123">
        <v>46303</v>
      </c>
      <c r="L208" s="129" t="s">
        <v>978</v>
      </c>
    </row>
    <row r="209" spans="1:12" ht="29.15" x14ac:dyDescent="0.4">
      <c r="A209" s="129" t="s">
        <v>1505</v>
      </c>
      <c r="B209" s="129" t="s">
        <v>18</v>
      </c>
      <c r="C209" s="129" t="s">
        <v>554</v>
      </c>
      <c r="D209" s="130" t="s">
        <v>555</v>
      </c>
      <c r="E209" s="129" t="s">
        <v>204</v>
      </c>
      <c r="F209" s="109">
        <v>4</v>
      </c>
      <c r="G209" s="129" t="s">
        <v>753</v>
      </c>
      <c r="H209" s="109">
        <v>4</v>
      </c>
      <c r="I209" s="125"/>
      <c r="J209" s="129" t="s">
        <v>749</v>
      </c>
      <c r="K209" s="123">
        <v>46303</v>
      </c>
      <c r="L209" s="129" t="s">
        <v>978</v>
      </c>
    </row>
    <row r="210" spans="1:12" ht="29.15" x14ac:dyDescent="0.4">
      <c r="A210" s="129" t="s">
        <v>1505</v>
      </c>
      <c r="B210" s="129" t="s">
        <v>18</v>
      </c>
      <c r="C210" s="129" t="s">
        <v>554</v>
      </c>
      <c r="D210" s="130" t="s">
        <v>555</v>
      </c>
      <c r="E210" s="129" t="s">
        <v>551</v>
      </c>
      <c r="F210" s="109"/>
      <c r="G210" s="129" t="s">
        <v>753</v>
      </c>
      <c r="H210" s="109"/>
      <c r="I210" s="125"/>
      <c r="J210" s="129" t="s">
        <v>749</v>
      </c>
      <c r="K210" s="123">
        <v>46303</v>
      </c>
      <c r="L210" s="129" t="s">
        <v>978</v>
      </c>
    </row>
    <row r="211" spans="1:12" ht="29.15" x14ac:dyDescent="0.4">
      <c r="A211" s="129" t="s">
        <v>1505</v>
      </c>
      <c r="B211" s="129" t="s">
        <v>18</v>
      </c>
      <c r="C211" s="129" t="s">
        <v>554</v>
      </c>
      <c r="D211" s="130" t="s">
        <v>555</v>
      </c>
      <c r="E211" s="129" t="s">
        <v>772</v>
      </c>
      <c r="F211" s="129" t="s">
        <v>776</v>
      </c>
      <c r="G211" s="129" t="s">
        <v>753</v>
      </c>
      <c r="H211" s="129" t="s">
        <v>776</v>
      </c>
      <c r="I211" s="125"/>
      <c r="J211" s="129" t="s">
        <v>749</v>
      </c>
      <c r="K211" s="123">
        <v>46303</v>
      </c>
      <c r="L211" s="129" t="s">
        <v>978</v>
      </c>
    </row>
    <row r="212" spans="1:12" x14ac:dyDescent="0.4">
      <c r="A212" s="129" t="s">
        <v>1505</v>
      </c>
      <c r="B212" s="129" t="s">
        <v>18</v>
      </c>
      <c r="C212" s="129" t="s">
        <v>560</v>
      </c>
      <c r="D212" s="130" t="s">
        <v>561</v>
      </c>
      <c r="E212" s="129" t="s">
        <v>203</v>
      </c>
      <c r="F212" s="129">
        <v>4</v>
      </c>
      <c r="G212" s="129" t="s">
        <v>753</v>
      </c>
      <c r="H212" s="109">
        <v>4</v>
      </c>
      <c r="I212" s="125"/>
      <c r="J212" s="129" t="s">
        <v>749</v>
      </c>
      <c r="K212" s="123">
        <v>46303</v>
      </c>
      <c r="L212" s="129" t="s">
        <v>978</v>
      </c>
    </row>
    <row r="213" spans="1:12" x14ac:dyDescent="0.4">
      <c r="A213" s="129" t="s">
        <v>1505</v>
      </c>
      <c r="B213" s="129" t="s">
        <v>18</v>
      </c>
      <c r="C213" s="129" t="s">
        <v>560</v>
      </c>
      <c r="D213" s="130" t="s">
        <v>561</v>
      </c>
      <c r="E213" s="129" t="s">
        <v>300</v>
      </c>
      <c r="F213" s="129">
        <v>4</v>
      </c>
      <c r="G213" s="129" t="s">
        <v>753</v>
      </c>
      <c r="H213" s="109">
        <v>4</v>
      </c>
      <c r="I213" s="125"/>
      <c r="J213" s="129" t="s">
        <v>749</v>
      </c>
      <c r="K213" s="123">
        <v>46303</v>
      </c>
      <c r="L213" s="129" t="s">
        <v>978</v>
      </c>
    </row>
    <row r="214" spans="1:12" x14ac:dyDescent="0.4">
      <c r="A214" s="129" t="s">
        <v>1505</v>
      </c>
      <c r="B214" s="129" t="s">
        <v>18</v>
      </c>
      <c r="C214" s="129" t="s">
        <v>560</v>
      </c>
      <c r="D214" s="130" t="s">
        <v>561</v>
      </c>
      <c r="E214" s="129" t="s">
        <v>206</v>
      </c>
      <c r="F214" s="129">
        <v>3</v>
      </c>
      <c r="G214" s="129" t="s">
        <v>753</v>
      </c>
      <c r="H214" s="109">
        <v>3</v>
      </c>
      <c r="I214" s="125"/>
      <c r="J214" s="129" t="s">
        <v>749</v>
      </c>
      <c r="K214" s="123">
        <v>46303</v>
      </c>
      <c r="L214" s="129" t="s">
        <v>978</v>
      </c>
    </row>
    <row r="215" spans="1:12" x14ac:dyDescent="0.4">
      <c r="A215" s="129" t="s">
        <v>1505</v>
      </c>
      <c r="B215" s="129" t="s">
        <v>18</v>
      </c>
      <c r="C215" s="129" t="s">
        <v>560</v>
      </c>
      <c r="D215" s="130" t="s">
        <v>561</v>
      </c>
      <c r="E215" s="129" t="s">
        <v>204</v>
      </c>
      <c r="F215" s="129">
        <v>2</v>
      </c>
      <c r="G215" s="129" t="s">
        <v>753</v>
      </c>
      <c r="H215" s="109">
        <v>2</v>
      </c>
      <c r="I215" s="125"/>
      <c r="J215" s="129" t="s">
        <v>749</v>
      </c>
      <c r="K215" s="123">
        <v>46303</v>
      </c>
      <c r="L215" s="129" t="s">
        <v>978</v>
      </c>
    </row>
    <row r="216" spans="1:12" x14ac:dyDescent="0.4">
      <c r="A216" s="129" t="s">
        <v>1505</v>
      </c>
      <c r="B216" s="129" t="s">
        <v>18</v>
      </c>
      <c r="C216" s="129" t="s">
        <v>560</v>
      </c>
      <c r="D216" s="130" t="s">
        <v>561</v>
      </c>
      <c r="E216" s="129" t="s">
        <v>551</v>
      </c>
      <c r="F216" s="129"/>
      <c r="G216" s="129" t="s">
        <v>753</v>
      </c>
      <c r="H216" s="109"/>
      <c r="I216" s="125"/>
      <c r="J216" s="129" t="s">
        <v>749</v>
      </c>
      <c r="K216" s="123">
        <v>46303</v>
      </c>
      <c r="L216" s="129" t="s">
        <v>978</v>
      </c>
    </row>
    <row r="217" spans="1:12" x14ac:dyDescent="0.4">
      <c r="A217" s="129" t="s">
        <v>1505</v>
      </c>
      <c r="B217" s="129" t="s">
        <v>18</v>
      </c>
      <c r="C217" s="129" t="s">
        <v>560</v>
      </c>
      <c r="D217" s="130" t="s">
        <v>561</v>
      </c>
      <c r="E217" s="129" t="s">
        <v>772</v>
      </c>
      <c r="F217" s="129" t="s">
        <v>776</v>
      </c>
      <c r="G217" s="129" t="s">
        <v>753</v>
      </c>
      <c r="H217" s="129" t="s">
        <v>776</v>
      </c>
      <c r="I217" s="125"/>
      <c r="J217" s="129" t="s">
        <v>749</v>
      </c>
      <c r="K217" s="123">
        <v>46303</v>
      </c>
      <c r="L217" s="129" t="s">
        <v>978</v>
      </c>
    </row>
    <row r="218" spans="1:12" ht="29.15" x14ac:dyDescent="0.4">
      <c r="A218" s="129" t="s">
        <v>1505</v>
      </c>
      <c r="B218" s="129" t="s">
        <v>18</v>
      </c>
      <c r="C218" s="129" t="s">
        <v>566</v>
      </c>
      <c r="D218" s="130" t="s">
        <v>567</v>
      </c>
      <c r="E218" s="129" t="s">
        <v>203</v>
      </c>
      <c r="F218" s="129">
        <v>3</v>
      </c>
      <c r="G218" s="129" t="s">
        <v>753</v>
      </c>
      <c r="H218" s="109">
        <v>3</v>
      </c>
      <c r="I218" s="125"/>
      <c r="J218" s="129" t="s">
        <v>749</v>
      </c>
      <c r="K218" s="123">
        <v>46303</v>
      </c>
      <c r="L218" s="129" t="s">
        <v>978</v>
      </c>
    </row>
    <row r="219" spans="1:12" ht="29.15" x14ac:dyDescent="0.4">
      <c r="A219" s="129" t="s">
        <v>1505</v>
      </c>
      <c r="B219" s="129" t="s">
        <v>18</v>
      </c>
      <c r="C219" s="129" t="s">
        <v>566</v>
      </c>
      <c r="D219" s="130" t="s">
        <v>567</v>
      </c>
      <c r="E219" s="129" t="s">
        <v>300</v>
      </c>
      <c r="F219" s="129">
        <v>2</v>
      </c>
      <c r="G219" s="129" t="s">
        <v>753</v>
      </c>
      <c r="H219" s="109">
        <v>2</v>
      </c>
      <c r="I219" s="125"/>
      <c r="J219" s="129" t="s">
        <v>749</v>
      </c>
      <c r="K219" s="123">
        <v>46303</v>
      </c>
      <c r="L219" s="129" t="s">
        <v>978</v>
      </c>
    </row>
    <row r="220" spans="1:12" ht="29.15" x14ac:dyDescent="0.4">
      <c r="A220" s="129" t="s">
        <v>1505</v>
      </c>
      <c r="B220" s="129" t="s">
        <v>18</v>
      </c>
      <c r="C220" s="129" t="s">
        <v>566</v>
      </c>
      <c r="D220" s="130" t="s">
        <v>567</v>
      </c>
      <c r="E220" s="129" t="s">
        <v>206</v>
      </c>
      <c r="F220" s="129">
        <v>4</v>
      </c>
      <c r="G220" s="129" t="s">
        <v>753</v>
      </c>
      <c r="H220" s="109">
        <v>4</v>
      </c>
      <c r="I220" s="125"/>
      <c r="J220" s="129" t="s">
        <v>749</v>
      </c>
      <c r="K220" s="123">
        <v>46303</v>
      </c>
      <c r="L220" s="129" t="s">
        <v>978</v>
      </c>
    </row>
    <row r="221" spans="1:12" ht="29.15" x14ac:dyDescent="0.4">
      <c r="A221" s="129" t="s">
        <v>1505</v>
      </c>
      <c r="B221" s="129" t="s">
        <v>18</v>
      </c>
      <c r="C221" s="129" t="s">
        <v>566</v>
      </c>
      <c r="D221" s="130" t="s">
        <v>567</v>
      </c>
      <c r="E221" s="129" t="s">
        <v>204</v>
      </c>
      <c r="F221" s="129">
        <v>3</v>
      </c>
      <c r="G221" s="129" t="s">
        <v>753</v>
      </c>
      <c r="H221" s="109">
        <v>3</v>
      </c>
      <c r="I221" s="125"/>
      <c r="J221" s="129" t="s">
        <v>749</v>
      </c>
      <c r="K221" s="123">
        <v>46303</v>
      </c>
      <c r="L221" s="129" t="s">
        <v>978</v>
      </c>
    </row>
    <row r="222" spans="1:12" ht="29.15" x14ac:dyDescent="0.4">
      <c r="A222" s="129" t="s">
        <v>1505</v>
      </c>
      <c r="B222" s="129" t="s">
        <v>18</v>
      </c>
      <c r="C222" s="129" t="s">
        <v>566</v>
      </c>
      <c r="D222" s="130" t="s">
        <v>567</v>
      </c>
      <c r="E222" s="129" t="s">
        <v>551</v>
      </c>
      <c r="F222" s="129"/>
      <c r="G222" s="129" t="s">
        <v>753</v>
      </c>
      <c r="H222" s="109"/>
      <c r="I222" s="125"/>
      <c r="J222" s="129" t="s">
        <v>749</v>
      </c>
      <c r="K222" s="123">
        <v>46303</v>
      </c>
      <c r="L222" s="129" t="s">
        <v>978</v>
      </c>
    </row>
    <row r="223" spans="1:12" ht="29.15" x14ac:dyDescent="0.4">
      <c r="A223" s="129" t="s">
        <v>1505</v>
      </c>
      <c r="B223" s="129" t="s">
        <v>18</v>
      </c>
      <c r="C223" s="129" t="s">
        <v>566</v>
      </c>
      <c r="D223" s="130" t="s">
        <v>567</v>
      </c>
      <c r="E223" s="129" t="s">
        <v>772</v>
      </c>
      <c r="F223" s="129" t="s">
        <v>776</v>
      </c>
      <c r="G223" s="129" t="s">
        <v>753</v>
      </c>
      <c r="H223" s="129" t="s">
        <v>776</v>
      </c>
      <c r="I223" s="125"/>
      <c r="J223" s="129" t="s">
        <v>749</v>
      </c>
      <c r="K223" s="123">
        <v>46303</v>
      </c>
      <c r="L223" s="129" t="s">
        <v>978</v>
      </c>
    </row>
    <row r="224" spans="1:12" x14ac:dyDescent="0.4">
      <c r="A224" s="129" t="s">
        <v>1505</v>
      </c>
      <c r="B224" s="129" t="s">
        <v>18</v>
      </c>
      <c r="C224" s="129" t="s">
        <v>572</v>
      </c>
      <c r="D224" s="130" t="s">
        <v>573</v>
      </c>
      <c r="E224" s="129" t="s">
        <v>203</v>
      </c>
      <c r="F224" s="129">
        <v>3</v>
      </c>
      <c r="G224" s="129" t="s">
        <v>753</v>
      </c>
      <c r="H224" s="109">
        <v>3</v>
      </c>
      <c r="I224" s="125"/>
      <c r="J224" s="129" t="s">
        <v>749</v>
      </c>
      <c r="K224" s="123">
        <v>46303</v>
      </c>
      <c r="L224" s="129" t="s">
        <v>978</v>
      </c>
    </row>
    <row r="225" spans="1:12" x14ac:dyDescent="0.4">
      <c r="A225" s="129" t="s">
        <v>1505</v>
      </c>
      <c r="B225" s="129" t="s">
        <v>18</v>
      </c>
      <c r="C225" s="129" t="s">
        <v>572</v>
      </c>
      <c r="D225" s="130" t="s">
        <v>573</v>
      </c>
      <c r="E225" s="129" t="s">
        <v>300</v>
      </c>
      <c r="F225" s="129">
        <v>2</v>
      </c>
      <c r="G225" s="129" t="s">
        <v>753</v>
      </c>
      <c r="H225" s="109">
        <v>2</v>
      </c>
      <c r="I225" s="125"/>
      <c r="J225" s="129" t="s">
        <v>749</v>
      </c>
      <c r="K225" s="123">
        <v>46303</v>
      </c>
      <c r="L225" s="129" t="s">
        <v>978</v>
      </c>
    </row>
    <row r="226" spans="1:12" x14ac:dyDescent="0.4">
      <c r="A226" s="129" t="s">
        <v>1505</v>
      </c>
      <c r="B226" s="129" t="s">
        <v>18</v>
      </c>
      <c r="C226" s="129" t="s">
        <v>572</v>
      </c>
      <c r="D226" s="130" t="s">
        <v>573</v>
      </c>
      <c r="E226" s="129" t="s">
        <v>206</v>
      </c>
      <c r="F226" s="129">
        <v>3</v>
      </c>
      <c r="G226" s="129" t="s">
        <v>753</v>
      </c>
      <c r="H226" s="109">
        <v>3</v>
      </c>
      <c r="I226" s="125"/>
      <c r="J226" s="129" t="s">
        <v>749</v>
      </c>
      <c r="K226" s="123">
        <v>46303</v>
      </c>
      <c r="L226" s="129" t="s">
        <v>978</v>
      </c>
    </row>
    <row r="227" spans="1:12" x14ac:dyDescent="0.4">
      <c r="A227" s="129" t="s">
        <v>1505</v>
      </c>
      <c r="B227" s="129" t="s">
        <v>18</v>
      </c>
      <c r="C227" s="129" t="s">
        <v>572</v>
      </c>
      <c r="D227" s="130" t="s">
        <v>573</v>
      </c>
      <c r="E227" s="129" t="s">
        <v>204</v>
      </c>
      <c r="F227" s="129">
        <v>3</v>
      </c>
      <c r="G227" s="129" t="s">
        <v>753</v>
      </c>
      <c r="H227" s="109">
        <v>3</v>
      </c>
      <c r="I227" s="125"/>
      <c r="J227" s="129" t="s">
        <v>749</v>
      </c>
      <c r="K227" s="123">
        <v>46303</v>
      </c>
      <c r="L227" s="129" t="s">
        <v>978</v>
      </c>
    </row>
    <row r="228" spans="1:12" x14ac:dyDescent="0.4">
      <c r="A228" s="129" t="s">
        <v>1505</v>
      </c>
      <c r="B228" s="129" t="s">
        <v>18</v>
      </c>
      <c r="C228" s="129" t="s">
        <v>572</v>
      </c>
      <c r="D228" s="130" t="s">
        <v>573</v>
      </c>
      <c r="E228" s="129" t="s">
        <v>551</v>
      </c>
      <c r="F228" s="129"/>
      <c r="G228" s="129" t="s">
        <v>753</v>
      </c>
      <c r="H228" s="109"/>
      <c r="I228" s="125"/>
      <c r="J228" s="129" t="s">
        <v>749</v>
      </c>
      <c r="K228" s="123">
        <v>46303</v>
      </c>
      <c r="L228" s="129" t="s">
        <v>978</v>
      </c>
    </row>
    <row r="229" spans="1:12" x14ac:dyDescent="0.4">
      <c r="A229" s="129" t="s">
        <v>1505</v>
      </c>
      <c r="B229" s="129" t="s">
        <v>18</v>
      </c>
      <c r="C229" s="129" t="s">
        <v>572</v>
      </c>
      <c r="D229" s="130" t="s">
        <v>573</v>
      </c>
      <c r="E229" s="129" t="s">
        <v>772</v>
      </c>
      <c r="F229" s="129" t="s">
        <v>776</v>
      </c>
      <c r="G229" s="129" t="s">
        <v>753</v>
      </c>
      <c r="H229" s="129" t="s">
        <v>776</v>
      </c>
      <c r="I229" s="125"/>
      <c r="J229" s="129" t="s">
        <v>749</v>
      </c>
      <c r="K229" s="123">
        <v>46303</v>
      </c>
      <c r="L229" s="129" t="s">
        <v>978</v>
      </c>
    </row>
    <row r="230" spans="1:12" x14ac:dyDescent="0.4">
      <c r="A230" s="129" t="s">
        <v>1505</v>
      </c>
      <c r="B230" s="129" t="s">
        <v>18</v>
      </c>
      <c r="C230" s="129" t="s">
        <v>576</v>
      </c>
      <c r="D230" s="130" t="s">
        <v>577</v>
      </c>
      <c r="E230" s="129" t="s">
        <v>203</v>
      </c>
      <c r="F230" s="129">
        <v>3</v>
      </c>
      <c r="G230" s="129" t="s">
        <v>753</v>
      </c>
      <c r="H230" s="109">
        <v>3</v>
      </c>
      <c r="I230" s="125"/>
      <c r="J230" s="129" t="s">
        <v>749</v>
      </c>
      <c r="K230" s="123">
        <v>46303</v>
      </c>
      <c r="L230" s="129" t="s">
        <v>978</v>
      </c>
    </row>
    <row r="231" spans="1:12" x14ac:dyDescent="0.4">
      <c r="A231" s="129" t="s">
        <v>1505</v>
      </c>
      <c r="B231" s="129" t="s">
        <v>18</v>
      </c>
      <c r="C231" s="129" t="s">
        <v>576</v>
      </c>
      <c r="D231" s="130" t="s">
        <v>577</v>
      </c>
      <c r="E231" s="129" t="s">
        <v>300</v>
      </c>
      <c r="F231" s="129">
        <v>3</v>
      </c>
      <c r="G231" s="129" t="s">
        <v>753</v>
      </c>
      <c r="H231" s="109">
        <v>3</v>
      </c>
      <c r="I231" s="125"/>
      <c r="J231" s="129" t="s">
        <v>749</v>
      </c>
      <c r="K231" s="123">
        <v>46303</v>
      </c>
      <c r="L231" s="129" t="s">
        <v>978</v>
      </c>
    </row>
    <row r="232" spans="1:12" x14ac:dyDescent="0.4">
      <c r="A232" s="129" t="s">
        <v>1505</v>
      </c>
      <c r="B232" s="129" t="s">
        <v>18</v>
      </c>
      <c r="C232" s="129" t="s">
        <v>576</v>
      </c>
      <c r="D232" s="130" t="s">
        <v>577</v>
      </c>
      <c r="E232" s="129" t="s">
        <v>206</v>
      </c>
      <c r="F232" s="129">
        <v>3</v>
      </c>
      <c r="G232" s="129" t="s">
        <v>753</v>
      </c>
      <c r="H232" s="109">
        <v>3</v>
      </c>
      <c r="I232" s="125"/>
      <c r="J232" s="129" t="s">
        <v>749</v>
      </c>
      <c r="K232" s="123">
        <v>46303</v>
      </c>
      <c r="L232" s="129" t="s">
        <v>978</v>
      </c>
    </row>
    <row r="233" spans="1:12" x14ac:dyDescent="0.4">
      <c r="A233" s="129" t="s">
        <v>1505</v>
      </c>
      <c r="B233" s="129" t="s">
        <v>18</v>
      </c>
      <c r="C233" s="129" t="s">
        <v>576</v>
      </c>
      <c r="D233" s="130" t="s">
        <v>577</v>
      </c>
      <c r="E233" s="129" t="s">
        <v>204</v>
      </c>
      <c r="F233" s="129">
        <v>3</v>
      </c>
      <c r="G233" s="129" t="s">
        <v>753</v>
      </c>
      <c r="H233" s="109">
        <v>3</v>
      </c>
      <c r="I233" s="125"/>
      <c r="J233" s="129" t="s">
        <v>749</v>
      </c>
      <c r="K233" s="123">
        <v>46303</v>
      </c>
      <c r="L233" s="129" t="s">
        <v>978</v>
      </c>
    </row>
    <row r="234" spans="1:12" x14ac:dyDescent="0.4">
      <c r="A234" s="129" t="s">
        <v>1505</v>
      </c>
      <c r="B234" s="129" t="s">
        <v>18</v>
      </c>
      <c r="C234" s="129" t="s">
        <v>576</v>
      </c>
      <c r="D234" s="130" t="s">
        <v>577</v>
      </c>
      <c r="E234" s="129" t="s">
        <v>551</v>
      </c>
      <c r="F234" s="129"/>
      <c r="G234" s="129" t="s">
        <v>753</v>
      </c>
      <c r="H234" s="109"/>
      <c r="I234" s="125"/>
      <c r="J234" s="129" t="s">
        <v>749</v>
      </c>
      <c r="K234" s="123">
        <v>46303</v>
      </c>
      <c r="L234" s="129" t="s">
        <v>978</v>
      </c>
    </row>
    <row r="235" spans="1:12" x14ac:dyDescent="0.4">
      <c r="A235" s="129" t="s">
        <v>1505</v>
      </c>
      <c r="B235" s="129" t="s">
        <v>18</v>
      </c>
      <c r="C235" s="129" t="s">
        <v>576</v>
      </c>
      <c r="D235" s="130" t="s">
        <v>577</v>
      </c>
      <c r="E235" s="129" t="s">
        <v>772</v>
      </c>
      <c r="F235" s="129" t="s">
        <v>776</v>
      </c>
      <c r="G235" s="129" t="s">
        <v>753</v>
      </c>
      <c r="H235" s="129" t="s">
        <v>776</v>
      </c>
      <c r="I235" s="125"/>
      <c r="J235" s="129" t="s">
        <v>749</v>
      </c>
      <c r="K235" s="123">
        <v>46303</v>
      </c>
      <c r="L235" s="129" t="s">
        <v>978</v>
      </c>
    </row>
    <row r="236" spans="1:12" ht="29.15" x14ac:dyDescent="0.4">
      <c r="A236" s="129" t="s">
        <v>1505</v>
      </c>
      <c r="B236" s="129" t="s">
        <v>18</v>
      </c>
      <c r="C236" s="129" t="s">
        <v>581</v>
      </c>
      <c r="D236" s="130" t="s">
        <v>582</v>
      </c>
      <c r="E236" s="129" t="s">
        <v>203</v>
      </c>
      <c r="F236" s="129">
        <v>3</v>
      </c>
      <c r="G236" s="129" t="s">
        <v>753</v>
      </c>
      <c r="H236" s="109">
        <v>3</v>
      </c>
      <c r="I236" s="130" t="s">
        <v>1624</v>
      </c>
      <c r="J236" s="129" t="s">
        <v>749</v>
      </c>
      <c r="K236" s="123">
        <v>46303</v>
      </c>
      <c r="L236" s="129" t="s">
        <v>978</v>
      </c>
    </row>
    <row r="237" spans="1:12" ht="29.15" x14ac:dyDescent="0.4">
      <c r="A237" s="129" t="s">
        <v>1505</v>
      </c>
      <c r="B237" s="129" t="s">
        <v>18</v>
      </c>
      <c r="C237" s="129" t="s">
        <v>581</v>
      </c>
      <c r="D237" s="130" t="s">
        <v>582</v>
      </c>
      <c r="E237" s="129" t="s">
        <v>300</v>
      </c>
      <c r="F237" s="129">
        <v>3</v>
      </c>
      <c r="G237" s="129" t="s">
        <v>753</v>
      </c>
      <c r="H237" s="109">
        <v>3</v>
      </c>
      <c r="I237" s="130" t="s">
        <v>1624</v>
      </c>
      <c r="J237" s="129" t="s">
        <v>749</v>
      </c>
      <c r="K237" s="123">
        <v>46303</v>
      </c>
      <c r="L237" s="129" t="s">
        <v>978</v>
      </c>
    </row>
    <row r="238" spans="1:12" ht="29.15" x14ac:dyDescent="0.4">
      <c r="A238" s="129" t="s">
        <v>1505</v>
      </c>
      <c r="B238" s="129" t="s">
        <v>18</v>
      </c>
      <c r="C238" s="129" t="s">
        <v>581</v>
      </c>
      <c r="D238" s="130" t="s">
        <v>582</v>
      </c>
      <c r="E238" s="129" t="s">
        <v>206</v>
      </c>
      <c r="F238" s="129">
        <v>3</v>
      </c>
      <c r="G238" s="129" t="s">
        <v>753</v>
      </c>
      <c r="H238" s="109">
        <v>3</v>
      </c>
      <c r="I238" s="130" t="s">
        <v>1624</v>
      </c>
      <c r="J238" s="129" t="s">
        <v>749</v>
      </c>
      <c r="K238" s="123">
        <v>46303</v>
      </c>
      <c r="L238" s="129" t="s">
        <v>978</v>
      </c>
    </row>
    <row r="239" spans="1:12" ht="29.15" x14ac:dyDescent="0.4">
      <c r="A239" s="129" t="s">
        <v>1505</v>
      </c>
      <c r="B239" s="129" t="s">
        <v>18</v>
      </c>
      <c r="C239" s="129" t="s">
        <v>581</v>
      </c>
      <c r="D239" s="130" t="s">
        <v>582</v>
      </c>
      <c r="E239" s="129" t="s">
        <v>204</v>
      </c>
      <c r="F239" s="129">
        <v>3</v>
      </c>
      <c r="G239" s="129" t="s">
        <v>753</v>
      </c>
      <c r="H239" s="109">
        <v>3</v>
      </c>
      <c r="I239" s="130" t="s">
        <v>1624</v>
      </c>
      <c r="J239" s="129" t="s">
        <v>749</v>
      </c>
      <c r="K239" s="123">
        <v>46303</v>
      </c>
      <c r="L239" s="129" t="s">
        <v>978</v>
      </c>
    </row>
    <row r="240" spans="1:12" ht="29.15" x14ac:dyDescent="0.4">
      <c r="A240" s="129" t="s">
        <v>1505</v>
      </c>
      <c r="B240" s="129" t="s">
        <v>18</v>
      </c>
      <c r="C240" s="129" t="s">
        <v>581</v>
      </c>
      <c r="D240" s="130" t="s">
        <v>582</v>
      </c>
      <c r="E240" s="129" t="s">
        <v>551</v>
      </c>
      <c r="F240" s="129"/>
      <c r="G240" s="129" t="s">
        <v>966</v>
      </c>
      <c r="H240" s="109">
        <v>1</v>
      </c>
      <c r="I240" s="130" t="s">
        <v>1624</v>
      </c>
      <c r="J240" s="129" t="s">
        <v>749</v>
      </c>
      <c r="K240" s="123">
        <v>46303</v>
      </c>
      <c r="L240" s="129" t="s">
        <v>978</v>
      </c>
    </row>
    <row r="241" spans="1:12" ht="29.15" x14ac:dyDescent="0.4">
      <c r="A241" s="129" t="s">
        <v>1505</v>
      </c>
      <c r="B241" s="129" t="s">
        <v>18</v>
      </c>
      <c r="C241" s="129" t="s">
        <v>581</v>
      </c>
      <c r="D241" s="130" t="s">
        <v>582</v>
      </c>
      <c r="E241" s="129" t="s">
        <v>772</v>
      </c>
      <c r="F241" s="129" t="s">
        <v>776</v>
      </c>
      <c r="G241" s="129" t="s">
        <v>753</v>
      </c>
      <c r="H241" s="129" t="s">
        <v>776</v>
      </c>
      <c r="I241" s="130" t="s">
        <v>1624</v>
      </c>
      <c r="J241" s="129" t="s">
        <v>749</v>
      </c>
      <c r="K241" s="123">
        <v>46303</v>
      </c>
      <c r="L241" s="129" t="s">
        <v>978</v>
      </c>
    </row>
    <row r="242" spans="1:12" ht="29.15" x14ac:dyDescent="0.4">
      <c r="A242" s="129" t="s">
        <v>1505</v>
      </c>
      <c r="B242" s="129" t="s">
        <v>18</v>
      </c>
      <c r="C242" s="129" t="s">
        <v>587</v>
      </c>
      <c r="D242" s="130" t="s">
        <v>588</v>
      </c>
      <c r="E242" s="129" t="s">
        <v>203</v>
      </c>
      <c r="F242" s="129">
        <v>4</v>
      </c>
      <c r="G242" s="129" t="s">
        <v>753</v>
      </c>
      <c r="H242" s="109">
        <v>4</v>
      </c>
      <c r="I242" s="125"/>
      <c r="J242" s="129" t="s">
        <v>749</v>
      </c>
      <c r="K242" s="123">
        <v>46303</v>
      </c>
      <c r="L242" s="129" t="s">
        <v>978</v>
      </c>
    </row>
    <row r="243" spans="1:12" ht="29.15" x14ac:dyDescent="0.4">
      <c r="A243" s="129" t="s">
        <v>1505</v>
      </c>
      <c r="B243" s="129" t="s">
        <v>18</v>
      </c>
      <c r="C243" s="129" t="s">
        <v>587</v>
      </c>
      <c r="D243" s="130" t="s">
        <v>588</v>
      </c>
      <c r="E243" s="129" t="s">
        <v>300</v>
      </c>
      <c r="F243" s="129">
        <v>5</v>
      </c>
      <c r="G243" s="129" t="s">
        <v>753</v>
      </c>
      <c r="H243" s="109">
        <v>5</v>
      </c>
      <c r="I243" s="125"/>
      <c r="J243" s="129" t="s">
        <v>749</v>
      </c>
      <c r="K243" s="123">
        <v>46303</v>
      </c>
      <c r="L243" s="129" t="s">
        <v>978</v>
      </c>
    </row>
    <row r="244" spans="1:12" ht="29.15" x14ac:dyDescent="0.4">
      <c r="A244" s="129" t="s">
        <v>1505</v>
      </c>
      <c r="B244" s="129" t="s">
        <v>18</v>
      </c>
      <c r="C244" s="129" t="s">
        <v>587</v>
      </c>
      <c r="D244" s="130" t="s">
        <v>588</v>
      </c>
      <c r="E244" s="129" t="s">
        <v>206</v>
      </c>
      <c r="F244" s="129">
        <v>3</v>
      </c>
      <c r="G244" s="129" t="s">
        <v>753</v>
      </c>
      <c r="H244" s="109">
        <v>3</v>
      </c>
      <c r="I244" s="125"/>
      <c r="J244" s="129" t="s">
        <v>749</v>
      </c>
      <c r="K244" s="123">
        <v>46303</v>
      </c>
      <c r="L244" s="129" t="s">
        <v>978</v>
      </c>
    </row>
    <row r="245" spans="1:12" ht="29.15" x14ac:dyDescent="0.4">
      <c r="A245" s="129" t="s">
        <v>1505</v>
      </c>
      <c r="B245" s="129" t="s">
        <v>18</v>
      </c>
      <c r="C245" s="129" t="s">
        <v>587</v>
      </c>
      <c r="D245" s="130" t="s">
        <v>588</v>
      </c>
      <c r="E245" s="129" t="s">
        <v>204</v>
      </c>
      <c r="F245" s="129">
        <v>3</v>
      </c>
      <c r="G245" s="129" t="s">
        <v>753</v>
      </c>
      <c r="H245" s="109">
        <v>3</v>
      </c>
      <c r="I245" s="125"/>
      <c r="J245" s="129" t="s">
        <v>749</v>
      </c>
      <c r="K245" s="123">
        <v>46303</v>
      </c>
      <c r="L245" s="129" t="s">
        <v>978</v>
      </c>
    </row>
    <row r="246" spans="1:12" ht="29.15" x14ac:dyDescent="0.4">
      <c r="A246" s="129" t="s">
        <v>1505</v>
      </c>
      <c r="B246" s="129" t="s">
        <v>18</v>
      </c>
      <c r="C246" s="129" t="s">
        <v>587</v>
      </c>
      <c r="D246" s="130" t="s">
        <v>588</v>
      </c>
      <c r="E246" s="129" t="s">
        <v>551</v>
      </c>
      <c r="F246" s="129"/>
      <c r="G246" s="129" t="s">
        <v>753</v>
      </c>
      <c r="H246" s="109"/>
      <c r="I246" s="125"/>
      <c r="J246" s="129" t="s">
        <v>749</v>
      </c>
      <c r="K246" s="123">
        <v>46303</v>
      </c>
      <c r="L246" s="129" t="s">
        <v>978</v>
      </c>
    </row>
    <row r="247" spans="1:12" ht="29.15" x14ac:dyDescent="0.4">
      <c r="A247" s="129" t="s">
        <v>1505</v>
      </c>
      <c r="B247" s="129" t="s">
        <v>18</v>
      </c>
      <c r="C247" s="129" t="s">
        <v>587</v>
      </c>
      <c r="D247" s="130" t="s">
        <v>588</v>
      </c>
      <c r="E247" s="129" t="s">
        <v>772</v>
      </c>
      <c r="F247" s="129" t="s">
        <v>776</v>
      </c>
      <c r="G247" s="129" t="s">
        <v>753</v>
      </c>
      <c r="H247" s="129" t="s">
        <v>776</v>
      </c>
      <c r="I247" s="125"/>
      <c r="J247" s="129" t="s">
        <v>749</v>
      </c>
      <c r="K247" s="123">
        <v>46303</v>
      </c>
      <c r="L247" s="129" t="s">
        <v>978</v>
      </c>
    </row>
    <row r="248" spans="1:12" x14ac:dyDescent="0.4">
      <c r="A248" s="129" t="s">
        <v>1505</v>
      </c>
      <c r="B248" s="129" t="s">
        <v>18</v>
      </c>
      <c r="C248" s="129" t="s">
        <v>591</v>
      </c>
      <c r="D248" s="130" t="s">
        <v>592</v>
      </c>
      <c r="E248" s="129" t="s">
        <v>203</v>
      </c>
      <c r="F248" s="129">
        <v>3</v>
      </c>
      <c r="G248" s="129" t="s">
        <v>753</v>
      </c>
      <c r="H248" s="109">
        <v>3</v>
      </c>
      <c r="I248" s="125"/>
      <c r="J248" s="129" t="s">
        <v>749</v>
      </c>
      <c r="K248" s="123">
        <v>46303</v>
      </c>
      <c r="L248" s="129" t="s">
        <v>978</v>
      </c>
    </row>
    <row r="249" spans="1:12" x14ac:dyDescent="0.4">
      <c r="A249" s="129" t="s">
        <v>1505</v>
      </c>
      <c r="B249" s="129" t="s">
        <v>18</v>
      </c>
      <c r="C249" s="129" t="s">
        <v>591</v>
      </c>
      <c r="D249" s="130" t="s">
        <v>592</v>
      </c>
      <c r="E249" s="129" t="s">
        <v>300</v>
      </c>
      <c r="F249" s="129">
        <v>3</v>
      </c>
      <c r="G249" s="129" t="s">
        <v>753</v>
      </c>
      <c r="H249" s="109">
        <v>3</v>
      </c>
      <c r="I249" s="125"/>
      <c r="J249" s="129" t="s">
        <v>749</v>
      </c>
      <c r="K249" s="123">
        <v>46303</v>
      </c>
      <c r="L249" s="129" t="s">
        <v>978</v>
      </c>
    </row>
    <row r="250" spans="1:12" x14ac:dyDescent="0.4">
      <c r="A250" s="129" t="s">
        <v>1505</v>
      </c>
      <c r="B250" s="129" t="s">
        <v>18</v>
      </c>
      <c r="C250" s="129" t="s">
        <v>591</v>
      </c>
      <c r="D250" s="130" t="s">
        <v>592</v>
      </c>
      <c r="E250" s="129" t="s">
        <v>206</v>
      </c>
      <c r="F250" s="129">
        <v>3</v>
      </c>
      <c r="G250" s="129" t="s">
        <v>753</v>
      </c>
      <c r="H250" s="109">
        <v>3</v>
      </c>
      <c r="I250" s="125"/>
      <c r="J250" s="129" t="s">
        <v>749</v>
      </c>
      <c r="K250" s="123">
        <v>46303</v>
      </c>
      <c r="L250" s="129" t="s">
        <v>978</v>
      </c>
    </row>
    <row r="251" spans="1:12" x14ac:dyDescent="0.4">
      <c r="A251" s="129" t="s">
        <v>1505</v>
      </c>
      <c r="B251" s="129" t="s">
        <v>18</v>
      </c>
      <c r="C251" s="129" t="s">
        <v>591</v>
      </c>
      <c r="D251" s="130" t="s">
        <v>592</v>
      </c>
      <c r="E251" s="129" t="s">
        <v>204</v>
      </c>
      <c r="F251" s="129">
        <v>2</v>
      </c>
      <c r="G251" s="129" t="s">
        <v>753</v>
      </c>
      <c r="H251" s="109">
        <v>2</v>
      </c>
      <c r="I251" s="125"/>
      <c r="J251" s="129" t="s">
        <v>749</v>
      </c>
      <c r="K251" s="123">
        <v>46303</v>
      </c>
      <c r="L251" s="129" t="s">
        <v>978</v>
      </c>
    </row>
    <row r="252" spans="1:12" x14ac:dyDescent="0.4">
      <c r="A252" s="129" t="s">
        <v>1505</v>
      </c>
      <c r="B252" s="129" t="s">
        <v>18</v>
      </c>
      <c r="C252" s="129" t="s">
        <v>591</v>
      </c>
      <c r="D252" s="130" t="s">
        <v>592</v>
      </c>
      <c r="E252" s="129" t="s">
        <v>551</v>
      </c>
      <c r="F252" s="129"/>
      <c r="G252" s="129" t="s">
        <v>753</v>
      </c>
      <c r="H252" s="109"/>
      <c r="I252" s="125"/>
      <c r="J252" s="129" t="s">
        <v>749</v>
      </c>
      <c r="K252" s="123">
        <v>46303</v>
      </c>
      <c r="L252" s="129" t="s">
        <v>978</v>
      </c>
    </row>
    <row r="253" spans="1:12" x14ac:dyDescent="0.4">
      <c r="A253" s="129" t="s">
        <v>1505</v>
      </c>
      <c r="B253" s="129" t="s">
        <v>18</v>
      </c>
      <c r="C253" s="129" t="s">
        <v>591</v>
      </c>
      <c r="D253" s="130" t="s">
        <v>592</v>
      </c>
      <c r="E253" s="129" t="s">
        <v>772</v>
      </c>
      <c r="F253" s="129" t="s">
        <v>776</v>
      </c>
      <c r="G253" s="129" t="s">
        <v>753</v>
      </c>
      <c r="H253" s="129" t="s">
        <v>776</v>
      </c>
      <c r="I253" s="125"/>
      <c r="J253" s="129" t="s">
        <v>749</v>
      </c>
      <c r="K253" s="123">
        <v>46303</v>
      </c>
      <c r="L253" s="129" t="s">
        <v>978</v>
      </c>
    </row>
    <row r="254" spans="1:12" ht="29.15" x14ac:dyDescent="0.4">
      <c r="A254" s="129" t="s">
        <v>1505</v>
      </c>
      <c r="B254" s="129" t="s">
        <v>18</v>
      </c>
      <c r="C254" s="129" t="s">
        <v>595</v>
      </c>
      <c r="D254" s="130" t="s">
        <v>596</v>
      </c>
      <c r="E254" s="129" t="s">
        <v>203</v>
      </c>
      <c r="F254" s="129">
        <v>4</v>
      </c>
      <c r="G254" s="129" t="s">
        <v>753</v>
      </c>
      <c r="H254" s="109">
        <v>4</v>
      </c>
      <c r="I254" s="125"/>
      <c r="J254" s="129" t="s">
        <v>749</v>
      </c>
      <c r="K254" s="123">
        <v>46303</v>
      </c>
      <c r="L254" s="129" t="s">
        <v>978</v>
      </c>
    </row>
    <row r="255" spans="1:12" ht="29.15" x14ac:dyDescent="0.4">
      <c r="A255" s="129" t="s">
        <v>1505</v>
      </c>
      <c r="B255" s="129" t="s">
        <v>18</v>
      </c>
      <c r="C255" s="129" t="s">
        <v>595</v>
      </c>
      <c r="D255" s="130" t="s">
        <v>596</v>
      </c>
      <c r="E255" s="129" t="s">
        <v>300</v>
      </c>
      <c r="F255" s="129">
        <v>3</v>
      </c>
      <c r="G255" s="129" t="s">
        <v>753</v>
      </c>
      <c r="H255" s="109">
        <v>3</v>
      </c>
      <c r="I255" s="125"/>
      <c r="J255" s="129" t="s">
        <v>749</v>
      </c>
      <c r="K255" s="123">
        <v>46303</v>
      </c>
      <c r="L255" s="129" t="s">
        <v>978</v>
      </c>
    </row>
    <row r="256" spans="1:12" ht="29.15" x14ac:dyDescent="0.4">
      <c r="A256" s="129" t="s">
        <v>1505</v>
      </c>
      <c r="B256" s="129" t="s">
        <v>18</v>
      </c>
      <c r="C256" s="129" t="s">
        <v>595</v>
      </c>
      <c r="D256" s="130" t="s">
        <v>596</v>
      </c>
      <c r="E256" s="129" t="s">
        <v>206</v>
      </c>
      <c r="F256" s="129">
        <v>2</v>
      </c>
      <c r="G256" s="129" t="s">
        <v>753</v>
      </c>
      <c r="H256" s="109">
        <v>2</v>
      </c>
      <c r="I256" s="125"/>
      <c r="J256" s="129" t="s">
        <v>749</v>
      </c>
      <c r="K256" s="123">
        <v>46303</v>
      </c>
      <c r="L256" s="129" t="s">
        <v>978</v>
      </c>
    </row>
    <row r="257" spans="1:12" ht="29.15" x14ac:dyDescent="0.4">
      <c r="A257" s="129" t="s">
        <v>1505</v>
      </c>
      <c r="B257" s="129" t="s">
        <v>18</v>
      </c>
      <c r="C257" s="129" t="s">
        <v>595</v>
      </c>
      <c r="D257" s="130" t="s">
        <v>596</v>
      </c>
      <c r="E257" s="129" t="s">
        <v>204</v>
      </c>
      <c r="F257" s="129">
        <v>2</v>
      </c>
      <c r="G257" s="129" t="s">
        <v>753</v>
      </c>
      <c r="H257" s="109">
        <v>2</v>
      </c>
      <c r="I257" s="125"/>
      <c r="J257" s="129" t="s">
        <v>749</v>
      </c>
      <c r="K257" s="123">
        <v>46303</v>
      </c>
      <c r="L257" s="129" t="s">
        <v>978</v>
      </c>
    </row>
    <row r="258" spans="1:12" ht="29.15" x14ac:dyDescent="0.4">
      <c r="A258" s="129" t="s">
        <v>1505</v>
      </c>
      <c r="B258" s="129" t="s">
        <v>18</v>
      </c>
      <c r="C258" s="129" t="s">
        <v>595</v>
      </c>
      <c r="D258" s="130" t="s">
        <v>596</v>
      </c>
      <c r="E258" s="129" t="s">
        <v>551</v>
      </c>
      <c r="F258" s="129"/>
      <c r="G258" s="129" t="s">
        <v>753</v>
      </c>
      <c r="H258" s="109"/>
      <c r="I258" s="125"/>
      <c r="J258" s="129" t="s">
        <v>749</v>
      </c>
      <c r="K258" s="123">
        <v>46303</v>
      </c>
      <c r="L258" s="129" t="s">
        <v>978</v>
      </c>
    </row>
    <row r="259" spans="1:12" ht="29.15" x14ac:dyDescent="0.4">
      <c r="A259" s="129" t="s">
        <v>1505</v>
      </c>
      <c r="B259" s="129" t="s">
        <v>18</v>
      </c>
      <c r="C259" s="129" t="s">
        <v>595</v>
      </c>
      <c r="D259" s="130" t="s">
        <v>596</v>
      </c>
      <c r="E259" s="129" t="s">
        <v>772</v>
      </c>
      <c r="F259" s="129" t="s">
        <v>776</v>
      </c>
      <c r="G259" s="129" t="s">
        <v>753</v>
      </c>
      <c r="H259" s="129" t="s">
        <v>776</v>
      </c>
      <c r="I259" s="125"/>
      <c r="J259" s="129" t="s">
        <v>749</v>
      </c>
      <c r="K259" s="123">
        <v>46303</v>
      </c>
      <c r="L259" s="129" t="s">
        <v>978</v>
      </c>
    </row>
    <row r="260" spans="1:12" ht="29.15" x14ac:dyDescent="0.4">
      <c r="A260" s="129" t="s">
        <v>1505</v>
      </c>
      <c r="B260" s="129" t="s">
        <v>18</v>
      </c>
      <c r="C260" s="129" t="s">
        <v>598</v>
      </c>
      <c r="D260" s="130" t="s">
        <v>599</v>
      </c>
      <c r="E260" s="129" t="s">
        <v>203</v>
      </c>
      <c r="F260" s="129">
        <v>3</v>
      </c>
      <c r="G260" s="129" t="s">
        <v>753</v>
      </c>
      <c r="H260" s="109">
        <v>3</v>
      </c>
      <c r="I260" s="130" t="s">
        <v>1625</v>
      </c>
      <c r="J260" s="129" t="s">
        <v>749</v>
      </c>
      <c r="K260" s="123">
        <v>46303</v>
      </c>
      <c r="L260" s="129" t="s">
        <v>978</v>
      </c>
    </row>
    <row r="261" spans="1:12" ht="29.15" x14ac:dyDescent="0.4">
      <c r="A261" s="129" t="s">
        <v>1505</v>
      </c>
      <c r="B261" s="129" t="s">
        <v>18</v>
      </c>
      <c r="C261" s="129" t="s">
        <v>598</v>
      </c>
      <c r="D261" s="130" t="s">
        <v>599</v>
      </c>
      <c r="E261" s="129" t="s">
        <v>300</v>
      </c>
      <c r="F261" s="129"/>
      <c r="G261" s="129" t="s">
        <v>966</v>
      </c>
      <c r="H261" s="109">
        <v>3</v>
      </c>
      <c r="I261" s="130" t="s">
        <v>1625</v>
      </c>
      <c r="J261" s="129" t="s">
        <v>749</v>
      </c>
      <c r="K261" s="123">
        <v>46303</v>
      </c>
      <c r="L261" s="129" t="s">
        <v>978</v>
      </c>
    </row>
    <row r="262" spans="1:12" ht="29.15" x14ac:dyDescent="0.4">
      <c r="A262" s="129" t="s">
        <v>1505</v>
      </c>
      <c r="B262" s="129" t="s">
        <v>18</v>
      </c>
      <c r="C262" s="129" t="s">
        <v>598</v>
      </c>
      <c r="D262" s="130" t="s">
        <v>599</v>
      </c>
      <c r="E262" s="129" t="s">
        <v>206</v>
      </c>
      <c r="F262" s="129">
        <v>3</v>
      </c>
      <c r="G262" s="129" t="s">
        <v>753</v>
      </c>
      <c r="H262" s="109">
        <v>3</v>
      </c>
      <c r="I262" s="130" t="s">
        <v>1625</v>
      </c>
      <c r="J262" s="129" t="s">
        <v>749</v>
      </c>
      <c r="K262" s="123">
        <v>46303</v>
      </c>
      <c r="L262" s="129" t="s">
        <v>978</v>
      </c>
    </row>
    <row r="263" spans="1:12" ht="29.15" x14ac:dyDescent="0.4">
      <c r="A263" s="129" t="s">
        <v>1505</v>
      </c>
      <c r="B263" s="129" t="s">
        <v>18</v>
      </c>
      <c r="C263" s="129" t="s">
        <v>598</v>
      </c>
      <c r="D263" s="130" t="s">
        <v>599</v>
      </c>
      <c r="E263" s="129" t="s">
        <v>204</v>
      </c>
      <c r="F263" s="129">
        <v>3</v>
      </c>
      <c r="G263" s="129" t="s">
        <v>753</v>
      </c>
      <c r="H263" s="109">
        <v>3</v>
      </c>
      <c r="I263" s="130" t="s">
        <v>1625</v>
      </c>
      <c r="J263" s="129" t="s">
        <v>749</v>
      </c>
      <c r="K263" s="123">
        <v>46303</v>
      </c>
      <c r="L263" s="129" t="s">
        <v>978</v>
      </c>
    </row>
    <row r="264" spans="1:12" ht="29.15" x14ac:dyDescent="0.4">
      <c r="A264" s="129" t="s">
        <v>1505</v>
      </c>
      <c r="B264" s="129" t="s">
        <v>18</v>
      </c>
      <c r="C264" s="129" t="s">
        <v>598</v>
      </c>
      <c r="D264" s="130" t="s">
        <v>599</v>
      </c>
      <c r="E264" s="129" t="s">
        <v>551</v>
      </c>
      <c r="F264" s="129"/>
      <c r="G264" s="129" t="s">
        <v>753</v>
      </c>
      <c r="H264" s="109"/>
      <c r="I264" s="130" t="s">
        <v>1625</v>
      </c>
      <c r="J264" s="129" t="s">
        <v>749</v>
      </c>
      <c r="K264" s="123">
        <v>46303</v>
      </c>
      <c r="L264" s="129" t="s">
        <v>978</v>
      </c>
    </row>
    <row r="265" spans="1:12" ht="29.15" x14ac:dyDescent="0.4">
      <c r="A265" s="129" t="s">
        <v>1505</v>
      </c>
      <c r="B265" s="129" t="s">
        <v>18</v>
      </c>
      <c r="C265" s="129" t="s">
        <v>598</v>
      </c>
      <c r="D265" s="130" t="s">
        <v>599</v>
      </c>
      <c r="E265" s="129" t="s">
        <v>772</v>
      </c>
      <c r="F265" s="129" t="s">
        <v>776</v>
      </c>
      <c r="G265" s="129" t="s">
        <v>753</v>
      </c>
      <c r="H265" s="129" t="s">
        <v>776</v>
      </c>
      <c r="I265" s="130" t="s">
        <v>1625</v>
      </c>
      <c r="J265" s="129" t="s">
        <v>749</v>
      </c>
      <c r="K265" s="123">
        <v>46303</v>
      </c>
      <c r="L265" s="129" t="s">
        <v>978</v>
      </c>
    </row>
    <row r="266" spans="1:12" x14ac:dyDescent="0.4">
      <c r="A266" s="129" t="s">
        <v>1505</v>
      </c>
      <c r="B266" s="129" t="s">
        <v>18</v>
      </c>
      <c r="C266" s="129" t="s">
        <v>604</v>
      </c>
      <c r="D266" s="130" t="s">
        <v>605</v>
      </c>
      <c r="E266" s="129" t="s">
        <v>203</v>
      </c>
      <c r="F266" s="129">
        <v>3</v>
      </c>
      <c r="G266" s="129" t="s">
        <v>753</v>
      </c>
      <c r="H266" s="109">
        <v>3</v>
      </c>
      <c r="I266" s="125"/>
      <c r="J266" s="129" t="s">
        <v>749</v>
      </c>
      <c r="K266" s="123">
        <v>46303</v>
      </c>
      <c r="L266" s="129" t="s">
        <v>978</v>
      </c>
    </row>
    <row r="267" spans="1:12" x14ac:dyDescent="0.4">
      <c r="A267" s="129" t="s">
        <v>1505</v>
      </c>
      <c r="B267" s="129" t="s">
        <v>18</v>
      </c>
      <c r="C267" s="129" t="s">
        <v>604</v>
      </c>
      <c r="D267" s="130" t="s">
        <v>605</v>
      </c>
      <c r="E267" s="129" t="s">
        <v>300</v>
      </c>
      <c r="F267" s="129">
        <v>2</v>
      </c>
      <c r="G267" s="129" t="s">
        <v>753</v>
      </c>
      <c r="H267" s="109">
        <v>2</v>
      </c>
      <c r="I267" s="125"/>
      <c r="J267" s="129" t="s">
        <v>749</v>
      </c>
      <c r="K267" s="123">
        <v>46303</v>
      </c>
      <c r="L267" s="129" t="s">
        <v>978</v>
      </c>
    </row>
    <row r="268" spans="1:12" x14ac:dyDescent="0.4">
      <c r="A268" s="129" t="s">
        <v>1505</v>
      </c>
      <c r="B268" s="129" t="s">
        <v>18</v>
      </c>
      <c r="C268" s="129" t="s">
        <v>604</v>
      </c>
      <c r="D268" s="130" t="s">
        <v>605</v>
      </c>
      <c r="E268" s="129" t="s">
        <v>206</v>
      </c>
      <c r="F268" s="129">
        <v>3</v>
      </c>
      <c r="G268" s="129" t="s">
        <v>753</v>
      </c>
      <c r="H268" s="109">
        <v>3</v>
      </c>
      <c r="I268" s="125"/>
      <c r="J268" s="129" t="s">
        <v>749</v>
      </c>
      <c r="K268" s="123">
        <v>46303</v>
      </c>
      <c r="L268" s="129" t="s">
        <v>978</v>
      </c>
    </row>
    <row r="269" spans="1:12" x14ac:dyDescent="0.4">
      <c r="A269" s="129" t="s">
        <v>1505</v>
      </c>
      <c r="B269" s="129" t="s">
        <v>18</v>
      </c>
      <c r="C269" s="129" t="s">
        <v>604</v>
      </c>
      <c r="D269" s="130" t="s">
        <v>605</v>
      </c>
      <c r="E269" s="129" t="s">
        <v>204</v>
      </c>
      <c r="F269" s="129">
        <v>3</v>
      </c>
      <c r="G269" s="129" t="s">
        <v>753</v>
      </c>
      <c r="H269" s="109">
        <v>3</v>
      </c>
      <c r="I269" s="125"/>
      <c r="J269" s="129" t="s">
        <v>749</v>
      </c>
      <c r="K269" s="123">
        <v>46303</v>
      </c>
      <c r="L269" s="129" t="s">
        <v>978</v>
      </c>
    </row>
    <row r="270" spans="1:12" x14ac:dyDescent="0.4">
      <c r="A270" s="129" t="s">
        <v>1505</v>
      </c>
      <c r="B270" s="129" t="s">
        <v>18</v>
      </c>
      <c r="C270" s="129" t="s">
        <v>604</v>
      </c>
      <c r="D270" s="130" t="s">
        <v>605</v>
      </c>
      <c r="E270" s="129" t="s">
        <v>551</v>
      </c>
      <c r="F270" s="129">
        <v>3</v>
      </c>
      <c r="G270" s="129" t="s">
        <v>753</v>
      </c>
      <c r="H270" s="109">
        <v>3</v>
      </c>
      <c r="I270" s="125"/>
      <c r="J270" s="129" t="s">
        <v>749</v>
      </c>
      <c r="K270" s="123">
        <v>46303</v>
      </c>
      <c r="L270" s="129" t="s">
        <v>978</v>
      </c>
    </row>
    <row r="271" spans="1:12" x14ac:dyDescent="0.4">
      <c r="A271" s="129" t="s">
        <v>1505</v>
      </c>
      <c r="B271" s="129" t="s">
        <v>18</v>
      </c>
      <c r="C271" s="129" t="s">
        <v>604</v>
      </c>
      <c r="D271" s="130" t="s">
        <v>605</v>
      </c>
      <c r="E271" s="129" t="s">
        <v>772</v>
      </c>
      <c r="F271" s="129" t="s">
        <v>776</v>
      </c>
      <c r="G271" s="129" t="s">
        <v>753</v>
      </c>
      <c r="H271" s="129" t="s">
        <v>776</v>
      </c>
      <c r="I271" s="125"/>
      <c r="J271" s="129" t="s">
        <v>749</v>
      </c>
      <c r="K271" s="123">
        <v>46303</v>
      </c>
      <c r="L271" s="129" t="s">
        <v>978</v>
      </c>
    </row>
    <row r="272" spans="1:12" x14ac:dyDescent="0.4">
      <c r="A272" s="129" t="s">
        <v>1505</v>
      </c>
      <c r="B272" s="129" t="s">
        <v>18</v>
      </c>
      <c r="C272" s="129" t="s">
        <v>611</v>
      </c>
      <c r="D272" s="130" t="s">
        <v>612</v>
      </c>
      <c r="E272" s="129" t="s">
        <v>203</v>
      </c>
      <c r="F272" s="129">
        <v>3</v>
      </c>
      <c r="G272" s="129" t="s">
        <v>753</v>
      </c>
      <c r="H272" s="109">
        <v>3</v>
      </c>
      <c r="I272" s="125"/>
      <c r="J272" s="129" t="s">
        <v>749</v>
      </c>
      <c r="K272" s="123">
        <v>46303</v>
      </c>
      <c r="L272" s="129" t="s">
        <v>978</v>
      </c>
    </row>
    <row r="273" spans="1:12" x14ac:dyDescent="0.4">
      <c r="A273" s="129" t="s">
        <v>1505</v>
      </c>
      <c r="B273" s="129" t="s">
        <v>18</v>
      </c>
      <c r="C273" s="129" t="s">
        <v>611</v>
      </c>
      <c r="D273" s="130" t="s">
        <v>612</v>
      </c>
      <c r="E273" s="129" t="s">
        <v>300</v>
      </c>
      <c r="F273" s="129">
        <v>4</v>
      </c>
      <c r="G273" s="129" t="s">
        <v>753</v>
      </c>
      <c r="H273" s="109">
        <v>4</v>
      </c>
      <c r="I273" s="125"/>
      <c r="J273" s="129" t="s">
        <v>749</v>
      </c>
      <c r="K273" s="123">
        <v>46303</v>
      </c>
      <c r="L273" s="129" t="s">
        <v>978</v>
      </c>
    </row>
    <row r="274" spans="1:12" x14ac:dyDescent="0.4">
      <c r="A274" s="129" t="s">
        <v>1505</v>
      </c>
      <c r="B274" s="129" t="s">
        <v>18</v>
      </c>
      <c r="C274" s="129" t="s">
        <v>611</v>
      </c>
      <c r="D274" s="130" t="s">
        <v>612</v>
      </c>
      <c r="E274" s="129" t="s">
        <v>206</v>
      </c>
      <c r="F274" s="129">
        <v>4</v>
      </c>
      <c r="G274" s="129" t="s">
        <v>753</v>
      </c>
      <c r="H274" s="109">
        <v>4</v>
      </c>
      <c r="I274" s="125"/>
      <c r="J274" s="129" t="s">
        <v>749</v>
      </c>
      <c r="K274" s="123">
        <v>46303</v>
      </c>
      <c r="L274" s="129" t="s">
        <v>978</v>
      </c>
    </row>
    <row r="275" spans="1:12" x14ac:dyDescent="0.4">
      <c r="A275" s="129" t="s">
        <v>1505</v>
      </c>
      <c r="B275" s="129" t="s">
        <v>18</v>
      </c>
      <c r="C275" s="129" t="s">
        <v>611</v>
      </c>
      <c r="D275" s="130" t="s">
        <v>612</v>
      </c>
      <c r="E275" s="129" t="s">
        <v>204</v>
      </c>
      <c r="F275" s="129">
        <v>4</v>
      </c>
      <c r="G275" s="129" t="s">
        <v>753</v>
      </c>
      <c r="H275" s="109">
        <v>4</v>
      </c>
      <c r="I275" s="125"/>
      <c r="J275" s="129" t="s">
        <v>749</v>
      </c>
      <c r="K275" s="123">
        <v>46303</v>
      </c>
      <c r="L275" s="129" t="s">
        <v>978</v>
      </c>
    </row>
    <row r="276" spans="1:12" x14ac:dyDescent="0.4">
      <c r="A276" s="129" t="s">
        <v>1505</v>
      </c>
      <c r="B276" s="129" t="s">
        <v>18</v>
      </c>
      <c r="C276" s="129" t="s">
        <v>611</v>
      </c>
      <c r="D276" s="130" t="s">
        <v>612</v>
      </c>
      <c r="E276" s="129" t="s">
        <v>551</v>
      </c>
      <c r="F276" s="129"/>
      <c r="G276" s="129" t="s">
        <v>753</v>
      </c>
      <c r="H276" s="109"/>
      <c r="I276" s="125"/>
      <c r="J276" s="129" t="s">
        <v>749</v>
      </c>
      <c r="K276" s="123">
        <v>46303</v>
      </c>
      <c r="L276" s="129" t="s">
        <v>978</v>
      </c>
    </row>
    <row r="277" spans="1:12" x14ac:dyDescent="0.4">
      <c r="A277" s="129" t="s">
        <v>1505</v>
      </c>
      <c r="B277" s="129" t="s">
        <v>18</v>
      </c>
      <c r="C277" s="129" t="s">
        <v>611</v>
      </c>
      <c r="D277" s="130" t="s">
        <v>612</v>
      </c>
      <c r="E277" s="129" t="s">
        <v>772</v>
      </c>
      <c r="F277" s="129" t="s">
        <v>776</v>
      </c>
      <c r="G277" s="129" t="s">
        <v>753</v>
      </c>
      <c r="H277" s="129" t="s">
        <v>776</v>
      </c>
      <c r="I277" s="125"/>
      <c r="J277" s="129" t="s">
        <v>749</v>
      </c>
      <c r="K277" s="123">
        <v>46303</v>
      </c>
      <c r="L277" s="129" t="s">
        <v>978</v>
      </c>
    </row>
    <row r="278" spans="1:12" x14ac:dyDescent="0.4">
      <c r="A278" s="129" t="s">
        <v>1505</v>
      </c>
      <c r="B278" s="129" t="s">
        <v>18</v>
      </c>
      <c r="C278" s="129" t="s">
        <v>1567</v>
      </c>
      <c r="D278" s="130" t="s">
        <v>1568</v>
      </c>
      <c r="E278" s="129" t="s">
        <v>203</v>
      </c>
      <c r="F278" s="129">
        <v>3</v>
      </c>
      <c r="G278" s="129" t="s">
        <v>753</v>
      </c>
      <c r="H278" s="109">
        <v>3</v>
      </c>
      <c r="I278" s="125"/>
      <c r="J278" s="129" t="s">
        <v>749</v>
      </c>
      <c r="K278" s="123">
        <v>46303</v>
      </c>
      <c r="L278" s="129" t="s">
        <v>978</v>
      </c>
    </row>
    <row r="279" spans="1:12" x14ac:dyDescent="0.4">
      <c r="A279" s="129" t="s">
        <v>1505</v>
      </c>
      <c r="B279" s="129" t="s">
        <v>18</v>
      </c>
      <c r="C279" s="129" t="s">
        <v>1567</v>
      </c>
      <c r="D279" s="130" t="s">
        <v>1568</v>
      </c>
      <c r="E279" s="129" t="s">
        <v>300</v>
      </c>
      <c r="F279" s="129"/>
      <c r="G279" s="129" t="s">
        <v>753</v>
      </c>
      <c r="H279" s="109"/>
      <c r="I279" s="125"/>
      <c r="J279" s="129" t="s">
        <v>749</v>
      </c>
      <c r="K279" s="123">
        <v>46303</v>
      </c>
      <c r="L279" s="129" t="s">
        <v>978</v>
      </c>
    </row>
    <row r="280" spans="1:12" x14ac:dyDescent="0.4">
      <c r="A280" s="129" t="s">
        <v>1505</v>
      </c>
      <c r="B280" s="129" t="s">
        <v>18</v>
      </c>
      <c r="C280" s="129" t="s">
        <v>1567</v>
      </c>
      <c r="D280" s="130" t="s">
        <v>1568</v>
      </c>
      <c r="E280" s="129" t="s">
        <v>206</v>
      </c>
      <c r="F280" s="129">
        <v>1</v>
      </c>
      <c r="G280" s="129" t="s">
        <v>753</v>
      </c>
      <c r="H280" s="109">
        <v>1</v>
      </c>
      <c r="I280" s="125"/>
      <c r="J280" s="129" t="s">
        <v>749</v>
      </c>
      <c r="K280" s="123">
        <v>46303</v>
      </c>
      <c r="L280" s="129" t="s">
        <v>978</v>
      </c>
    </row>
    <row r="281" spans="1:12" x14ac:dyDescent="0.4">
      <c r="A281" s="129" t="s">
        <v>1505</v>
      </c>
      <c r="B281" s="129" t="s">
        <v>18</v>
      </c>
      <c r="C281" s="129" t="s">
        <v>1567</v>
      </c>
      <c r="D281" s="130" t="s">
        <v>1568</v>
      </c>
      <c r="E281" s="129" t="s">
        <v>204</v>
      </c>
      <c r="F281" s="129">
        <v>2</v>
      </c>
      <c r="G281" s="129" t="s">
        <v>753</v>
      </c>
      <c r="H281" s="109">
        <v>2</v>
      </c>
      <c r="I281" s="125"/>
      <c r="J281" s="129" t="s">
        <v>749</v>
      </c>
      <c r="K281" s="123">
        <v>46303</v>
      </c>
      <c r="L281" s="129" t="s">
        <v>978</v>
      </c>
    </row>
    <row r="282" spans="1:12" x14ac:dyDescent="0.4">
      <c r="A282" s="129" t="s">
        <v>1505</v>
      </c>
      <c r="B282" s="129" t="s">
        <v>18</v>
      </c>
      <c r="C282" s="129" t="s">
        <v>1567</v>
      </c>
      <c r="D282" s="130" t="s">
        <v>1568</v>
      </c>
      <c r="E282" s="129" t="s">
        <v>551</v>
      </c>
      <c r="F282" s="129"/>
      <c r="G282" s="129" t="s">
        <v>753</v>
      </c>
      <c r="H282" s="109"/>
      <c r="I282" s="125"/>
      <c r="J282" s="129" t="s">
        <v>749</v>
      </c>
      <c r="K282" s="123">
        <v>46303</v>
      </c>
      <c r="L282" s="129" t="s">
        <v>978</v>
      </c>
    </row>
    <row r="283" spans="1:12" x14ac:dyDescent="0.4">
      <c r="A283" s="129" t="s">
        <v>1505</v>
      </c>
      <c r="B283" s="129" t="s">
        <v>18</v>
      </c>
      <c r="C283" s="129" t="s">
        <v>1567</v>
      </c>
      <c r="D283" s="130" t="s">
        <v>1568</v>
      </c>
      <c r="E283" s="129" t="s">
        <v>772</v>
      </c>
      <c r="F283" s="129" t="s">
        <v>776</v>
      </c>
      <c r="G283" s="129" t="s">
        <v>753</v>
      </c>
      <c r="H283" s="129" t="s">
        <v>776</v>
      </c>
      <c r="I283" s="125"/>
      <c r="J283" s="129" t="s">
        <v>749</v>
      </c>
      <c r="K283" s="123">
        <v>46303</v>
      </c>
      <c r="L283" s="129" t="s">
        <v>978</v>
      </c>
    </row>
    <row r="284" spans="1:12" ht="29.15" x14ac:dyDescent="0.4">
      <c r="A284" s="129" t="s">
        <v>1505</v>
      </c>
      <c r="B284" s="129" t="s">
        <v>124</v>
      </c>
      <c r="C284" s="129" t="s">
        <v>437</v>
      </c>
      <c r="D284" s="130" t="s">
        <v>1290</v>
      </c>
      <c r="E284" s="129" t="s">
        <v>834</v>
      </c>
      <c r="F284" s="129">
        <v>5.0999999999999996</v>
      </c>
      <c r="G284" s="129" t="s">
        <v>966</v>
      </c>
      <c r="H284" s="109">
        <v>5.3</v>
      </c>
      <c r="I284" s="130" t="s">
        <v>1627</v>
      </c>
      <c r="J284" s="129" t="s">
        <v>749</v>
      </c>
      <c r="K284" s="123">
        <v>46303</v>
      </c>
      <c r="L284" s="129" t="s">
        <v>978</v>
      </c>
    </row>
    <row r="285" spans="1:12" ht="29.15" x14ac:dyDescent="0.4">
      <c r="A285" s="129" t="s">
        <v>1505</v>
      </c>
      <c r="B285" s="129" t="s">
        <v>124</v>
      </c>
      <c r="C285" s="129" t="s">
        <v>437</v>
      </c>
      <c r="D285" s="130" t="s">
        <v>1290</v>
      </c>
      <c r="E285" s="129" t="s">
        <v>828</v>
      </c>
      <c r="F285" s="129">
        <v>3</v>
      </c>
      <c r="G285" s="129" t="s">
        <v>753</v>
      </c>
      <c r="H285" s="109">
        <v>3</v>
      </c>
      <c r="I285" s="130" t="s">
        <v>1627</v>
      </c>
      <c r="J285" s="129" t="s">
        <v>749</v>
      </c>
      <c r="K285" s="123">
        <v>46303</v>
      </c>
      <c r="L285" s="129" t="s">
        <v>978</v>
      </c>
    </row>
    <row r="286" spans="1:12" ht="29.15" x14ac:dyDescent="0.4">
      <c r="A286" s="129" t="s">
        <v>1505</v>
      </c>
      <c r="B286" s="129" t="s">
        <v>124</v>
      </c>
      <c r="C286" s="129" t="s">
        <v>437</v>
      </c>
      <c r="D286" s="130" t="s">
        <v>1290</v>
      </c>
      <c r="E286" s="129" t="s">
        <v>832</v>
      </c>
      <c r="F286" s="129">
        <v>6</v>
      </c>
      <c r="G286" s="129" t="s">
        <v>753</v>
      </c>
      <c r="H286" s="109">
        <v>6</v>
      </c>
      <c r="I286" s="130" t="s">
        <v>1627</v>
      </c>
      <c r="J286" s="129" t="s">
        <v>749</v>
      </c>
      <c r="K286" s="123">
        <v>46303</v>
      </c>
      <c r="L286" s="129" t="s">
        <v>978</v>
      </c>
    </row>
    <row r="287" spans="1:12" ht="29.15" x14ac:dyDescent="0.4">
      <c r="A287" s="129" t="s">
        <v>1505</v>
      </c>
      <c r="B287" s="129" t="s">
        <v>124</v>
      </c>
      <c r="C287" s="129" t="s">
        <v>1292</v>
      </c>
      <c r="D287" s="130" t="s">
        <v>1293</v>
      </c>
      <c r="E287" s="129" t="s">
        <v>834</v>
      </c>
      <c r="F287" s="129">
        <v>3</v>
      </c>
      <c r="G287" s="129" t="s">
        <v>753</v>
      </c>
      <c r="H287" s="109">
        <v>3</v>
      </c>
      <c r="I287" s="125"/>
      <c r="J287" s="129" t="s">
        <v>749</v>
      </c>
      <c r="K287" s="123">
        <v>46303</v>
      </c>
      <c r="L287" s="129" t="s">
        <v>978</v>
      </c>
    </row>
    <row r="288" spans="1:12" ht="29.15" x14ac:dyDescent="0.4">
      <c r="A288" s="129" t="s">
        <v>1505</v>
      </c>
      <c r="B288" s="129" t="s">
        <v>124</v>
      </c>
      <c r="C288" s="129" t="s">
        <v>1292</v>
      </c>
      <c r="D288" s="130" t="s">
        <v>1293</v>
      </c>
      <c r="E288" s="129" t="s">
        <v>828</v>
      </c>
      <c r="F288" s="129">
        <v>4</v>
      </c>
      <c r="G288" s="129" t="s">
        <v>753</v>
      </c>
      <c r="H288" s="109">
        <v>4</v>
      </c>
      <c r="I288" s="125"/>
      <c r="J288" s="129" t="s">
        <v>749</v>
      </c>
      <c r="K288" s="123">
        <v>46303</v>
      </c>
      <c r="L288" s="129" t="s">
        <v>978</v>
      </c>
    </row>
    <row r="289" spans="1:12" ht="29.15" x14ac:dyDescent="0.4">
      <c r="A289" s="129" t="s">
        <v>1505</v>
      </c>
      <c r="B289" s="129" t="s">
        <v>124</v>
      </c>
      <c r="C289" s="129" t="s">
        <v>1292</v>
      </c>
      <c r="D289" s="130" t="s">
        <v>1293</v>
      </c>
      <c r="E289" s="129" t="s">
        <v>832</v>
      </c>
      <c r="F289" s="129">
        <v>12</v>
      </c>
      <c r="G289" s="129" t="s">
        <v>753</v>
      </c>
      <c r="H289" s="109">
        <v>12</v>
      </c>
      <c r="I289" s="125"/>
      <c r="J289" s="129" t="s">
        <v>749</v>
      </c>
      <c r="K289" s="123">
        <v>46303</v>
      </c>
      <c r="L289" s="129" t="s">
        <v>978</v>
      </c>
    </row>
    <row r="290" spans="1:12" x14ac:dyDescent="0.4">
      <c r="A290" s="129" t="s">
        <v>1505</v>
      </c>
      <c r="B290" s="129" t="s">
        <v>124</v>
      </c>
      <c r="C290" s="129" t="s">
        <v>1298</v>
      </c>
      <c r="D290" s="130" t="s">
        <v>1299</v>
      </c>
      <c r="E290" s="129" t="s">
        <v>834</v>
      </c>
      <c r="F290" s="129">
        <v>72</v>
      </c>
      <c r="G290" s="129" t="s">
        <v>753</v>
      </c>
      <c r="H290" s="109">
        <v>72</v>
      </c>
      <c r="I290" s="125"/>
      <c r="J290" s="129" t="s">
        <v>749</v>
      </c>
      <c r="K290" s="123">
        <v>46303</v>
      </c>
      <c r="L290" s="129" t="s">
        <v>978</v>
      </c>
    </row>
    <row r="291" spans="1:12" x14ac:dyDescent="0.4">
      <c r="A291" s="129" t="s">
        <v>1505</v>
      </c>
      <c r="B291" s="129" t="s">
        <v>124</v>
      </c>
      <c r="C291" s="129" t="s">
        <v>1298</v>
      </c>
      <c r="D291" s="130" t="s">
        <v>1299</v>
      </c>
      <c r="E291" s="129" t="s">
        <v>828</v>
      </c>
      <c r="F291" s="129">
        <v>60</v>
      </c>
      <c r="G291" s="129" t="s">
        <v>753</v>
      </c>
      <c r="H291" s="109">
        <v>60</v>
      </c>
      <c r="I291" s="125"/>
      <c r="J291" s="129" t="s">
        <v>749</v>
      </c>
      <c r="K291" s="123">
        <v>46303</v>
      </c>
      <c r="L291" s="129" t="s">
        <v>978</v>
      </c>
    </row>
    <row r="292" spans="1:12" x14ac:dyDescent="0.4">
      <c r="A292" s="129" t="s">
        <v>1505</v>
      </c>
      <c r="B292" s="129" t="s">
        <v>124</v>
      </c>
      <c r="C292" s="129" t="s">
        <v>1298</v>
      </c>
      <c r="D292" s="130" t="s">
        <v>1299</v>
      </c>
      <c r="E292" s="129" t="s">
        <v>832</v>
      </c>
      <c r="F292" s="129">
        <v>75</v>
      </c>
      <c r="G292" s="129" t="s">
        <v>753</v>
      </c>
      <c r="H292" s="109">
        <v>75</v>
      </c>
      <c r="I292" s="125"/>
      <c r="J292" s="129" t="s">
        <v>749</v>
      </c>
      <c r="K292" s="123">
        <v>46303</v>
      </c>
      <c r="L292" s="129" t="s">
        <v>978</v>
      </c>
    </row>
    <row r="293" spans="1:12" ht="29.15" x14ac:dyDescent="0.4">
      <c r="A293" s="129" t="s">
        <v>1505</v>
      </c>
      <c r="B293" s="129" t="s">
        <v>124</v>
      </c>
      <c r="C293" s="129" t="s">
        <v>1303</v>
      </c>
      <c r="D293" s="130" t="s">
        <v>1304</v>
      </c>
      <c r="E293" s="129" t="s">
        <v>834</v>
      </c>
      <c r="F293" s="129">
        <v>0</v>
      </c>
      <c r="G293" s="129" t="s">
        <v>753</v>
      </c>
      <c r="H293" s="109">
        <v>0</v>
      </c>
      <c r="I293" s="125"/>
      <c r="J293" s="129" t="s">
        <v>749</v>
      </c>
      <c r="K293" s="123">
        <v>46303</v>
      </c>
      <c r="L293" s="129" t="s">
        <v>978</v>
      </c>
    </row>
    <row r="294" spans="1:12" ht="29.15" x14ac:dyDescent="0.4">
      <c r="A294" s="129" t="s">
        <v>1505</v>
      </c>
      <c r="B294" s="129" t="s">
        <v>124</v>
      </c>
      <c r="C294" s="129" t="s">
        <v>1303</v>
      </c>
      <c r="D294" s="130" t="s">
        <v>1304</v>
      </c>
      <c r="E294" s="129" t="s">
        <v>828</v>
      </c>
      <c r="F294" s="129">
        <v>2</v>
      </c>
      <c r="G294" s="129" t="s">
        <v>753</v>
      </c>
      <c r="H294" s="109">
        <v>2</v>
      </c>
      <c r="I294" s="125"/>
      <c r="J294" s="129" t="s">
        <v>749</v>
      </c>
      <c r="K294" s="123">
        <v>46303</v>
      </c>
      <c r="L294" s="129" t="s">
        <v>978</v>
      </c>
    </row>
    <row r="295" spans="1:12" ht="29.15" x14ac:dyDescent="0.4">
      <c r="A295" s="129" t="s">
        <v>1505</v>
      </c>
      <c r="B295" s="129" t="s">
        <v>124</v>
      </c>
      <c r="C295" s="129" t="s">
        <v>1303</v>
      </c>
      <c r="D295" s="130" t="s">
        <v>1304</v>
      </c>
      <c r="E295" s="129" t="s">
        <v>832</v>
      </c>
      <c r="F295" s="129">
        <v>4</v>
      </c>
      <c r="G295" s="129" t="s">
        <v>753</v>
      </c>
      <c r="H295" s="109">
        <v>4</v>
      </c>
      <c r="I295" s="125"/>
      <c r="J295" s="129" t="s">
        <v>749</v>
      </c>
      <c r="K295" s="123">
        <v>46303</v>
      </c>
      <c r="L295" s="129" t="s">
        <v>978</v>
      </c>
    </row>
    <row r="296" spans="1:12" x14ac:dyDescent="0.4">
      <c r="A296" s="129" t="s">
        <v>1505</v>
      </c>
      <c r="B296" s="129" t="s">
        <v>124</v>
      </c>
      <c r="C296" s="129" t="s">
        <v>1308</v>
      </c>
      <c r="D296" s="130" t="s">
        <v>1309</v>
      </c>
      <c r="E296" s="129" t="s">
        <v>834</v>
      </c>
      <c r="F296" s="129">
        <v>1.9</v>
      </c>
      <c r="G296" s="129" t="s">
        <v>753</v>
      </c>
      <c r="H296" s="109">
        <v>1.9</v>
      </c>
      <c r="I296" s="125"/>
      <c r="J296" s="129" t="s">
        <v>749</v>
      </c>
      <c r="K296" s="123">
        <v>46303</v>
      </c>
      <c r="L296" s="129" t="s">
        <v>978</v>
      </c>
    </row>
    <row r="297" spans="1:12" x14ac:dyDescent="0.4">
      <c r="A297" s="129" t="s">
        <v>1505</v>
      </c>
      <c r="B297" s="129" t="s">
        <v>124</v>
      </c>
      <c r="C297" s="129" t="s">
        <v>1308</v>
      </c>
      <c r="D297" s="130" t="s">
        <v>1309</v>
      </c>
      <c r="E297" s="129" t="s">
        <v>828</v>
      </c>
      <c r="F297" s="129">
        <v>1.5</v>
      </c>
      <c r="G297" s="129" t="s">
        <v>753</v>
      </c>
      <c r="H297" s="109">
        <v>1.5</v>
      </c>
      <c r="I297" s="125"/>
      <c r="J297" s="129" t="s">
        <v>749</v>
      </c>
      <c r="K297" s="123">
        <v>46303</v>
      </c>
      <c r="L297" s="129" t="s">
        <v>978</v>
      </c>
    </row>
    <row r="298" spans="1:12" x14ac:dyDescent="0.4">
      <c r="A298" s="129" t="s">
        <v>1505</v>
      </c>
      <c r="B298" s="129" t="s">
        <v>124</v>
      </c>
      <c r="C298" s="129" t="s">
        <v>1308</v>
      </c>
      <c r="D298" s="130" t="s">
        <v>1309</v>
      </c>
      <c r="E298" s="129" t="s">
        <v>832</v>
      </c>
      <c r="F298" s="129">
        <v>3</v>
      </c>
      <c r="G298" s="129" t="s">
        <v>753</v>
      </c>
      <c r="H298" s="109">
        <v>3</v>
      </c>
      <c r="I298" s="125"/>
      <c r="J298" s="129" t="s">
        <v>749</v>
      </c>
      <c r="K298" s="123">
        <v>46303</v>
      </c>
      <c r="L298" s="129" t="s">
        <v>978</v>
      </c>
    </row>
    <row r="299" spans="1:12" ht="29.15" x14ac:dyDescent="0.4">
      <c r="A299" s="129" t="s">
        <v>1505</v>
      </c>
      <c r="B299" s="129" t="s">
        <v>124</v>
      </c>
      <c r="C299" s="129" t="s">
        <v>1313</v>
      </c>
      <c r="D299" s="130" t="s">
        <v>1314</v>
      </c>
      <c r="E299" s="129" t="s">
        <v>834</v>
      </c>
      <c r="F299" s="129"/>
      <c r="G299" s="129" t="s">
        <v>753</v>
      </c>
      <c r="H299" s="109"/>
      <c r="I299" s="125"/>
      <c r="J299" s="129" t="s">
        <v>749</v>
      </c>
      <c r="K299" s="123">
        <v>46303</v>
      </c>
      <c r="L299" s="129" t="s">
        <v>978</v>
      </c>
    </row>
    <row r="300" spans="1:12" ht="29.15" x14ac:dyDescent="0.4">
      <c r="A300" s="129" t="s">
        <v>1505</v>
      </c>
      <c r="B300" s="129" t="s">
        <v>124</v>
      </c>
      <c r="C300" s="129" t="s">
        <v>1313</v>
      </c>
      <c r="D300" s="130" t="s">
        <v>1314</v>
      </c>
      <c r="E300" s="129" t="s">
        <v>828</v>
      </c>
      <c r="F300" s="129">
        <v>20</v>
      </c>
      <c r="G300" s="129" t="s">
        <v>753</v>
      </c>
      <c r="H300" s="109">
        <v>20</v>
      </c>
      <c r="I300" s="125"/>
      <c r="J300" s="129" t="s">
        <v>749</v>
      </c>
      <c r="K300" s="123">
        <v>46303</v>
      </c>
      <c r="L300" s="129" t="s">
        <v>978</v>
      </c>
    </row>
    <row r="301" spans="1:12" ht="29.15" x14ac:dyDescent="0.4">
      <c r="A301" s="129" t="s">
        <v>1505</v>
      </c>
      <c r="B301" s="129" t="s">
        <v>124</v>
      </c>
      <c r="C301" s="129" t="s">
        <v>1313</v>
      </c>
      <c r="D301" s="130" t="s">
        <v>1314</v>
      </c>
      <c r="E301" s="129" t="s">
        <v>832</v>
      </c>
      <c r="F301" s="129">
        <v>40</v>
      </c>
      <c r="G301" s="129" t="s">
        <v>753</v>
      </c>
      <c r="H301" s="109">
        <v>40</v>
      </c>
      <c r="I301" s="125"/>
      <c r="J301" s="129" t="s">
        <v>749</v>
      </c>
      <c r="K301" s="123">
        <v>46303</v>
      </c>
      <c r="L301" s="129" t="s">
        <v>978</v>
      </c>
    </row>
    <row r="302" spans="1:12" ht="29.15" x14ac:dyDescent="0.4">
      <c r="A302" s="129" t="s">
        <v>1505</v>
      </c>
      <c r="B302" s="129" t="s">
        <v>124</v>
      </c>
      <c r="C302" s="129" t="s">
        <v>1317</v>
      </c>
      <c r="D302" s="130" t="s">
        <v>1318</v>
      </c>
      <c r="E302" s="129" t="s">
        <v>834</v>
      </c>
      <c r="F302" s="129">
        <v>2</v>
      </c>
      <c r="G302" s="129" t="s">
        <v>753</v>
      </c>
      <c r="H302" s="109">
        <v>2</v>
      </c>
      <c r="I302" s="125"/>
      <c r="J302" s="129" t="s">
        <v>749</v>
      </c>
      <c r="K302" s="123">
        <v>46303</v>
      </c>
      <c r="L302" s="129" t="s">
        <v>978</v>
      </c>
    </row>
    <row r="303" spans="1:12" ht="29.15" x14ac:dyDescent="0.4">
      <c r="A303" s="129" t="s">
        <v>1505</v>
      </c>
      <c r="B303" s="129" t="s">
        <v>124</v>
      </c>
      <c r="C303" s="129" t="s">
        <v>1317</v>
      </c>
      <c r="D303" s="130" t="s">
        <v>1318</v>
      </c>
      <c r="E303" s="129" t="s">
        <v>828</v>
      </c>
      <c r="F303" s="129">
        <v>1</v>
      </c>
      <c r="G303" s="129" t="s">
        <v>753</v>
      </c>
      <c r="H303" s="109">
        <v>1</v>
      </c>
      <c r="I303" s="125"/>
      <c r="J303" s="129" t="s">
        <v>749</v>
      </c>
      <c r="K303" s="123">
        <v>46303</v>
      </c>
      <c r="L303" s="129" t="s">
        <v>978</v>
      </c>
    </row>
    <row r="304" spans="1:12" ht="29.15" x14ac:dyDescent="0.4">
      <c r="A304" s="129" t="s">
        <v>1505</v>
      </c>
      <c r="B304" s="129" t="s">
        <v>124</v>
      </c>
      <c r="C304" s="129" t="s">
        <v>1317</v>
      </c>
      <c r="D304" s="130" t="s">
        <v>1318</v>
      </c>
      <c r="E304" s="129" t="s">
        <v>832</v>
      </c>
      <c r="F304" s="129">
        <v>3</v>
      </c>
      <c r="G304" s="129" t="s">
        <v>753</v>
      </c>
      <c r="H304" s="109">
        <v>3</v>
      </c>
      <c r="I304" s="125"/>
      <c r="J304" s="129" t="s">
        <v>749</v>
      </c>
      <c r="K304" s="123">
        <v>46303</v>
      </c>
      <c r="L304" s="129" t="s">
        <v>978</v>
      </c>
    </row>
    <row r="305" spans="1:12" x14ac:dyDescent="0.4">
      <c r="A305" s="129" t="s">
        <v>1505</v>
      </c>
      <c r="B305" s="129" t="s">
        <v>124</v>
      </c>
      <c r="C305" s="129" t="s">
        <v>1321</v>
      </c>
      <c r="D305" s="130" t="s">
        <v>1322</v>
      </c>
      <c r="E305" s="129" t="s">
        <v>834</v>
      </c>
      <c r="F305" s="129">
        <v>0</v>
      </c>
      <c r="G305" s="129" t="s">
        <v>753</v>
      </c>
      <c r="H305" s="109">
        <v>0</v>
      </c>
      <c r="I305" s="125"/>
      <c r="J305" s="129" t="s">
        <v>749</v>
      </c>
      <c r="K305" s="123">
        <v>46303</v>
      </c>
      <c r="L305" s="129" t="s">
        <v>978</v>
      </c>
    </row>
    <row r="306" spans="1:12" x14ac:dyDescent="0.4">
      <c r="A306" s="129" t="s">
        <v>1505</v>
      </c>
      <c r="B306" s="129" t="s">
        <v>124</v>
      </c>
      <c r="C306" s="129" t="s">
        <v>1321</v>
      </c>
      <c r="D306" s="130" t="s">
        <v>1322</v>
      </c>
      <c r="E306" s="129" t="s">
        <v>828</v>
      </c>
      <c r="F306" s="129">
        <v>2</v>
      </c>
      <c r="G306" s="129" t="s">
        <v>753</v>
      </c>
      <c r="H306" s="109">
        <v>2</v>
      </c>
      <c r="I306" s="125"/>
      <c r="J306" s="129" t="s">
        <v>749</v>
      </c>
      <c r="K306" s="123">
        <v>46303</v>
      </c>
      <c r="L306" s="129" t="s">
        <v>978</v>
      </c>
    </row>
    <row r="307" spans="1:12" x14ac:dyDescent="0.4">
      <c r="A307" s="129" t="s">
        <v>1505</v>
      </c>
      <c r="B307" s="129" t="s">
        <v>124</v>
      </c>
      <c r="C307" s="129" t="s">
        <v>1321</v>
      </c>
      <c r="D307" s="130" t="s">
        <v>1322</v>
      </c>
      <c r="E307" s="129" t="s">
        <v>832</v>
      </c>
      <c r="F307" s="129">
        <v>5</v>
      </c>
      <c r="G307" s="129" t="s">
        <v>753</v>
      </c>
      <c r="H307" s="109">
        <v>5</v>
      </c>
      <c r="I307" s="125"/>
      <c r="J307" s="129" t="s">
        <v>749</v>
      </c>
      <c r="K307" s="123">
        <v>46303</v>
      </c>
      <c r="L307" s="129" t="s">
        <v>978</v>
      </c>
    </row>
    <row r="308" spans="1:12" x14ac:dyDescent="0.4">
      <c r="A308" s="129" t="s">
        <v>1505</v>
      </c>
      <c r="B308" s="129" t="s">
        <v>124</v>
      </c>
      <c r="C308" s="129" t="s">
        <v>1326</v>
      </c>
      <c r="D308" s="130" t="s">
        <v>1327</v>
      </c>
      <c r="E308" s="129" t="s">
        <v>834</v>
      </c>
      <c r="F308" s="129">
        <v>4</v>
      </c>
      <c r="G308" s="129" t="s">
        <v>753</v>
      </c>
      <c r="H308" s="109">
        <v>4</v>
      </c>
      <c r="I308" s="125"/>
      <c r="J308" s="129" t="s">
        <v>749</v>
      </c>
      <c r="K308" s="123">
        <v>46303</v>
      </c>
      <c r="L308" s="129" t="s">
        <v>978</v>
      </c>
    </row>
    <row r="309" spans="1:12" x14ac:dyDescent="0.4">
      <c r="A309" s="129" t="s">
        <v>1505</v>
      </c>
      <c r="B309" s="129" t="s">
        <v>124</v>
      </c>
      <c r="C309" s="129" t="s">
        <v>1326</v>
      </c>
      <c r="D309" s="130" t="s">
        <v>1327</v>
      </c>
      <c r="E309" s="129" t="s">
        <v>828</v>
      </c>
      <c r="F309" s="129">
        <v>3</v>
      </c>
      <c r="G309" s="129" t="s">
        <v>753</v>
      </c>
      <c r="H309" s="109">
        <v>3</v>
      </c>
      <c r="I309" s="125"/>
      <c r="J309" s="129" t="s">
        <v>749</v>
      </c>
      <c r="K309" s="123">
        <v>46303</v>
      </c>
      <c r="L309" s="129" t="s">
        <v>978</v>
      </c>
    </row>
    <row r="310" spans="1:12" x14ac:dyDescent="0.4">
      <c r="A310" s="129" t="s">
        <v>1505</v>
      </c>
      <c r="B310" s="129" t="s">
        <v>124</v>
      </c>
      <c r="C310" s="129" t="s">
        <v>1326</v>
      </c>
      <c r="D310" s="130" t="s">
        <v>1327</v>
      </c>
      <c r="E310" s="129" t="s">
        <v>832</v>
      </c>
      <c r="F310" s="129">
        <v>6</v>
      </c>
      <c r="G310" s="129" t="s">
        <v>753</v>
      </c>
      <c r="H310" s="109">
        <v>6</v>
      </c>
      <c r="I310" s="125"/>
      <c r="J310" s="129" t="s">
        <v>749</v>
      </c>
      <c r="K310" s="123">
        <v>46303</v>
      </c>
      <c r="L310" s="129" t="s">
        <v>978</v>
      </c>
    </row>
    <row r="311" spans="1:12" ht="29.15" x14ac:dyDescent="0.4">
      <c r="A311" s="129" t="s">
        <v>1505</v>
      </c>
      <c r="B311" s="129" t="s">
        <v>124</v>
      </c>
      <c r="C311" s="129" t="s">
        <v>1330</v>
      </c>
      <c r="D311" s="130" t="s">
        <v>1331</v>
      </c>
      <c r="E311" s="129" t="s">
        <v>834</v>
      </c>
      <c r="F311" s="129">
        <v>18</v>
      </c>
      <c r="G311" s="129" t="s">
        <v>753</v>
      </c>
      <c r="H311" s="109">
        <v>18</v>
      </c>
      <c r="I311" s="125"/>
      <c r="J311" s="129" t="s">
        <v>749</v>
      </c>
      <c r="K311" s="123">
        <v>46303</v>
      </c>
      <c r="L311" s="129" t="s">
        <v>978</v>
      </c>
    </row>
    <row r="312" spans="1:12" ht="29.15" x14ac:dyDescent="0.4">
      <c r="A312" s="129" t="s">
        <v>1505</v>
      </c>
      <c r="B312" s="129" t="s">
        <v>124</v>
      </c>
      <c r="C312" s="129" t="s">
        <v>1330</v>
      </c>
      <c r="D312" s="130" t="s">
        <v>1331</v>
      </c>
      <c r="E312" s="129" t="s">
        <v>828</v>
      </c>
      <c r="F312" s="129">
        <v>30</v>
      </c>
      <c r="G312" s="129" t="s">
        <v>753</v>
      </c>
      <c r="H312" s="109">
        <v>30</v>
      </c>
      <c r="I312" s="125"/>
      <c r="J312" s="129" t="s">
        <v>749</v>
      </c>
      <c r="K312" s="123">
        <v>46303</v>
      </c>
      <c r="L312" s="129" t="s">
        <v>978</v>
      </c>
    </row>
    <row r="313" spans="1:12" ht="29.15" x14ac:dyDescent="0.4">
      <c r="A313" s="129" t="s">
        <v>1505</v>
      </c>
      <c r="B313" s="129" t="s">
        <v>124</v>
      </c>
      <c r="C313" s="129" t="s">
        <v>1330</v>
      </c>
      <c r="D313" s="130" t="s">
        <v>1331</v>
      </c>
      <c r="E313" s="129" t="s">
        <v>832</v>
      </c>
      <c r="F313" s="129">
        <v>60</v>
      </c>
      <c r="G313" s="129" t="s">
        <v>753</v>
      </c>
      <c r="H313" s="109">
        <v>60</v>
      </c>
      <c r="I313" s="125"/>
      <c r="J313" s="129" t="s">
        <v>749</v>
      </c>
      <c r="K313" s="123">
        <v>46303</v>
      </c>
      <c r="L313" s="129" t="s">
        <v>978</v>
      </c>
    </row>
    <row r="314" spans="1:12" ht="29.15" x14ac:dyDescent="0.4">
      <c r="A314" s="129" t="s">
        <v>1505</v>
      </c>
      <c r="B314" s="129" t="s">
        <v>124</v>
      </c>
      <c r="C314" s="129" t="s">
        <v>1366</v>
      </c>
      <c r="D314" s="130" t="s">
        <v>1367</v>
      </c>
      <c r="E314" s="129" t="s">
        <v>834</v>
      </c>
      <c r="F314" s="129">
        <v>6</v>
      </c>
      <c r="G314" s="129" t="s">
        <v>753</v>
      </c>
      <c r="H314" s="109">
        <v>6</v>
      </c>
      <c r="I314" s="125"/>
      <c r="J314" s="129" t="s">
        <v>749</v>
      </c>
      <c r="K314" s="123">
        <v>46303</v>
      </c>
      <c r="L314" s="129" t="s">
        <v>978</v>
      </c>
    </row>
    <row r="315" spans="1:12" ht="29.15" x14ac:dyDescent="0.4">
      <c r="A315" s="129" t="s">
        <v>1505</v>
      </c>
      <c r="B315" s="129" t="s">
        <v>124</v>
      </c>
      <c r="C315" s="129" t="s">
        <v>1366</v>
      </c>
      <c r="D315" s="130" t="s">
        <v>1367</v>
      </c>
      <c r="E315" s="129" t="s">
        <v>828</v>
      </c>
      <c r="F315" s="129">
        <v>10</v>
      </c>
      <c r="G315" s="129" t="s">
        <v>753</v>
      </c>
      <c r="H315" s="109">
        <v>10</v>
      </c>
      <c r="I315" s="125"/>
      <c r="J315" s="129" t="s">
        <v>749</v>
      </c>
      <c r="K315" s="123">
        <v>46303</v>
      </c>
      <c r="L315" s="129" t="s">
        <v>978</v>
      </c>
    </row>
    <row r="316" spans="1:12" ht="29.15" x14ac:dyDescent="0.4">
      <c r="A316" s="129" t="s">
        <v>1505</v>
      </c>
      <c r="B316" s="129" t="s">
        <v>124</v>
      </c>
      <c r="C316" s="129" t="s">
        <v>1366</v>
      </c>
      <c r="D316" s="130" t="s">
        <v>1367</v>
      </c>
      <c r="E316" s="129" t="s">
        <v>832</v>
      </c>
      <c r="F316" s="129">
        <v>30</v>
      </c>
      <c r="G316" s="129" t="s">
        <v>753</v>
      </c>
      <c r="H316" s="109">
        <v>30</v>
      </c>
      <c r="I316" s="125"/>
      <c r="J316" s="129" t="s">
        <v>749</v>
      </c>
      <c r="K316" s="123">
        <v>46303</v>
      </c>
      <c r="L316" s="129" t="s">
        <v>978</v>
      </c>
    </row>
    <row r="317" spans="1:12" ht="29.15" x14ac:dyDescent="0.4">
      <c r="A317" s="129" t="s">
        <v>1505</v>
      </c>
      <c r="B317" s="129" t="s">
        <v>124</v>
      </c>
      <c r="C317" s="129" t="s">
        <v>1370</v>
      </c>
      <c r="D317" s="130" t="s">
        <v>1371</v>
      </c>
      <c r="E317" s="129" t="s">
        <v>834</v>
      </c>
      <c r="F317" s="129">
        <v>22</v>
      </c>
      <c r="G317" s="129" t="s">
        <v>753</v>
      </c>
      <c r="H317" s="109">
        <v>22</v>
      </c>
      <c r="I317" s="125"/>
      <c r="J317" s="129" t="s">
        <v>749</v>
      </c>
      <c r="K317" s="123">
        <v>46303</v>
      </c>
      <c r="L317" s="129" t="s">
        <v>978</v>
      </c>
    </row>
    <row r="318" spans="1:12" ht="29.15" x14ac:dyDescent="0.4">
      <c r="A318" s="129" t="s">
        <v>1505</v>
      </c>
      <c r="B318" s="129" t="s">
        <v>124</v>
      </c>
      <c r="C318" s="129" t="s">
        <v>1370</v>
      </c>
      <c r="D318" s="130" t="s">
        <v>1371</v>
      </c>
      <c r="E318" s="129" t="s">
        <v>828</v>
      </c>
      <c r="F318" s="129">
        <v>20</v>
      </c>
      <c r="G318" s="129" t="s">
        <v>753</v>
      </c>
      <c r="H318" s="109">
        <v>20</v>
      </c>
      <c r="I318" s="125"/>
      <c r="J318" s="129" t="s">
        <v>749</v>
      </c>
      <c r="K318" s="123">
        <v>46303</v>
      </c>
      <c r="L318" s="129" t="s">
        <v>978</v>
      </c>
    </row>
    <row r="319" spans="1:12" ht="29.15" x14ac:dyDescent="0.4">
      <c r="A319" s="129" t="s">
        <v>1505</v>
      </c>
      <c r="B319" s="129" t="s">
        <v>124</v>
      </c>
      <c r="C319" s="129" t="s">
        <v>1370</v>
      </c>
      <c r="D319" s="130" t="s">
        <v>1371</v>
      </c>
      <c r="E319" s="129" t="s">
        <v>832</v>
      </c>
      <c r="F319" s="129">
        <v>40</v>
      </c>
      <c r="G319" s="129" t="s">
        <v>753</v>
      </c>
      <c r="H319" s="109">
        <v>40</v>
      </c>
      <c r="I319" s="125"/>
      <c r="J319" s="129" t="s">
        <v>749</v>
      </c>
      <c r="K319" s="123">
        <v>46303</v>
      </c>
      <c r="L319" s="129" t="s">
        <v>978</v>
      </c>
    </row>
    <row r="320" spans="1:12" ht="29.15" x14ac:dyDescent="0.4">
      <c r="A320" s="129" t="s">
        <v>1505</v>
      </c>
      <c r="B320" s="129" t="s">
        <v>124</v>
      </c>
      <c r="C320" s="129" t="s">
        <v>1334</v>
      </c>
      <c r="D320" s="130" t="s">
        <v>1335</v>
      </c>
      <c r="E320" s="129" t="s">
        <v>834</v>
      </c>
      <c r="F320" s="129">
        <v>1</v>
      </c>
      <c r="G320" s="129" t="s">
        <v>753</v>
      </c>
      <c r="H320" s="109">
        <v>1</v>
      </c>
      <c r="I320" s="125"/>
      <c r="J320" s="129" t="s">
        <v>749</v>
      </c>
      <c r="K320" s="123">
        <v>46303</v>
      </c>
      <c r="L320" s="129" t="s">
        <v>978</v>
      </c>
    </row>
    <row r="321" spans="1:12" ht="29.15" x14ac:dyDescent="0.4">
      <c r="A321" s="129" t="s">
        <v>1505</v>
      </c>
      <c r="B321" s="129" t="s">
        <v>124</v>
      </c>
      <c r="C321" s="129" t="s">
        <v>1334</v>
      </c>
      <c r="D321" s="130" t="s">
        <v>1335</v>
      </c>
      <c r="E321" s="129" t="s">
        <v>828</v>
      </c>
      <c r="F321" s="129">
        <v>1</v>
      </c>
      <c r="G321" s="129" t="s">
        <v>753</v>
      </c>
      <c r="H321" s="109">
        <v>1</v>
      </c>
      <c r="I321" s="125"/>
      <c r="J321" s="129" t="s">
        <v>749</v>
      </c>
      <c r="K321" s="123">
        <v>46303</v>
      </c>
      <c r="L321" s="129" t="s">
        <v>978</v>
      </c>
    </row>
    <row r="322" spans="1:12" ht="29.15" x14ac:dyDescent="0.4">
      <c r="A322" s="129" t="s">
        <v>1505</v>
      </c>
      <c r="B322" s="129" t="s">
        <v>124</v>
      </c>
      <c r="C322" s="129" t="s">
        <v>1334</v>
      </c>
      <c r="D322" s="130" t="s">
        <v>1335</v>
      </c>
      <c r="E322" s="129" t="s">
        <v>832</v>
      </c>
      <c r="F322" s="129">
        <v>2</v>
      </c>
      <c r="G322" s="129" t="s">
        <v>753</v>
      </c>
      <c r="H322" s="109">
        <v>2</v>
      </c>
      <c r="I322" s="125"/>
      <c r="J322" s="129" t="s">
        <v>749</v>
      </c>
      <c r="K322" s="123">
        <v>46303</v>
      </c>
      <c r="L322" s="129" t="s">
        <v>978</v>
      </c>
    </row>
    <row r="323" spans="1:12" ht="29.15" x14ac:dyDescent="0.4">
      <c r="A323" s="129" t="s">
        <v>1505</v>
      </c>
      <c r="B323" s="129" t="s">
        <v>124</v>
      </c>
      <c r="C323" s="129" t="s">
        <v>1337</v>
      </c>
      <c r="D323" s="130" t="s">
        <v>1338</v>
      </c>
      <c r="E323" s="129" t="s">
        <v>834</v>
      </c>
      <c r="F323" s="129">
        <v>2.5</v>
      </c>
      <c r="G323" s="129" t="s">
        <v>753</v>
      </c>
      <c r="H323" s="109">
        <v>2.5</v>
      </c>
      <c r="I323" s="125"/>
      <c r="J323" s="129" t="s">
        <v>749</v>
      </c>
      <c r="K323" s="123">
        <v>46303</v>
      </c>
      <c r="L323" s="129" t="s">
        <v>978</v>
      </c>
    </row>
    <row r="324" spans="1:12" ht="29.15" x14ac:dyDescent="0.4">
      <c r="A324" s="129" t="s">
        <v>1505</v>
      </c>
      <c r="B324" s="129" t="s">
        <v>124</v>
      </c>
      <c r="C324" s="129" t="s">
        <v>1337</v>
      </c>
      <c r="D324" s="130" t="s">
        <v>1338</v>
      </c>
      <c r="E324" s="129" t="s">
        <v>828</v>
      </c>
      <c r="F324" s="129">
        <v>4</v>
      </c>
      <c r="G324" s="129" t="s">
        <v>753</v>
      </c>
      <c r="H324" s="109">
        <v>4</v>
      </c>
      <c r="I324" s="125"/>
      <c r="J324" s="129" t="s">
        <v>749</v>
      </c>
      <c r="K324" s="123">
        <v>46303</v>
      </c>
      <c r="L324" s="129" t="s">
        <v>978</v>
      </c>
    </row>
    <row r="325" spans="1:12" ht="29.15" x14ac:dyDescent="0.4">
      <c r="A325" s="129" t="s">
        <v>1505</v>
      </c>
      <c r="B325" s="129" t="s">
        <v>124</v>
      </c>
      <c r="C325" s="129" t="s">
        <v>1337</v>
      </c>
      <c r="D325" s="130" t="s">
        <v>1338</v>
      </c>
      <c r="E325" s="129" t="s">
        <v>832</v>
      </c>
      <c r="F325" s="129">
        <v>12</v>
      </c>
      <c r="G325" s="129" t="s">
        <v>753</v>
      </c>
      <c r="H325" s="109">
        <v>12</v>
      </c>
      <c r="I325" s="125"/>
      <c r="J325" s="129" t="s">
        <v>749</v>
      </c>
      <c r="K325" s="123">
        <v>46303</v>
      </c>
      <c r="L325" s="129" t="s">
        <v>978</v>
      </c>
    </row>
    <row r="326" spans="1:12" x14ac:dyDescent="0.4">
      <c r="A326" s="129" t="s">
        <v>1505</v>
      </c>
      <c r="B326" s="129" t="s">
        <v>124</v>
      </c>
      <c r="C326" s="129" t="s">
        <v>1340</v>
      </c>
      <c r="D326" s="130" t="s">
        <v>1341</v>
      </c>
      <c r="E326" s="129" t="s">
        <v>834</v>
      </c>
      <c r="F326" s="129">
        <v>22</v>
      </c>
      <c r="G326" s="129" t="s">
        <v>753</v>
      </c>
      <c r="H326" s="109">
        <v>22</v>
      </c>
      <c r="I326" s="125"/>
      <c r="J326" s="129" t="s">
        <v>749</v>
      </c>
      <c r="K326" s="123">
        <v>46303</v>
      </c>
      <c r="L326" s="129" t="s">
        <v>978</v>
      </c>
    </row>
    <row r="327" spans="1:12" x14ac:dyDescent="0.4">
      <c r="A327" s="129" t="s">
        <v>1505</v>
      </c>
      <c r="B327" s="129" t="s">
        <v>124</v>
      </c>
      <c r="C327" s="129" t="s">
        <v>1340</v>
      </c>
      <c r="D327" s="130" t="s">
        <v>1341</v>
      </c>
      <c r="E327" s="129" t="s">
        <v>828</v>
      </c>
      <c r="F327" s="129">
        <v>20</v>
      </c>
      <c r="G327" s="129" t="s">
        <v>753</v>
      </c>
      <c r="H327" s="109">
        <v>20</v>
      </c>
      <c r="I327" s="125"/>
      <c r="J327" s="129" t="s">
        <v>749</v>
      </c>
      <c r="K327" s="123">
        <v>46303</v>
      </c>
      <c r="L327" s="129" t="s">
        <v>978</v>
      </c>
    </row>
    <row r="328" spans="1:12" x14ac:dyDescent="0.4">
      <c r="A328" s="129" t="s">
        <v>1505</v>
      </c>
      <c r="B328" s="129" t="s">
        <v>124</v>
      </c>
      <c r="C328" s="129" t="s">
        <v>1340</v>
      </c>
      <c r="D328" s="130" t="s">
        <v>1341</v>
      </c>
      <c r="E328" s="129" t="s">
        <v>832</v>
      </c>
      <c r="F328" s="129">
        <v>50</v>
      </c>
      <c r="G328" s="129" t="s">
        <v>753</v>
      </c>
      <c r="H328" s="109">
        <v>50</v>
      </c>
      <c r="I328" s="125"/>
      <c r="J328" s="129" t="s">
        <v>749</v>
      </c>
      <c r="K328" s="123">
        <v>46303</v>
      </c>
      <c r="L328" s="129" t="s">
        <v>978</v>
      </c>
    </row>
    <row r="329" spans="1:12" x14ac:dyDescent="0.4">
      <c r="A329" s="129" t="s">
        <v>1505</v>
      </c>
      <c r="B329" s="129" t="s">
        <v>124</v>
      </c>
      <c r="C329" s="129" t="s">
        <v>1345</v>
      </c>
      <c r="D329" s="130" t="s">
        <v>1346</v>
      </c>
      <c r="E329" s="129" t="s">
        <v>834</v>
      </c>
      <c r="F329" s="129">
        <v>5</v>
      </c>
      <c r="G329" s="129" t="s">
        <v>753</v>
      </c>
      <c r="H329" s="109">
        <v>5</v>
      </c>
      <c r="I329" s="125"/>
      <c r="J329" s="129" t="s">
        <v>749</v>
      </c>
      <c r="K329" s="123">
        <v>46303</v>
      </c>
      <c r="L329" s="129" t="s">
        <v>978</v>
      </c>
    </row>
    <row r="330" spans="1:12" x14ac:dyDescent="0.4">
      <c r="A330" s="129" t="s">
        <v>1505</v>
      </c>
      <c r="B330" s="129" t="s">
        <v>124</v>
      </c>
      <c r="C330" s="129" t="s">
        <v>1345</v>
      </c>
      <c r="D330" s="130" t="s">
        <v>1346</v>
      </c>
      <c r="E330" s="129" t="s">
        <v>828</v>
      </c>
      <c r="F330" s="129">
        <v>5</v>
      </c>
      <c r="G330" s="129" t="s">
        <v>753</v>
      </c>
      <c r="H330" s="109">
        <v>5</v>
      </c>
      <c r="I330" s="125"/>
      <c r="J330" s="129" t="s">
        <v>749</v>
      </c>
      <c r="K330" s="123">
        <v>46303</v>
      </c>
      <c r="L330" s="129" t="s">
        <v>978</v>
      </c>
    </row>
    <row r="331" spans="1:12" x14ac:dyDescent="0.4">
      <c r="A331" s="129" t="s">
        <v>1505</v>
      </c>
      <c r="B331" s="129" t="s">
        <v>124</v>
      </c>
      <c r="C331" s="129" t="s">
        <v>1345</v>
      </c>
      <c r="D331" s="130" t="s">
        <v>1346</v>
      </c>
      <c r="E331" s="129" t="s">
        <v>832</v>
      </c>
      <c r="F331" s="129">
        <v>15</v>
      </c>
      <c r="G331" s="129" t="s">
        <v>753</v>
      </c>
      <c r="H331" s="109">
        <v>15</v>
      </c>
      <c r="I331" s="125"/>
      <c r="J331" s="129" t="s">
        <v>749</v>
      </c>
      <c r="K331" s="123">
        <v>46303</v>
      </c>
      <c r="L331" s="129" t="s">
        <v>978</v>
      </c>
    </row>
    <row r="332" spans="1:12" ht="29.15" x14ac:dyDescent="0.4">
      <c r="A332" s="129" t="s">
        <v>1505</v>
      </c>
      <c r="B332" s="129" t="s">
        <v>124</v>
      </c>
      <c r="C332" s="129" t="s">
        <v>1374</v>
      </c>
      <c r="D332" s="130" t="s">
        <v>1375</v>
      </c>
      <c r="E332" s="129" t="s">
        <v>834</v>
      </c>
      <c r="F332" s="129">
        <v>4.2</v>
      </c>
      <c r="G332" s="129" t="s">
        <v>753</v>
      </c>
      <c r="H332" s="109">
        <v>4.2</v>
      </c>
      <c r="I332" s="125"/>
      <c r="J332" s="129" t="s">
        <v>749</v>
      </c>
      <c r="K332" s="123">
        <v>46303</v>
      </c>
      <c r="L332" s="129" t="s">
        <v>978</v>
      </c>
    </row>
    <row r="333" spans="1:12" ht="29.15" x14ac:dyDescent="0.4">
      <c r="A333" s="129" t="s">
        <v>1505</v>
      </c>
      <c r="B333" s="129" t="s">
        <v>124</v>
      </c>
      <c r="C333" s="129" t="s">
        <v>1374</v>
      </c>
      <c r="D333" s="130" t="s">
        <v>1375</v>
      </c>
      <c r="E333" s="129" t="s">
        <v>828</v>
      </c>
      <c r="F333" s="129">
        <v>2</v>
      </c>
      <c r="G333" s="129" t="s">
        <v>753</v>
      </c>
      <c r="H333" s="109">
        <v>2</v>
      </c>
      <c r="I333" s="125"/>
      <c r="J333" s="129" t="s">
        <v>749</v>
      </c>
      <c r="K333" s="123">
        <v>46303</v>
      </c>
      <c r="L333" s="129" t="s">
        <v>978</v>
      </c>
    </row>
    <row r="334" spans="1:12" ht="29.15" x14ac:dyDescent="0.4">
      <c r="A334" s="129" t="s">
        <v>1505</v>
      </c>
      <c r="B334" s="129" t="s">
        <v>124</v>
      </c>
      <c r="C334" s="129" t="s">
        <v>1374</v>
      </c>
      <c r="D334" s="130" t="s">
        <v>1375</v>
      </c>
      <c r="E334" s="129" t="s">
        <v>832</v>
      </c>
      <c r="F334" s="129">
        <v>5</v>
      </c>
      <c r="G334" s="129" t="s">
        <v>753</v>
      </c>
      <c r="H334" s="109">
        <v>5</v>
      </c>
      <c r="I334" s="125"/>
      <c r="J334" s="129" t="s">
        <v>749</v>
      </c>
      <c r="K334" s="123">
        <v>46303</v>
      </c>
      <c r="L334" s="129" t="s">
        <v>978</v>
      </c>
    </row>
    <row r="335" spans="1:12" ht="29.15" x14ac:dyDescent="0.4">
      <c r="A335" s="129" t="s">
        <v>1505</v>
      </c>
      <c r="B335" s="129" t="s">
        <v>124</v>
      </c>
      <c r="C335" s="129" t="s">
        <v>1378</v>
      </c>
      <c r="D335" s="130" t="s">
        <v>1379</v>
      </c>
      <c r="E335" s="129" t="s">
        <v>834</v>
      </c>
      <c r="F335" s="129">
        <v>9</v>
      </c>
      <c r="G335" s="129" t="s">
        <v>753</v>
      </c>
      <c r="H335" s="109">
        <v>9</v>
      </c>
      <c r="I335" s="125"/>
      <c r="J335" s="129" t="s">
        <v>749</v>
      </c>
      <c r="K335" s="123">
        <v>46303</v>
      </c>
      <c r="L335" s="129" t="s">
        <v>978</v>
      </c>
    </row>
    <row r="336" spans="1:12" ht="29.15" x14ac:dyDescent="0.4">
      <c r="A336" s="129" t="s">
        <v>1505</v>
      </c>
      <c r="B336" s="129" t="s">
        <v>124</v>
      </c>
      <c r="C336" s="129" t="s">
        <v>1378</v>
      </c>
      <c r="D336" s="130" t="s">
        <v>1379</v>
      </c>
      <c r="E336" s="129" t="s">
        <v>828</v>
      </c>
      <c r="F336" s="129">
        <v>5</v>
      </c>
      <c r="G336" s="129" t="s">
        <v>753</v>
      </c>
      <c r="H336" s="109">
        <v>5</v>
      </c>
      <c r="I336" s="125"/>
      <c r="J336" s="129" t="s">
        <v>749</v>
      </c>
      <c r="K336" s="123">
        <v>46303</v>
      </c>
      <c r="L336" s="129" t="s">
        <v>978</v>
      </c>
    </row>
    <row r="337" spans="1:12" ht="29.15" x14ac:dyDescent="0.4">
      <c r="A337" s="129" t="s">
        <v>1505</v>
      </c>
      <c r="B337" s="129" t="s">
        <v>124</v>
      </c>
      <c r="C337" s="129" t="s">
        <v>1378</v>
      </c>
      <c r="D337" s="130" t="s">
        <v>1379</v>
      </c>
      <c r="E337" s="129" t="s">
        <v>832</v>
      </c>
      <c r="F337" s="129">
        <v>15</v>
      </c>
      <c r="G337" s="129" t="s">
        <v>753</v>
      </c>
      <c r="H337" s="109">
        <v>15</v>
      </c>
      <c r="I337" s="125"/>
      <c r="J337" s="129" t="s">
        <v>749</v>
      </c>
      <c r="K337" s="123">
        <v>46303</v>
      </c>
      <c r="L337" s="129" t="s">
        <v>978</v>
      </c>
    </row>
    <row r="338" spans="1:12" ht="29.15" x14ac:dyDescent="0.4">
      <c r="A338" s="129" t="s">
        <v>1505</v>
      </c>
      <c r="B338" s="129" t="s">
        <v>124</v>
      </c>
      <c r="C338" s="129" t="s">
        <v>1382</v>
      </c>
      <c r="D338" s="130" t="s">
        <v>1383</v>
      </c>
      <c r="E338" s="129" t="s">
        <v>834</v>
      </c>
      <c r="F338" s="129">
        <v>1.9</v>
      </c>
      <c r="G338" s="129" t="s">
        <v>753</v>
      </c>
      <c r="H338" s="109">
        <v>1.9</v>
      </c>
      <c r="I338" s="130" t="s">
        <v>1626</v>
      </c>
      <c r="J338" s="129" t="s">
        <v>749</v>
      </c>
      <c r="K338" s="123">
        <v>46303</v>
      </c>
      <c r="L338" s="129" t="s">
        <v>978</v>
      </c>
    </row>
    <row r="339" spans="1:12" ht="29.15" x14ac:dyDescent="0.4">
      <c r="A339" s="129" t="s">
        <v>1505</v>
      </c>
      <c r="B339" s="129" t="s">
        <v>124</v>
      </c>
      <c r="C339" s="129" t="s">
        <v>1382</v>
      </c>
      <c r="D339" s="130" t="s">
        <v>1383</v>
      </c>
      <c r="E339" s="129" t="s">
        <v>828</v>
      </c>
      <c r="F339" s="129"/>
      <c r="G339" s="129" t="s">
        <v>966</v>
      </c>
      <c r="H339" s="109">
        <v>2</v>
      </c>
      <c r="I339" s="130" t="s">
        <v>1626</v>
      </c>
      <c r="J339" s="129" t="s">
        <v>749</v>
      </c>
      <c r="K339" s="123">
        <v>46303</v>
      </c>
      <c r="L339" s="129" t="s">
        <v>978</v>
      </c>
    </row>
    <row r="340" spans="1:12" ht="29.15" x14ac:dyDescent="0.4">
      <c r="A340" s="129" t="s">
        <v>1505</v>
      </c>
      <c r="B340" s="129" t="s">
        <v>124</v>
      </c>
      <c r="C340" s="129" t="s">
        <v>1382</v>
      </c>
      <c r="D340" s="130" t="s">
        <v>1383</v>
      </c>
      <c r="E340" s="129" t="s">
        <v>832</v>
      </c>
      <c r="F340" s="129"/>
      <c r="G340" s="129" t="s">
        <v>966</v>
      </c>
      <c r="H340" s="109">
        <v>5</v>
      </c>
      <c r="I340" s="130" t="s">
        <v>1626</v>
      </c>
      <c r="J340" s="129" t="s">
        <v>749</v>
      </c>
      <c r="K340" s="123">
        <v>46303</v>
      </c>
      <c r="L340" s="129" t="s">
        <v>978</v>
      </c>
    </row>
    <row r="341" spans="1:12" ht="29.15" x14ac:dyDescent="0.4">
      <c r="A341" s="129" t="s">
        <v>1505</v>
      </c>
      <c r="B341" s="129" t="s">
        <v>124</v>
      </c>
      <c r="C341" s="129" t="s">
        <v>1386</v>
      </c>
      <c r="D341" s="130" t="s">
        <v>1387</v>
      </c>
      <c r="E341" s="129" t="s">
        <v>834</v>
      </c>
      <c r="F341" s="129">
        <v>45</v>
      </c>
      <c r="G341" s="129" t="s">
        <v>753</v>
      </c>
      <c r="H341" s="109">
        <v>45</v>
      </c>
      <c r="I341" s="125"/>
      <c r="J341" s="129" t="s">
        <v>749</v>
      </c>
      <c r="K341" s="123">
        <v>46303</v>
      </c>
      <c r="L341" s="129" t="s">
        <v>978</v>
      </c>
    </row>
    <row r="342" spans="1:12" ht="29.15" x14ac:dyDescent="0.4">
      <c r="A342" s="129" t="s">
        <v>1505</v>
      </c>
      <c r="B342" s="129" t="s">
        <v>124</v>
      </c>
      <c r="C342" s="129" t="s">
        <v>1386</v>
      </c>
      <c r="D342" s="130" t="s">
        <v>1387</v>
      </c>
      <c r="E342" s="129" t="s">
        <v>828</v>
      </c>
      <c r="F342" s="129">
        <v>20</v>
      </c>
      <c r="G342" s="129" t="s">
        <v>753</v>
      </c>
      <c r="H342" s="109">
        <v>20</v>
      </c>
      <c r="I342" s="125"/>
      <c r="J342" s="129" t="s">
        <v>749</v>
      </c>
      <c r="K342" s="123">
        <v>46303</v>
      </c>
      <c r="L342" s="129" t="s">
        <v>978</v>
      </c>
    </row>
    <row r="343" spans="1:12" ht="29.15" x14ac:dyDescent="0.4">
      <c r="A343" s="129" t="s">
        <v>1505</v>
      </c>
      <c r="B343" s="129" t="s">
        <v>124</v>
      </c>
      <c r="C343" s="129" t="s">
        <v>1386</v>
      </c>
      <c r="D343" s="130" t="s">
        <v>1387</v>
      </c>
      <c r="E343" s="129" t="s">
        <v>832</v>
      </c>
      <c r="F343" s="129">
        <v>50</v>
      </c>
      <c r="G343" s="129" t="s">
        <v>753</v>
      </c>
      <c r="H343" s="109">
        <v>50</v>
      </c>
      <c r="I343" s="125"/>
      <c r="J343" s="129" t="s">
        <v>749</v>
      </c>
      <c r="K343" s="123">
        <v>46303</v>
      </c>
      <c r="L343" s="129" t="s">
        <v>978</v>
      </c>
    </row>
    <row r="344" spans="1:12" ht="29.15" x14ac:dyDescent="0.4">
      <c r="A344" s="129" t="s">
        <v>1505</v>
      </c>
      <c r="B344" s="129" t="s">
        <v>124</v>
      </c>
      <c r="C344" s="129" t="s">
        <v>1349</v>
      </c>
      <c r="D344" s="130" t="s">
        <v>1350</v>
      </c>
      <c r="E344" s="129" t="s">
        <v>834</v>
      </c>
      <c r="F344" s="129">
        <v>6</v>
      </c>
      <c r="G344" s="129" t="s">
        <v>753</v>
      </c>
      <c r="H344" s="109">
        <v>6</v>
      </c>
      <c r="I344" s="125"/>
      <c r="J344" s="129" t="s">
        <v>749</v>
      </c>
      <c r="K344" s="123">
        <v>46303</v>
      </c>
      <c r="L344" s="129" t="s">
        <v>978</v>
      </c>
    </row>
    <row r="345" spans="1:12" ht="29.15" x14ac:dyDescent="0.4">
      <c r="A345" s="129" t="s">
        <v>1505</v>
      </c>
      <c r="B345" s="129" t="s">
        <v>124</v>
      </c>
      <c r="C345" s="129" t="s">
        <v>1349</v>
      </c>
      <c r="D345" s="130" t="s">
        <v>1350</v>
      </c>
      <c r="E345" s="129" t="s">
        <v>828</v>
      </c>
      <c r="F345" s="129">
        <v>3</v>
      </c>
      <c r="G345" s="129" t="s">
        <v>753</v>
      </c>
      <c r="H345" s="109">
        <v>3</v>
      </c>
      <c r="I345" s="125"/>
      <c r="J345" s="129" t="s">
        <v>749</v>
      </c>
      <c r="K345" s="123">
        <v>46303</v>
      </c>
      <c r="L345" s="129" t="s">
        <v>978</v>
      </c>
    </row>
    <row r="346" spans="1:12" ht="29.15" x14ac:dyDescent="0.4">
      <c r="A346" s="129" t="s">
        <v>1505</v>
      </c>
      <c r="B346" s="129" t="s">
        <v>124</v>
      </c>
      <c r="C346" s="129" t="s">
        <v>1349</v>
      </c>
      <c r="D346" s="130" t="s">
        <v>1350</v>
      </c>
      <c r="E346" s="129" t="s">
        <v>832</v>
      </c>
      <c r="F346" s="129">
        <v>8</v>
      </c>
      <c r="G346" s="129" t="s">
        <v>753</v>
      </c>
      <c r="H346" s="109">
        <v>8</v>
      </c>
      <c r="I346" s="125"/>
      <c r="J346" s="129" t="s">
        <v>749</v>
      </c>
      <c r="K346" s="123">
        <v>46303</v>
      </c>
      <c r="L346" s="129" t="s">
        <v>978</v>
      </c>
    </row>
    <row r="347" spans="1:12" ht="29.15" x14ac:dyDescent="0.4">
      <c r="A347" s="129" t="s">
        <v>1505</v>
      </c>
      <c r="B347" s="129" t="s">
        <v>124</v>
      </c>
      <c r="C347" s="129" t="s">
        <v>1353</v>
      </c>
      <c r="D347" s="130" t="s">
        <v>1354</v>
      </c>
      <c r="E347" s="129" t="s">
        <v>834</v>
      </c>
      <c r="F347" s="129">
        <v>5</v>
      </c>
      <c r="G347" s="129" t="s">
        <v>753</v>
      </c>
      <c r="H347" s="109">
        <v>5</v>
      </c>
      <c r="I347" s="125"/>
      <c r="J347" s="129" t="s">
        <v>749</v>
      </c>
      <c r="K347" s="123">
        <v>46303</v>
      </c>
      <c r="L347" s="129" t="s">
        <v>978</v>
      </c>
    </row>
    <row r="348" spans="1:12" ht="29.15" x14ac:dyDescent="0.4">
      <c r="A348" s="129" t="s">
        <v>1505</v>
      </c>
      <c r="B348" s="129" t="s">
        <v>124</v>
      </c>
      <c r="C348" s="129" t="s">
        <v>1353</v>
      </c>
      <c r="D348" s="130" t="s">
        <v>1354</v>
      </c>
      <c r="E348" s="129" t="s">
        <v>828</v>
      </c>
      <c r="F348" s="129">
        <v>2</v>
      </c>
      <c r="G348" s="129" t="s">
        <v>753</v>
      </c>
      <c r="H348" s="109">
        <v>2</v>
      </c>
      <c r="I348" s="125"/>
      <c r="J348" s="129" t="s">
        <v>749</v>
      </c>
      <c r="K348" s="123">
        <v>46303</v>
      </c>
      <c r="L348" s="129" t="s">
        <v>978</v>
      </c>
    </row>
    <row r="349" spans="1:12" ht="29.15" x14ac:dyDescent="0.4">
      <c r="A349" s="129" t="s">
        <v>1505</v>
      </c>
      <c r="B349" s="129" t="s">
        <v>124</v>
      </c>
      <c r="C349" s="129" t="s">
        <v>1353</v>
      </c>
      <c r="D349" s="130" t="s">
        <v>1354</v>
      </c>
      <c r="E349" s="129" t="s">
        <v>832</v>
      </c>
      <c r="F349" s="129">
        <v>6</v>
      </c>
      <c r="G349" s="129" t="s">
        <v>753</v>
      </c>
      <c r="H349" s="109">
        <v>6</v>
      </c>
      <c r="I349" s="125"/>
      <c r="J349" s="129" t="s">
        <v>749</v>
      </c>
      <c r="K349" s="123">
        <v>46303</v>
      </c>
      <c r="L349" s="129" t="s">
        <v>978</v>
      </c>
    </row>
    <row r="350" spans="1:12" ht="29.15" x14ac:dyDescent="0.4">
      <c r="A350" s="129" t="s">
        <v>1505</v>
      </c>
      <c r="B350" s="129" t="s">
        <v>124</v>
      </c>
      <c r="C350" s="129" t="s">
        <v>1357</v>
      </c>
      <c r="D350" s="130" t="s">
        <v>1358</v>
      </c>
      <c r="E350" s="129" t="s">
        <v>834</v>
      </c>
      <c r="F350" s="129">
        <v>12</v>
      </c>
      <c r="G350" s="129" t="s">
        <v>753</v>
      </c>
      <c r="H350" s="109">
        <v>12</v>
      </c>
      <c r="I350" s="125"/>
      <c r="J350" s="129" t="s">
        <v>749</v>
      </c>
      <c r="K350" s="123">
        <v>46303</v>
      </c>
      <c r="L350" s="129" t="s">
        <v>978</v>
      </c>
    </row>
    <row r="351" spans="1:12" ht="29.15" x14ac:dyDescent="0.4">
      <c r="A351" s="129" t="s">
        <v>1505</v>
      </c>
      <c r="B351" s="129" t="s">
        <v>124</v>
      </c>
      <c r="C351" s="129" t="s">
        <v>1357</v>
      </c>
      <c r="D351" s="130" t="s">
        <v>1358</v>
      </c>
      <c r="E351" s="129" t="s">
        <v>828</v>
      </c>
      <c r="F351" s="129">
        <v>10</v>
      </c>
      <c r="G351" s="129" t="s">
        <v>753</v>
      </c>
      <c r="H351" s="109">
        <v>10</v>
      </c>
      <c r="I351" s="125"/>
      <c r="J351" s="129" t="s">
        <v>749</v>
      </c>
      <c r="K351" s="123">
        <v>46303</v>
      </c>
      <c r="L351" s="129" t="s">
        <v>978</v>
      </c>
    </row>
    <row r="352" spans="1:12" ht="29.15" x14ac:dyDescent="0.4">
      <c r="A352" s="129" t="s">
        <v>1505</v>
      </c>
      <c r="B352" s="129" t="s">
        <v>124</v>
      </c>
      <c r="C352" s="129" t="s">
        <v>1357</v>
      </c>
      <c r="D352" s="130" t="s">
        <v>1358</v>
      </c>
      <c r="E352" s="129" t="s">
        <v>832</v>
      </c>
      <c r="F352" s="129">
        <v>30</v>
      </c>
      <c r="G352" s="129" t="s">
        <v>753</v>
      </c>
      <c r="H352" s="109">
        <v>30</v>
      </c>
      <c r="I352" s="125"/>
      <c r="J352" s="129" t="s">
        <v>749</v>
      </c>
      <c r="K352" s="123">
        <v>46303</v>
      </c>
      <c r="L352" s="129" t="s">
        <v>978</v>
      </c>
    </row>
    <row r="353" spans="1:12" ht="29.15" x14ac:dyDescent="0.4">
      <c r="A353" s="129" t="s">
        <v>1505</v>
      </c>
      <c r="B353" s="129" t="s">
        <v>124</v>
      </c>
      <c r="C353" s="129" t="s">
        <v>1361</v>
      </c>
      <c r="D353" s="130" t="s">
        <v>1362</v>
      </c>
      <c r="E353" s="129" t="s">
        <v>834</v>
      </c>
      <c r="F353" s="129">
        <v>4.5</v>
      </c>
      <c r="G353" s="129" t="s">
        <v>753</v>
      </c>
      <c r="H353" s="109">
        <v>4.5</v>
      </c>
      <c r="I353" s="125"/>
      <c r="J353" s="129" t="s">
        <v>749</v>
      </c>
      <c r="K353" s="123">
        <v>46303</v>
      </c>
      <c r="L353" s="129" t="s">
        <v>978</v>
      </c>
    </row>
    <row r="354" spans="1:12" ht="29.15" x14ac:dyDescent="0.4">
      <c r="A354" s="129" t="s">
        <v>1505</v>
      </c>
      <c r="B354" s="129" t="s">
        <v>124</v>
      </c>
      <c r="C354" s="129" t="s">
        <v>1361</v>
      </c>
      <c r="D354" s="130" t="s">
        <v>1362</v>
      </c>
      <c r="E354" s="129" t="s">
        <v>828</v>
      </c>
      <c r="F354" s="129">
        <v>4</v>
      </c>
      <c r="G354" s="129" t="s">
        <v>753</v>
      </c>
      <c r="H354" s="109">
        <v>4</v>
      </c>
      <c r="I354" s="125"/>
      <c r="J354" s="129" t="s">
        <v>749</v>
      </c>
      <c r="K354" s="123">
        <v>46303</v>
      </c>
      <c r="L354" s="129" t="s">
        <v>978</v>
      </c>
    </row>
    <row r="355" spans="1:12" ht="29.15" x14ac:dyDescent="0.4">
      <c r="A355" s="129" t="s">
        <v>1505</v>
      </c>
      <c r="B355" s="129" t="s">
        <v>124</v>
      </c>
      <c r="C355" s="129" t="s">
        <v>1361</v>
      </c>
      <c r="D355" s="130" t="s">
        <v>1362</v>
      </c>
      <c r="E355" s="129" t="s">
        <v>832</v>
      </c>
      <c r="F355" s="129">
        <v>12</v>
      </c>
      <c r="G355" s="129" t="s">
        <v>753</v>
      </c>
      <c r="H355" s="109">
        <v>12</v>
      </c>
      <c r="I355" s="125"/>
      <c r="J355" s="129" t="s">
        <v>749</v>
      </c>
      <c r="K355" s="123">
        <v>46303</v>
      </c>
      <c r="L355" s="129" t="s">
        <v>978</v>
      </c>
    </row>
    <row r="356" spans="1:12" ht="29.15" x14ac:dyDescent="0.4">
      <c r="A356" s="129" t="s">
        <v>1505</v>
      </c>
      <c r="B356" s="129" t="s">
        <v>124</v>
      </c>
      <c r="C356" s="129" t="s">
        <v>1537</v>
      </c>
      <c r="D356" s="130" t="s">
        <v>1538</v>
      </c>
      <c r="E356" s="129" t="s">
        <v>834</v>
      </c>
      <c r="F356" s="129"/>
      <c r="G356" s="129" t="s">
        <v>753</v>
      </c>
      <c r="H356" s="109"/>
      <c r="I356" s="125"/>
      <c r="J356" s="129" t="s">
        <v>749</v>
      </c>
      <c r="K356" s="123">
        <v>46303</v>
      </c>
      <c r="L356" s="129" t="s">
        <v>978</v>
      </c>
    </row>
    <row r="357" spans="1:12" ht="29.15" x14ac:dyDescent="0.4">
      <c r="A357" s="129" t="s">
        <v>1505</v>
      </c>
      <c r="B357" s="129" t="s">
        <v>124</v>
      </c>
      <c r="C357" s="129" t="s">
        <v>1537</v>
      </c>
      <c r="D357" s="130" t="s">
        <v>1538</v>
      </c>
      <c r="E357" s="129" t="s">
        <v>828</v>
      </c>
      <c r="F357" s="129">
        <v>1</v>
      </c>
      <c r="G357" s="129" t="s">
        <v>753</v>
      </c>
      <c r="H357" s="109">
        <v>1</v>
      </c>
      <c r="I357" s="125"/>
      <c r="J357" s="129" t="s">
        <v>749</v>
      </c>
      <c r="K357" s="123">
        <v>46303</v>
      </c>
      <c r="L357" s="129" t="s">
        <v>978</v>
      </c>
    </row>
    <row r="358" spans="1:12" ht="29.15" x14ac:dyDescent="0.4">
      <c r="A358" s="129" t="s">
        <v>1505</v>
      </c>
      <c r="B358" s="129" t="s">
        <v>124</v>
      </c>
      <c r="C358" s="129" t="s">
        <v>1537</v>
      </c>
      <c r="D358" s="130" t="s">
        <v>1538</v>
      </c>
      <c r="E358" s="129" t="s">
        <v>832</v>
      </c>
      <c r="F358" s="129">
        <v>3</v>
      </c>
      <c r="G358" s="129" t="s">
        <v>753</v>
      </c>
      <c r="H358" s="109">
        <v>3</v>
      </c>
      <c r="I358" s="125"/>
      <c r="J358" s="129" t="s">
        <v>749</v>
      </c>
      <c r="K358" s="123">
        <v>46303</v>
      </c>
      <c r="L358" s="129" t="s">
        <v>978</v>
      </c>
    </row>
    <row r="359" spans="1:12" ht="29.15" x14ac:dyDescent="0.4">
      <c r="A359" s="129" t="s">
        <v>1505</v>
      </c>
      <c r="B359" s="129" t="s">
        <v>493</v>
      </c>
      <c r="C359" s="129" t="s">
        <v>1575</v>
      </c>
      <c r="D359" s="130" t="s">
        <v>1576</v>
      </c>
      <c r="E359" s="129" t="s">
        <v>181</v>
      </c>
      <c r="F359" s="129" t="s">
        <v>557</v>
      </c>
      <c r="G359" s="129" t="s">
        <v>753</v>
      </c>
      <c r="H359" s="129" t="s">
        <v>557</v>
      </c>
      <c r="I359" s="125"/>
      <c r="J359" s="129" t="s">
        <v>749</v>
      </c>
      <c r="K359" s="123">
        <v>46303</v>
      </c>
      <c r="L359" s="129" t="s">
        <v>978</v>
      </c>
    </row>
    <row r="360" spans="1:12" ht="29.15" x14ac:dyDescent="0.4">
      <c r="A360" s="129" t="s">
        <v>1505</v>
      </c>
      <c r="B360" s="129" t="s">
        <v>493</v>
      </c>
      <c r="C360" s="129" t="s">
        <v>1575</v>
      </c>
      <c r="D360" s="130" t="s">
        <v>1576</v>
      </c>
      <c r="E360" s="129" t="s">
        <v>267</v>
      </c>
      <c r="F360" s="129" t="s">
        <v>1245</v>
      </c>
      <c r="G360" s="129" t="s">
        <v>753</v>
      </c>
      <c r="H360" s="129" t="s">
        <v>1245</v>
      </c>
      <c r="I360" s="125"/>
      <c r="J360" s="129" t="s">
        <v>749</v>
      </c>
      <c r="K360" s="123">
        <v>46303</v>
      </c>
      <c r="L360" s="129" t="s">
        <v>978</v>
      </c>
    </row>
    <row r="361" spans="1:12" ht="29.15" x14ac:dyDescent="0.4">
      <c r="A361" s="129" t="s">
        <v>1505</v>
      </c>
      <c r="B361" s="129" t="s">
        <v>493</v>
      </c>
      <c r="C361" s="129" t="s">
        <v>1578</v>
      </c>
      <c r="D361" s="130" t="s">
        <v>1579</v>
      </c>
      <c r="E361" s="129" t="s">
        <v>181</v>
      </c>
      <c r="F361" s="129" t="s">
        <v>1580</v>
      </c>
      <c r="G361" s="129" t="s">
        <v>753</v>
      </c>
      <c r="H361" s="129" t="s">
        <v>1580</v>
      </c>
      <c r="I361" s="125"/>
      <c r="J361" s="129" t="s">
        <v>749</v>
      </c>
      <c r="K361" s="123">
        <v>46303</v>
      </c>
      <c r="L361" s="129" t="s">
        <v>978</v>
      </c>
    </row>
    <row r="362" spans="1:12" ht="29.15" x14ac:dyDescent="0.4">
      <c r="A362" s="129" t="s">
        <v>1505</v>
      </c>
      <c r="B362" s="129" t="s">
        <v>493</v>
      </c>
      <c r="C362" s="129" t="s">
        <v>1578</v>
      </c>
      <c r="D362" s="130" t="s">
        <v>1579</v>
      </c>
      <c r="E362" s="129" t="s">
        <v>267</v>
      </c>
      <c r="F362" s="129" t="s">
        <v>797</v>
      </c>
      <c r="G362" s="129" t="s">
        <v>753</v>
      </c>
      <c r="H362" s="129" t="s">
        <v>797</v>
      </c>
      <c r="I362" s="125"/>
      <c r="J362" s="129" t="s">
        <v>749</v>
      </c>
      <c r="K362" s="123">
        <v>46303</v>
      </c>
      <c r="L362" s="129" t="s">
        <v>978</v>
      </c>
    </row>
    <row r="363" spans="1:12" ht="29.15" x14ac:dyDescent="0.4">
      <c r="A363" s="129" t="s">
        <v>1505</v>
      </c>
      <c r="B363" s="129" t="s">
        <v>493</v>
      </c>
      <c r="C363" s="129" t="s">
        <v>1582</v>
      </c>
      <c r="D363" s="130" t="s">
        <v>1583</v>
      </c>
      <c r="E363" s="129" t="s">
        <v>181</v>
      </c>
      <c r="F363" s="129" t="s">
        <v>563</v>
      </c>
      <c r="G363" s="129" t="s">
        <v>753</v>
      </c>
      <c r="H363" s="129" t="s">
        <v>563</v>
      </c>
      <c r="I363" s="125"/>
      <c r="J363" s="129" t="s">
        <v>749</v>
      </c>
      <c r="K363" s="123">
        <v>46303</v>
      </c>
      <c r="L363" s="129" t="s">
        <v>978</v>
      </c>
    </row>
    <row r="364" spans="1:12" ht="29.15" x14ac:dyDescent="0.4">
      <c r="A364" s="129" t="s">
        <v>1505</v>
      </c>
      <c r="B364" s="129" t="s">
        <v>493</v>
      </c>
      <c r="C364" s="129" t="s">
        <v>1582</v>
      </c>
      <c r="D364" s="130" t="s">
        <v>1583</v>
      </c>
      <c r="E364" s="129" t="s">
        <v>267</v>
      </c>
      <c r="F364" s="129" t="s">
        <v>1245</v>
      </c>
      <c r="G364" s="129" t="s">
        <v>753</v>
      </c>
      <c r="H364" s="129" t="s">
        <v>1245</v>
      </c>
      <c r="I364" s="125"/>
      <c r="J364" s="129" t="s">
        <v>749</v>
      </c>
      <c r="K364" s="123">
        <v>46303</v>
      </c>
      <c r="L364" s="129" t="s">
        <v>978</v>
      </c>
    </row>
    <row r="365" spans="1:12" ht="29.15" x14ac:dyDescent="0.4">
      <c r="A365" s="129" t="s">
        <v>1505</v>
      </c>
      <c r="B365" s="129" t="s">
        <v>493</v>
      </c>
      <c r="C365" s="129" t="s">
        <v>1585</v>
      </c>
      <c r="D365" s="130" t="s">
        <v>1586</v>
      </c>
      <c r="E365" s="129" t="s">
        <v>181</v>
      </c>
      <c r="F365" s="129" t="s">
        <v>1587</v>
      </c>
      <c r="G365" s="129" t="s">
        <v>753</v>
      </c>
      <c r="H365" s="129" t="s">
        <v>1587</v>
      </c>
      <c r="I365" s="125"/>
      <c r="J365" s="129" t="s">
        <v>749</v>
      </c>
      <c r="K365" s="123">
        <v>46303</v>
      </c>
      <c r="L365" s="129" t="s">
        <v>978</v>
      </c>
    </row>
    <row r="366" spans="1:12" ht="29.15" x14ac:dyDescent="0.4">
      <c r="A366" s="129" t="s">
        <v>1505</v>
      </c>
      <c r="B366" s="129" t="s">
        <v>493</v>
      </c>
      <c r="C366" s="129" t="s">
        <v>1585</v>
      </c>
      <c r="D366" s="130" t="s">
        <v>1586</v>
      </c>
      <c r="E366" s="129" t="s">
        <v>267</v>
      </c>
      <c r="F366" s="129" t="s">
        <v>1235</v>
      </c>
      <c r="G366" s="129" t="s">
        <v>753</v>
      </c>
      <c r="H366" s="129" t="s">
        <v>1235</v>
      </c>
      <c r="I366" s="125"/>
      <c r="J366" s="129" t="s">
        <v>749</v>
      </c>
      <c r="K366" s="123">
        <v>46303</v>
      </c>
      <c r="L366" s="129" t="s">
        <v>978</v>
      </c>
    </row>
    <row r="367" spans="1:12" ht="29.15" x14ac:dyDescent="0.4">
      <c r="A367" s="129" t="s">
        <v>1505</v>
      </c>
      <c r="B367" s="129" t="s">
        <v>493</v>
      </c>
      <c r="C367" s="129" t="s">
        <v>1589</v>
      </c>
      <c r="D367" s="130" t="s">
        <v>1590</v>
      </c>
      <c r="E367" s="129" t="s">
        <v>181</v>
      </c>
      <c r="F367" s="129" t="s">
        <v>569</v>
      </c>
      <c r="G367" s="129" t="s">
        <v>753</v>
      </c>
      <c r="H367" s="129" t="s">
        <v>569</v>
      </c>
      <c r="I367" s="125"/>
      <c r="J367" s="129" t="s">
        <v>749</v>
      </c>
      <c r="K367" s="123">
        <v>46303</v>
      </c>
      <c r="L367" s="129" t="s">
        <v>978</v>
      </c>
    </row>
    <row r="368" spans="1:12" ht="29.15" x14ac:dyDescent="0.4">
      <c r="A368" s="129" t="s">
        <v>1505</v>
      </c>
      <c r="B368" s="129" t="s">
        <v>493</v>
      </c>
      <c r="C368" s="129" t="s">
        <v>1589</v>
      </c>
      <c r="D368" s="130" t="s">
        <v>1590</v>
      </c>
      <c r="E368" s="129" t="s">
        <v>267</v>
      </c>
      <c r="F368" s="129" t="s">
        <v>1245</v>
      </c>
      <c r="G368" s="129" t="s">
        <v>753</v>
      </c>
      <c r="H368" s="129" t="s">
        <v>1245</v>
      </c>
      <c r="I368" s="125"/>
      <c r="J368" s="129" t="s">
        <v>749</v>
      </c>
      <c r="K368" s="123">
        <v>46303</v>
      </c>
      <c r="L368" s="129" t="s">
        <v>978</v>
      </c>
    </row>
    <row r="369" spans="1:12" ht="43.75" x14ac:dyDescent="0.4">
      <c r="A369" s="129" t="s">
        <v>1505</v>
      </c>
      <c r="B369" s="129" t="s">
        <v>493</v>
      </c>
      <c r="C369" s="129" t="s">
        <v>1592</v>
      </c>
      <c r="D369" s="130" t="s">
        <v>1593</v>
      </c>
      <c r="E369" s="129" t="s">
        <v>181</v>
      </c>
      <c r="F369" s="129" t="s">
        <v>575</v>
      </c>
      <c r="G369" s="129" t="s">
        <v>753</v>
      </c>
      <c r="H369" s="129" t="s">
        <v>575</v>
      </c>
      <c r="I369" s="125"/>
      <c r="J369" s="129" t="s">
        <v>749</v>
      </c>
      <c r="K369" s="123">
        <v>46303</v>
      </c>
      <c r="L369" s="129" t="s">
        <v>978</v>
      </c>
    </row>
    <row r="370" spans="1:12" ht="43.75" x14ac:dyDescent="0.4">
      <c r="A370" s="129" t="s">
        <v>1505</v>
      </c>
      <c r="B370" s="129" t="s">
        <v>493</v>
      </c>
      <c r="C370" s="129" t="s">
        <v>1592</v>
      </c>
      <c r="D370" s="130" t="s">
        <v>1593</v>
      </c>
      <c r="E370" s="129" t="s">
        <v>267</v>
      </c>
      <c r="F370" s="129" t="s">
        <v>797</v>
      </c>
      <c r="G370" s="129" t="s">
        <v>753</v>
      </c>
      <c r="H370" s="129" t="s">
        <v>797</v>
      </c>
      <c r="I370" s="125"/>
      <c r="J370" s="129" t="s">
        <v>749</v>
      </c>
      <c r="K370" s="123">
        <v>46303</v>
      </c>
      <c r="L370" s="129" t="s">
        <v>978</v>
      </c>
    </row>
    <row r="371" spans="1:12" ht="29.15" x14ac:dyDescent="0.4">
      <c r="A371" s="129" t="s">
        <v>1505</v>
      </c>
      <c r="B371" s="129" t="s">
        <v>493</v>
      </c>
      <c r="C371" s="129" t="s">
        <v>1595</v>
      </c>
      <c r="D371" s="130" t="s">
        <v>1244</v>
      </c>
      <c r="E371" s="129" t="s">
        <v>181</v>
      </c>
      <c r="F371" s="129" t="s">
        <v>579</v>
      </c>
      <c r="G371" s="129" t="s">
        <v>753</v>
      </c>
      <c r="H371" s="129" t="s">
        <v>579</v>
      </c>
      <c r="I371" s="125"/>
      <c r="J371" s="129" t="s">
        <v>749</v>
      </c>
      <c r="K371" s="123">
        <v>46303</v>
      </c>
      <c r="L371" s="129" t="s">
        <v>978</v>
      </c>
    </row>
    <row r="372" spans="1:12" ht="29.15" x14ac:dyDescent="0.4">
      <c r="A372" s="129" t="s">
        <v>1505</v>
      </c>
      <c r="B372" s="129" t="s">
        <v>493</v>
      </c>
      <c r="C372" s="129" t="s">
        <v>1595</v>
      </c>
      <c r="D372" s="130" t="s">
        <v>1244</v>
      </c>
      <c r="E372" s="129" t="s">
        <v>267</v>
      </c>
      <c r="F372" s="129" t="s">
        <v>1245</v>
      </c>
      <c r="G372" s="129" t="s">
        <v>753</v>
      </c>
      <c r="H372" s="129" t="s">
        <v>1245</v>
      </c>
      <c r="I372" s="125"/>
      <c r="J372" s="129" t="s">
        <v>749</v>
      </c>
      <c r="K372" s="123">
        <v>46303</v>
      </c>
      <c r="L372" s="129" t="s">
        <v>978</v>
      </c>
    </row>
    <row r="373" spans="1:12" ht="29.15" x14ac:dyDescent="0.4">
      <c r="A373" s="129" t="s">
        <v>1505</v>
      </c>
      <c r="B373" s="129" t="s">
        <v>493</v>
      </c>
      <c r="C373" s="129" t="s">
        <v>1597</v>
      </c>
      <c r="D373" s="130" t="s">
        <v>1598</v>
      </c>
      <c r="E373" s="129" t="s">
        <v>181</v>
      </c>
      <c r="F373" s="129" t="s">
        <v>1599</v>
      </c>
      <c r="G373" s="129" t="s">
        <v>753</v>
      </c>
      <c r="H373" s="129" t="s">
        <v>1599</v>
      </c>
      <c r="I373" s="125"/>
      <c r="J373" s="129" t="s">
        <v>749</v>
      </c>
      <c r="K373" s="123">
        <v>46303</v>
      </c>
      <c r="L373" s="129" t="s">
        <v>978</v>
      </c>
    </row>
    <row r="374" spans="1:12" ht="29.15" x14ac:dyDescent="0.4">
      <c r="A374" s="129" t="s">
        <v>1505</v>
      </c>
      <c r="B374" s="129" t="s">
        <v>493</v>
      </c>
      <c r="C374" s="129" t="s">
        <v>1597</v>
      </c>
      <c r="D374" s="130" t="s">
        <v>1598</v>
      </c>
      <c r="E374" s="129" t="s">
        <v>267</v>
      </c>
      <c r="F374" s="129" t="s">
        <v>797</v>
      </c>
      <c r="G374" s="129" t="s">
        <v>753</v>
      </c>
      <c r="H374" s="129" t="s">
        <v>797</v>
      </c>
      <c r="I374" s="125"/>
      <c r="J374" s="129" t="s">
        <v>749</v>
      </c>
      <c r="K374" s="123">
        <v>46303</v>
      </c>
      <c r="L374" s="129" t="s">
        <v>978</v>
      </c>
    </row>
    <row r="375" spans="1:12" ht="29.15" x14ac:dyDescent="0.4">
      <c r="A375" s="129" t="s">
        <v>1505</v>
      </c>
      <c r="B375" s="129" t="s">
        <v>493</v>
      </c>
      <c r="C375" s="129" t="s">
        <v>1601</v>
      </c>
      <c r="D375" s="130" t="s">
        <v>1602</v>
      </c>
      <c r="E375" s="129" t="s">
        <v>181</v>
      </c>
      <c r="F375" s="129" t="s">
        <v>584</v>
      </c>
      <c r="G375" s="129" t="s">
        <v>753</v>
      </c>
      <c r="H375" s="129" t="s">
        <v>584</v>
      </c>
      <c r="I375" s="125"/>
      <c r="J375" s="129" t="s">
        <v>749</v>
      </c>
      <c r="K375" s="123">
        <v>46303</v>
      </c>
      <c r="L375" s="129" t="s">
        <v>978</v>
      </c>
    </row>
    <row r="376" spans="1:12" ht="29.15" x14ac:dyDescent="0.4">
      <c r="A376" s="129" t="s">
        <v>1505</v>
      </c>
      <c r="B376" s="129" t="s">
        <v>493</v>
      </c>
      <c r="C376" s="129" t="s">
        <v>1601</v>
      </c>
      <c r="D376" s="130" t="s">
        <v>1602</v>
      </c>
      <c r="E376" s="129" t="s">
        <v>267</v>
      </c>
      <c r="F376" s="129" t="s">
        <v>797</v>
      </c>
      <c r="G376" s="129" t="s">
        <v>753</v>
      </c>
      <c r="H376" s="129" t="s">
        <v>797</v>
      </c>
      <c r="I376" s="125"/>
      <c r="J376" s="129" t="s">
        <v>749</v>
      </c>
      <c r="K376" s="123">
        <v>46303</v>
      </c>
      <c r="L376" s="129" t="s">
        <v>978</v>
      </c>
    </row>
    <row r="377" spans="1:12" ht="43.75" x14ac:dyDescent="0.4">
      <c r="A377" s="129" t="s">
        <v>1505</v>
      </c>
      <c r="B377" s="129" t="s">
        <v>493</v>
      </c>
      <c r="C377" s="129" t="s">
        <v>1604</v>
      </c>
      <c r="D377" s="130" t="s">
        <v>1605</v>
      </c>
      <c r="E377" s="129" t="s">
        <v>181</v>
      </c>
      <c r="F377" s="129" t="s">
        <v>563</v>
      </c>
      <c r="G377" s="129" t="s">
        <v>753</v>
      </c>
      <c r="H377" s="129" t="s">
        <v>563</v>
      </c>
      <c r="I377" s="125"/>
      <c r="J377" s="129" t="s">
        <v>749</v>
      </c>
      <c r="K377" s="123">
        <v>46303</v>
      </c>
      <c r="L377" s="129" t="s">
        <v>978</v>
      </c>
    </row>
    <row r="378" spans="1:12" ht="43.75" x14ac:dyDescent="0.4">
      <c r="A378" s="129" t="s">
        <v>1505</v>
      </c>
      <c r="B378" s="129" t="s">
        <v>493</v>
      </c>
      <c r="C378" s="129" t="s">
        <v>1604</v>
      </c>
      <c r="D378" s="130" t="s">
        <v>1605</v>
      </c>
      <c r="E378" s="129" t="s">
        <v>267</v>
      </c>
      <c r="F378" s="129" t="s">
        <v>797</v>
      </c>
      <c r="G378" s="129" t="s">
        <v>753</v>
      </c>
      <c r="H378" s="129" t="s">
        <v>797</v>
      </c>
      <c r="I378" s="125"/>
      <c r="J378" s="129" t="s">
        <v>749</v>
      </c>
      <c r="K378" s="123">
        <v>46303</v>
      </c>
      <c r="L378" s="129" t="s">
        <v>978</v>
      </c>
    </row>
    <row r="379" spans="1:12" ht="43.75" x14ac:dyDescent="0.4">
      <c r="A379" s="129" t="s">
        <v>1505</v>
      </c>
      <c r="B379" s="129" t="s">
        <v>493</v>
      </c>
      <c r="C379" s="129" t="s">
        <v>1607</v>
      </c>
      <c r="D379" s="130" t="s">
        <v>1608</v>
      </c>
      <c r="E379" s="129" t="s">
        <v>181</v>
      </c>
      <c r="F379" s="129" t="s">
        <v>584</v>
      </c>
      <c r="G379" s="129" t="s">
        <v>1248</v>
      </c>
      <c r="H379" s="109"/>
      <c r="I379" s="130" t="s">
        <v>1628</v>
      </c>
      <c r="J379" s="129" t="s">
        <v>749</v>
      </c>
      <c r="K379" s="123">
        <v>46303</v>
      </c>
      <c r="L379" s="129" t="s">
        <v>978</v>
      </c>
    </row>
    <row r="380" spans="1:12" ht="43.75" x14ac:dyDescent="0.4">
      <c r="A380" s="129" t="s">
        <v>1505</v>
      </c>
      <c r="B380" s="129" t="s">
        <v>493</v>
      </c>
      <c r="C380" s="129" t="s">
        <v>1607</v>
      </c>
      <c r="D380" s="130" t="s">
        <v>1608</v>
      </c>
      <c r="E380" s="129" t="s">
        <v>267</v>
      </c>
      <c r="F380" s="129" t="s">
        <v>1245</v>
      </c>
      <c r="G380" s="129" t="s">
        <v>1248</v>
      </c>
      <c r="H380" s="109"/>
      <c r="I380" s="130" t="s">
        <v>1628</v>
      </c>
      <c r="J380" s="129" t="s">
        <v>749</v>
      </c>
      <c r="K380" s="123">
        <v>46303</v>
      </c>
      <c r="L380" s="129" t="s">
        <v>978</v>
      </c>
    </row>
    <row r="381" spans="1:12" ht="29.15" x14ac:dyDescent="0.4">
      <c r="A381" s="129" t="s">
        <v>1505</v>
      </c>
      <c r="B381" s="129" t="s">
        <v>493</v>
      </c>
      <c r="C381" s="129" t="s">
        <v>1610</v>
      </c>
      <c r="D381" s="130" t="s">
        <v>1611</v>
      </c>
      <c r="E381" s="129" t="s">
        <v>181</v>
      </c>
      <c r="F381" s="129" t="s">
        <v>569</v>
      </c>
      <c r="G381" s="129" t="s">
        <v>753</v>
      </c>
      <c r="H381" s="129" t="s">
        <v>569</v>
      </c>
      <c r="I381" s="125"/>
      <c r="J381" s="129" t="s">
        <v>749</v>
      </c>
      <c r="K381" s="123">
        <v>46303</v>
      </c>
      <c r="L381" s="129" t="s">
        <v>978</v>
      </c>
    </row>
    <row r="382" spans="1:12" ht="29.15" x14ac:dyDescent="0.4">
      <c r="A382" s="129" t="s">
        <v>1505</v>
      </c>
      <c r="B382" s="129" t="s">
        <v>493</v>
      </c>
      <c r="C382" s="129" t="s">
        <v>1610</v>
      </c>
      <c r="D382" s="130" t="s">
        <v>1611</v>
      </c>
      <c r="E382" s="129" t="s">
        <v>267</v>
      </c>
      <c r="F382" s="129" t="s">
        <v>1235</v>
      </c>
      <c r="G382" s="129" t="s">
        <v>753</v>
      </c>
      <c r="H382" s="129" t="s">
        <v>1235</v>
      </c>
      <c r="I382" s="125"/>
      <c r="J382" s="129" t="s">
        <v>749</v>
      </c>
      <c r="K382" s="123">
        <v>46303</v>
      </c>
      <c r="L382" s="129" t="s">
        <v>978</v>
      </c>
    </row>
    <row r="383" spans="1:12" ht="43.75" x14ac:dyDescent="0.4">
      <c r="A383" s="129" t="s">
        <v>1505</v>
      </c>
      <c r="B383" s="129" t="s">
        <v>493</v>
      </c>
      <c r="C383" s="129" t="s">
        <v>1613</v>
      </c>
      <c r="D383" s="130" t="s">
        <v>1614</v>
      </c>
      <c r="E383" s="129" t="s">
        <v>181</v>
      </c>
      <c r="F383" s="129" t="s">
        <v>601</v>
      </c>
      <c r="G383" s="129" t="s">
        <v>753</v>
      </c>
      <c r="H383" s="129" t="s">
        <v>601</v>
      </c>
      <c r="I383" s="125"/>
      <c r="J383" s="129" t="s">
        <v>749</v>
      </c>
      <c r="K383" s="123">
        <v>46303</v>
      </c>
      <c r="L383" s="129" t="s">
        <v>978</v>
      </c>
    </row>
    <row r="384" spans="1:12" ht="43.75" x14ac:dyDescent="0.4">
      <c r="A384" s="129" t="s">
        <v>1505</v>
      </c>
      <c r="B384" s="129" t="s">
        <v>493</v>
      </c>
      <c r="C384" s="129" t="s">
        <v>1613</v>
      </c>
      <c r="D384" s="130" t="s">
        <v>1614</v>
      </c>
      <c r="E384" s="129" t="s">
        <v>267</v>
      </c>
      <c r="F384" s="129" t="s">
        <v>1245</v>
      </c>
      <c r="G384" s="129" t="s">
        <v>753</v>
      </c>
      <c r="H384" s="129" t="s">
        <v>1245</v>
      </c>
      <c r="I384" s="125"/>
      <c r="J384" s="129" t="s">
        <v>749</v>
      </c>
      <c r="K384" s="123">
        <v>46303</v>
      </c>
      <c r="L384" s="129" t="s">
        <v>978</v>
      </c>
    </row>
    <row r="385" spans="1:12" ht="43.75" x14ac:dyDescent="0.4">
      <c r="A385" s="129" t="s">
        <v>1505</v>
      </c>
      <c r="B385" s="129" t="s">
        <v>493</v>
      </c>
      <c r="C385" s="129" t="s">
        <v>1616</v>
      </c>
      <c r="D385" s="130" t="s">
        <v>1617</v>
      </c>
      <c r="E385" s="129" t="s">
        <v>181</v>
      </c>
      <c r="F385" s="129" t="s">
        <v>606</v>
      </c>
      <c r="G385" s="129" t="s">
        <v>753</v>
      </c>
      <c r="H385" s="129" t="s">
        <v>606</v>
      </c>
      <c r="I385" s="125"/>
      <c r="J385" s="129" t="s">
        <v>749</v>
      </c>
      <c r="K385" s="123">
        <v>46303</v>
      </c>
      <c r="L385" s="129" t="s">
        <v>978</v>
      </c>
    </row>
    <row r="386" spans="1:12" ht="43.75" x14ac:dyDescent="0.4">
      <c r="A386" s="129" t="s">
        <v>1505</v>
      </c>
      <c r="B386" s="129" t="s">
        <v>493</v>
      </c>
      <c r="C386" s="129" t="s">
        <v>1616</v>
      </c>
      <c r="D386" s="130" t="s">
        <v>1617</v>
      </c>
      <c r="E386" s="129" t="s">
        <v>267</v>
      </c>
      <c r="F386" s="129" t="s">
        <v>1235</v>
      </c>
      <c r="G386" s="129" t="s">
        <v>753</v>
      </c>
      <c r="H386" s="129" t="s">
        <v>1235</v>
      </c>
      <c r="I386" s="125"/>
      <c r="J386" s="129" t="s">
        <v>749</v>
      </c>
      <c r="K386" s="123">
        <v>46303</v>
      </c>
      <c r="L386" s="129" t="s">
        <v>978</v>
      </c>
    </row>
    <row r="387" spans="1:12" ht="43.75" x14ac:dyDescent="0.4">
      <c r="A387" s="129" t="s">
        <v>1505</v>
      </c>
      <c r="B387" s="129" t="s">
        <v>493</v>
      </c>
      <c r="C387" s="129" t="s">
        <v>1619</v>
      </c>
      <c r="D387" s="130" t="s">
        <v>1620</v>
      </c>
      <c r="E387" s="129" t="s">
        <v>181</v>
      </c>
      <c r="F387" s="129" t="s">
        <v>579</v>
      </c>
      <c r="G387" s="129" t="s">
        <v>753</v>
      </c>
      <c r="H387" s="129" t="s">
        <v>579</v>
      </c>
      <c r="I387" s="125"/>
      <c r="J387" s="129" t="s">
        <v>749</v>
      </c>
      <c r="K387" s="123">
        <v>46303</v>
      </c>
      <c r="L387" s="129" t="s">
        <v>978</v>
      </c>
    </row>
    <row r="388" spans="1:12" ht="43.75" x14ac:dyDescent="0.4">
      <c r="A388" s="129" t="s">
        <v>1505</v>
      </c>
      <c r="B388" s="129" t="s">
        <v>493</v>
      </c>
      <c r="C388" s="129" t="s">
        <v>1619</v>
      </c>
      <c r="D388" s="130" t="s">
        <v>1620</v>
      </c>
      <c r="E388" s="129" t="s">
        <v>267</v>
      </c>
      <c r="F388" s="129" t="s">
        <v>1245</v>
      </c>
      <c r="G388" s="129" t="s">
        <v>753</v>
      </c>
      <c r="H388" s="129" t="s">
        <v>1245</v>
      </c>
      <c r="I388" s="125"/>
      <c r="J388" s="129" t="s">
        <v>749</v>
      </c>
      <c r="K388" s="123">
        <v>46303</v>
      </c>
      <c r="L388" s="129" t="s">
        <v>978</v>
      </c>
    </row>
    <row r="389" spans="1:12" ht="29.15" x14ac:dyDescent="0.4">
      <c r="A389" s="129" t="s">
        <v>1647</v>
      </c>
      <c r="B389" s="129" t="s">
        <v>540</v>
      </c>
      <c r="C389" s="129" t="s">
        <v>1630</v>
      </c>
      <c r="D389" s="130" t="s">
        <v>1631</v>
      </c>
      <c r="E389" s="129" t="s">
        <v>878</v>
      </c>
      <c r="F389" s="129" t="s">
        <v>1567</v>
      </c>
      <c r="G389" s="129" t="s">
        <v>753</v>
      </c>
      <c r="H389" s="129" t="s">
        <v>1567</v>
      </c>
      <c r="I389" s="125"/>
      <c r="J389" s="129" t="s">
        <v>1649</v>
      </c>
      <c r="K389" s="123">
        <v>46303</v>
      </c>
      <c r="L389" s="129" t="s">
        <v>978</v>
      </c>
    </row>
    <row r="390" spans="1:12" ht="29.15" x14ac:dyDescent="0.4">
      <c r="A390" s="129" t="s">
        <v>1647</v>
      </c>
      <c r="B390" s="129" t="s">
        <v>540</v>
      </c>
      <c r="C390" s="129" t="s">
        <v>1630</v>
      </c>
      <c r="D390" s="130" t="s">
        <v>1631</v>
      </c>
      <c r="E390" s="129" t="s">
        <v>544</v>
      </c>
      <c r="F390" s="129" t="s">
        <v>883</v>
      </c>
      <c r="G390" s="129" t="s">
        <v>753</v>
      </c>
      <c r="H390" s="129" t="s">
        <v>883</v>
      </c>
      <c r="I390" s="125"/>
      <c r="J390" s="129" t="s">
        <v>1649</v>
      </c>
      <c r="K390" s="123">
        <v>46303</v>
      </c>
      <c r="L390" s="129" t="s">
        <v>978</v>
      </c>
    </row>
    <row r="391" spans="1:12" ht="29.15" x14ac:dyDescent="0.4">
      <c r="A391" s="129" t="s">
        <v>1647</v>
      </c>
      <c r="B391" s="129" t="s">
        <v>540</v>
      </c>
      <c r="C391" s="129" t="s">
        <v>1633</v>
      </c>
      <c r="D391" s="130" t="s">
        <v>1634</v>
      </c>
      <c r="E391" s="129" t="s">
        <v>878</v>
      </c>
      <c r="F391" s="129" t="s">
        <v>554</v>
      </c>
      <c r="G391" s="129" t="s">
        <v>753</v>
      </c>
      <c r="H391" s="129" t="s">
        <v>554</v>
      </c>
      <c r="I391" s="125"/>
      <c r="J391" s="129" t="s">
        <v>1649</v>
      </c>
      <c r="K391" s="123">
        <v>46303</v>
      </c>
      <c r="L391" s="129" t="s">
        <v>978</v>
      </c>
    </row>
    <row r="392" spans="1:12" ht="29.15" x14ac:dyDescent="0.4">
      <c r="A392" s="129" t="s">
        <v>1647</v>
      </c>
      <c r="B392" s="129" t="s">
        <v>540</v>
      </c>
      <c r="C392" s="129" t="s">
        <v>1633</v>
      </c>
      <c r="D392" s="130" t="s">
        <v>1634</v>
      </c>
      <c r="E392" s="129" t="s">
        <v>544</v>
      </c>
      <c r="F392" s="129" t="s">
        <v>883</v>
      </c>
      <c r="G392" s="129" t="s">
        <v>753</v>
      </c>
      <c r="H392" s="129" t="s">
        <v>883</v>
      </c>
      <c r="I392" s="125"/>
      <c r="J392" s="129" t="s">
        <v>1649</v>
      </c>
      <c r="K392" s="123">
        <v>46303</v>
      </c>
      <c r="L392" s="129" t="s">
        <v>978</v>
      </c>
    </row>
    <row r="393" spans="1:12" ht="29.15" x14ac:dyDescent="0.4">
      <c r="A393" s="129" t="s">
        <v>1647</v>
      </c>
      <c r="B393" s="129" t="s">
        <v>540</v>
      </c>
      <c r="C393" s="129" t="s">
        <v>1636</v>
      </c>
      <c r="D393" s="130" t="s">
        <v>1637</v>
      </c>
      <c r="E393" s="129" t="s">
        <v>878</v>
      </c>
      <c r="F393" s="129" t="s">
        <v>554</v>
      </c>
      <c r="G393" s="129" t="s">
        <v>753</v>
      </c>
      <c r="H393" s="129" t="s">
        <v>554</v>
      </c>
      <c r="I393" s="125"/>
      <c r="J393" s="129" t="s">
        <v>1649</v>
      </c>
      <c r="K393" s="123">
        <v>46303</v>
      </c>
      <c r="L393" s="129" t="s">
        <v>978</v>
      </c>
    </row>
    <row r="394" spans="1:12" ht="29.15" x14ac:dyDescent="0.4">
      <c r="A394" s="129" t="s">
        <v>1647</v>
      </c>
      <c r="B394" s="129" t="s">
        <v>540</v>
      </c>
      <c r="C394" s="129" t="s">
        <v>1636</v>
      </c>
      <c r="D394" s="130" t="s">
        <v>1637</v>
      </c>
      <c r="E394" s="129" t="s">
        <v>544</v>
      </c>
      <c r="F394" s="129" t="s">
        <v>883</v>
      </c>
      <c r="G394" s="129" t="s">
        <v>753</v>
      </c>
      <c r="H394" s="129" t="s">
        <v>883</v>
      </c>
      <c r="I394" s="125"/>
      <c r="J394" s="129" t="s">
        <v>1649</v>
      </c>
      <c r="K394" s="123">
        <v>46303</v>
      </c>
      <c r="L394" s="129" t="s">
        <v>978</v>
      </c>
    </row>
    <row r="395" spans="1:12" ht="29.15" x14ac:dyDescent="0.4">
      <c r="A395" s="129" t="s">
        <v>1647</v>
      </c>
      <c r="B395" s="129" t="s">
        <v>540</v>
      </c>
      <c r="C395" s="129" t="s">
        <v>1639</v>
      </c>
      <c r="D395" s="130" t="s">
        <v>1640</v>
      </c>
      <c r="E395" s="129" t="s">
        <v>878</v>
      </c>
      <c r="F395" s="129" t="s">
        <v>560</v>
      </c>
      <c r="G395" s="129" t="s">
        <v>753</v>
      </c>
      <c r="H395" s="129" t="s">
        <v>560</v>
      </c>
      <c r="I395" s="130" t="s">
        <v>1648</v>
      </c>
      <c r="J395" s="129" t="s">
        <v>1649</v>
      </c>
      <c r="K395" s="123">
        <v>46303</v>
      </c>
      <c r="L395" s="129" t="s">
        <v>978</v>
      </c>
    </row>
    <row r="396" spans="1:12" ht="29.15" x14ac:dyDescent="0.4">
      <c r="A396" s="129" t="s">
        <v>1647</v>
      </c>
      <c r="B396" s="129" t="s">
        <v>540</v>
      </c>
      <c r="C396" s="129" t="s">
        <v>1639</v>
      </c>
      <c r="D396" s="130" t="s">
        <v>1640</v>
      </c>
      <c r="E396" s="129" t="s">
        <v>544</v>
      </c>
      <c r="F396" s="129" t="s">
        <v>1441</v>
      </c>
      <c r="G396" s="129" t="s">
        <v>966</v>
      </c>
      <c r="H396" s="129" t="s">
        <v>1421</v>
      </c>
      <c r="I396" s="130" t="s">
        <v>1648</v>
      </c>
      <c r="J396" s="129" t="s">
        <v>1649</v>
      </c>
      <c r="K396" s="123">
        <v>46303</v>
      </c>
      <c r="L396" s="129" t="s">
        <v>978</v>
      </c>
    </row>
    <row r="397" spans="1:12" ht="29.15" x14ac:dyDescent="0.4">
      <c r="A397" s="129" t="s">
        <v>1647</v>
      </c>
      <c r="B397" s="129" t="s">
        <v>540</v>
      </c>
      <c r="C397" s="129" t="s">
        <v>1642</v>
      </c>
      <c r="D397" s="130" t="s">
        <v>1643</v>
      </c>
      <c r="E397" s="129" t="s">
        <v>878</v>
      </c>
      <c r="F397" s="129" t="s">
        <v>554</v>
      </c>
      <c r="G397" s="129" t="s">
        <v>753</v>
      </c>
      <c r="H397" s="129" t="s">
        <v>554</v>
      </c>
      <c r="I397" s="125"/>
      <c r="J397" s="129" t="s">
        <v>1649</v>
      </c>
      <c r="K397" s="123">
        <v>46303</v>
      </c>
      <c r="L397" s="129" t="s">
        <v>978</v>
      </c>
    </row>
    <row r="398" spans="1:12" ht="29.15" x14ac:dyDescent="0.4">
      <c r="A398" s="129" t="s">
        <v>1647</v>
      </c>
      <c r="B398" s="129" t="s">
        <v>540</v>
      </c>
      <c r="C398" s="129" t="s">
        <v>1642</v>
      </c>
      <c r="D398" s="130" t="s">
        <v>1643</v>
      </c>
      <c r="E398" s="129" t="s">
        <v>544</v>
      </c>
      <c r="F398" s="129" t="s">
        <v>883</v>
      </c>
      <c r="G398" s="129" t="s">
        <v>753</v>
      </c>
      <c r="H398" s="129" t="s">
        <v>883</v>
      </c>
      <c r="I398" s="125"/>
      <c r="J398" s="129" t="s">
        <v>1649</v>
      </c>
      <c r="K398" s="123">
        <v>46303</v>
      </c>
      <c r="L398" s="129" t="s">
        <v>978</v>
      </c>
    </row>
    <row r="399" spans="1:12" ht="29.15" x14ac:dyDescent="0.4">
      <c r="A399" s="129" t="s">
        <v>1650</v>
      </c>
      <c r="B399" s="129" t="s">
        <v>18</v>
      </c>
      <c r="C399" s="129" t="s">
        <v>554</v>
      </c>
      <c r="D399" s="130" t="s">
        <v>555</v>
      </c>
      <c r="E399" s="129" t="s">
        <v>203</v>
      </c>
      <c r="F399" s="129">
        <v>4</v>
      </c>
      <c r="G399" s="129" t="s">
        <v>753</v>
      </c>
      <c r="H399" s="129">
        <v>4</v>
      </c>
      <c r="I399" s="125"/>
      <c r="J399" s="129" t="s">
        <v>749</v>
      </c>
      <c r="K399" s="123">
        <v>46303</v>
      </c>
      <c r="L399" s="129" t="s">
        <v>978</v>
      </c>
    </row>
    <row r="400" spans="1:12" ht="29.15" x14ac:dyDescent="0.4">
      <c r="A400" s="129" t="s">
        <v>1650</v>
      </c>
      <c r="B400" s="129" t="s">
        <v>18</v>
      </c>
      <c r="C400" s="129" t="s">
        <v>554</v>
      </c>
      <c r="D400" s="130" t="s">
        <v>555</v>
      </c>
      <c r="E400" s="129" t="s">
        <v>300</v>
      </c>
      <c r="F400" s="129">
        <v>5</v>
      </c>
      <c r="G400" s="129" t="s">
        <v>753</v>
      </c>
      <c r="H400" s="129">
        <v>5</v>
      </c>
      <c r="I400" s="125"/>
      <c r="J400" s="129" t="s">
        <v>749</v>
      </c>
      <c r="K400" s="123">
        <v>46303</v>
      </c>
      <c r="L400" s="129" t="s">
        <v>978</v>
      </c>
    </row>
    <row r="401" spans="1:12" ht="29.15" x14ac:dyDescent="0.4">
      <c r="A401" s="129" t="s">
        <v>1650</v>
      </c>
      <c r="B401" s="129" t="s">
        <v>18</v>
      </c>
      <c r="C401" s="129" t="s">
        <v>554</v>
      </c>
      <c r="D401" s="130" t="s">
        <v>555</v>
      </c>
      <c r="E401" s="129" t="s">
        <v>206</v>
      </c>
      <c r="F401" s="129">
        <v>5</v>
      </c>
      <c r="G401" s="129" t="s">
        <v>753</v>
      </c>
      <c r="H401" s="129">
        <v>5</v>
      </c>
      <c r="I401" s="125"/>
      <c r="J401" s="129" t="s">
        <v>749</v>
      </c>
      <c r="K401" s="123">
        <v>46303</v>
      </c>
      <c r="L401" s="129" t="s">
        <v>978</v>
      </c>
    </row>
    <row r="402" spans="1:12" ht="29.15" x14ac:dyDescent="0.4">
      <c r="A402" s="129" t="s">
        <v>1650</v>
      </c>
      <c r="B402" s="129" t="s">
        <v>18</v>
      </c>
      <c r="C402" s="129" t="s">
        <v>554</v>
      </c>
      <c r="D402" s="130" t="s">
        <v>555</v>
      </c>
      <c r="E402" s="129" t="s">
        <v>204</v>
      </c>
      <c r="F402" s="129">
        <v>4</v>
      </c>
      <c r="G402" s="129" t="s">
        <v>753</v>
      </c>
      <c r="H402" s="129">
        <v>4</v>
      </c>
      <c r="I402" s="125"/>
      <c r="J402" s="129" t="s">
        <v>749</v>
      </c>
      <c r="K402" s="123">
        <v>46303</v>
      </c>
      <c r="L402" s="129" t="s">
        <v>978</v>
      </c>
    </row>
    <row r="403" spans="1:12" ht="29.15" x14ac:dyDescent="0.4">
      <c r="A403" s="129" t="s">
        <v>1650</v>
      </c>
      <c r="B403" s="129" t="s">
        <v>18</v>
      </c>
      <c r="C403" s="129" t="s">
        <v>554</v>
      </c>
      <c r="D403" s="130" t="s">
        <v>555</v>
      </c>
      <c r="E403" s="129" t="s">
        <v>551</v>
      </c>
      <c r="F403" s="129"/>
      <c r="G403" s="129" t="s">
        <v>753</v>
      </c>
      <c r="H403" s="129"/>
      <c r="I403" s="125"/>
      <c r="J403" s="129" t="s">
        <v>749</v>
      </c>
      <c r="K403" s="123">
        <v>46303</v>
      </c>
      <c r="L403" s="129" t="s">
        <v>978</v>
      </c>
    </row>
    <row r="404" spans="1:12" ht="29.15" x14ac:dyDescent="0.4">
      <c r="A404" s="129" t="s">
        <v>1650</v>
      </c>
      <c r="B404" s="129" t="s">
        <v>18</v>
      </c>
      <c r="C404" s="129" t="s">
        <v>554</v>
      </c>
      <c r="D404" s="130" t="s">
        <v>555</v>
      </c>
      <c r="E404" s="129" t="s">
        <v>772</v>
      </c>
      <c r="F404" s="129" t="s">
        <v>776</v>
      </c>
      <c r="G404" s="129" t="s">
        <v>753</v>
      </c>
      <c r="H404" s="129" t="s">
        <v>776</v>
      </c>
      <c r="I404" s="125"/>
      <c r="J404" s="129" t="s">
        <v>749</v>
      </c>
      <c r="K404" s="123">
        <v>46303</v>
      </c>
      <c r="L404" s="129" t="s">
        <v>978</v>
      </c>
    </row>
    <row r="405" spans="1:12" x14ac:dyDescent="0.4">
      <c r="A405" s="129" t="s">
        <v>1650</v>
      </c>
      <c r="B405" s="129" t="s">
        <v>18</v>
      </c>
      <c r="C405" s="129" t="s">
        <v>560</v>
      </c>
      <c r="D405" s="130" t="s">
        <v>561</v>
      </c>
      <c r="E405" s="129" t="s">
        <v>203</v>
      </c>
      <c r="F405" s="129">
        <v>4</v>
      </c>
      <c r="G405" s="129" t="s">
        <v>753</v>
      </c>
      <c r="H405" s="129">
        <v>4</v>
      </c>
      <c r="I405" s="125"/>
      <c r="J405" s="129" t="s">
        <v>749</v>
      </c>
      <c r="K405" s="123">
        <v>46303</v>
      </c>
      <c r="L405" s="129" t="s">
        <v>978</v>
      </c>
    </row>
    <row r="406" spans="1:12" x14ac:dyDescent="0.4">
      <c r="A406" s="129" t="s">
        <v>1650</v>
      </c>
      <c r="B406" s="129" t="s">
        <v>18</v>
      </c>
      <c r="C406" s="129" t="s">
        <v>560</v>
      </c>
      <c r="D406" s="130" t="s">
        <v>561</v>
      </c>
      <c r="E406" s="129" t="s">
        <v>300</v>
      </c>
      <c r="F406" s="129">
        <v>4</v>
      </c>
      <c r="G406" s="129" t="s">
        <v>753</v>
      </c>
      <c r="H406" s="129">
        <v>4</v>
      </c>
      <c r="I406" s="125"/>
      <c r="J406" s="129" t="s">
        <v>749</v>
      </c>
      <c r="K406" s="123">
        <v>46303</v>
      </c>
      <c r="L406" s="129" t="s">
        <v>978</v>
      </c>
    </row>
    <row r="407" spans="1:12" x14ac:dyDescent="0.4">
      <c r="A407" s="129" t="s">
        <v>1650</v>
      </c>
      <c r="B407" s="129" t="s">
        <v>18</v>
      </c>
      <c r="C407" s="129" t="s">
        <v>560</v>
      </c>
      <c r="D407" s="130" t="s">
        <v>561</v>
      </c>
      <c r="E407" s="129" t="s">
        <v>206</v>
      </c>
      <c r="F407" s="129">
        <v>3</v>
      </c>
      <c r="G407" s="129" t="s">
        <v>753</v>
      </c>
      <c r="H407" s="129">
        <v>3</v>
      </c>
      <c r="I407" s="125"/>
      <c r="J407" s="129" t="s">
        <v>749</v>
      </c>
      <c r="K407" s="123">
        <v>46303</v>
      </c>
      <c r="L407" s="129" t="s">
        <v>978</v>
      </c>
    </row>
    <row r="408" spans="1:12" x14ac:dyDescent="0.4">
      <c r="A408" s="129" t="s">
        <v>1650</v>
      </c>
      <c r="B408" s="129" t="s">
        <v>18</v>
      </c>
      <c r="C408" s="129" t="s">
        <v>560</v>
      </c>
      <c r="D408" s="130" t="s">
        <v>561</v>
      </c>
      <c r="E408" s="129" t="s">
        <v>204</v>
      </c>
      <c r="F408" s="129">
        <v>2</v>
      </c>
      <c r="G408" s="129" t="s">
        <v>753</v>
      </c>
      <c r="H408" s="129">
        <v>2</v>
      </c>
      <c r="I408" s="125"/>
      <c r="J408" s="129" t="s">
        <v>749</v>
      </c>
      <c r="K408" s="123">
        <v>46303</v>
      </c>
      <c r="L408" s="129" t="s">
        <v>978</v>
      </c>
    </row>
    <row r="409" spans="1:12" x14ac:dyDescent="0.4">
      <c r="A409" s="129" t="s">
        <v>1650</v>
      </c>
      <c r="B409" s="129" t="s">
        <v>18</v>
      </c>
      <c r="C409" s="129" t="s">
        <v>560</v>
      </c>
      <c r="D409" s="130" t="s">
        <v>561</v>
      </c>
      <c r="E409" s="129" t="s">
        <v>551</v>
      </c>
      <c r="F409" s="129"/>
      <c r="G409" s="129" t="s">
        <v>753</v>
      </c>
      <c r="H409" s="129"/>
      <c r="I409" s="125"/>
      <c r="J409" s="129" t="s">
        <v>749</v>
      </c>
      <c r="K409" s="123">
        <v>46303</v>
      </c>
      <c r="L409" s="129" t="s">
        <v>978</v>
      </c>
    </row>
    <row r="410" spans="1:12" x14ac:dyDescent="0.4">
      <c r="A410" s="129" t="s">
        <v>1650</v>
      </c>
      <c r="B410" s="129" t="s">
        <v>18</v>
      </c>
      <c r="C410" s="129" t="s">
        <v>560</v>
      </c>
      <c r="D410" s="130" t="s">
        <v>561</v>
      </c>
      <c r="E410" s="129" t="s">
        <v>772</v>
      </c>
      <c r="F410" s="129" t="s">
        <v>776</v>
      </c>
      <c r="G410" s="129" t="s">
        <v>753</v>
      </c>
      <c r="H410" s="129" t="s">
        <v>776</v>
      </c>
      <c r="I410" s="125"/>
      <c r="J410" s="129" t="s">
        <v>749</v>
      </c>
      <c r="K410" s="123">
        <v>46303</v>
      </c>
      <c r="L410" s="129" t="s">
        <v>978</v>
      </c>
    </row>
    <row r="411" spans="1:12" ht="29.15" x14ac:dyDescent="0.4">
      <c r="A411" s="129" t="s">
        <v>1650</v>
      </c>
      <c r="B411" s="129" t="s">
        <v>18</v>
      </c>
      <c r="C411" s="129" t="s">
        <v>566</v>
      </c>
      <c r="D411" s="130" t="s">
        <v>567</v>
      </c>
      <c r="E411" s="129" t="s">
        <v>203</v>
      </c>
      <c r="F411" s="129">
        <v>3</v>
      </c>
      <c r="G411" s="129" t="s">
        <v>753</v>
      </c>
      <c r="H411" s="129">
        <v>3</v>
      </c>
      <c r="I411" s="125"/>
      <c r="J411" s="129" t="s">
        <v>749</v>
      </c>
      <c r="K411" s="123">
        <v>46303</v>
      </c>
      <c r="L411" s="129" t="s">
        <v>978</v>
      </c>
    </row>
    <row r="412" spans="1:12" ht="29.15" x14ac:dyDescent="0.4">
      <c r="A412" s="129" t="s">
        <v>1650</v>
      </c>
      <c r="B412" s="129" t="s">
        <v>18</v>
      </c>
      <c r="C412" s="129" t="s">
        <v>566</v>
      </c>
      <c r="D412" s="130" t="s">
        <v>567</v>
      </c>
      <c r="E412" s="129" t="s">
        <v>300</v>
      </c>
      <c r="F412" s="129">
        <v>2</v>
      </c>
      <c r="G412" s="129" t="s">
        <v>753</v>
      </c>
      <c r="H412" s="129">
        <v>2</v>
      </c>
      <c r="I412" s="125"/>
      <c r="J412" s="129" t="s">
        <v>749</v>
      </c>
      <c r="K412" s="123">
        <v>46303</v>
      </c>
      <c r="L412" s="129" t="s">
        <v>978</v>
      </c>
    </row>
    <row r="413" spans="1:12" ht="29.15" x14ac:dyDescent="0.4">
      <c r="A413" s="129" t="s">
        <v>1650</v>
      </c>
      <c r="B413" s="129" t="s">
        <v>18</v>
      </c>
      <c r="C413" s="129" t="s">
        <v>566</v>
      </c>
      <c r="D413" s="130" t="s">
        <v>567</v>
      </c>
      <c r="E413" s="129" t="s">
        <v>206</v>
      </c>
      <c r="F413" s="129">
        <v>4</v>
      </c>
      <c r="G413" s="129" t="s">
        <v>753</v>
      </c>
      <c r="H413" s="129">
        <v>4</v>
      </c>
      <c r="I413" s="125"/>
      <c r="J413" s="129" t="s">
        <v>749</v>
      </c>
      <c r="K413" s="123">
        <v>46303</v>
      </c>
      <c r="L413" s="129" t="s">
        <v>978</v>
      </c>
    </row>
    <row r="414" spans="1:12" ht="29.15" x14ac:dyDescent="0.4">
      <c r="A414" s="129" t="s">
        <v>1650</v>
      </c>
      <c r="B414" s="129" t="s">
        <v>18</v>
      </c>
      <c r="C414" s="129" t="s">
        <v>566</v>
      </c>
      <c r="D414" s="130" t="s">
        <v>567</v>
      </c>
      <c r="E414" s="129" t="s">
        <v>204</v>
      </c>
      <c r="F414" s="129">
        <v>3</v>
      </c>
      <c r="G414" s="129" t="s">
        <v>753</v>
      </c>
      <c r="H414" s="129">
        <v>3</v>
      </c>
      <c r="I414" s="125"/>
      <c r="J414" s="129" t="s">
        <v>749</v>
      </c>
      <c r="K414" s="123">
        <v>46303</v>
      </c>
      <c r="L414" s="129" t="s">
        <v>978</v>
      </c>
    </row>
    <row r="415" spans="1:12" ht="29.15" x14ac:dyDescent="0.4">
      <c r="A415" s="129" t="s">
        <v>1650</v>
      </c>
      <c r="B415" s="129" t="s">
        <v>18</v>
      </c>
      <c r="C415" s="129" t="s">
        <v>566</v>
      </c>
      <c r="D415" s="130" t="s">
        <v>567</v>
      </c>
      <c r="E415" s="129" t="s">
        <v>551</v>
      </c>
      <c r="F415" s="129"/>
      <c r="G415" s="129" t="s">
        <v>753</v>
      </c>
      <c r="H415" s="129"/>
      <c r="I415" s="125"/>
      <c r="J415" s="129" t="s">
        <v>749</v>
      </c>
      <c r="K415" s="123">
        <v>46303</v>
      </c>
      <c r="L415" s="129" t="s">
        <v>978</v>
      </c>
    </row>
    <row r="416" spans="1:12" ht="29.15" x14ac:dyDescent="0.4">
      <c r="A416" s="129" t="s">
        <v>1650</v>
      </c>
      <c r="B416" s="129" t="s">
        <v>18</v>
      </c>
      <c r="C416" s="129" t="s">
        <v>566</v>
      </c>
      <c r="D416" s="130" t="s">
        <v>567</v>
      </c>
      <c r="E416" s="129" t="s">
        <v>772</v>
      </c>
      <c r="F416" s="129" t="s">
        <v>776</v>
      </c>
      <c r="G416" s="129" t="s">
        <v>753</v>
      </c>
      <c r="H416" s="129" t="s">
        <v>776</v>
      </c>
      <c r="I416" s="125"/>
      <c r="J416" s="129" t="s">
        <v>749</v>
      </c>
      <c r="K416" s="123">
        <v>46303</v>
      </c>
      <c r="L416" s="129" t="s">
        <v>978</v>
      </c>
    </row>
    <row r="417" spans="1:12" x14ac:dyDescent="0.4">
      <c r="A417" s="129" t="s">
        <v>1650</v>
      </c>
      <c r="B417" s="129" t="s">
        <v>18</v>
      </c>
      <c r="C417" s="129" t="s">
        <v>572</v>
      </c>
      <c r="D417" s="130" t="s">
        <v>573</v>
      </c>
      <c r="E417" s="129" t="s">
        <v>203</v>
      </c>
      <c r="F417" s="129">
        <v>3</v>
      </c>
      <c r="G417" s="129" t="s">
        <v>753</v>
      </c>
      <c r="H417" s="129">
        <v>3</v>
      </c>
      <c r="I417" s="125"/>
      <c r="J417" s="129" t="s">
        <v>749</v>
      </c>
      <c r="K417" s="123">
        <v>46303</v>
      </c>
      <c r="L417" s="129" t="s">
        <v>978</v>
      </c>
    </row>
    <row r="418" spans="1:12" x14ac:dyDescent="0.4">
      <c r="A418" s="129" t="s">
        <v>1650</v>
      </c>
      <c r="B418" s="129" t="s">
        <v>18</v>
      </c>
      <c r="C418" s="129" t="s">
        <v>572</v>
      </c>
      <c r="D418" s="130" t="s">
        <v>573</v>
      </c>
      <c r="E418" s="129" t="s">
        <v>300</v>
      </c>
      <c r="F418" s="129">
        <v>2</v>
      </c>
      <c r="G418" s="129" t="s">
        <v>753</v>
      </c>
      <c r="H418" s="129">
        <v>2</v>
      </c>
      <c r="I418" s="125"/>
      <c r="J418" s="129" t="s">
        <v>749</v>
      </c>
      <c r="K418" s="123">
        <v>46303</v>
      </c>
      <c r="L418" s="129" t="s">
        <v>978</v>
      </c>
    </row>
    <row r="419" spans="1:12" x14ac:dyDescent="0.4">
      <c r="A419" s="129" t="s">
        <v>1650</v>
      </c>
      <c r="B419" s="129" t="s">
        <v>18</v>
      </c>
      <c r="C419" s="129" t="s">
        <v>572</v>
      </c>
      <c r="D419" s="130" t="s">
        <v>573</v>
      </c>
      <c r="E419" s="129" t="s">
        <v>206</v>
      </c>
      <c r="F419" s="129">
        <v>3</v>
      </c>
      <c r="G419" s="129" t="s">
        <v>753</v>
      </c>
      <c r="H419" s="129">
        <v>3</v>
      </c>
      <c r="I419" s="125"/>
      <c r="J419" s="129" t="s">
        <v>749</v>
      </c>
      <c r="K419" s="123">
        <v>46303</v>
      </c>
      <c r="L419" s="129" t="s">
        <v>978</v>
      </c>
    </row>
    <row r="420" spans="1:12" x14ac:dyDescent="0.4">
      <c r="A420" s="129" t="s">
        <v>1650</v>
      </c>
      <c r="B420" s="129" t="s">
        <v>18</v>
      </c>
      <c r="C420" s="129" t="s">
        <v>572</v>
      </c>
      <c r="D420" s="130" t="s">
        <v>573</v>
      </c>
      <c r="E420" s="129" t="s">
        <v>204</v>
      </c>
      <c r="F420" s="129">
        <v>3</v>
      </c>
      <c r="G420" s="129" t="s">
        <v>753</v>
      </c>
      <c r="H420" s="129">
        <v>3</v>
      </c>
      <c r="I420" s="125"/>
      <c r="J420" s="129" t="s">
        <v>749</v>
      </c>
      <c r="K420" s="123">
        <v>46303</v>
      </c>
      <c r="L420" s="129" t="s">
        <v>978</v>
      </c>
    </row>
    <row r="421" spans="1:12" x14ac:dyDescent="0.4">
      <c r="A421" s="129" t="s">
        <v>1650</v>
      </c>
      <c r="B421" s="129" t="s">
        <v>18</v>
      </c>
      <c r="C421" s="129" t="s">
        <v>572</v>
      </c>
      <c r="D421" s="130" t="s">
        <v>573</v>
      </c>
      <c r="E421" s="129" t="s">
        <v>551</v>
      </c>
      <c r="F421" s="129"/>
      <c r="G421" s="129" t="s">
        <v>753</v>
      </c>
      <c r="H421" s="129"/>
      <c r="I421" s="125"/>
      <c r="J421" s="129" t="s">
        <v>749</v>
      </c>
      <c r="K421" s="123">
        <v>46303</v>
      </c>
      <c r="L421" s="129" t="s">
        <v>978</v>
      </c>
    </row>
    <row r="422" spans="1:12" x14ac:dyDescent="0.4">
      <c r="A422" s="129" t="s">
        <v>1650</v>
      </c>
      <c r="B422" s="129" t="s">
        <v>18</v>
      </c>
      <c r="C422" s="129" t="s">
        <v>572</v>
      </c>
      <c r="D422" s="130" t="s">
        <v>573</v>
      </c>
      <c r="E422" s="129" t="s">
        <v>772</v>
      </c>
      <c r="F422" s="129" t="s">
        <v>776</v>
      </c>
      <c r="G422" s="129" t="s">
        <v>753</v>
      </c>
      <c r="H422" s="129" t="s">
        <v>776</v>
      </c>
      <c r="I422" s="125"/>
      <c r="J422" s="129" t="s">
        <v>749</v>
      </c>
      <c r="K422" s="123">
        <v>46303</v>
      </c>
      <c r="L422" s="129" t="s">
        <v>978</v>
      </c>
    </row>
    <row r="423" spans="1:12" x14ac:dyDescent="0.4">
      <c r="A423" s="129" t="s">
        <v>1650</v>
      </c>
      <c r="B423" s="129" t="s">
        <v>18</v>
      </c>
      <c r="C423" s="129" t="s">
        <v>576</v>
      </c>
      <c r="D423" s="130" t="s">
        <v>577</v>
      </c>
      <c r="E423" s="129" t="s">
        <v>203</v>
      </c>
      <c r="F423" s="129">
        <v>3</v>
      </c>
      <c r="G423" s="129" t="s">
        <v>753</v>
      </c>
      <c r="H423" s="129">
        <v>3</v>
      </c>
      <c r="I423" s="125"/>
      <c r="J423" s="129" t="s">
        <v>749</v>
      </c>
      <c r="K423" s="123">
        <v>46303</v>
      </c>
      <c r="L423" s="129" t="s">
        <v>978</v>
      </c>
    </row>
    <row r="424" spans="1:12" x14ac:dyDescent="0.4">
      <c r="A424" s="129" t="s">
        <v>1650</v>
      </c>
      <c r="B424" s="129" t="s">
        <v>18</v>
      </c>
      <c r="C424" s="129" t="s">
        <v>576</v>
      </c>
      <c r="D424" s="130" t="s">
        <v>577</v>
      </c>
      <c r="E424" s="129" t="s">
        <v>300</v>
      </c>
      <c r="F424" s="129">
        <v>3</v>
      </c>
      <c r="G424" s="129" t="s">
        <v>753</v>
      </c>
      <c r="H424" s="129">
        <v>3</v>
      </c>
      <c r="I424" s="125"/>
      <c r="J424" s="129" t="s">
        <v>749</v>
      </c>
      <c r="K424" s="123">
        <v>46303</v>
      </c>
      <c r="L424" s="129" t="s">
        <v>978</v>
      </c>
    </row>
    <row r="425" spans="1:12" x14ac:dyDescent="0.4">
      <c r="A425" s="129" t="s">
        <v>1650</v>
      </c>
      <c r="B425" s="129" t="s">
        <v>18</v>
      </c>
      <c r="C425" s="129" t="s">
        <v>576</v>
      </c>
      <c r="D425" s="130" t="s">
        <v>577</v>
      </c>
      <c r="E425" s="129" t="s">
        <v>206</v>
      </c>
      <c r="F425" s="129">
        <v>3</v>
      </c>
      <c r="G425" s="129" t="s">
        <v>753</v>
      </c>
      <c r="H425" s="129">
        <v>3</v>
      </c>
      <c r="I425" s="125"/>
      <c r="J425" s="129" t="s">
        <v>749</v>
      </c>
      <c r="K425" s="123">
        <v>46303</v>
      </c>
      <c r="L425" s="129" t="s">
        <v>978</v>
      </c>
    </row>
    <row r="426" spans="1:12" x14ac:dyDescent="0.4">
      <c r="A426" s="129" t="s">
        <v>1650</v>
      </c>
      <c r="B426" s="129" t="s">
        <v>18</v>
      </c>
      <c r="C426" s="129" t="s">
        <v>576</v>
      </c>
      <c r="D426" s="130" t="s">
        <v>577</v>
      </c>
      <c r="E426" s="129" t="s">
        <v>204</v>
      </c>
      <c r="F426" s="129">
        <v>3</v>
      </c>
      <c r="G426" s="129" t="s">
        <v>753</v>
      </c>
      <c r="H426" s="129">
        <v>3</v>
      </c>
      <c r="I426" s="125"/>
      <c r="J426" s="129" t="s">
        <v>749</v>
      </c>
      <c r="K426" s="123">
        <v>46303</v>
      </c>
      <c r="L426" s="129" t="s">
        <v>978</v>
      </c>
    </row>
    <row r="427" spans="1:12" x14ac:dyDescent="0.4">
      <c r="A427" s="129" t="s">
        <v>1650</v>
      </c>
      <c r="B427" s="129" t="s">
        <v>18</v>
      </c>
      <c r="C427" s="129" t="s">
        <v>576</v>
      </c>
      <c r="D427" s="130" t="s">
        <v>577</v>
      </c>
      <c r="E427" s="129" t="s">
        <v>551</v>
      </c>
      <c r="F427" s="129"/>
      <c r="G427" s="129" t="s">
        <v>753</v>
      </c>
      <c r="H427" s="129"/>
      <c r="I427" s="125"/>
      <c r="J427" s="129" t="s">
        <v>749</v>
      </c>
      <c r="K427" s="123">
        <v>46303</v>
      </c>
      <c r="L427" s="129" t="s">
        <v>978</v>
      </c>
    </row>
    <row r="428" spans="1:12" x14ac:dyDescent="0.4">
      <c r="A428" s="129" t="s">
        <v>1650</v>
      </c>
      <c r="B428" s="129" t="s">
        <v>18</v>
      </c>
      <c r="C428" s="129" t="s">
        <v>576</v>
      </c>
      <c r="D428" s="130" t="s">
        <v>577</v>
      </c>
      <c r="E428" s="129" t="s">
        <v>772</v>
      </c>
      <c r="F428" s="129" t="s">
        <v>776</v>
      </c>
      <c r="G428" s="129" t="s">
        <v>753</v>
      </c>
      <c r="H428" s="129" t="s">
        <v>776</v>
      </c>
      <c r="I428" s="125"/>
      <c r="J428" s="129" t="s">
        <v>749</v>
      </c>
      <c r="K428" s="123">
        <v>46303</v>
      </c>
      <c r="L428" s="129" t="s">
        <v>978</v>
      </c>
    </row>
    <row r="429" spans="1:12" ht="29.15" x14ac:dyDescent="0.4">
      <c r="A429" s="129" t="s">
        <v>1650</v>
      </c>
      <c r="B429" s="129" t="s">
        <v>18</v>
      </c>
      <c r="C429" s="129" t="s">
        <v>581</v>
      </c>
      <c r="D429" s="130" t="s">
        <v>582</v>
      </c>
      <c r="E429" s="129" t="s">
        <v>203</v>
      </c>
      <c r="F429" s="129">
        <v>3</v>
      </c>
      <c r="G429" s="129" t="s">
        <v>753</v>
      </c>
      <c r="H429" s="129">
        <v>3</v>
      </c>
      <c r="I429" s="125"/>
      <c r="J429" s="129" t="s">
        <v>749</v>
      </c>
      <c r="K429" s="123">
        <v>46303</v>
      </c>
      <c r="L429" s="129" t="s">
        <v>978</v>
      </c>
    </row>
    <row r="430" spans="1:12" ht="29.15" x14ac:dyDescent="0.4">
      <c r="A430" s="129" t="s">
        <v>1650</v>
      </c>
      <c r="B430" s="129" t="s">
        <v>18</v>
      </c>
      <c r="C430" s="129" t="s">
        <v>581</v>
      </c>
      <c r="D430" s="130" t="s">
        <v>582</v>
      </c>
      <c r="E430" s="129" t="s">
        <v>300</v>
      </c>
      <c r="F430" s="129">
        <v>3</v>
      </c>
      <c r="G430" s="129" t="s">
        <v>753</v>
      </c>
      <c r="H430" s="129">
        <v>3</v>
      </c>
      <c r="I430" s="125"/>
      <c r="J430" s="129" t="s">
        <v>749</v>
      </c>
      <c r="K430" s="123">
        <v>46303</v>
      </c>
      <c r="L430" s="129" t="s">
        <v>978</v>
      </c>
    </row>
    <row r="431" spans="1:12" ht="29.15" x14ac:dyDescent="0.4">
      <c r="A431" s="129" t="s">
        <v>1650</v>
      </c>
      <c r="B431" s="129" t="s">
        <v>18</v>
      </c>
      <c r="C431" s="129" t="s">
        <v>581</v>
      </c>
      <c r="D431" s="130" t="s">
        <v>582</v>
      </c>
      <c r="E431" s="129" t="s">
        <v>206</v>
      </c>
      <c r="F431" s="129">
        <v>3</v>
      </c>
      <c r="G431" s="129" t="s">
        <v>753</v>
      </c>
      <c r="H431" s="129">
        <v>3</v>
      </c>
      <c r="I431" s="125"/>
      <c r="J431" s="129" t="s">
        <v>749</v>
      </c>
      <c r="K431" s="123">
        <v>46303</v>
      </c>
      <c r="L431" s="129" t="s">
        <v>978</v>
      </c>
    </row>
    <row r="432" spans="1:12" ht="29.15" x14ac:dyDescent="0.4">
      <c r="A432" s="129" t="s">
        <v>1650</v>
      </c>
      <c r="B432" s="129" t="s">
        <v>18</v>
      </c>
      <c r="C432" s="129" t="s">
        <v>581</v>
      </c>
      <c r="D432" s="130" t="s">
        <v>582</v>
      </c>
      <c r="E432" s="129" t="s">
        <v>204</v>
      </c>
      <c r="F432" s="129">
        <v>3</v>
      </c>
      <c r="G432" s="129" t="s">
        <v>753</v>
      </c>
      <c r="H432" s="129">
        <v>3</v>
      </c>
      <c r="I432" s="125"/>
      <c r="J432" s="129" t="s">
        <v>749</v>
      </c>
      <c r="K432" s="123">
        <v>46303</v>
      </c>
      <c r="L432" s="129" t="s">
        <v>978</v>
      </c>
    </row>
    <row r="433" spans="1:12" ht="29.15" x14ac:dyDescent="0.4">
      <c r="A433" s="129" t="s">
        <v>1650</v>
      </c>
      <c r="B433" s="129" t="s">
        <v>18</v>
      </c>
      <c r="C433" s="129" t="s">
        <v>581</v>
      </c>
      <c r="D433" s="130" t="s">
        <v>582</v>
      </c>
      <c r="E433" s="129" t="s">
        <v>551</v>
      </c>
      <c r="F433" s="129"/>
      <c r="G433" s="129" t="s">
        <v>753</v>
      </c>
      <c r="H433" s="129"/>
      <c r="I433" s="125"/>
      <c r="J433" s="129" t="s">
        <v>749</v>
      </c>
      <c r="K433" s="123">
        <v>46303</v>
      </c>
      <c r="L433" s="129" t="s">
        <v>978</v>
      </c>
    </row>
    <row r="434" spans="1:12" ht="29.15" x14ac:dyDescent="0.4">
      <c r="A434" s="129" t="s">
        <v>1650</v>
      </c>
      <c r="B434" s="129" t="s">
        <v>18</v>
      </c>
      <c r="C434" s="129" t="s">
        <v>581</v>
      </c>
      <c r="D434" s="130" t="s">
        <v>582</v>
      </c>
      <c r="E434" s="129" t="s">
        <v>772</v>
      </c>
      <c r="F434" s="129" t="s">
        <v>776</v>
      </c>
      <c r="G434" s="129" t="s">
        <v>753</v>
      </c>
      <c r="H434" s="129" t="s">
        <v>776</v>
      </c>
      <c r="I434" s="125"/>
      <c r="J434" s="129" t="s">
        <v>749</v>
      </c>
      <c r="K434" s="123">
        <v>46303</v>
      </c>
      <c r="L434" s="129" t="s">
        <v>978</v>
      </c>
    </row>
    <row r="435" spans="1:12" ht="29.15" x14ac:dyDescent="0.4">
      <c r="A435" s="129" t="s">
        <v>1650</v>
      </c>
      <c r="B435" s="129" t="s">
        <v>18</v>
      </c>
      <c r="C435" s="129" t="s">
        <v>587</v>
      </c>
      <c r="D435" s="130" t="s">
        <v>588</v>
      </c>
      <c r="E435" s="129" t="s">
        <v>203</v>
      </c>
      <c r="F435" s="129">
        <v>4</v>
      </c>
      <c r="G435" s="129" t="s">
        <v>753</v>
      </c>
      <c r="H435" s="129">
        <v>4</v>
      </c>
      <c r="I435" s="125"/>
      <c r="J435" s="129" t="s">
        <v>749</v>
      </c>
      <c r="K435" s="123">
        <v>46303</v>
      </c>
      <c r="L435" s="129" t="s">
        <v>978</v>
      </c>
    </row>
    <row r="436" spans="1:12" ht="29.15" x14ac:dyDescent="0.4">
      <c r="A436" s="129" t="s">
        <v>1650</v>
      </c>
      <c r="B436" s="129" t="s">
        <v>18</v>
      </c>
      <c r="C436" s="129" t="s">
        <v>587</v>
      </c>
      <c r="D436" s="130" t="s">
        <v>588</v>
      </c>
      <c r="E436" s="129" t="s">
        <v>300</v>
      </c>
      <c r="F436" s="129">
        <v>5</v>
      </c>
      <c r="G436" s="129" t="s">
        <v>753</v>
      </c>
      <c r="H436" s="129">
        <v>5</v>
      </c>
      <c r="I436" s="125"/>
      <c r="J436" s="129" t="s">
        <v>749</v>
      </c>
      <c r="K436" s="123">
        <v>46303</v>
      </c>
      <c r="L436" s="129" t="s">
        <v>978</v>
      </c>
    </row>
    <row r="437" spans="1:12" ht="29.15" x14ac:dyDescent="0.4">
      <c r="A437" s="129" t="s">
        <v>1650</v>
      </c>
      <c r="B437" s="129" t="s">
        <v>18</v>
      </c>
      <c r="C437" s="129" t="s">
        <v>587</v>
      </c>
      <c r="D437" s="130" t="s">
        <v>588</v>
      </c>
      <c r="E437" s="129" t="s">
        <v>206</v>
      </c>
      <c r="F437" s="129">
        <v>3</v>
      </c>
      <c r="G437" s="129" t="s">
        <v>753</v>
      </c>
      <c r="H437" s="129">
        <v>3</v>
      </c>
      <c r="I437" s="125"/>
      <c r="J437" s="129" t="s">
        <v>749</v>
      </c>
      <c r="K437" s="123">
        <v>46303</v>
      </c>
      <c r="L437" s="129" t="s">
        <v>978</v>
      </c>
    </row>
    <row r="438" spans="1:12" ht="29.15" x14ac:dyDescent="0.4">
      <c r="A438" s="129" t="s">
        <v>1650</v>
      </c>
      <c r="B438" s="129" t="s">
        <v>18</v>
      </c>
      <c r="C438" s="129" t="s">
        <v>587</v>
      </c>
      <c r="D438" s="130" t="s">
        <v>588</v>
      </c>
      <c r="E438" s="129" t="s">
        <v>204</v>
      </c>
      <c r="F438" s="129">
        <v>3</v>
      </c>
      <c r="G438" s="129" t="s">
        <v>753</v>
      </c>
      <c r="H438" s="129">
        <v>3</v>
      </c>
      <c r="I438" s="125"/>
      <c r="J438" s="129" t="s">
        <v>749</v>
      </c>
      <c r="K438" s="123">
        <v>46303</v>
      </c>
      <c r="L438" s="129" t="s">
        <v>978</v>
      </c>
    </row>
    <row r="439" spans="1:12" ht="29.15" x14ac:dyDescent="0.4">
      <c r="A439" s="129" t="s">
        <v>1650</v>
      </c>
      <c r="B439" s="129" t="s">
        <v>18</v>
      </c>
      <c r="C439" s="129" t="s">
        <v>587</v>
      </c>
      <c r="D439" s="130" t="s">
        <v>588</v>
      </c>
      <c r="E439" s="129" t="s">
        <v>551</v>
      </c>
      <c r="F439" s="129"/>
      <c r="G439" s="129" t="s">
        <v>753</v>
      </c>
      <c r="H439" s="129"/>
      <c r="I439" s="125"/>
      <c r="J439" s="129" t="s">
        <v>749</v>
      </c>
      <c r="K439" s="123">
        <v>46303</v>
      </c>
      <c r="L439" s="129" t="s">
        <v>978</v>
      </c>
    </row>
    <row r="440" spans="1:12" ht="29.15" x14ac:dyDescent="0.4">
      <c r="A440" s="129" t="s">
        <v>1650</v>
      </c>
      <c r="B440" s="129" t="s">
        <v>18</v>
      </c>
      <c r="C440" s="129" t="s">
        <v>587</v>
      </c>
      <c r="D440" s="130" t="s">
        <v>588</v>
      </c>
      <c r="E440" s="129" t="s">
        <v>772</v>
      </c>
      <c r="F440" s="129" t="s">
        <v>776</v>
      </c>
      <c r="G440" s="129" t="s">
        <v>753</v>
      </c>
      <c r="H440" s="129" t="s">
        <v>776</v>
      </c>
      <c r="I440" s="125"/>
      <c r="J440" s="129" t="s">
        <v>749</v>
      </c>
      <c r="K440" s="123">
        <v>46303</v>
      </c>
      <c r="L440" s="129" t="s">
        <v>978</v>
      </c>
    </row>
    <row r="441" spans="1:12" x14ac:dyDescent="0.4">
      <c r="A441" s="129" t="s">
        <v>1650</v>
      </c>
      <c r="B441" s="129" t="s">
        <v>18</v>
      </c>
      <c r="C441" s="129" t="s">
        <v>591</v>
      </c>
      <c r="D441" s="130" t="s">
        <v>592</v>
      </c>
      <c r="E441" s="129" t="s">
        <v>203</v>
      </c>
      <c r="F441" s="129">
        <v>3</v>
      </c>
      <c r="G441" s="129" t="s">
        <v>753</v>
      </c>
      <c r="H441" s="129">
        <v>3</v>
      </c>
      <c r="I441" s="125"/>
      <c r="J441" s="129" t="s">
        <v>749</v>
      </c>
      <c r="K441" s="123">
        <v>46303</v>
      </c>
      <c r="L441" s="129" t="s">
        <v>978</v>
      </c>
    </row>
    <row r="442" spans="1:12" x14ac:dyDescent="0.4">
      <c r="A442" s="129" t="s">
        <v>1650</v>
      </c>
      <c r="B442" s="129" t="s">
        <v>18</v>
      </c>
      <c r="C442" s="129" t="s">
        <v>591</v>
      </c>
      <c r="D442" s="130" t="s">
        <v>592</v>
      </c>
      <c r="E442" s="129" t="s">
        <v>300</v>
      </c>
      <c r="F442" s="129">
        <v>3</v>
      </c>
      <c r="G442" s="129" t="s">
        <v>753</v>
      </c>
      <c r="H442" s="129">
        <v>3</v>
      </c>
      <c r="I442" s="125"/>
      <c r="J442" s="129" t="s">
        <v>749</v>
      </c>
      <c r="K442" s="123">
        <v>46303</v>
      </c>
      <c r="L442" s="129" t="s">
        <v>978</v>
      </c>
    </row>
    <row r="443" spans="1:12" x14ac:dyDescent="0.4">
      <c r="A443" s="129" t="s">
        <v>1650</v>
      </c>
      <c r="B443" s="129" t="s">
        <v>18</v>
      </c>
      <c r="C443" s="129" t="s">
        <v>591</v>
      </c>
      <c r="D443" s="130" t="s">
        <v>592</v>
      </c>
      <c r="E443" s="129" t="s">
        <v>206</v>
      </c>
      <c r="F443" s="129">
        <v>3</v>
      </c>
      <c r="G443" s="129" t="s">
        <v>753</v>
      </c>
      <c r="H443" s="129">
        <v>3</v>
      </c>
      <c r="I443" s="125"/>
      <c r="J443" s="129" t="s">
        <v>749</v>
      </c>
      <c r="K443" s="123">
        <v>46303</v>
      </c>
      <c r="L443" s="129" t="s">
        <v>978</v>
      </c>
    </row>
    <row r="444" spans="1:12" x14ac:dyDescent="0.4">
      <c r="A444" s="129" t="s">
        <v>1650</v>
      </c>
      <c r="B444" s="129" t="s">
        <v>18</v>
      </c>
      <c r="C444" s="129" t="s">
        <v>591</v>
      </c>
      <c r="D444" s="130" t="s">
        <v>592</v>
      </c>
      <c r="E444" s="129" t="s">
        <v>204</v>
      </c>
      <c r="F444" s="129">
        <v>2</v>
      </c>
      <c r="G444" s="129" t="s">
        <v>753</v>
      </c>
      <c r="H444" s="129">
        <v>2</v>
      </c>
      <c r="I444" s="125"/>
      <c r="J444" s="129" t="s">
        <v>749</v>
      </c>
      <c r="K444" s="123">
        <v>46303</v>
      </c>
      <c r="L444" s="129" t="s">
        <v>978</v>
      </c>
    </row>
    <row r="445" spans="1:12" x14ac:dyDescent="0.4">
      <c r="A445" s="129" t="s">
        <v>1650</v>
      </c>
      <c r="B445" s="129" t="s">
        <v>18</v>
      </c>
      <c r="C445" s="129" t="s">
        <v>591</v>
      </c>
      <c r="D445" s="130" t="s">
        <v>592</v>
      </c>
      <c r="E445" s="129" t="s">
        <v>551</v>
      </c>
      <c r="F445" s="129"/>
      <c r="G445" s="129" t="s">
        <v>753</v>
      </c>
      <c r="H445" s="129"/>
      <c r="I445" s="125"/>
      <c r="J445" s="129" t="s">
        <v>749</v>
      </c>
      <c r="K445" s="123">
        <v>46303</v>
      </c>
      <c r="L445" s="129" t="s">
        <v>978</v>
      </c>
    </row>
    <row r="446" spans="1:12" x14ac:dyDescent="0.4">
      <c r="A446" s="129" t="s">
        <v>1650</v>
      </c>
      <c r="B446" s="129" t="s">
        <v>18</v>
      </c>
      <c r="C446" s="129" t="s">
        <v>591</v>
      </c>
      <c r="D446" s="130" t="s">
        <v>592</v>
      </c>
      <c r="E446" s="129" t="s">
        <v>772</v>
      </c>
      <c r="F446" s="129" t="s">
        <v>776</v>
      </c>
      <c r="G446" s="129" t="s">
        <v>753</v>
      </c>
      <c r="H446" s="129" t="s">
        <v>776</v>
      </c>
      <c r="I446" s="125"/>
      <c r="J446" s="129" t="s">
        <v>749</v>
      </c>
      <c r="K446" s="123">
        <v>46303</v>
      </c>
      <c r="L446" s="129" t="s">
        <v>978</v>
      </c>
    </row>
    <row r="447" spans="1:12" ht="29.15" x14ac:dyDescent="0.4">
      <c r="A447" s="129" t="s">
        <v>1650</v>
      </c>
      <c r="B447" s="129" t="s">
        <v>18</v>
      </c>
      <c r="C447" s="129" t="s">
        <v>595</v>
      </c>
      <c r="D447" s="130" t="s">
        <v>596</v>
      </c>
      <c r="E447" s="129" t="s">
        <v>203</v>
      </c>
      <c r="F447" s="129">
        <v>4</v>
      </c>
      <c r="G447" s="129" t="s">
        <v>753</v>
      </c>
      <c r="H447" s="129">
        <v>4</v>
      </c>
      <c r="I447" s="125"/>
      <c r="J447" s="129" t="s">
        <v>749</v>
      </c>
      <c r="K447" s="123">
        <v>46303</v>
      </c>
      <c r="L447" s="129" t="s">
        <v>978</v>
      </c>
    </row>
    <row r="448" spans="1:12" ht="29.15" x14ac:dyDescent="0.4">
      <c r="A448" s="129" t="s">
        <v>1650</v>
      </c>
      <c r="B448" s="129" t="s">
        <v>18</v>
      </c>
      <c r="C448" s="129" t="s">
        <v>595</v>
      </c>
      <c r="D448" s="130" t="s">
        <v>596</v>
      </c>
      <c r="E448" s="129" t="s">
        <v>300</v>
      </c>
      <c r="F448" s="129">
        <v>3</v>
      </c>
      <c r="G448" s="129" t="s">
        <v>753</v>
      </c>
      <c r="H448" s="129">
        <v>3</v>
      </c>
      <c r="I448" s="125"/>
      <c r="J448" s="129" t="s">
        <v>749</v>
      </c>
      <c r="K448" s="123">
        <v>46303</v>
      </c>
      <c r="L448" s="129" t="s">
        <v>978</v>
      </c>
    </row>
    <row r="449" spans="1:12" ht="29.15" x14ac:dyDescent="0.4">
      <c r="A449" s="129" t="s">
        <v>1650</v>
      </c>
      <c r="B449" s="129" t="s">
        <v>18</v>
      </c>
      <c r="C449" s="129" t="s">
        <v>595</v>
      </c>
      <c r="D449" s="130" t="s">
        <v>596</v>
      </c>
      <c r="E449" s="129" t="s">
        <v>206</v>
      </c>
      <c r="F449" s="129">
        <v>2</v>
      </c>
      <c r="G449" s="129" t="s">
        <v>753</v>
      </c>
      <c r="H449" s="129">
        <v>2</v>
      </c>
      <c r="I449" s="125"/>
      <c r="J449" s="129" t="s">
        <v>749</v>
      </c>
      <c r="K449" s="123">
        <v>46303</v>
      </c>
      <c r="L449" s="129" t="s">
        <v>978</v>
      </c>
    </row>
    <row r="450" spans="1:12" ht="29.15" x14ac:dyDescent="0.4">
      <c r="A450" s="129" t="s">
        <v>1650</v>
      </c>
      <c r="B450" s="129" t="s">
        <v>18</v>
      </c>
      <c r="C450" s="129" t="s">
        <v>595</v>
      </c>
      <c r="D450" s="130" t="s">
        <v>596</v>
      </c>
      <c r="E450" s="129" t="s">
        <v>204</v>
      </c>
      <c r="F450" s="129">
        <v>2</v>
      </c>
      <c r="G450" s="129" t="s">
        <v>753</v>
      </c>
      <c r="H450" s="129">
        <v>2</v>
      </c>
      <c r="I450" s="125"/>
      <c r="J450" s="129" t="s">
        <v>749</v>
      </c>
      <c r="K450" s="123">
        <v>46303</v>
      </c>
      <c r="L450" s="129" t="s">
        <v>978</v>
      </c>
    </row>
    <row r="451" spans="1:12" ht="29.15" x14ac:dyDescent="0.4">
      <c r="A451" s="129" t="s">
        <v>1650</v>
      </c>
      <c r="B451" s="129" t="s">
        <v>18</v>
      </c>
      <c r="C451" s="129" t="s">
        <v>595</v>
      </c>
      <c r="D451" s="130" t="s">
        <v>596</v>
      </c>
      <c r="E451" s="129" t="s">
        <v>551</v>
      </c>
      <c r="F451" s="129"/>
      <c r="G451" s="129" t="s">
        <v>753</v>
      </c>
      <c r="H451" s="129"/>
      <c r="I451" s="125"/>
      <c r="J451" s="129" t="s">
        <v>749</v>
      </c>
      <c r="K451" s="123">
        <v>46303</v>
      </c>
      <c r="L451" s="129" t="s">
        <v>978</v>
      </c>
    </row>
    <row r="452" spans="1:12" ht="29.15" x14ac:dyDescent="0.4">
      <c r="A452" s="129" t="s">
        <v>1650</v>
      </c>
      <c r="B452" s="129" t="s">
        <v>18</v>
      </c>
      <c r="C452" s="129" t="s">
        <v>595</v>
      </c>
      <c r="D452" s="130" t="s">
        <v>596</v>
      </c>
      <c r="E452" s="129" t="s">
        <v>772</v>
      </c>
      <c r="F452" s="129" t="s">
        <v>776</v>
      </c>
      <c r="G452" s="129" t="s">
        <v>753</v>
      </c>
      <c r="H452" s="129" t="s">
        <v>776</v>
      </c>
      <c r="I452" s="125"/>
      <c r="J452" s="129" t="s">
        <v>749</v>
      </c>
      <c r="K452" s="123">
        <v>46303</v>
      </c>
      <c r="L452" s="129" t="s">
        <v>978</v>
      </c>
    </row>
    <row r="453" spans="1:12" ht="29.15" x14ac:dyDescent="0.4">
      <c r="A453" s="129" t="s">
        <v>1650</v>
      </c>
      <c r="B453" s="129" t="s">
        <v>18</v>
      </c>
      <c r="C453" s="129" t="s">
        <v>598</v>
      </c>
      <c r="D453" s="130" t="s">
        <v>599</v>
      </c>
      <c r="E453" s="129" t="s">
        <v>203</v>
      </c>
      <c r="F453" s="129">
        <v>3</v>
      </c>
      <c r="G453" s="129" t="s">
        <v>753</v>
      </c>
      <c r="H453" s="129">
        <v>3</v>
      </c>
      <c r="I453" s="125"/>
      <c r="J453" s="129" t="s">
        <v>749</v>
      </c>
      <c r="K453" s="123">
        <v>46303</v>
      </c>
      <c r="L453" s="129" t="s">
        <v>978</v>
      </c>
    </row>
    <row r="454" spans="1:12" ht="29.15" x14ac:dyDescent="0.4">
      <c r="A454" s="129" t="s">
        <v>1650</v>
      </c>
      <c r="B454" s="129" t="s">
        <v>18</v>
      </c>
      <c r="C454" s="129" t="s">
        <v>598</v>
      </c>
      <c r="D454" s="130" t="s">
        <v>599</v>
      </c>
      <c r="E454" s="129" t="s">
        <v>300</v>
      </c>
      <c r="F454" s="129">
        <v>3</v>
      </c>
      <c r="G454" s="129" t="s">
        <v>753</v>
      </c>
      <c r="H454" s="129">
        <v>3</v>
      </c>
      <c r="I454" s="125"/>
      <c r="J454" s="129" t="s">
        <v>749</v>
      </c>
      <c r="K454" s="123">
        <v>46303</v>
      </c>
      <c r="L454" s="129" t="s">
        <v>978</v>
      </c>
    </row>
    <row r="455" spans="1:12" ht="29.15" x14ac:dyDescent="0.4">
      <c r="A455" s="129" t="s">
        <v>1650</v>
      </c>
      <c r="B455" s="129" t="s">
        <v>18</v>
      </c>
      <c r="C455" s="129" t="s">
        <v>598</v>
      </c>
      <c r="D455" s="130" t="s">
        <v>599</v>
      </c>
      <c r="E455" s="129" t="s">
        <v>206</v>
      </c>
      <c r="F455" s="129">
        <v>3</v>
      </c>
      <c r="G455" s="129" t="s">
        <v>753</v>
      </c>
      <c r="H455" s="129">
        <v>3</v>
      </c>
      <c r="I455" s="125"/>
      <c r="J455" s="129" t="s">
        <v>749</v>
      </c>
      <c r="K455" s="123">
        <v>46303</v>
      </c>
      <c r="L455" s="129" t="s">
        <v>978</v>
      </c>
    </row>
    <row r="456" spans="1:12" ht="29.15" x14ac:dyDescent="0.4">
      <c r="A456" s="129" t="s">
        <v>1650</v>
      </c>
      <c r="B456" s="129" t="s">
        <v>18</v>
      </c>
      <c r="C456" s="129" t="s">
        <v>598</v>
      </c>
      <c r="D456" s="130" t="s">
        <v>599</v>
      </c>
      <c r="E456" s="129" t="s">
        <v>204</v>
      </c>
      <c r="F456" s="129">
        <v>3</v>
      </c>
      <c r="G456" s="129" t="s">
        <v>753</v>
      </c>
      <c r="H456" s="129">
        <v>3</v>
      </c>
      <c r="I456" s="125"/>
      <c r="J456" s="129" t="s">
        <v>749</v>
      </c>
      <c r="K456" s="123">
        <v>46303</v>
      </c>
      <c r="L456" s="129" t="s">
        <v>978</v>
      </c>
    </row>
    <row r="457" spans="1:12" ht="29.15" x14ac:dyDescent="0.4">
      <c r="A457" s="129" t="s">
        <v>1650</v>
      </c>
      <c r="B457" s="129" t="s">
        <v>18</v>
      </c>
      <c r="C457" s="129" t="s">
        <v>598</v>
      </c>
      <c r="D457" s="130" t="s">
        <v>599</v>
      </c>
      <c r="E457" s="129" t="s">
        <v>551</v>
      </c>
      <c r="F457" s="129"/>
      <c r="G457" s="129" t="s">
        <v>753</v>
      </c>
      <c r="H457" s="129"/>
      <c r="I457" s="125"/>
      <c r="J457" s="129" t="s">
        <v>749</v>
      </c>
      <c r="K457" s="123">
        <v>46303</v>
      </c>
      <c r="L457" s="129" t="s">
        <v>978</v>
      </c>
    </row>
    <row r="458" spans="1:12" ht="29.15" x14ac:dyDescent="0.4">
      <c r="A458" s="129" t="s">
        <v>1650</v>
      </c>
      <c r="B458" s="129" t="s">
        <v>18</v>
      </c>
      <c r="C458" s="129" t="s">
        <v>598</v>
      </c>
      <c r="D458" s="130" t="s">
        <v>599</v>
      </c>
      <c r="E458" s="129" t="s">
        <v>772</v>
      </c>
      <c r="F458" s="129" t="s">
        <v>776</v>
      </c>
      <c r="G458" s="129" t="s">
        <v>753</v>
      </c>
      <c r="H458" s="129" t="s">
        <v>776</v>
      </c>
      <c r="I458" s="125"/>
      <c r="J458" s="129" t="s">
        <v>749</v>
      </c>
      <c r="K458" s="123">
        <v>46303</v>
      </c>
      <c r="L458" s="129" t="s">
        <v>978</v>
      </c>
    </row>
    <row r="459" spans="1:12" x14ac:dyDescent="0.4">
      <c r="A459" s="129" t="s">
        <v>1650</v>
      </c>
      <c r="B459" s="129" t="s">
        <v>18</v>
      </c>
      <c r="C459" s="129" t="s">
        <v>604</v>
      </c>
      <c r="D459" s="130" t="s">
        <v>605</v>
      </c>
      <c r="E459" s="129" t="s">
        <v>203</v>
      </c>
      <c r="F459" s="129">
        <v>3</v>
      </c>
      <c r="G459" s="129" t="s">
        <v>753</v>
      </c>
      <c r="H459" s="129">
        <v>3</v>
      </c>
      <c r="I459" s="125"/>
      <c r="J459" s="129" t="s">
        <v>749</v>
      </c>
      <c r="K459" s="123">
        <v>46303</v>
      </c>
      <c r="L459" s="129" t="s">
        <v>978</v>
      </c>
    </row>
    <row r="460" spans="1:12" x14ac:dyDescent="0.4">
      <c r="A460" s="129" t="s">
        <v>1650</v>
      </c>
      <c r="B460" s="129" t="s">
        <v>18</v>
      </c>
      <c r="C460" s="129" t="s">
        <v>604</v>
      </c>
      <c r="D460" s="130" t="s">
        <v>605</v>
      </c>
      <c r="E460" s="129" t="s">
        <v>300</v>
      </c>
      <c r="F460" s="129">
        <v>2</v>
      </c>
      <c r="G460" s="129" t="s">
        <v>753</v>
      </c>
      <c r="H460" s="129">
        <v>2</v>
      </c>
      <c r="I460" s="125"/>
      <c r="J460" s="129" t="s">
        <v>749</v>
      </c>
      <c r="K460" s="123">
        <v>46303</v>
      </c>
      <c r="L460" s="129" t="s">
        <v>978</v>
      </c>
    </row>
    <row r="461" spans="1:12" x14ac:dyDescent="0.4">
      <c r="A461" s="129" t="s">
        <v>1650</v>
      </c>
      <c r="B461" s="129" t="s">
        <v>18</v>
      </c>
      <c r="C461" s="129" t="s">
        <v>604</v>
      </c>
      <c r="D461" s="130" t="s">
        <v>605</v>
      </c>
      <c r="E461" s="129" t="s">
        <v>206</v>
      </c>
      <c r="F461" s="129">
        <v>3</v>
      </c>
      <c r="G461" s="129" t="s">
        <v>753</v>
      </c>
      <c r="H461" s="129">
        <v>3</v>
      </c>
      <c r="I461" s="125"/>
      <c r="J461" s="129" t="s">
        <v>749</v>
      </c>
      <c r="K461" s="123">
        <v>46303</v>
      </c>
      <c r="L461" s="129" t="s">
        <v>978</v>
      </c>
    </row>
    <row r="462" spans="1:12" x14ac:dyDescent="0.4">
      <c r="A462" s="129" t="s">
        <v>1650</v>
      </c>
      <c r="B462" s="129" t="s">
        <v>18</v>
      </c>
      <c r="C462" s="129" t="s">
        <v>604</v>
      </c>
      <c r="D462" s="130" t="s">
        <v>605</v>
      </c>
      <c r="E462" s="129" t="s">
        <v>204</v>
      </c>
      <c r="F462" s="129">
        <v>3</v>
      </c>
      <c r="G462" s="129" t="s">
        <v>753</v>
      </c>
      <c r="H462" s="129">
        <v>3</v>
      </c>
      <c r="I462" s="125"/>
      <c r="J462" s="129" t="s">
        <v>749</v>
      </c>
      <c r="K462" s="123">
        <v>46303</v>
      </c>
      <c r="L462" s="129" t="s">
        <v>978</v>
      </c>
    </row>
    <row r="463" spans="1:12" x14ac:dyDescent="0.4">
      <c r="A463" s="129" t="s">
        <v>1650</v>
      </c>
      <c r="B463" s="129" t="s">
        <v>18</v>
      </c>
      <c r="C463" s="129" t="s">
        <v>604</v>
      </c>
      <c r="D463" s="130" t="s">
        <v>605</v>
      </c>
      <c r="E463" s="129" t="s">
        <v>551</v>
      </c>
      <c r="F463" s="129">
        <v>3</v>
      </c>
      <c r="G463" s="129" t="s">
        <v>753</v>
      </c>
      <c r="H463" s="129">
        <v>3</v>
      </c>
      <c r="I463" s="125"/>
      <c r="J463" s="129" t="s">
        <v>749</v>
      </c>
      <c r="K463" s="123">
        <v>46303</v>
      </c>
      <c r="L463" s="129" t="s">
        <v>978</v>
      </c>
    </row>
    <row r="464" spans="1:12" x14ac:dyDescent="0.4">
      <c r="A464" s="129" t="s">
        <v>1650</v>
      </c>
      <c r="B464" s="129" t="s">
        <v>18</v>
      </c>
      <c r="C464" s="129" t="s">
        <v>604</v>
      </c>
      <c r="D464" s="130" t="s">
        <v>605</v>
      </c>
      <c r="E464" s="129" t="s">
        <v>772</v>
      </c>
      <c r="F464" s="129" t="s">
        <v>776</v>
      </c>
      <c r="G464" s="129" t="s">
        <v>753</v>
      </c>
      <c r="H464" s="129" t="s">
        <v>776</v>
      </c>
      <c r="I464" s="125"/>
      <c r="J464" s="129" t="s">
        <v>749</v>
      </c>
      <c r="K464" s="123">
        <v>46303</v>
      </c>
      <c r="L464" s="129" t="s">
        <v>978</v>
      </c>
    </row>
    <row r="465" spans="1:12" x14ac:dyDescent="0.4">
      <c r="A465" s="129" t="s">
        <v>1650</v>
      </c>
      <c r="B465" s="129" t="s">
        <v>18</v>
      </c>
      <c r="C465" s="129" t="s">
        <v>611</v>
      </c>
      <c r="D465" s="130" t="s">
        <v>612</v>
      </c>
      <c r="E465" s="129" t="s">
        <v>203</v>
      </c>
      <c r="F465" s="129">
        <v>3</v>
      </c>
      <c r="G465" s="129" t="s">
        <v>753</v>
      </c>
      <c r="H465" s="129">
        <v>3</v>
      </c>
      <c r="I465" s="125"/>
      <c r="J465" s="129" t="s">
        <v>749</v>
      </c>
      <c r="K465" s="123">
        <v>46303</v>
      </c>
      <c r="L465" s="129" t="s">
        <v>978</v>
      </c>
    </row>
    <row r="466" spans="1:12" x14ac:dyDescent="0.4">
      <c r="A466" s="129" t="s">
        <v>1650</v>
      </c>
      <c r="B466" s="129" t="s">
        <v>18</v>
      </c>
      <c r="C466" s="129" t="s">
        <v>611</v>
      </c>
      <c r="D466" s="130" t="s">
        <v>612</v>
      </c>
      <c r="E466" s="129" t="s">
        <v>300</v>
      </c>
      <c r="F466" s="129">
        <v>4</v>
      </c>
      <c r="G466" s="129" t="s">
        <v>753</v>
      </c>
      <c r="H466" s="129">
        <v>4</v>
      </c>
      <c r="I466" s="125"/>
      <c r="J466" s="129" t="s">
        <v>749</v>
      </c>
      <c r="K466" s="123">
        <v>46303</v>
      </c>
      <c r="L466" s="129" t="s">
        <v>978</v>
      </c>
    </row>
    <row r="467" spans="1:12" x14ac:dyDescent="0.4">
      <c r="A467" s="129" t="s">
        <v>1650</v>
      </c>
      <c r="B467" s="129" t="s">
        <v>18</v>
      </c>
      <c r="C467" s="129" t="s">
        <v>611</v>
      </c>
      <c r="D467" s="130" t="s">
        <v>612</v>
      </c>
      <c r="E467" s="129" t="s">
        <v>206</v>
      </c>
      <c r="F467" s="129">
        <v>4</v>
      </c>
      <c r="G467" s="129" t="s">
        <v>753</v>
      </c>
      <c r="H467" s="129">
        <v>4</v>
      </c>
      <c r="I467" s="125"/>
      <c r="J467" s="129" t="s">
        <v>749</v>
      </c>
      <c r="K467" s="123">
        <v>46303</v>
      </c>
      <c r="L467" s="129" t="s">
        <v>978</v>
      </c>
    </row>
    <row r="468" spans="1:12" x14ac:dyDescent="0.4">
      <c r="A468" s="129" t="s">
        <v>1650</v>
      </c>
      <c r="B468" s="129" t="s">
        <v>18</v>
      </c>
      <c r="C468" s="129" t="s">
        <v>611</v>
      </c>
      <c r="D468" s="130" t="s">
        <v>612</v>
      </c>
      <c r="E468" s="129" t="s">
        <v>204</v>
      </c>
      <c r="F468" s="129">
        <v>4</v>
      </c>
      <c r="G468" s="129" t="s">
        <v>753</v>
      </c>
      <c r="H468" s="129">
        <v>4</v>
      </c>
      <c r="I468" s="125"/>
      <c r="J468" s="129" t="s">
        <v>749</v>
      </c>
      <c r="K468" s="123">
        <v>46303</v>
      </c>
      <c r="L468" s="129" t="s">
        <v>978</v>
      </c>
    </row>
    <row r="469" spans="1:12" x14ac:dyDescent="0.4">
      <c r="A469" s="129" t="s">
        <v>1650</v>
      </c>
      <c r="B469" s="129" t="s">
        <v>18</v>
      </c>
      <c r="C469" s="129" t="s">
        <v>611</v>
      </c>
      <c r="D469" s="130" t="s">
        <v>612</v>
      </c>
      <c r="E469" s="129" t="s">
        <v>551</v>
      </c>
      <c r="F469" s="129"/>
      <c r="G469" s="129" t="s">
        <v>753</v>
      </c>
      <c r="H469" s="129"/>
      <c r="I469" s="125"/>
      <c r="J469" s="129" t="s">
        <v>749</v>
      </c>
      <c r="K469" s="123">
        <v>46303</v>
      </c>
      <c r="L469" s="129" t="s">
        <v>978</v>
      </c>
    </row>
    <row r="470" spans="1:12" x14ac:dyDescent="0.4">
      <c r="A470" s="129" t="s">
        <v>1650</v>
      </c>
      <c r="B470" s="129" t="s">
        <v>18</v>
      </c>
      <c r="C470" s="129" t="s">
        <v>611</v>
      </c>
      <c r="D470" s="130" t="s">
        <v>612</v>
      </c>
      <c r="E470" s="129" t="s">
        <v>772</v>
      </c>
      <c r="F470" s="129" t="s">
        <v>776</v>
      </c>
      <c r="G470" s="129" t="s">
        <v>753</v>
      </c>
      <c r="H470" s="129" t="s">
        <v>776</v>
      </c>
      <c r="I470" s="125"/>
      <c r="J470" s="129" t="s">
        <v>749</v>
      </c>
      <c r="K470" s="123">
        <v>46303</v>
      </c>
      <c r="L470" s="129" t="s">
        <v>978</v>
      </c>
    </row>
    <row r="471" spans="1:12" x14ac:dyDescent="0.4">
      <c r="A471" s="129" t="s">
        <v>1650</v>
      </c>
      <c r="B471" s="129" t="s">
        <v>18</v>
      </c>
      <c r="C471" s="129" t="s">
        <v>1567</v>
      </c>
      <c r="D471" s="130" t="s">
        <v>1568</v>
      </c>
      <c r="E471" s="129" t="s">
        <v>203</v>
      </c>
      <c r="F471" s="129">
        <v>3</v>
      </c>
      <c r="G471" s="129" t="s">
        <v>753</v>
      </c>
      <c r="H471" s="129">
        <v>3</v>
      </c>
      <c r="I471" s="125"/>
      <c r="J471" s="129" t="s">
        <v>749</v>
      </c>
      <c r="K471" s="123">
        <v>46303</v>
      </c>
      <c r="L471" s="129" t="s">
        <v>978</v>
      </c>
    </row>
    <row r="472" spans="1:12" x14ac:dyDescent="0.4">
      <c r="A472" s="129" t="s">
        <v>1650</v>
      </c>
      <c r="B472" s="129" t="s">
        <v>18</v>
      </c>
      <c r="C472" s="129" t="s">
        <v>1567</v>
      </c>
      <c r="D472" s="130" t="s">
        <v>1568</v>
      </c>
      <c r="E472" s="129" t="s">
        <v>300</v>
      </c>
      <c r="F472" s="129">
        <v>3</v>
      </c>
      <c r="G472" s="129" t="s">
        <v>753</v>
      </c>
      <c r="H472" s="129">
        <v>3</v>
      </c>
      <c r="I472" s="125"/>
      <c r="J472" s="129" t="s">
        <v>749</v>
      </c>
      <c r="K472" s="123">
        <v>46303</v>
      </c>
      <c r="L472" s="129" t="s">
        <v>978</v>
      </c>
    </row>
    <row r="473" spans="1:12" x14ac:dyDescent="0.4">
      <c r="A473" s="129" t="s">
        <v>1650</v>
      </c>
      <c r="B473" s="129" t="s">
        <v>18</v>
      </c>
      <c r="C473" s="129" t="s">
        <v>1567</v>
      </c>
      <c r="D473" s="130" t="s">
        <v>1568</v>
      </c>
      <c r="E473" s="129" t="s">
        <v>206</v>
      </c>
      <c r="F473" s="129">
        <v>2</v>
      </c>
      <c r="G473" s="129" t="s">
        <v>753</v>
      </c>
      <c r="H473" s="129">
        <v>2</v>
      </c>
      <c r="I473" s="125"/>
      <c r="J473" s="129" t="s">
        <v>749</v>
      </c>
      <c r="K473" s="123">
        <v>46303</v>
      </c>
      <c r="L473" s="129" t="s">
        <v>978</v>
      </c>
    </row>
    <row r="474" spans="1:12" x14ac:dyDescent="0.4">
      <c r="A474" s="129" t="s">
        <v>1650</v>
      </c>
      <c r="B474" s="129" t="s">
        <v>18</v>
      </c>
      <c r="C474" s="129" t="s">
        <v>1567</v>
      </c>
      <c r="D474" s="130" t="s">
        <v>1568</v>
      </c>
      <c r="E474" s="129" t="s">
        <v>204</v>
      </c>
      <c r="F474" s="129">
        <v>3</v>
      </c>
      <c r="G474" s="129" t="s">
        <v>753</v>
      </c>
      <c r="H474" s="129">
        <v>3</v>
      </c>
      <c r="I474" s="125"/>
      <c r="J474" s="129" t="s">
        <v>749</v>
      </c>
      <c r="K474" s="123">
        <v>46303</v>
      </c>
      <c r="L474" s="129" t="s">
        <v>978</v>
      </c>
    </row>
    <row r="475" spans="1:12" x14ac:dyDescent="0.4">
      <c r="A475" s="129" t="s">
        <v>1650</v>
      </c>
      <c r="B475" s="129" t="s">
        <v>18</v>
      </c>
      <c r="C475" s="129" t="s">
        <v>1567</v>
      </c>
      <c r="D475" s="130" t="s">
        <v>1568</v>
      </c>
      <c r="E475" s="129" t="s">
        <v>551</v>
      </c>
      <c r="F475" s="129"/>
      <c r="G475" s="129" t="s">
        <v>753</v>
      </c>
      <c r="H475" s="129"/>
      <c r="I475" s="125"/>
      <c r="J475" s="129" t="s">
        <v>749</v>
      </c>
      <c r="K475" s="123">
        <v>46303</v>
      </c>
      <c r="L475" s="129" t="s">
        <v>978</v>
      </c>
    </row>
    <row r="476" spans="1:12" x14ac:dyDescent="0.4">
      <c r="A476" s="129" t="s">
        <v>1650</v>
      </c>
      <c r="B476" s="129" t="s">
        <v>18</v>
      </c>
      <c r="C476" s="129" t="s">
        <v>1567</v>
      </c>
      <c r="D476" s="130" t="s">
        <v>1568</v>
      </c>
      <c r="E476" s="129" t="s">
        <v>772</v>
      </c>
      <c r="F476" s="129" t="s">
        <v>776</v>
      </c>
      <c r="G476" s="129" t="s">
        <v>753</v>
      </c>
      <c r="H476" s="129" t="s">
        <v>776</v>
      </c>
      <c r="I476" s="125"/>
      <c r="J476" s="129" t="s">
        <v>749</v>
      </c>
      <c r="K476" s="123">
        <v>46303</v>
      </c>
      <c r="L476" s="129" t="s">
        <v>978</v>
      </c>
    </row>
    <row r="477" spans="1:12" ht="29.15" x14ac:dyDescent="0.4">
      <c r="A477" s="129" t="s">
        <v>1650</v>
      </c>
      <c r="B477" s="129" t="s">
        <v>18</v>
      </c>
      <c r="C477" s="129" t="s">
        <v>1190</v>
      </c>
      <c r="D477" s="130" t="s">
        <v>1191</v>
      </c>
      <c r="E477" s="129" t="s">
        <v>203</v>
      </c>
      <c r="F477" s="129">
        <v>4</v>
      </c>
      <c r="G477" s="129" t="s">
        <v>753</v>
      </c>
      <c r="H477" s="129">
        <v>4</v>
      </c>
      <c r="I477" s="125"/>
      <c r="J477" s="129" t="s">
        <v>749</v>
      </c>
      <c r="K477" s="123">
        <v>46303</v>
      </c>
      <c r="L477" s="129" t="s">
        <v>978</v>
      </c>
    </row>
    <row r="478" spans="1:12" ht="29.15" x14ac:dyDescent="0.4">
      <c r="A478" s="129" t="s">
        <v>1650</v>
      </c>
      <c r="B478" s="129" t="s">
        <v>18</v>
      </c>
      <c r="C478" s="129" t="s">
        <v>1190</v>
      </c>
      <c r="D478" s="130" t="s">
        <v>1191</v>
      </c>
      <c r="E478" s="129" t="s">
        <v>300</v>
      </c>
      <c r="F478" s="129">
        <v>4</v>
      </c>
      <c r="G478" s="129" t="s">
        <v>753</v>
      </c>
      <c r="H478" s="129">
        <v>4</v>
      </c>
      <c r="I478" s="125"/>
      <c r="J478" s="129" t="s">
        <v>749</v>
      </c>
      <c r="K478" s="123">
        <v>46303</v>
      </c>
      <c r="L478" s="129" t="s">
        <v>978</v>
      </c>
    </row>
    <row r="479" spans="1:12" ht="29.15" x14ac:dyDescent="0.4">
      <c r="A479" s="129" t="s">
        <v>1650</v>
      </c>
      <c r="B479" s="129" t="s">
        <v>18</v>
      </c>
      <c r="C479" s="129" t="s">
        <v>1190</v>
      </c>
      <c r="D479" s="130" t="s">
        <v>1191</v>
      </c>
      <c r="E479" s="129" t="s">
        <v>206</v>
      </c>
      <c r="F479" s="129">
        <v>1</v>
      </c>
      <c r="G479" s="129" t="s">
        <v>753</v>
      </c>
      <c r="H479" s="129">
        <v>1</v>
      </c>
      <c r="I479" s="125"/>
      <c r="J479" s="129" t="s">
        <v>749</v>
      </c>
      <c r="K479" s="123">
        <v>46303</v>
      </c>
      <c r="L479" s="129" t="s">
        <v>978</v>
      </c>
    </row>
    <row r="480" spans="1:12" ht="29.15" x14ac:dyDescent="0.4">
      <c r="A480" s="129" t="s">
        <v>1650</v>
      </c>
      <c r="B480" s="129" t="s">
        <v>18</v>
      </c>
      <c r="C480" s="129" t="s">
        <v>1190</v>
      </c>
      <c r="D480" s="130" t="s">
        <v>1191</v>
      </c>
      <c r="E480" s="129" t="s">
        <v>204</v>
      </c>
      <c r="F480" s="129">
        <v>3</v>
      </c>
      <c r="G480" s="129" t="s">
        <v>753</v>
      </c>
      <c r="H480" s="129">
        <v>3</v>
      </c>
      <c r="I480" s="125"/>
      <c r="J480" s="129" t="s">
        <v>749</v>
      </c>
      <c r="K480" s="123">
        <v>46303</v>
      </c>
      <c r="L480" s="129" t="s">
        <v>978</v>
      </c>
    </row>
    <row r="481" spans="1:12" ht="29.15" x14ac:dyDescent="0.4">
      <c r="A481" s="129" t="s">
        <v>1650</v>
      </c>
      <c r="B481" s="129" t="s">
        <v>18</v>
      </c>
      <c r="C481" s="129" t="s">
        <v>1190</v>
      </c>
      <c r="D481" s="130" t="s">
        <v>1191</v>
      </c>
      <c r="E481" s="129" t="s">
        <v>551</v>
      </c>
      <c r="F481" s="129"/>
      <c r="G481" s="129" t="s">
        <v>753</v>
      </c>
      <c r="H481" s="129"/>
      <c r="I481" s="125"/>
      <c r="J481" s="129" t="s">
        <v>749</v>
      </c>
      <c r="K481" s="123">
        <v>46303</v>
      </c>
      <c r="L481" s="129" t="s">
        <v>978</v>
      </c>
    </row>
    <row r="482" spans="1:12" ht="29.15" x14ac:dyDescent="0.4">
      <c r="A482" s="129" t="s">
        <v>1650</v>
      </c>
      <c r="B482" s="129" t="s">
        <v>18</v>
      </c>
      <c r="C482" s="129" t="s">
        <v>1190</v>
      </c>
      <c r="D482" s="130" t="s">
        <v>1191</v>
      </c>
      <c r="E482" s="129" t="s">
        <v>772</v>
      </c>
      <c r="F482" s="129" t="s">
        <v>776</v>
      </c>
      <c r="G482" s="129" t="s">
        <v>753</v>
      </c>
      <c r="H482" s="129" t="s">
        <v>776</v>
      </c>
      <c r="I482" s="125"/>
      <c r="J482" s="129" t="s">
        <v>749</v>
      </c>
      <c r="K482" s="123">
        <v>46303</v>
      </c>
      <c r="L482" s="129" t="s">
        <v>978</v>
      </c>
    </row>
    <row r="483" spans="1:12" ht="29.15" x14ac:dyDescent="0.4">
      <c r="A483" s="129" t="s">
        <v>1650</v>
      </c>
      <c r="B483" s="129" t="s">
        <v>18</v>
      </c>
      <c r="C483" s="129" t="s">
        <v>1182</v>
      </c>
      <c r="D483" s="130" t="s">
        <v>1183</v>
      </c>
      <c r="E483" s="129" t="s">
        <v>203</v>
      </c>
      <c r="F483" s="129">
        <v>5</v>
      </c>
      <c r="G483" s="129" t="s">
        <v>753</v>
      </c>
      <c r="H483" s="129">
        <v>5</v>
      </c>
      <c r="I483" s="125"/>
      <c r="J483" s="129" t="s">
        <v>749</v>
      </c>
      <c r="K483" s="123">
        <v>46303</v>
      </c>
      <c r="L483" s="129" t="s">
        <v>978</v>
      </c>
    </row>
    <row r="484" spans="1:12" ht="29.15" x14ac:dyDescent="0.4">
      <c r="A484" s="129" t="s">
        <v>1650</v>
      </c>
      <c r="B484" s="129" t="s">
        <v>18</v>
      </c>
      <c r="C484" s="129" t="s">
        <v>1182</v>
      </c>
      <c r="D484" s="130" t="s">
        <v>1183</v>
      </c>
      <c r="E484" s="129" t="s">
        <v>300</v>
      </c>
      <c r="F484" s="129"/>
      <c r="G484" s="129" t="s">
        <v>753</v>
      </c>
      <c r="H484" s="129"/>
      <c r="I484" s="125"/>
      <c r="J484" s="129" t="s">
        <v>749</v>
      </c>
      <c r="K484" s="123">
        <v>46303</v>
      </c>
      <c r="L484" s="129" t="s">
        <v>978</v>
      </c>
    </row>
    <row r="485" spans="1:12" ht="29.15" x14ac:dyDescent="0.4">
      <c r="A485" s="129" t="s">
        <v>1650</v>
      </c>
      <c r="B485" s="129" t="s">
        <v>18</v>
      </c>
      <c r="C485" s="129" t="s">
        <v>1182</v>
      </c>
      <c r="D485" s="130" t="s">
        <v>1183</v>
      </c>
      <c r="E485" s="129" t="s">
        <v>206</v>
      </c>
      <c r="F485" s="129">
        <v>1</v>
      </c>
      <c r="G485" s="129" t="s">
        <v>753</v>
      </c>
      <c r="H485" s="129">
        <v>1</v>
      </c>
      <c r="I485" s="125"/>
      <c r="J485" s="129" t="s">
        <v>749</v>
      </c>
      <c r="K485" s="123">
        <v>46303</v>
      </c>
      <c r="L485" s="129" t="s">
        <v>978</v>
      </c>
    </row>
    <row r="486" spans="1:12" ht="29.15" x14ac:dyDescent="0.4">
      <c r="A486" s="129" t="s">
        <v>1650</v>
      </c>
      <c r="B486" s="129" t="s">
        <v>18</v>
      </c>
      <c r="C486" s="129" t="s">
        <v>1182</v>
      </c>
      <c r="D486" s="130" t="s">
        <v>1183</v>
      </c>
      <c r="E486" s="129" t="s">
        <v>204</v>
      </c>
      <c r="F486" s="129">
        <v>1</v>
      </c>
      <c r="G486" s="129" t="s">
        <v>753</v>
      </c>
      <c r="H486" s="129">
        <v>1</v>
      </c>
      <c r="I486" s="125"/>
      <c r="J486" s="129" t="s">
        <v>749</v>
      </c>
      <c r="K486" s="123">
        <v>46303</v>
      </c>
      <c r="L486" s="129" t="s">
        <v>978</v>
      </c>
    </row>
    <row r="487" spans="1:12" ht="29.15" x14ac:dyDescent="0.4">
      <c r="A487" s="129" t="s">
        <v>1650</v>
      </c>
      <c r="B487" s="129" t="s">
        <v>18</v>
      </c>
      <c r="C487" s="129" t="s">
        <v>1182</v>
      </c>
      <c r="D487" s="130" t="s">
        <v>1183</v>
      </c>
      <c r="E487" s="129" t="s">
        <v>551</v>
      </c>
      <c r="F487" s="129"/>
      <c r="G487" s="129" t="s">
        <v>753</v>
      </c>
      <c r="H487" s="129"/>
      <c r="I487" s="125"/>
      <c r="J487" s="129" t="s">
        <v>749</v>
      </c>
      <c r="K487" s="123">
        <v>46303</v>
      </c>
      <c r="L487" s="129" t="s">
        <v>978</v>
      </c>
    </row>
    <row r="488" spans="1:12" ht="29.15" x14ac:dyDescent="0.4">
      <c r="A488" s="129" t="s">
        <v>1650</v>
      </c>
      <c r="B488" s="129" t="s">
        <v>18</v>
      </c>
      <c r="C488" s="129" t="s">
        <v>1182</v>
      </c>
      <c r="D488" s="130" t="s">
        <v>1183</v>
      </c>
      <c r="E488" s="129" t="s">
        <v>772</v>
      </c>
      <c r="F488" s="129" t="s">
        <v>776</v>
      </c>
      <c r="G488" s="129" t="s">
        <v>753</v>
      </c>
      <c r="H488" s="129" t="s">
        <v>776</v>
      </c>
      <c r="I488" s="125"/>
      <c r="J488" s="129" t="s">
        <v>749</v>
      </c>
      <c r="K488" s="123">
        <v>46303</v>
      </c>
      <c r="L488" s="129" t="s">
        <v>978</v>
      </c>
    </row>
    <row r="489" spans="1:12" x14ac:dyDescent="0.4">
      <c r="A489" s="129" t="s">
        <v>1650</v>
      </c>
      <c r="B489" s="129" t="s">
        <v>124</v>
      </c>
      <c r="C489" s="129" t="s">
        <v>437</v>
      </c>
      <c r="D489" s="130" t="s">
        <v>1290</v>
      </c>
      <c r="E489" s="129" t="s">
        <v>834</v>
      </c>
      <c r="F489" s="129">
        <v>6.4</v>
      </c>
      <c r="G489" s="129" t="s">
        <v>753</v>
      </c>
      <c r="H489" s="129">
        <v>6.4</v>
      </c>
      <c r="I489" s="125"/>
      <c r="J489" s="129" t="s">
        <v>749</v>
      </c>
      <c r="K489" s="123">
        <v>46303</v>
      </c>
      <c r="L489" s="129" t="s">
        <v>978</v>
      </c>
    </row>
    <row r="490" spans="1:12" x14ac:dyDescent="0.4">
      <c r="A490" s="129" t="s">
        <v>1650</v>
      </c>
      <c r="B490" s="129" t="s">
        <v>124</v>
      </c>
      <c r="C490" s="129" t="s">
        <v>437</v>
      </c>
      <c r="D490" s="130" t="s">
        <v>1290</v>
      </c>
      <c r="E490" s="129" t="s">
        <v>828</v>
      </c>
      <c r="F490" s="129">
        <v>3</v>
      </c>
      <c r="G490" s="129" t="s">
        <v>753</v>
      </c>
      <c r="H490" s="129">
        <v>3</v>
      </c>
      <c r="I490" s="125"/>
      <c r="J490" s="129" t="s">
        <v>749</v>
      </c>
      <c r="K490" s="123">
        <v>46303</v>
      </c>
      <c r="L490" s="129" t="s">
        <v>978</v>
      </c>
    </row>
    <row r="491" spans="1:12" x14ac:dyDescent="0.4">
      <c r="A491" s="129" t="s">
        <v>1650</v>
      </c>
      <c r="B491" s="129" t="s">
        <v>124</v>
      </c>
      <c r="C491" s="129" t="s">
        <v>437</v>
      </c>
      <c r="D491" s="130" t="s">
        <v>1290</v>
      </c>
      <c r="E491" s="129" t="s">
        <v>832</v>
      </c>
      <c r="F491" s="129">
        <v>6</v>
      </c>
      <c r="G491" s="129" t="s">
        <v>753</v>
      </c>
      <c r="H491" s="129">
        <v>6</v>
      </c>
      <c r="I491" s="125"/>
      <c r="J491" s="129" t="s">
        <v>749</v>
      </c>
      <c r="K491" s="123">
        <v>46303</v>
      </c>
      <c r="L491" s="129" t="s">
        <v>978</v>
      </c>
    </row>
    <row r="492" spans="1:12" ht="29.15" x14ac:dyDescent="0.4">
      <c r="A492" s="129" t="s">
        <v>1650</v>
      </c>
      <c r="B492" s="129" t="s">
        <v>124</v>
      </c>
      <c r="C492" s="129" t="s">
        <v>1292</v>
      </c>
      <c r="D492" s="130" t="s">
        <v>1293</v>
      </c>
      <c r="E492" s="129" t="s">
        <v>834</v>
      </c>
      <c r="F492" s="129">
        <v>3.5</v>
      </c>
      <c r="G492" s="129" t="s">
        <v>753</v>
      </c>
      <c r="H492" s="129">
        <v>3.5</v>
      </c>
      <c r="I492" s="125"/>
      <c r="J492" s="129" t="s">
        <v>749</v>
      </c>
      <c r="K492" s="123">
        <v>46303</v>
      </c>
      <c r="L492" s="129" t="s">
        <v>978</v>
      </c>
    </row>
    <row r="493" spans="1:12" ht="29.15" x14ac:dyDescent="0.4">
      <c r="A493" s="129" t="s">
        <v>1650</v>
      </c>
      <c r="B493" s="129" t="s">
        <v>124</v>
      </c>
      <c r="C493" s="129" t="s">
        <v>1292</v>
      </c>
      <c r="D493" s="130" t="s">
        <v>1293</v>
      </c>
      <c r="E493" s="129" t="s">
        <v>828</v>
      </c>
      <c r="F493" s="129">
        <v>4</v>
      </c>
      <c r="G493" s="129" t="s">
        <v>753</v>
      </c>
      <c r="H493" s="129">
        <v>4</v>
      </c>
      <c r="I493" s="125"/>
      <c r="J493" s="129" t="s">
        <v>749</v>
      </c>
      <c r="K493" s="123">
        <v>46303</v>
      </c>
      <c r="L493" s="129" t="s">
        <v>978</v>
      </c>
    </row>
    <row r="494" spans="1:12" ht="29.15" x14ac:dyDescent="0.4">
      <c r="A494" s="129" t="s">
        <v>1650</v>
      </c>
      <c r="B494" s="129" t="s">
        <v>124</v>
      </c>
      <c r="C494" s="129" t="s">
        <v>1292</v>
      </c>
      <c r="D494" s="130" t="s">
        <v>1293</v>
      </c>
      <c r="E494" s="129" t="s">
        <v>832</v>
      </c>
      <c r="F494" s="129">
        <v>12</v>
      </c>
      <c r="G494" s="129" t="s">
        <v>753</v>
      </c>
      <c r="H494" s="129">
        <v>12</v>
      </c>
      <c r="I494" s="125"/>
      <c r="J494" s="129" t="s">
        <v>749</v>
      </c>
      <c r="K494" s="123">
        <v>46303</v>
      </c>
      <c r="L494" s="129" t="s">
        <v>978</v>
      </c>
    </row>
    <row r="495" spans="1:12" x14ac:dyDescent="0.4">
      <c r="A495" s="129" t="s">
        <v>1650</v>
      </c>
      <c r="B495" s="129" t="s">
        <v>124</v>
      </c>
      <c r="C495" s="129" t="s">
        <v>1298</v>
      </c>
      <c r="D495" s="130" t="s">
        <v>1299</v>
      </c>
      <c r="E495" s="129" t="s">
        <v>834</v>
      </c>
      <c r="F495" s="129">
        <v>70</v>
      </c>
      <c r="G495" s="129" t="s">
        <v>753</v>
      </c>
      <c r="H495" s="129">
        <v>70</v>
      </c>
      <c r="I495" s="125"/>
      <c r="J495" s="129" t="s">
        <v>749</v>
      </c>
      <c r="K495" s="123">
        <v>46303</v>
      </c>
      <c r="L495" s="129" t="s">
        <v>978</v>
      </c>
    </row>
    <row r="496" spans="1:12" x14ac:dyDescent="0.4">
      <c r="A496" s="129" t="s">
        <v>1650</v>
      </c>
      <c r="B496" s="129" t="s">
        <v>124</v>
      </c>
      <c r="C496" s="129" t="s">
        <v>1298</v>
      </c>
      <c r="D496" s="130" t="s">
        <v>1299</v>
      </c>
      <c r="E496" s="129" t="s">
        <v>828</v>
      </c>
      <c r="F496" s="129">
        <v>60</v>
      </c>
      <c r="G496" s="129" t="s">
        <v>753</v>
      </c>
      <c r="H496" s="129">
        <v>60</v>
      </c>
      <c r="I496" s="125"/>
      <c r="J496" s="129" t="s">
        <v>749</v>
      </c>
      <c r="K496" s="123">
        <v>46303</v>
      </c>
      <c r="L496" s="129" t="s">
        <v>978</v>
      </c>
    </row>
    <row r="497" spans="1:12" x14ac:dyDescent="0.4">
      <c r="A497" s="129" t="s">
        <v>1650</v>
      </c>
      <c r="B497" s="129" t="s">
        <v>124</v>
      </c>
      <c r="C497" s="129" t="s">
        <v>1298</v>
      </c>
      <c r="D497" s="130" t="s">
        <v>1299</v>
      </c>
      <c r="E497" s="129" t="s">
        <v>832</v>
      </c>
      <c r="F497" s="129">
        <v>75</v>
      </c>
      <c r="G497" s="129" t="s">
        <v>753</v>
      </c>
      <c r="H497" s="129">
        <v>75</v>
      </c>
      <c r="I497" s="125"/>
      <c r="J497" s="129" t="s">
        <v>749</v>
      </c>
      <c r="K497" s="123">
        <v>46303</v>
      </c>
      <c r="L497" s="129" t="s">
        <v>978</v>
      </c>
    </row>
    <row r="498" spans="1:12" x14ac:dyDescent="0.4">
      <c r="A498" s="129" t="s">
        <v>1650</v>
      </c>
      <c r="B498" s="129" t="s">
        <v>124</v>
      </c>
      <c r="C498" s="129" t="s">
        <v>1308</v>
      </c>
      <c r="D498" s="130" t="s">
        <v>1309</v>
      </c>
      <c r="E498" s="129" t="s">
        <v>834</v>
      </c>
      <c r="F498" s="129">
        <v>1.7</v>
      </c>
      <c r="G498" s="129" t="s">
        <v>753</v>
      </c>
      <c r="H498" s="129">
        <v>1.7</v>
      </c>
      <c r="I498" s="125"/>
      <c r="J498" s="129" t="s">
        <v>749</v>
      </c>
      <c r="K498" s="123">
        <v>46303</v>
      </c>
      <c r="L498" s="129" t="s">
        <v>978</v>
      </c>
    </row>
    <row r="499" spans="1:12" x14ac:dyDescent="0.4">
      <c r="A499" s="129" t="s">
        <v>1650</v>
      </c>
      <c r="B499" s="129" t="s">
        <v>124</v>
      </c>
      <c r="C499" s="129" t="s">
        <v>1308</v>
      </c>
      <c r="D499" s="130" t="s">
        <v>1309</v>
      </c>
      <c r="E499" s="129" t="s">
        <v>828</v>
      </c>
      <c r="F499" s="129">
        <v>1.5</v>
      </c>
      <c r="G499" s="129" t="s">
        <v>753</v>
      </c>
      <c r="H499" s="129">
        <v>1.5</v>
      </c>
      <c r="I499" s="125"/>
      <c r="J499" s="129" t="s">
        <v>749</v>
      </c>
      <c r="K499" s="123">
        <v>46303</v>
      </c>
      <c r="L499" s="129" t="s">
        <v>978</v>
      </c>
    </row>
    <row r="500" spans="1:12" x14ac:dyDescent="0.4">
      <c r="A500" s="129" t="s">
        <v>1650</v>
      </c>
      <c r="B500" s="129" t="s">
        <v>124</v>
      </c>
      <c r="C500" s="129" t="s">
        <v>1308</v>
      </c>
      <c r="D500" s="130" t="s">
        <v>1309</v>
      </c>
      <c r="E500" s="129" t="s">
        <v>832</v>
      </c>
      <c r="F500" s="129">
        <v>3</v>
      </c>
      <c r="G500" s="129" t="s">
        <v>753</v>
      </c>
      <c r="H500" s="129">
        <v>3</v>
      </c>
      <c r="I500" s="125"/>
      <c r="J500" s="129" t="s">
        <v>749</v>
      </c>
      <c r="K500" s="123">
        <v>46303</v>
      </c>
      <c r="L500" s="129" t="s">
        <v>978</v>
      </c>
    </row>
    <row r="501" spans="1:12" ht="29.15" x14ac:dyDescent="0.4">
      <c r="A501" s="129" t="s">
        <v>1650</v>
      </c>
      <c r="B501" s="129" t="s">
        <v>124</v>
      </c>
      <c r="C501" s="129" t="s">
        <v>1313</v>
      </c>
      <c r="D501" s="130" t="s">
        <v>1314</v>
      </c>
      <c r="E501" s="129" t="s">
        <v>834</v>
      </c>
      <c r="F501" s="129">
        <v>35</v>
      </c>
      <c r="G501" s="129" t="s">
        <v>753</v>
      </c>
      <c r="H501" s="129">
        <v>35</v>
      </c>
      <c r="I501" s="125"/>
      <c r="J501" s="129" t="s">
        <v>749</v>
      </c>
      <c r="K501" s="123">
        <v>46303</v>
      </c>
      <c r="L501" s="129" t="s">
        <v>978</v>
      </c>
    </row>
    <row r="502" spans="1:12" ht="29.15" x14ac:dyDescent="0.4">
      <c r="A502" s="129" t="s">
        <v>1650</v>
      </c>
      <c r="B502" s="129" t="s">
        <v>124</v>
      </c>
      <c r="C502" s="129" t="s">
        <v>1313</v>
      </c>
      <c r="D502" s="130" t="s">
        <v>1314</v>
      </c>
      <c r="E502" s="129" t="s">
        <v>828</v>
      </c>
      <c r="F502" s="129">
        <v>20</v>
      </c>
      <c r="G502" s="129" t="s">
        <v>753</v>
      </c>
      <c r="H502" s="129">
        <v>20</v>
      </c>
      <c r="I502" s="125"/>
      <c r="J502" s="129" t="s">
        <v>749</v>
      </c>
      <c r="K502" s="123">
        <v>46303</v>
      </c>
      <c r="L502" s="129" t="s">
        <v>978</v>
      </c>
    </row>
    <row r="503" spans="1:12" ht="29.15" x14ac:dyDescent="0.4">
      <c r="A503" s="129" t="s">
        <v>1650</v>
      </c>
      <c r="B503" s="129" t="s">
        <v>124</v>
      </c>
      <c r="C503" s="129" t="s">
        <v>1313</v>
      </c>
      <c r="D503" s="130" t="s">
        <v>1314</v>
      </c>
      <c r="E503" s="129" t="s">
        <v>832</v>
      </c>
      <c r="F503" s="129">
        <v>40</v>
      </c>
      <c r="G503" s="129" t="s">
        <v>753</v>
      </c>
      <c r="H503" s="129">
        <v>40</v>
      </c>
      <c r="I503" s="125"/>
      <c r="J503" s="129" t="s">
        <v>749</v>
      </c>
      <c r="K503" s="123">
        <v>46303</v>
      </c>
      <c r="L503" s="129" t="s">
        <v>978</v>
      </c>
    </row>
    <row r="504" spans="1:12" ht="29.15" x14ac:dyDescent="0.4">
      <c r="A504" s="129" t="s">
        <v>1650</v>
      </c>
      <c r="B504" s="129" t="s">
        <v>124</v>
      </c>
      <c r="C504" s="129" t="s">
        <v>1317</v>
      </c>
      <c r="D504" s="130" t="s">
        <v>1318</v>
      </c>
      <c r="E504" s="129" t="s">
        <v>834</v>
      </c>
      <c r="F504" s="129">
        <v>2</v>
      </c>
      <c r="G504" s="129" t="s">
        <v>753</v>
      </c>
      <c r="H504" s="129">
        <v>2</v>
      </c>
      <c r="I504" s="125"/>
      <c r="J504" s="129" t="s">
        <v>749</v>
      </c>
      <c r="K504" s="123">
        <v>46303</v>
      </c>
      <c r="L504" s="129" t="s">
        <v>978</v>
      </c>
    </row>
    <row r="505" spans="1:12" ht="29.15" x14ac:dyDescent="0.4">
      <c r="A505" s="129" t="s">
        <v>1650</v>
      </c>
      <c r="B505" s="129" t="s">
        <v>124</v>
      </c>
      <c r="C505" s="129" t="s">
        <v>1317</v>
      </c>
      <c r="D505" s="130" t="s">
        <v>1318</v>
      </c>
      <c r="E505" s="129" t="s">
        <v>828</v>
      </c>
      <c r="F505" s="129">
        <v>1</v>
      </c>
      <c r="G505" s="129" t="s">
        <v>753</v>
      </c>
      <c r="H505" s="129">
        <v>1</v>
      </c>
      <c r="I505" s="125"/>
      <c r="J505" s="129" t="s">
        <v>749</v>
      </c>
      <c r="K505" s="123">
        <v>46303</v>
      </c>
      <c r="L505" s="129" t="s">
        <v>978</v>
      </c>
    </row>
    <row r="506" spans="1:12" ht="29.15" x14ac:dyDescent="0.4">
      <c r="A506" s="129" t="s">
        <v>1650</v>
      </c>
      <c r="B506" s="129" t="s">
        <v>124</v>
      </c>
      <c r="C506" s="129" t="s">
        <v>1317</v>
      </c>
      <c r="D506" s="130" t="s">
        <v>1318</v>
      </c>
      <c r="E506" s="129" t="s">
        <v>832</v>
      </c>
      <c r="F506" s="129">
        <v>3</v>
      </c>
      <c r="G506" s="129" t="s">
        <v>753</v>
      </c>
      <c r="H506" s="129">
        <v>3</v>
      </c>
      <c r="I506" s="125"/>
      <c r="J506" s="129" t="s">
        <v>749</v>
      </c>
      <c r="K506" s="123">
        <v>46303</v>
      </c>
      <c r="L506" s="129" t="s">
        <v>978</v>
      </c>
    </row>
    <row r="507" spans="1:12" x14ac:dyDescent="0.4">
      <c r="A507" s="129" t="s">
        <v>1650</v>
      </c>
      <c r="B507" s="129" t="s">
        <v>124</v>
      </c>
      <c r="C507" s="129" t="s">
        <v>1321</v>
      </c>
      <c r="D507" s="130" t="s">
        <v>1322</v>
      </c>
      <c r="E507" s="129" t="s">
        <v>834</v>
      </c>
      <c r="F507" s="129">
        <v>0</v>
      </c>
      <c r="G507" s="129" t="s">
        <v>753</v>
      </c>
      <c r="H507" s="129">
        <v>0</v>
      </c>
      <c r="I507" s="125"/>
      <c r="J507" s="129" t="s">
        <v>749</v>
      </c>
      <c r="K507" s="123">
        <v>46303</v>
      </c>
      <c r="L507" s="129" t="s">
        <v>978</v>
      </c>
    </row>
    <row r="508" spans="1:12" x14ac:dyDescent="0.4">
      <c r="A508" s="129" t="s">
        <v>1650</v>
      </c>
      <c r="B508" s="129" t="s">
        <v>124</v>
      </c>
      <c r="C508" s="129" t="s">
        <v>1321</v>
      </c>
      <c r="D508" s="130" t="s">
        <v>1322</v>
      </c>
      <c r="E508" s="129" t="s">
        <v>828</v>
      </c>
      <c r="F508" s="129">
        <v>2</v>
      </c>
      <c r="G508" s="129" t="s">
        <v>753</v>
      </c>
      <c r="H508" s="129">
        <v>2</v>
      </c>
      <c r="I508" s="125"/>
      <c r="J508" s="129" t="s">
        <v>749</v>
      </c>
      <c r="K508" s="123">
        <v>46303</v>
      </c>
      <c r="L508" s="129" t="s">
        <v>978</v>
      </c>
    </row>
    <row r="509" spans="1:12" x14ac:dyDescent="0.4">
      <c r="A509" s="129" t="s">
        <v>1650</v>
      </c>
      <c r="B509" s="129" t="s">
        <v>124</v>
      </c>
      <c r="C509" s="129" t="s">
        <v>1321</v>
      </c>
      <c r="D509" s="130" t="s">
        <v>1322</v>
      </c>
      <c r="E509" s="129" t="s">
        <v>832</v>
      </c>
      <c r="F509" s="129">
        <v>5</v>
      </c>
      <c r="G509" s="129" t="s">
        <v>753</v>
      </c>
      <c r="H509" s="129">
        <v>5</v>
      </c>
      <c r="I509" s="125"/>
      <c r="J509" s="129" t="s">
        <v>749</v>
      </c>
      <c r="K509" s="123">
        <v>46303</v>
      </c>
      <c r="L509" s="129" t="s">
        <v>978</v>
      </c>
    </row>
    <row r="510" spans="1:12" x14ac:dyDescent="0.4">
      <c r="A510" s="129" t="s">
        <v>1650</v>
      </c>
      <c r="B510" s="129" t="s">
        <v>124</v>
      </c>
      <c r="C510" s="129" t="s">
        <v>1326</v>
      </c>
      <c r="D510" s="130" t="s">
        <v>1327</v>
      </c>
      <c r="E510" s="129" t="s">
        <v>834</v>
      </c>
      <c r="F510" s="129">
        <v>2</v>
      </c>
      <c r="G510" s="129" t="s">
        <v>753</v>
      </c>
      <c r="H510" s="129">
        <v>2</v>
      </c>
      <c r="I510" s="125"/>
      <c r="J510" s="129" t="s">
        <v>749</v>
      </c>
      <c r="K510" s="123">
        <v>46303</v>
      </c>
      <c r="L510" s="129" t="s">
        <v>978</v>
      </c>
    </row>
    <row r="511" spans="1:12" x14ac:dyDescent="0.4">
      <c r="A511" s="129" t="s">
        <v>1650</v>
      </c>
      <c r="B511" s="129" t="s">
        <v>124</v>
      </c>
      <c r="C511" s="129" t="s">
        <v>1326</v>
      </c>
      <c r="D511" s="130" t="s">
        <v>1327</v>
      </c>
      <c r="E511" s="129" t="s">
        <v>828</v>
      </c>
      <c r="F511" s="129">
        <v>3</v>
      </c>
      <c r="G511" s="129" t="s">
        <v>753</v>
      </c>
      <c r="H511" s="129">
        <v>3</v>
      </c>
      <c r="I511" s="125"/>
      <c r="J511" s="129" t="s">
        <v>749</v>
      </c>
      <c r="K511" s="123">
        <v>46303</v>
      </c>
      <c r="L511" s="129" t="s">
        <v>978</v>
      </c>
    </row>
    <row r="512" spans="1:12" x14ac:dyDescent="0.4">
      <c r="A512" s="129" t="s">
        <v>1650</v>
      </c>
      <c r="B512" s="129" t="s">
        <v>124</v>
      </c>
      <c r="C512" s="129" t="s">
        <v>1326</v>
      </c>
      <c r="D512" s="130" t="s">
        <v>1327</v>
      </c>
      <c r="E512" s="129" t="s">
        <v>832</v>
      </c>
      <c r="F512" s="129">
        <v>6</v>
      </c>
      <c r="G512" s="129" t="s">
        <v>753</v>
      </c>
      <c r="H512" s="129">
        <v>6</v>
      </c>
      <c r="I512" s="125"/>
      <c r="J512" s="129" t="s">
        <v>749</v>
      </c>
      <c r="K512" s="123">
        <v>46303</v>
      </c>
      <c r="L512" s="129" t="s">
        <v>978</v>
      </c>
    </row>
    <row r="513" spans="1:12" ht="29.15" x14ac:dyDescent="0.4">
      <c r="A513" s="129" t="s">
        <v>1650</v>
      </c>
      <c r="B513" s="129" t="s">
        <v>124</v>
      </c>
      <c r="C513" s="129" t="s">
        <v>1330</v>
      </c>
      <c r="D513" s="130" t="s">
        <v>1331</v>
      </c>
      <c r="E513" s="129" t="s">
        <v>834</v>
      </c>
      <c r="F513" s="129">
        <v>12</v>
      </c>
      <c r="G513" s="129" t="s">
        <v>753</v>
      </c>
      <c r="H513" s="129">
        <v>12</v>
      </c>
      <c r="I513" s="125"/>
      <c r="J513" s="129" t="s">
        <v>749</v>
      </c>
      <c r="K513" s="123">
        <v>46303</v>
      </c>
      <c r="L513" s="129" t="s">
        <v>978</v>
      </c>
    </row>
    <row r="514" spans="1:12" ht="29.15" x14ac:dyDescent="0.4">
      <c r="A514" s="129" t="s">
        <v>1650</v>
      </c>
      <c r="B514" s="129" t="s">
        <v>124</v>
      </c>
      <c r="C514" s="129" t="s">
        <v>1330</v>
      </c>
      <c r="D514" s="130" t="s">
        <v>1331</v>
      </c>
      <c r="E514" s="129" t="s">
        <v>828</v>
      </c>
      <c r="F514" s="129">
        <v>30</v>
      </c>
      <c r="G514" s="129" t="s">
        <v>753</v>
      </c>
      <c r="H514" s="129">
        <v>30</v>
      </c>
      <c r="I514" s="125"/>
      <c r="J514" s="129" t="s">
        <v>749</v>
      </c>
      <c r="K514" s="123">
        <v>46303</v>
      </c>
      <c r="L514" s="129" t="s">
        <v>978</v>
      </c>
    </row>
    <row r="515" spans="1:12" ht="29.15" x14ac:dyDescent="0.4">
      <c r="A515" s="129" t="s">
        <v>1650</v>
      </c>
      <c r="B515" s="129" t="s">
        <v>124</v>
      </c>
      <c r="C515" s="129" t="s">
        <v>1330</v>
      </c>
      <c r="D515" s="130" t="s">
        <v>1331</v>
      </c>
      <c r="E515" s="129" t="s">
        <v>832</v>
      </c>
      <c r="F515" s="129">
        <v>60</v>
      </c>
      <c r="G515" s="129" t="s">
        <v>753</v>
      </c>
      <c r="H515" s="129">
        <v>60</v>
      </c>
      <c r="I515" s="125"/>
      <c r="J515" s="129" t="s">
        <v>749</v>
      </c>
      <c r="K515" s="123">
        <v>46303</v>
      </c>
      <c r="L515" s="129" t="s">
        <v>978</v>
      </c>
    </row>
    <row r="516" spans="1:12" ht="29.15" x14ac:dyDescent="0.4">
      <c r="A516" s="129" t="s">
        <v>1650</v>
      </c>
      <c r="B516" s="129" t="s">
        <v>124</v>
      </c>
      <c r="C516" s="129" t="s">
        <v>1366</v>
      </c>
      <c r="D516" s="130" t="s">
        <v>1367</v>
      </c>
      <c r="E516" s="129" t="s">
        <v>834</v>
      </c>
      <c r="F516" s="129">
        <v>5</v>
      </c>
      <c r="G516" s="129" t="s">
        <v>753</v>
      </c>
      <c r="H516" s="129">
        <v>5</v>
      </c>
      <c r="I516" s="125"/>
      <c r="J516" s="129" t="s">
        <v>749</v>
      </c>
      <c r="K516" s="123">
        <v>46303</v>
      </c>
      <c r="L516" s="129" t="s">
        <v>978</v>
      </c>
    </row>
    <row r="517" spans="1:12" ht="29.15" x14ac:dyDescent="0.4">
      <c r="A517" s="129" t="s">
        <v>1650</v>
      </c>
      <c r="B517" s="129" t="s">
        <v>124</v>
      </c>
      <c r="C517" s="129" t="s">
        <v>1366</v>
      </c>
      <c r="D517" s="130" t="s">
        <v>1367</v>
      </c>
      <c r="E517" s="129" t="s">
        <v>828</v>
      </c>
      <c r="F517" s="129">
        <v>10</v>
      </c>
      <c r="G517" s="129" t="s">
        <v>753</v>
      </c>
      <c r="H517" s="129">
        <v>10</v>
      </c>
      <c r="I517" s="125"/>
      <c r="J517" s="129" t="s">
        <v>749</v>
      </c>
      <c r="K517" s="123">
        <v>46303</v>
      </c>
      <c r="L517" s="129" t="s">
        <v>978</v>
      </c>
    </row>
    <row r="518" spans="1:12" ht="29.15" x14ac:dyDescent="0.4">
      <c r="A518" s="129" t="s">
        <v>1650</v>
      </c>
      <c r="B518" s="129" t="s">
        <v>124</v>
      </c>
      <c r="C518" s="129" t="s">
        <v>1366</v>
      </c>
      <c r="D518" s="130" t="s">
        <v>1367</v>
      </c>
      <c r="E518" s="129" t="s">
        <v>832</v>
      </c>
      <c r="F518" s="129">
        <v>30</v>
      </c>
      <c r="G518" s="129" t="s">
        <v>753</v>
      </c>
      <c r="H518" s="129">
        <v>30</v>
      </c>
      <c r="I518" s="125"/>
      <c r="J518" s="129" t="s">
        <v>749</v>
      </c>
      <c r="K518" s="123">
        <v>46303</v>
      </c>
      <c r="L518" s="129" t="s">
        <v>978</v>
      </c>
    </row>
    <row r="519" spans="1:12" ht="29.15" x14ac:dyDescent="0.4">
      <c r="A519" s="129" t="s">
        <v>1650</v>
      </c>
      <c r="B519" s="129" t="s">
        <v>124</v>
      </c>
      <c r="C519" s="129" t="s">
        <v>1370</v>
      </c>
      <c r="D519" s="130" t="s">
        <v>1371</v>
      </c>
      <c r="E519" s="129" t="s">
        <v>834</v>
      </c>
      <c r="F519" s="129">
        <v>12</v>
      </c>
      <c r="G519" s="129" t="s">
        <v>753</v>
      </c>
      <c r="H519" s="129">
        <v>12</v>
      </c>
      <c r="I519" s="125"/>
      <c r="J519" s="129" t="s">
        <v>749</v>
      </c>
      <c r="K519" s="123">
        <v>46303</v>
      </c>
      <c r="L519" s="129" t="s">
        <v>978</v>
      </c>
    </row>
    <row r="520" spans="1:12" ht="29.15" x14ac:dyDescent="0.4">
      <c r="A520" s="129" t="s">
        <v>1650</v>
      </c>
      <c r="B520" s="129" t="s">
        <v>124</v>
      </c>
      <c r="C520" s="129" t="s">
        <v>1370</v>
      </c>
      <c r="D520" s="130" t="s">
        <v>1371</v>
      </c>
      <c r="E520" s="129" t="s">
        <v>828</v>
      </c>
      <c r="F520" s="129">
        <v>20</v>
      </c>
      <c r="G520" s="129" t="s">
        <v>753</v>
      </c>
      <c r="H520" s="129">
        <v>20</v>
      </c>
      <c r="I520" s="125"/>
      <c r="J520" s="129" t="s">
        <v>749</v>
      </c>
      <c r="K520" s="123">
        <v>46303</v>
      </c>
      <c r="L520" s="129" t="s">
        <v>978</v>
      </c>
    </row>
    <row r="521" spans="1:12" ht="29.15" x14ac:dyDescent="0.4">
      <c r="A521" s="129" t="s">
        <v>1650</v>
      </c>
      <c r="B521" s="129" t="s">
        <v>124</v>
      </c>
      <c r="C521" s="129" t="s">
        <v>1370</v>
      </c>
      <c r="D521" s="130" t="s">
        <v>1371</v>
      </c>
      <c r="E521" s="129" t="s">
        <v>832</v>
      </c>
      <c r="F521" s="129">
        <v>40</v>
      </c>
      <c r="G521" s="129" t="s">
        <v>753</v>
      </c>
      <c r="H521" s="129">
        <v>40</v>
      </c>
      <c r="I521" s="125"/>
      <c r="J521" s="129" t="s">
        <v>749</v>
      </c>
      <c r="K521" s="123">
        <v>46303</v>
      </c>
      <c r="L521" s="129" t="s">
        <v>978</v>
      </c>
    </row>
    <row r="522" spans="1:12" ht="29.15" x14ac:dyDescent="0.4">
      <c r="A522" s="129" t="s">
        <v>1650</v>
      </c>
      <c r="B522" s="129" t="s">
        <v>124</v>
      </c>
      <c r="C522" s="129" t="s">
        <v>1334</v>
      </c>
      <c r="D522" s="130" t="s">
        <v>1335</v>
      </c>
      <c r="E522" s="129" t="s">
        <v>834</v>
      </c>
      <c r="F522" s="129">
        <v>1</v>
      </c>
      <c r="G522" s="129" t="s">
        <v>753</v>
      </c>
      <c r="H522" s="129">
        <v>1</v>
      </c>
      <c r="I522" s="125"/>
      <c r="J522" s="129" t="s">
        <v>749</v>
      </c>
      <c r="K522" s="123">
        <v>46303</v>
      </c>
      <c r="L522" s="129" t="s">
        <v>978</v>
      </c>
    </row>
    <row r="523" spans="1:12" ht="29.15" x14ac:dyDescent="0.4">
      <c r="A523" s="129" t="s">
        <v>1650</v>
      </c>
      <c r="B523" s="129" t="s">
        <v>124</v>
      </c>
      <c r="C523" s="129" t="s">
        <v>1334</v>
      </c>
      <c r="D523" s="130" t="s">
        <v>1335</v>
      </c>
      <c r="E523" s="129" t="s">
        <v>828</v>
      </c>
      <c r="F523" s="129">
        <v>1</v>
      </c>
      <c r="G523" s="129" t="s">
        <v>753</v>
      </c>
      <c r="H523" s="129">
        <v>1</v>
      </c>
      <c r="I523" s="125"/>
      <c r="J523" s="129" t="s">
        <v>749</v>
      </c>
      <c r="K523" s="123">
        <v>46303</v>
      </c>
      <c r="L523" s="129" t="s">
        <v>978</v>
      </c>
    </row>
    <row r="524" spans="1:12" ht="29.15" x14ac:dyDescent="0.4">
      <c r="A524" s="129" t="s">
        <v>1650</v>
      </c>
      <c r="B524" s="129" t="s">
        <v>124</v>
      </c>
      <c r="C524" s="129" t="s">
        <v>1334</v>
      </c>
      <c r="D524" s="130" t="s">
        <v>1335</v>
      </c>
      <c r="E524" s="129" t="s">
        <v>832</v>
      </c>
      <c r="F524" s="129">
        <v>2</v>
      </c>
      <c r="G524" s="129" t="s">
        <v>753</v>
      </c>
      <c r="H524" s="129">
        <v>2</v>
      </c>
      <c r="I524" s="125"/>
      <c r="J524" s="129" t="s">
        <v>749</v>
      </c>
      <c r="K524" s="123">
        <v>46303</v>
      </c>
      <c r="L524" s="129" t="s">
        <v>978</v>
      </c>
    </row>
    <row r="525" spans="1:12" ht="29.15" x14ac:dyDescent="0.4">
      <c r="A525" s="129" t="s">
        <v>1650</v>
      </c>
      <c r="B525" s="129" t="s">
        <v>124</v>
      </c>
      <c r="C525" s="129" t="s">
        <v>1337</v>
      </c>
      <c r="D525" s="130" t="s">
        <v>1338</v>
      </c>
      <c r="E525" s="129" t="s">
        <v>834</v>
      </c>
      <c r="F525" s="129">
        <v>0.5</v>
      </c>
      <c r="G525" s="129" t="s">
        <v>753</v>
      </c>
      <c r="H525" s="129">
        <v>0.5</v>
      </c>
      <c r="I525" s="125"/>
      <c r="J525" s="129" t="s">
        <v>749</v>
      </c>
      <c r="K525" s="123">
        <v>46303</v>
      </c>
      <c r="L525" s="129" t="s">
        <v>978</v>
      </c>
    </row>
    <row r="526" spans="1:12" ht="29.15" x14ac:dyDescent="0.4">
      <c r="A526" s="129" t="s">
        <v>1650</v>
      </c>
      <c r="B526" s="129" t="s">
        <v>124</v>
      </c>
      <c r="C526" s="129" t="s">
        <v>1337</v>
      </c>
      <c r="D526" s="130" t="s">
        <v>1338</v>
      </c>
      <c r="E526" s="129" t="s">
        <v>828</v>
      </c>
      <c r="F526" s="129">
        <v>4</v>
      </c>
      <c r="G526" s="129" t="s">
        <v>753</v>
      </c>
      <c r="H526" s="129">
        <v>4</v>
      </c>
      <c r="I526" s="125"/>
      <c r="J526" s="129" t="s">
        <v>749</v>
      </c>
      <c r="K526" s="123">
        <v>46303</v>
      </c>
      <c r="L526" s="129" t="s">
        <v>978</v>
      </c>
    </row>
    <row r="527" spans="1:12" ht="29.15" x14ac:dyDescent="0.4">
      <c r="A527" s="129" t="s">
        <v>1650</v>
      </c>
      <c r="B527" s="129" t="s">
        <v>124</v>
      </c>
      <c r="C527" s="129" t="s">
        <v>1337</v>
      </c>
      <c r="D527" s="130" t="s">
        <v>1338</v>
      </c>
      <c r="E527" s="129" t="s">
        <v>832</v>
      </c>
      <c r="F527" s="129">
        <v>12</v>
      </c>
      <c r="G527" s="129" t="s">
        <v>753</v>
      </c>
      <c r="H527" s="129">
        <v>12</v>
      </c>
      <c r="I527" s="125"/>
      <c r="J527" s="129" t="s">
        <v>749</v>
      </c>
      <c r="K527" s="123">
        <v>46303</v>
      </c>
      <c r="L527" s="129" t="s">
        <v>978</v>
      </c>
    </row>
    <row r="528" spans="1:12" x14ac:dyDescent="0.4">
      <c r="A528" s="129" t="s">
        <v>1650</v>
      </c>
      <c r="B528" s="129" t="s">
        <v>124</v>
      </c>
      <c r="C528" s="129" t="s">
        <v>1340</v>
      </c>
      <c r="D528" s="130" t="s">
        <v>1341</v>
      </c>
      <c r="E528" s="129" t="s">
        <v>834</v>
      </c>
      <c r="F528" s="129">
        <v>19</v>
      </c>
      <c r="G528" s="129" t="s">
        <v>753</v>
      </c>
      <c r="H528" s="129">
        <v>19</v>
      </c>
      <c r="I528" s="125"/>
      <c r="J528" s="129" t="s">
        <v>749</v>
      </c>
      <c r="K528" s="123">
        <v>46303</v>
      </c>
      <c r="L528" s="129" t="s">
        <v>978</v>
      </c>
    </row>
    <row r="529" spans="1:12" x14ac:dyDescent="0.4">
      <c r="A529" s="129" t="s">
        <v>1650</v>
      </c>
      <c r="B529" s="129" t="s">
        <v>124</v>
      </c>
      <c r="C529" s="129" t="s">
        <v>1340</v>
      </c>
      <c r="D529" s="130" t="s">
        <v>1341</v>
      </c>
      <c r="E529" s="129" t="s">
        <v>828</v>
      </c>
      <c r="F529" s="129">
        <v>20</v>
      </c>
      <c r="G529" s="129" t="s">
        <v>753</v>
      </c>
      <c r="H529" s="129">
        <v>20</v>
      </c>
      <c r="I529" s="125"/>
      <c r="J529" s="129" t="s">
        <v>749</v>
      </c>
      <c r="K529" s="123">
        <v>46303</v>
      </c>
      <c r="L529" s="129" t="s">
        <v>978</v>
      </c>
    </row>
    <row r="530" spans="1:12" x14ac:dyDescent="0.4">
      <c r="A530" s="129" t="s">
        <v>1650</v>
      </c>
      <c r="B530" s="129" t="s">
        <v>124</v>
      </c>
      <c r="C530" s="129" t="s">
        <v>1340</v>
      </c>
      <c r="D530" s="130" t="s">
        <v>1341</v>
      </c>
      <c r="E530" s="129" t="s">
        <v>832</v>
      </c>
      <c r="F530" s="129">
        <v>50</v>
      </c>
      <c r="G530" s="129" t="s">
        <v>753</v>
      </c>
      <c r="H530" s="129">
        <v>50</v>
      </c>
      <c r="I530" s="125"/>
      <c r="J530" s="129" t="s">
        <v>749</v>
      </c>
      <c r="K530" s="123">
        <v>46303</v>
      </c>
      <c r="L530" s="129" t="s">
        <v>978</v>
      </c>
    </row>
    <row r="531" spans="1:12" x14ac:dyDescent="0.4">
      <c r="A531" s="129" t="s">
        <v>1650</v>
      </c>
      <c r="B531" s="129" t="s">
        <v>124</v>
      </c>
      <c r="C531" s="129" t="s">
        <v>1345</v>
      </c>
      <c r="D531" s="130" t="s">
        <v>1346</v>
      </c>
      <c r="E531" s="129" t="s">
        <v>834</v>
      </c>
      <c r="F531" s="129">
        <v>4</v>
      </c>
      <c r="G531" s="129" t="s">
        <v>753</v>
      </c>
      <c r="H531" s="129">
        <v>4</v>
      </c>
      <c r="I531" s="125"/>
      <c r="J531" s="129" t="s">
        <v>749</v>
      </c>
      <c r="K531" s="123">
        <v>46303</v>
      </c>
      <c r="L531" s="129" t="s">
        <v>978</v>
      </c>
    </row>
    <row r="532" spans="1:12" x14ac:dyDescent="0.4">
      <c r="A532" s="129" t="s">
        <v>1650</v>
      </c>
      <c r="B532" s="129" t="s">
        <v>124</v>
      </c>
      <c r="C532" s="129" t="s">
        <v>1345</v>
      </c>
      <c r="D532" s="130" t="s">
        <v>1346</v>
      </c>
      <c r="E532" s="129" t="s">
        <v>828</v>
      </c>
      <c r="F532" s="129">
        <v>5</v>
      </c>
      <c r="G532" s="129" t="s">
        <v>753</v>
      </c>
      <c r="H532" s="129">
        <v>5</v>
      </c>
      <c r="I532" s="125"/>
      <c r="J532" s="129" t="s">
        <v>749</v>
      </c>
      <c r="K532" s="123">
        <v>46303</v>
      </c>
      <c r="L532" s="129" t="s">
        <v>978</v>
      </c>
    </row>
    <row r="533" spans="1:12" x14ac:dyDescent="0.4">
      <c r="A533" s="129" t="s">
        <v>1650</v>
      </c>
      <c r="B533" s="129" t="s">
        <v>124</v>
      </c>
      <c r="C533" s="129" t="s">
        <v>1345</v>
      </c>
      <c r="D533" s="130" t="s">
        <v>1346</v>
      </c>
      <c r="E533" s="129" t="s">
        <v>832</v>
      </c>
      <c r="F533" s="129">
        <v>15</v>
      </c>
      <c r="G533" s="129" t="s">
        <v>753</v>
      </c>
      <c r="H533" s="129">
        <v>15</v>
      </c>
      <c r="I533" s="125"/>
      <c r="J533" s="129" t="s">
        <v>749</v>
      </c>
      <c r="K533" s="123">
        <v>46303</v>
      </c>
      <c r="L533" s="129" t="s">
        <v>978</v>
      </c>
    </row>
    <row r="534" spans="1:12" ht="29.15" x14ac:dyDescent="0.4">
      <c r="A534" s="129" t="s">
        <v>1650</v>
      </c>
      <c r="B534" s="129" t="s">
        <v>124</v>
      </c>
      <c r="C534" s="129" t="s">
        <v>1374</v>
      </c>
      <c r="D534" s="130" t="s">
        <v>1375</v>
      </c>
      <c r="E534" s="129" t="s">
        <v>834</v>
      </c>
      <c r="F534" s="129">
        <v>4</v>
      </c>
      <c r="G534" s="129" t="s">
        <v>753</v>
      </c>
      <c r="H534" s="129">
        <v>4</v>
      </c>
      <c r="I534" s="125"/>
      <c r="J534" s="129" t="s">
        <v>749</v>
      </c>
      <c r="K534" s="123">
        <v>46303</v>
      </c>
      <c r="L534" s="129" t="s">
        <v>978</v>
      </c>
    </row>
    <row r="535" spans="1:12" ht="29.15" x14ac:dyDescent="0.4">
      <c r="A535" s="129" t="s">
        <v>1650</v>
      </c>
      <c r="B535" s="129" t="s">
        <v>124</v>
      </c>
      <c r="C535" s="129" t="s">
        <v>1374</v>
      </c>
      <c r="D535" s="130" t="s">
        <v>1375</v>
      </c>
      <c r="E535" s="129" t="s">
        <v>828</v>
      </c>
      <c r="F535" s="129">
        <v>2</v>
      </c>
      <c r="G535" s="129" t="s">
        <v>753</v>
      </c>
      <c r="H535" s="129">
        <v>2</v>
      </c>
      <c r="I535" s="125"/>
      <c r="J535" s="129" t="s">
        <v>749</v>
      </c>
      <c r="K535" s="123">
        <v>46303</v>
      </c>
      <c r="L535" s="129" t="s">
        <v>978</v>
      </c>
    </row>
    <row r="536" spans="1:12" ht="29.15" x14ac:dyDescent="0.4">
      <c r="A536" s="129" t="s">
        <v>1650</v>
      </c>
      <c r="B536" s="129" t="s">
        <v>124</v>
      </c>
      <c r="C536" s="129" t="s">
        <v>1374</v>
      </c>
      <c r="D536" s="130" t="s">
        <v>1375</v>
      </c>
      <c r="E536" s="129" t="s">
        <v>832</v>
      </c>
      <c r="F536" s="129">
        <v>5</v>
      </c>
      <c r="G536" s="129" t="s">
        <v>753</v>
      </c>
      <c r="H536" s="129">
        <v>5</v>
      </c>
      <c r="I536" s="125"/>
      <c r="J536" s="129" t="s">
        <v>749</v>
      </c>
      <c r="K536" s="123">
        <v>46303</v>
      </c>
      <c r="L536" s="129" t="s">
        <v>978</v>
      </c>
    </row>
    <row r="537" spans="1:12" ht="29.15" x14ac:dyDescent="0.4">
      <c r="A537" s="129" t="s">
        <v>1650</v>
      </c>
      <c r="B537" s="129" t="s">
        <v>124</v>
      </c>
      <c r="C537" s="129" t="s">
        <v>1378</v>
      </c>
      <c r="D537" s="130" t="s">
        <v>1379</v>
      </c>
      <c r="E537" s="129" t="s">
        <v>834</v>
      </c>
      <c r="F537" s="129">
        <v>8</v>
      </c>
      <c r="G537" s="129" t="s">
        <v>753</v>
      </c>
      <c r="H537" s="129">
        <v>8</v>
      </c>
      <c r="I537" s="125"/>
      <c r="J537" s="129" t="s">
        <v>749</v>
      </c>
      <c r="K537" s="123">
        <v>46303</v>
      </c>
      <c r="L537" s="129" t="s">
        <v>978</v>
      </c>
    </row>
    <row r="538" spans="1:12" ht="29.15" x14ac:dyDescent="0.4">
      <c r="A538" s="129" t="s">
        <v>1650</v>
      </c>
      <c r="B538" s="129" t="s">
        <v>124</v>
      </c>
      <c r="C538" s="129" t="s">
        <v>1378</v>
      </c>
      <c r="D538" s="130" t="s">
        <v>1379</v>
      </c>
      <c r="E538" s="129" t="s">
        <v>828</v>
      </c>
      <c r="F538" s="129">
        <v>5</v>
      </c>
      <c r="G538" s="129" t="s">
        <v>753</v>
      </c>
      <c r="H538" s="129">
        <v>5</v>
      </c>
      <c r="I538" s="125"/>
      <c r="J538" s="129" t="s">
        <v>749</v>
      </c>
      <c r="K538" s="123">
        <v>46303</v>
      </c>
      <c r="L538" s="129" t="s">
        <v>978</v>
      </c>
    </row>
    <row r="539" spans="1:12" ht="29.15" x14ac:dyDescent="0.4">
      <c r="A539" s="129" t="s">
        <v>1650</v>
      </c>
      <c r="B539" s="129" t="s">
        <v>124</v>
      </c>
      <c r="C539" s="129" t="s">
        <v>1378</v>
      </c>
      <c r="D539" s="130" t="s">
        <v>1379</v>
      </c>
      <c r="E539" s="129" t="s">
        <v>832</v>
      </c>
      <c r="F539" s="129">
        <v>15</v>
      </c>
      <c r="G539" s="129" t="s">
        <v>753</v>
      </c>
      <c r="H539" s="129">
        <v>15</v>
      </c>
      <c r="I539" s="125"/>
      <c r="J539" s="129" t="s">
        <v>749</v>
      </c>
      <c r="K539" s="123">
        <v>46303</v>
      </c>
      <c r="L539" s="129" t="s">
        <v>978</v>
      </c>
    </row>
    <row r="540" spans="1:12" ht="29.15" x14ac:dyDescent="0.4">
      <c r="A540" s="129" t="s">
        <v>1650</v>
      </c>
      <c r="B540" s="129" t="s">
        <v>124</v>
      </c>
      <c r="C540" s="129" t="s">
        <v>1382</v>
      </c>
      <c r="D540" s="130" t="s">
        <v>1383</v>
      </c>
      <c r="E540" s="129" t="s">
        <v>834</v>
      </c>
      <c r="F540" s="129">
        <v>2.2999999999999998</v>
      </c>
      <c r="G540" s="129" t="s">
        <v>753</v>
      </c>
      <c r="H540" s="129">
        <v>2.2999999999999998</v>
      </c>
      <c r="I540" s="125"/>
      <c r="J540" s="129" t="s">
        <v>749</v>
      </c>
      <c r="K540" s="123">
        <v>46303</v>
      </c>
      <c r="L540" s="129" t="s">
        <v>978</v>
      </c>
    </row>
    <row r="541" spans="1:12" ht="29.15" x14ac:dyDescent="0.4">
      <c r="A541" s="129" t="s">
        <v>1650</v>
      </c>
      <c r="B541" s="129" t="s">
        <v>124</v>
      </c>
      <c r="C541" s="129" t="s">
        <v>1382</v>
      </c>
      <c r="D541" s="130" t="s">
        <v>1383</v>
      </c>
      <c r="E541" s="129" t="s">
        <v>828</v>
      </c>
      <c r="F541" s="129">
        <v>2</v>
      </c>
      <c r="G541" s="129" t="s">
        <v>753</v>
      </c>
      <c r="H541" s="129">
        <v>2</v>
      </c>
      <c r="I541" s="125"/>
      <c r="J541" s="129" t="s">
        <v>749</v>
      </c>
      <c r="K541" s="123">
        <v>46303</v>
      </c>
      <c r="L541" s="129" t="s">
        <v>978</v>
      </c>
    </row>
    <row r="542" spans="1:12" ht="29.15" x14ac:dyDescent="0.4">
      <c r="A542" s="129" t="s">
        <v>1650</v>
      </c>
      <c r="B542" s="129" t="s">
        <v>124</v>
      </c>
      <c r="C542" s="129" t="s">
        <v>1382</v>
      </c>
      <c r="D542" s="130" t="s">
        <v>1383</v>
      </c>
      <c r="E542" s="129" t="s">
        <v>832</v>
      </c>
      <c r="F542" s="129">
        <v>5</v>
      </c>
      <c r="G542" s="129" t="s">
        <v>753</v>
      </c>
      <c r="H542" s="129">
        <v>5</v>
      </c>
      <c r="I542" s="125"/>
      <c r="J542" s="129" t="s">
        <v>749</v>
      </c>
      <c r="K542" s="123">
        <v>46303</v>
      </c>
      <c r="L542" s="129" t="s">
        <v>978</v>
      </c>
    </row>
    <row r="543" spans="1:12" ht="29.15" x14ac:dyDescent="0.4">
      <c r="A543" s="129" t="s">
        <v>1650</v>
      </c>
      <c r="B543" s="129" t="s">
        <v>124</v>
      </c>
      <c r="C543" s="129" t="s">
        <v>1386</v>
      </c>
      <c r="D543" s="130" t="s">
        <v>1387</v>
      </c>
      <c r="E543" s="129" t="s">
        <v>834</v>
      </c>
      <c r="F543" s="129">
        <v>40</v>
      </c>
      <c r="G543" s="129" t="s">
        <v>753</v>
      </c>
      <c r="H543" s="129">
        <v>40</v>
      </c>
      <c r="I543" s="125"/>
      <c r="J543" s="129" t="s">
        <v>749</v>
      </c>
      <c r="K543" s="123">
        <v>46303</v>
      </c>
      <c r="L543" s="129" t="s">
        <v>978</v>
      </c>
    </row>
    <row r="544" spans="1:12" ht="29.15" x14ac:dyDescent="0.4">
      <c r="A544" s="129" t="s">
        <v>1650</v>
      </c>
      <c r="B544" s="129" t="s">
        <v>124</v>
      </c>
      <c r="C544" s="129" t="s">
        <v>1386</v>
      </c>
      <c r="D544" s="130" t="s">
        <v>1387</v>
      </c>
      <c r="E544" s="129" t="s">
        <v>828</v>
      </c>
      <c r="F544" s="129">
        <v>20</v>
      </c>
      <c r="G544" s="129" t="s">
        <v>753</v>
      </c>
      <c r="H544" s="129">
        <v>20</v>
      </c>
      <c r="I544" s="125"/>
      <c r="J544" s="129" t="s">
        <v>749</v>
      </c>
      <c r="K544" s="123">
        <v>46303</v>
      </c>
      <c r="L544" s="129" t="s">
        <v>978</v>
      </c>
    </row>
    <row r="545" spans="1:12" ht="29.15" x14ac:dyDescent="0.4">
      <c r="A545" s="129" t="s">
        <v>1650</v>
      </c>
      <c r="B545" s="129" t="s">
        <v>124</v>
      </c>
      <c r="C545" s="129" t="s">
        <v>1386</v>
      </c>
      <c r="D545" s="130" t="s">
        <v>1387</v>
      </c>
      <c r="E545" s="129" t="s">
        <v>832</v>
      </c>
      <c r="F545" s="129">
        <v>50</v>
      </c>
      <c r="G545" s="129" t="s">
        <v>753</v>
      </c>
      <c r="H545" s="129">
        <v>50</v>
      </c>
      <c r="I545" s="125"/>
      <c r="J545" s="129" t="s">
        <v>749</v>
      </c>
      <c r="K545" s="123">
        <v>46303</v>
      </c>
      <c r="L545" s="129" t="s">
        <v>978</v>
      </c>
    </row>
    <row r="546" spans="1:12" ht="29.15" x14ac:dyDescent="0.4">
      <c r="A546" s="129" t="s">
        <v>1650</v>
      </c>
      <c r="B546" s="129" t="s">
        <v>124</v>
      </c>
      <c r="C546" s="129" t="s">
        <v>1349</v>
      </c>
      <c r="D546" s="130" t="s">
        <v>1350</v>
      </c>
      <c r="E546" s="129" t="s">
        <v>834</v>
      </c>
      <c r="F546" s="129">
        <v>6</v>
      </c>
      <c r="G546" s="129" t="s">
        <v>753</v>
      </c>
      <c r="H546" s="129">
        <v>6</v>
      </c>
      <c r="I546" s="125"/>
      <c r="J546" s="129" t="s">
        <v>749</v>
      </c>
      <c r="K546" s="123">
        <v>46303</v>
      </c>
      <c r="L546" s="129" t="s">
        <v>978</v>
      </c>
    </row>
    <row r="547" spans="1:12" ht="29.15" x14ac:dyDescent="0.4">
      <c r="A547" s="129" t="s">
        <v>1650</v>
      </c>
      <c r="B547" s="129" t="s">
        <v>124</v>
      </c>
      <c r="C547" s="129" t="s">
        <v>1349</v>
      </c>
      <c r="D547" s="130" t="s">
        <v>1350</v>
      </c>
      <c r="E547" s="129" t="s">
        <v>828</v>
      </c>
      <c r="F547" s="129">
        <v>3</v>
      </c>
      <c r="G547" s="129" t="s">
        <v>753</v>
      </c>
      <c r="H547" s="129">
        <v>3</v>
      </c>
      <c r="I547" s="125"/>
      <c r="J547" s="129" t="s">
        <v>749</v>
      </c>
      <c r="K547" s="123">
        <v>46303</v>
      </c>
      <c r="L547" s="129" t="s">
        <v>978</v>
      </c>
    </row>
    <row r="548" spans="1:12" ht="29.15" x14ac:dyDescent="0.4">
      <c r="A548" s="129" t="s">
        <v>1650</v>
      </c>
      <c r="B548" s="129" t="s">
        <v>124</v>
      </c>
      <c r="C548" s="129" t="s">
        <v>1349</v>
      </c>
      <c r="D548" s="130" t="s">
        <v>1350</v>
      </c>
      <c r="E548" s="129" t="s">
        <v>832</v>
      </c>
      <c r="F548" s="129">
        <v>8</v>
      </c>
      <c r="G548" s="129" t="s">
        <v>753</v>
      </c>
      <c r="H548" s="129">
        <v>8</v>
      </c>
      <c r="I548" s="125"/>
      <c r="J548" s="129" t="s">
        <v>749</v>
      </c>
      <c r="K548" s="123">
        <v>46303</v>
      </c>
      <c r="L548" s="129" t="s">
        <v>978</v>
      </c>
    </row>
    <row r="549" spans="1:12" ht="29.15" x14ac:dyDescent="0.4">
      <c r="A549" s="129" t="s">
        <v>1650</v>
      </c>
      <c r="B549" s="129" t="s">
        <v>124</v>
      </c>
      <c r="C549" s="129" t="s">
        <v>1353</v>
      </c>
      <c r="D549" s="130" t="s">
        <v>1354</v>
      </c>
      <c r="E549" s="129" t="s">
        <v>834</v>
      </c>
      <c r="F549" s="129">
        <v>6</v>
      </c>
      <c r="G549" s="129" t="s">
        <v>753</v>
      </c>
      <c r="H549" s="129">
        <v>6</v>
      </c>
      <c r="I549" s="125"/>
      <c r="J549" s="129" t="s">
        <v>749</v>
      </c>
      <c r="K549" s="123">
        <v>46303</v>
      </c>
      <c r="L549" s="129" t="s">
        <v>978</v>
      </c>
    </row>
    <row r="550" spans="1:12" ht="29.15" x14ac:dyDescent="0.4">
      <c r="A550" s="129" t="s">
        <v>1650</v>
      </c>
      <c r="B550" s="129" t="s">
        <v>124</v>
      </c>
      <c r="C550" s="129" t="s">
        <v>1353</v>
      </c>
      <c r="D550" s="130" t="s">
        <v>1354</v>
      </c>
      <c r="E550" s="129" t="s">
        <v>828</v>
      </c>
      <c r="F550" s="129">
        <v>2</v>
      </c>
      <c r="G550" s="129" t="s">
        <v>753</v>
      </c>
      <c r="H550" s="129">
        <v>2</v>
      </c>
      <c r="I550" s="125"/>
      <c r="J550" s="129" t="s">
        <v>749</v>
      </c>
      <c r="K550" s="123">
        <v>46303</v>
      </c>
      <c r="L550" s="129" t="s">
        <v>978</v>
      </c>
    </row>
    <row r="551" spans="1:12" ht="29.15" x14ac:dyDescent="0.4">
      <c r="A551" s="129" t="s">
        <v>1650</v>
      </c>
      <c r="B551" s="129" t="s">
        <v>124</v>
      </c>
      <c r="C551" s="129" t="s">
        <v>1353</v>
      </c>
      <c r="D551" s="130" t="s">
        <v>1354</v>
      </c>
      <c r="E551" s="129" t="s">
        <v>832</v>
      </c>
      <c r="F551" s="129">
        <v>6</v>
      </c>
      <c r="G551" s="129" t="s">
        <v>753</v>
      </c>
      <c r="H551" s="129">
        <v>6</v>
      </c>
      <c r="I551" s="125"/>
      <c r="J551" s="129" t="s">
        <v>749</v>
      </c>
      <c r="K551" s="123">
        <v>46303</v>
      </c>
      <c r="L551" s="129" t="s">
        <v>978</v>
      </c>
    </row>
    <row r="552" spans="1:12" ht="29.15" x14ac:dyDescent="0.4">
      <c r="A552" s="129" t="s">
        <v>1650</v>
      </c>
      <c r="B552" s="129" t="s">
        <v>124</v>
      </c>
      <c r="C552" s="129" t="s">
        <v>1357</v>
      </c>
      <c r="D552" s="130" t="s">
        <v>1358</v>
      </c>
      <c r="E552" s="129" t="s">
        <v>834</v>
      </c>
      <c r="F552" s="129">
        <v>9</v>
      </c>
      <c r="G552" s="129" t="s">
        <v>753</v>
      </c>
      <c r="H552" s="129">
        <v>9</v>
      </c>
      <c r="I552" s="125"/>
      <c r="J552" s="129" t="s">
        <v>749</v>
      </c>
      <c r="K552" s="123">
        <v>46303</v>
      </c>
      <c r="L552" s="129" t="s">
        <v>978</v>
      </c>
    </row>
    <row r="553" spans="1:12" ht="29.15" x14ac:dyDescent="0.4">
      <c r="A553" s="129" t="s">
        <v>1650</v>
      </c>
      <c r="B553" s="129" t="s">
        <v>124</v>
      </c>
      <c r="C553" s="129" t="s">
        <v>1357</v>
      </c>
      <c r="D553" s="130" t="s">
        <v>1358</v>
      </c>
      <c r="E553" s="129" t="s">
        <v>828</v>
      </c>
      <c r="F553" s="129">
        <v>10</v>
      </c>
      <c r="G553" s="129" t="s">
        <v>753</v>
      </c>
      <c r="H553" s="129">
        <v>10</v>
      </c>
      <c r="I553" s="125"/>
      <c r="J553" s="129" t="s">
        <v>749</v>
      </c>
      <c r="K553" s="123">
        <v>46303</v>
      </c>
      <c r="L553" s="129" t="s">
        <v>978</v>
      </c>
    </row>
    <row r="554" spans="1:12" ht="29.15" x14ac:dyDescent="0.4">
      <c r="A554" s="129" t="s">
        <v>1650</v>
      </c>
      <c r="B554" s="129" t="s">
        <v>124</v>
      </c>
      <c r="C554" s="129" t="s">
        <v>1357</v>
      </c>
      <c r="D554" s="130" t="s">
        <v>1358</v>
      </c>
      <c r="E554" s="129" t="s">
        <v>832</v>
      </c>
      <c r="F554" s="129">
        <v>30</v>
      </c>
      <c r="G554" s="129" t="s">
        <v>753</v>
      </c>
      <c r="H554" s="129">
        <v>30</v>
      </c>
      <c r="I554" s="125"/>
      <c r="J554" s="129" t="s">
        <v>749</v>
      </c>
      <c r="K554" s="123">
        <v>46303</v>
      </c>
      <c r="L554" s="129" t="s">
        <v>978</v>
      </c>
    </row>
    <row r="555" spans="1:12" ht="29.15" x14ac:dyDescent="0.4">
      <c r="A555" s="129" t="s">
        <v>1650</v>
      </c>
      <c r="B555" s="129" t="s">
        <v>124</v>
      </c>
      <c r="C555" s="129" t="s">
        <v>1361</v>
      </c>
      <c r="D555" s="130" t="s">
        <v>1362</v>
      </c>
      <c r="E555" s="129" t="s">
        <v>834</v>
      </c>
      <c r="F555" s="129">
        <v>4</v>
      </c>
      <c r="G555" s="129" t="s">
        <v>753</v>
      </c>
      <c r="H555" s="129">
        <v>4</v>
      </c>
      <c r="I555" s="125"/>
      <c r="J555" s="129" t="s">
        <v>749</v>
      </c>
      <c r="K555" s="123">
        <v>46303</v>
      </c>
      <c r="L555" s="129" t="s">
        <v>978</v>
      </c>
    </row>
    <row r="556" spans="1:12" ht="29.15" x14ac:dyDescent="0.4">
      <c r="A556" s="129" t="s">
        <v>1650</v>
      </c>
      <c r="B556" s="129" t="s">
        <v>124</v>
      </c>
      <c r="C556" s="129" t="s">
        <v>1361</v>
      </c>
      <c r="D556" s="130" t="s">
        <v>1362</v>
      </c>
      <c r="E556" s="129" t="s">
        <v>828</v>
      </c>
      <c r="F556" s="129">
        <v>4</v>
      </c>
      <c r="G556" s="129" t="s">
        <v>753</v>
      </c>
      <c r="H556" s="129">
        <v>4</v>
      </c>
      <c r="I556" s="125"/>
      <c r="J556" s="129" t="s">
        <v>749</v>
      </c>
      <c r="K556" s="123">
        <v>46303</v>
      </c>
      <c r="L556" s="129" t="s">
        <v>978</v>
      </c>
    </row>
    <row r="557" spans="1:12" ht="29.15" x14ac:dyDescent="0.4">
      <c r="A557" s="129" t="s">
        <v>1650</v>
      </c>
      <c r="B557" s="129" t="s">
        <v>124</v>
      </c>
      <c r="C557" s="129" t="s">
        <v>1361</v>
      </c>
      <c r="D557" s="130" t="s">
        <v>1362</v>
      </c>
      <c r="E557" s="129" t="s">
        <v>832</v>
      </c>
      <c r="F557" s="129">
        <v>12</v>
      </c>
      <c r="G557" s="129" t="s">
        <v>753</v>
      </c>
      <c r="H557" s="129">
        <v>12</v>
      </c>
      <c r="I557" s="125"/>
      <c r="J557" s="129" t="s">
        <v>749</v>
      </c>
      <c r="K557" s="123">
        <v>46303</v>
      </c>
      <c r="L557" s="129" t="s">
        <v>978</v>
      </c>
    </row>
    <row r="558" spans="1:12" ht="29.15" x14ac:dyDescent="0.4">
      <c r="A558" s="129" t="s">
        <v>1650</v>
      </c>
      <c r="B558" s="129" t="s">
        <v>124</v>
      </c>
      <c r="C558" s="129" t="s">
        <v>1537</v>
      </c>
      <c r="D558" s="130" t="s">
        <v>1538</v>
      </c>
      <c r="E558" s="129" t="s">
        <v>834</v>
      </c>
      <c r="F558" s="129">
        <v>0</v>
      </c>
      <c r="G558" s="129" t="s">
        <v>753</v>
      </c>
      <c r="H558" s="129">
        <v>0</v>
      </c>
      <c r="I558" s="125"/>
      <c r="J558" s="129" t="s">
        <v>749</v>
      </c>
      <c r="K558" s="123">
        <v>46303</v>
      </c>
      <c r="L558" s="129" t="s">
        <v>978</v>
      </c>
    </row>
    <row r="559" spans="1:12" ht="29.15" x14ac:dyDescent="0.4">
      <c r="A559" s="129" t="s">
        <v>1650</v>
      </c>
      <c r="B559" s="129" t="s">
        <v>124</v>
      </c>
      <c r="C559" s="129" t="s">
        <v>1537</v>
      </c>
      <c r="D559" s="130" t="s">
        <v>1538</v>
      </c>
      <c r="E559" s="129" t="s">
        <v>828</v>
      </c>
      <c r="F559" s="129">
        <v>1</v>
      </c>
      <c r="G559" s="129" t="s">
        <v>753</v>
      </c>
      <c r="H559" s="129">
        <v>1</v>
      </c>
      <c r="I559" s="125"/>
      <c r="J559" s="129" t="s">
        <v>749</v>
      </c>
      <c r="K559" s="123">
        <v>46303</v>
      </c>
      <c r="L559" s="129" t="s">
        <v>978</v>
      </c>
    </row>
    <row r="560" spans="1:12" ht="29.15" x14ac:dyDescent="0.4">
      <c r="A560" s="129" t="s">
        <v>1650</v>
      </c>
      <c r="B560" s="129" t="s">
        <v>124</v>
      </c>
      <c r="C560" s="129" t="s">
        <v>1537</v>
      </c>
      <c r="D560" s="130" t="s">
        <v>1538</v>
      </c>
      <c r="E560" s="129" t="s">
        <v>832</v>
      </c>
      <c r="F560" s="129">
        <v>3</v>
      </c>
      <c r="G560" s="129" t="s">
        <v>753</v>
      </c>
      <c r="H560" s="129">
        <v>3</v>
      </c>
      <c r="I560" s="125"/>
      <c r="J560" s="129" t="s">
        <v>749</v>
      </c>
      <c r="K560" s="123">
        <v>46303</v>
      </c>
      <c r="L560" s="129" t="s">
        <v>978</v>
      </c>
    </row>
    <row r="561" spans="1:12" x14ac:dyDescent="0.4">
      <c r="A561" s="129" t="s">
        <v>1650</v>
      </c>
      <c r="B561" s="129" t="s">
        <v>124</v>
      </c>
      <c r="C561" s="129" t="s">
        <v>1683</v>
      </c>
      <c r="D561" s="130" t="s">
        <v>1684</v>
      </c>
      <c r="E561" s="129" t="s">
        <v>834</v>
      </c>
      <c r="F561" s="129"/>
      <c r="G561" s="129" t="s">
        <v>753</v>
      </c>
      <c r="H561" s="129"/>
      <c r="I561" s="125"/>
      <c r="J561" s="129" t="s">
        <v>749</v>
      </c>
      <c r="K561" s="123">
        <v>46303</v>
      </c>
      <c r="L561" s="129" t="s">
        <v>978</v>
      </c>
    </row>
    <row r="562" spans="1:12" x14ac:dyDescent="0.4">
      <c r="A562" s="129" t="s">
        <v>1650</v>
      </c>
      <c r="B562" s="129" t="s">
        <v>124</v>
      </c>
      <c r="C562" s="129" t="s">
        <v>1683</v>
      </c>
      <c r="D562" s="130" t="s">
        <v>1684</v>
      </c>
      <c r="E562" s="129" t="s">
        <v>828</v>
      </c>
      <c r="F562" s="129">
        <v>3</v>
      </c>
      <c r="G562" s="129" t="s">
        <v>753</v>
      </c>
      <c r="H562" s="129">
        <v>3</v>
      </c>
      <c r="I562" s="125"/>
      <c r="J562" s="129" t="s">
        <v>749</v>
      </c>
      <c r="K562" s="123">
        <v>46303</v>
      </c>
      <c r="L562" s="129" t="s">
        <v>978</v>
      </c>
    </row>
    <row r="563" spans="1:12" x14ac:dyDescent="0.4">
      <c r="A563" s="129" t="s">
        <v>1650</v>
      </c>
      <c r="B563" s="129" t="s">
        <v>124</v>
      </c>
      <c r="C563" s="129" t="s">
        <v>1683</v>
      </c>
      <c r="D563" s="130" t="s">
        <v>1684</v>
      </c>
      <c r="E563" s="129" t="s">
        <v>832</v>
      </c>
      <c r="F563" s="129">
        <v>6</v>
      </c>
      <c r="G563" s="129" t="s">
        <v>753</v>
      </c>
      <c r="H563" s="129">
        <v>6</v>
      </c>
      <c r="I563" s="125"/>
      <c r="J563" s="129" t="s">
        <v>749</v>
      </c>
      <c r="K563" s="123">
        <v>46303</v>
      </c>
      <c r="L563" s="129" t="s">
        <v>978</v>
      </c>
    </row>
    <row r="564" spans="1:12" x14ac:dyDescent="0.4">
      <c r="A564" s="129" t="s">
        <v>1650</v>
      </c>
      <c r="B564" s="129" t="s">
        <v>124</v>
      </c>
      <c r="C564" s="129" t="s">
        <v>1687</v>
      </c>
      <c r="D564" s="130" t="s">
        <v>1688</v>
      </c>
      <c r="E564" s="129" t="s">
        <v>834</v>
      </c>
      <c r="F564" s="129"/>
      <c r="G564" s="129" t="s">
        <v>753</v>
      </c>
      <c r="H564" s="129"/>
      <c r="I564" s="125"/>
      <c r="J564" s="129" t="s">
        <v>749</v>
      </c>
      <c r="K564" s="123">
        <v>46303</v>
      </c>
      <c r="L564" s="129" t="s">
        <v>978</v>
      </c>
    </row>
    <row r="565" spans="1:12" x14ac:dyDescent="0.4">
      <c r="A565" s="129" t="s">
        <v>1650</v>
      </c>
      <c r="B565" s="129" t="s">
        <v>124</v>
      </c>
      <c r="C565" s="129" t="s">
        <v>1687</v>
      </c>
      <c r="D565" s="130" t="s">
        <v>1688</v>
      </c>
      <c r="E565" s="129" t="s">
        <v>828</v>
      </c>
      <c r="F565" s="129">
        <v>8</v>
      </c>
      <c r="G565" s="129" t="s">
        <v>753</v>
      </c>
      <c r="H565" s="129">
        <v>8</v>
      </c>
      <c r="I565" s="125"/>
      <c r="J565" s="129" t="s">
        <v>749</v>
      </c>
      <c r="K565" s="123">
        <v>46303</v>
      </c>
      <c r="L565" s="129" t="s">
        <v>978</v>
      </c>
    </row>
    <row r="566" spans="1:12" x14ac:dyDescent="0.4">
      <c r="A566" s="129" t="s">
        <v>1650</v>
      </c>
      <c r="B566" s="129" t="s">
        <v>124</v>
      </c>
      <c r="C566" s="129" t="s">
        <v>1687</v>
      </c>
      <c r="D566" s="130" t="s">
        <v>1688</v>
      </c>
      <c r="E566" s="129" t="s">
        <v>832</v>
      </c>
      <c r="F566" s="129">
        <v>12</v>
      </c>
      <c r="G566" s="129" t="s">
        <v>753</v>
      </c>
      <c r="H566" s="129">
        <v>12</v>
      </c>
      <c r="I566" s="125"/>
      <c r="J566" s="129" t="s">
        <v>749</v>
      </c>
      <c r="K566" s="123">
        <v>46303</v>
      </c>
      <c r="L566" s="129" t="s">
        <v>978</v>
      </c>
    </row>
    <row r="567" spans="1:12" ht="29.15" x14ac:dyDescent="0.4">
      <c r="A567" s="129" t="s">
        <v>1650</v>
      </c>
      <c r="B567" s="129" t="s">
        <v>493</v>
      </c>
      <c r="C567" s="129" t="s">
        <v>1716</v>
      </c>
      <c r="D567" s="130" t="s">
        <v>1717</v>
      </c>
      <c r="E567" s="129" t="s">
        <v>181</v>
      </c>
      <c r="F567" s="129" t="s">
        <v>557</v>
      </c>
      <c r="G567" s="129" t="s">
        <v>753</v>
      </c>
      <c r="H567" s="129" t="s">
        <v>557</v>
      </c>
      <c r="I567" s="125"/>
      <c r="J567" s="129" t="s">
        <v>749</v>
      </c>
      <c r="K567" s="123">
        <v>46303</v>
      </c>
      <c r="L567" s="129" t="s">
        <v>978</v>
      </c>
    </row>
    <row r="568" spans="1:12" ht="29.15" x14ac:dyDescent="0.4">
      <c r="A568" s="129" t="s">
        <v>1650</v>
      </c>
      <c r="B568" s="129" t="s">
        <v>493</v>
      </c>
      <c r="C568" s="129" t="s">
        <v>1716</v>
      </c>
      <c r="D568" s="130" t="s">
        <v>1717</v>
      </c>
      <c r="E568" s="129" t="s">
        <v>267</v>
      </c>
      <c r="F568" s="129" t="s">
        <v>1245</v>
      </c>
      <c r="G568" s="129" t="s">
        <v>753</v>
      </c>
      <c r="H568" s="129" t="s">
        <v>1245</v>
      </c>
      <c r="I568" s="125"/>
      <c r="J568" s="129" t="s">
        <v>749</v>
      </c>
      <c r="K568" s="123">
        <v>46303</v>
      </c>
      <c r="L568" s="129" t="s">
        <v>978</v>
      </c>
    </row>
    <row r="569" spans="1:12" ht="29.15" x14ac:dyDescent="0.4">
      <c r="A569" s="129" t="s">
        <v>1650</v>
      </c>
      <c r="B569" s="129" t="s">
        <v>493</v>
      </c>
      <c r="C569" s="129" t="s">
        <v>1719</v>
      </c>
      <c r="D569" s="130" t="s">
        <v>1720</v>
      </c>
      <c r="E569" s="129" t="s">
        <v>181</v>
      </c>
      <c r="F569" s="129" t="s">
        <v>563</v>
      </c>
      <c r="G569" s="129" t="s">
        <v>753</v>
      </c>
      <c r="H569" s="129" t="s">
        <v>563</v>
      </c>
      <c r="I569" s="125"/>
      <c r="J569" s="129" t="s">
        <v>749</v>
      </c>
      <c r="K569" s="123">
        <v>46303</v>
      </c>
      <c r="L569" s="129" t="s">
        <v>978</v>
      </c>
    </row>
    <row r="570" spans="1:12" ht="29.15" x14ac:dyDescent="0.4">
      <c r="A570" s="129" t="s">
        <v>1650</v>
      </c>
      <c r="B570" s="129" t="s">
        <v>493</v>
      </c>
      <c r="C570" s="129" t="s">
        <v>1719</v>
      </c>
      <c r="D570" s="130" t="s">
        <v>1720</v>
      </c>
      <c r="E570" s="129" t="s">
        <v>267</v>
      </c>
      <c r="F570" s="129" t="s">
        <v>1245</v>
      </c>
      <c r="G570" s="129" t="s">
        <v>753</v>
      </c>
      <c r="H570" s="129" t="s">
        <v>1245</v>
      </c>
      <c r="I570" s="125"/>
      <c r="J570" s="129" t="s">
        <v>749</v>
      </c>
      <c r="K570" s="123">
        <v>46303</v>
      </c>
      <c r="L570" s="129" t="s">
        <v>978</v>
      </c>
    </row>
    <row r="571" spans="1:12" ht="29.15" x14ac:dyDescent="0.4">
      <c r="A571" s="129" t="s">
        <v>1650</v>
      </c>
      <c r="B571" s="129" t="s">
        <v>493</v>
      </c>
      <c r="C571" s="129" t="s">
        <v>1722</v>
      </c>
      <c r="D571" s="130" t="s">
        <v>1723</v>
      </c>
      <c r="E571" s="129" t="s">
        <v>181</v>
      </c>
      <c r="F571" s="129" t="s">
        <v>569</v>
      </c>
      <c r="G571" s="129" t="s">
        <v>753</v>
      </c>
      <c r="H571" s="129" t="s">
        <v>569</v>
      </c>
      <c r="I571" s="125"/>
      <c r="J571" s="129" t="s">
        <v>749</v>
      </c>
      <c r="K571" s="123">
        <v>46303</v>
      </c>
      <c r="L571" s="129" t="s">
        <v>978</v>
      </c>
    </row>
    <row r="572" spans="1:12" ht="29.15" x14ac:dyDescent="0.4">
      <c r="A572" s="129" t="s">
        <v>1650</v>
      </c>
      <c r="B572" s="129" t="s">
        <v>493</v>
      </c>
      <c r="C572" s="129" t="s">
        <v>1722</v>
      </c>
      <c r="D572" s="130" t="s">
        <v>1723</v>
      </c>
      <c r="E572" s="129" t="s">
        <v>267</v>
      </c>
      <c r="F572" s="129" t="s">
        <v>1245</v>
      </c>
      <c r="G572" s="129" t="s">
        <v>753</v>
      </c>
      <c r="H572" s="129" t="s">
        <v>1245</v>
      </c>
      <c r="I572" s="125"/>
      <c r="J572" s="129" t="s">
        <v>749</v>
      </c>
      <c r="K572" s="123">
        <v>46303</v>
      </c>
      <c r="L572" s="129" t="s">
        <v>978</v>
      </c>
    </row>
    <row r="573" spans="1:12" ht="43.75" x14ac:dyDescent="0.4">
      <c r="A573" s="129" t="s">
        <v>1650</v>
      </c>
      <c r="B573" s="129" t="s">
        <v>493</v>
      </c>
      <c r="C573" s="129" t="s">
        <v>1725</v>
      </c>
      <c r="D573" s="130" t="s">
        <v>1726</v>
      </c>
      <c r="E573" s="129" t="s">
        <v>181</v>
      </c>
      <c r="F573" s="129" t="s">
        <v>575</v>
      </c>
      <c r="G573" s="129" t="s">
        <v>753</v>
      </c>
      <c r="H573" s="129" t="s">
        <v>575</v>
      </c>
      <c r="I573" s="125"/>
      <c r="J573" s="129" t="s">
        <v>749</v>
      </c>
      <c r="K573" s="123">
        <v>46303</v>
      </c>
      <c r="L573" s="129" t="s">
        <v>978</v>
      </c>
    </row>
    <row r="574" spans="1:12" ht="43.75" x14ac:dyDescent="0.4">
      <c r="A574" s="129" t="s">
        <v>1650</v>
      </c>
      <c r="B574" s="129" t="s">
        <v>493</v>
      </c>
      <c r="C574" s="129" t="s">
        <v>1725</v>
      </c>
      <c r="D574" s="130" t="s">
        <v>1726</v>
      </c>
      <c r="E574" s="129" t="s">
        <v>267</v>
      </c>
      <c r="F574" s="129" t="s">
        <v>797</v>
      </c>
      <c r="G574" s="129" t="s">
        <v>753</v>
      </c>
      <c r="H574" s="129" t="s">
        <v>797</v>
      </c>
      <c r="I574" s="125"/>
      <c r="J574" s="129" t="s">
        <v>749</v>
      </c>
      <c r="K574" s="123">
        <v>46303</v>
      </c>
      <c r="L574" s="129" t="s">
        <v>978</v>
      </c>
    </row>
    <row r="575" spans="1:12" ht="43.75" x14ac:dyDescent="0.4">
      <c r="A575" s="129" t="s">
        <v>1650</v>
      </c>
      <c r="B575" s="129" t="s">
        <v>493</v>
      </c>
      <c r="C575" s="129" t="s">
        <v>1728</v>
      </c>
      <c r="D575" s="130" t="s">
        <v>1729</v>
      </c>
      <c r="E575" s="129" t="s">
        <v>181</v>
      </c>
      <c r="F575" s="129" t="s">
        <v>579</v>
      </c>
      <c r="G575" s="129" t="s">
        <v>753</v>
      </c>
      <c r="H575" s="129" t="s">
        <v>579</v>
      </c>
      <c r="I575" s="125"/>
      <c r="J575" s="129" t="s">
        <v>749</v>
      </c>
      <c r="K575" s="123">
        <v>46303</v>
      </c>
      <c r="L575" s="129" t="s">
        <v>978</v>
      </c>
    </row>
    <row r="576" spans="1:12" ht="43.75" x14ac:dyDescent="0.4">
      <c r="A576" s="129" t="s">
        <v>1650</v>
      </c>
      <c r="B576" s="129" t="s">
        <v>493</v>
      </c>
      <c r="C576" s="129" t="s">
        <v>1728</v>
      </c>
      <c r="D576" s="130" t="s">
        <v>1729</v>
      </c>
      <c r="E576" s="129" t="s">
        <v>267</v>
      </c>
      <c r="F576" s="129" t="s">
        <v>1245</v>
      </c>
      <c r="G576" s="129" t="s">
        <v>753</v>
      </c>
      <c r="H576" s="129" t="s">
        <v>1245</v>
      </c>
      <c r="I576" s="125"/>
      <c r="J576" s="129" t="s">
        <v>749</v>
      </c>
      <c r="K576" s="123">
        <v>46303</v>
      </c>
      <c r="L576" s="129" t="s">
        <v>978</v>
      </c>
    </row>
    <row r="577" spans="1:12" ht="43.75" x14ac:dyDescent="0.4">
      <c r="A577" s="129" t="s">
        <v>1650</v>
      </c>
      <c r="B577" s="129" t="s">
        <v>493</v>
      </c>
      <c r="C577" s="129" t="s">
        <v>1731</v>
      </c>
      <c r="D577" s="130" t="s">
        <v>1732</v>
      </c>
      <c r="E577" s="129" t="s">
        <v>181</v>
      </c>
      <c r="F577" s="129" t="s">
        <v>1599</v>
      </c>
      <c r="G577" s="129" t="s">
        <v>753</v>
      </c>
      <c r="H577" s="129" t="s">
        <v>1599</v>
      </c>
      <c r="I577" s="125"/>
      <c r="J577" s="129" t="s">
        <v>749</v>
      </c>
      <c r="K577" s="123">
        <v>46303</v>
      </c>
      <c r="L577" s="129" t="s">
        <v>978</v>
      </c>
    </row>
    <row r="578" spans="1:12" ht="43.75" x14ac:dyDescent="0.4">
      <c r="A578" s="129" t="s">
        <v>1650</v>
      </c>
      <c r="B578" s="129" t="s">
        <v>493</v>
      </c>
      <c r="C578" s="129" t="s">
        <v>1731</v>
      </c>
      <c r="D578" s="130" t="s">
        <v>1732</v>
      </c>
      <c r="E578" s="129" t="s">
        <v>267</v>
      </c>
      <c r="F578" s="129" t="s">
        <v>797</v>
      </c>
      <c r="G578" s="129" t="s">
        <v>753</v>
      </c>
      <c r="H578" s="129" t="s">
        <v>797</v>
      </c>
      <c r="I578" s="125"/>
      <c r="J578" s="129" t="s">
        <v>749</v>
      </c>
      <c r="K578" s="123">
        <v>46303</v>
      </c>
      <c r="L578" s="129" t="s">
        <v>978</v>
      </c>
    </row>
    <row r="579" spans="1:12" ht="43.75" x14ac:dyDescent="0.4">
      <c r="A579" s="129" t="s">
        <v>1650</v>
      </c>
      <c r="B579" s="129" t="s">
        <v>493</v>
      </c>
      <c r="C579" s="129" t="s">
        <v>1734</v>
      </c>
      <c r="D579" s="130" t="s">
        <v>1735</v>
      </c>
      <c r="E579" s="129" t="s">
        <v>181</v>
      </c>
      <c r="F579" s="129" t="s">
        <v>563</v>
      </c>
      <c r="G579" s="129" t="s">
        <v>753</v>
      </c>
      <c r="H579" s="129" t="s">
        <v>563</v>
      </c>
      <c r="I579" s="125"/>
      <c r="J579" s="129" t="s">
        <v>749</v>
      </c>
      <c r="K579" s="123">
        <v>46303</v>
      </c>
      <c r="L579" s="129" t="s">
        <v>978</v>
      </c>
    </row>
    <row r="580" spans="1:12" ht="43.75" x14ac:dyDescent="0.4">
      <c r="A580" s="129" t="s">
        <v>1650</v>
      </c>
      <c r="B580" s="129" t="s">
        <v>493</v>
      </c>
      <c r="C580" s="129" t="s">
        <v>1734</v>
      </c>
      <c r="D580" s="130" t="s">
        <v>1735</v>
      </c>
      <c r="E580" s="129" t="s">
        <v>267</v>
      </c>
      <c r="F580" s="129" t="s">
        <v>797</v>
      </c>
      <c r="G580" s="129" t="s">
        <v>753</v>
      </c>
      <c r="H580" s="129" t="s">
        <v>797</v>
      </c>
      <c r="I580" s="125"/>
      <c r="J580" s="129" t="s">
        <v>749</v>
      </c>
      <c r="K580" s="123">
        <v>46303</v>
      </c>
      <c r="L580" s="129" t="s">
        <v>978</v>
      </c>
    </row>
    <row r="581" spans="1:12" ht="29.15" x14ac:dyDescent="0.4">
      <c r="A581" s="129" t="s">
        <v>1650</v>
      </c>
      <c r="B581" s="129" t="s">
        <v>493</v>
      </c>
      <c r="C581" s="129" t="s">
        <v>1737</v>
      </c>
      <c r="D581" s="130" t="s">
        <v>1738</v>
      </c>
      <c r="E581" s="129" t="s">
        <v>181</v>
      </c>
      <c r="F581" s="129" t="s">
        <v>584</v>
      </c>
      <c r="G581" s="129" t="s">
        <v>753</v>
      </c>
      <c r="H581" s="129" t="s">
        <v>584</v>
      </c>
      <c r="I581" s="125"/>
      <c r="J581" s="129" t="s">
        <v>749</v>
      </c>
      <c r="K581" s="123">
        <v>46303</v>
      </c>
      <c r="L581" s="129" t="s">
        <v>978</v>
      </c>
    </row>
    <row r="582" spans="1:12" ht="29.15" x14ac:dyDescent="0.4">
      <c r="A582" s="129" t="s">
        <v>1650</v>
      </c>
      <c r="B582" s="129" t="s">
        <v>493</v>
      </c>
      <c r="C582" s="129" t="s">
        <v>1737</v>
      </c>
      <c r="D582" s="130" t="s">
        <v>1738</v>
      </c>
      <c r="E582" s="129" t="s">
        <v>267</v>
      </c>
      <c r="F582" s="129" t="s">
        <v>1245</v>
      </c>
      <c r="G582" s="129" t="s">
        <v>753</v>
      </c>
      <c r="H582" s="129" t="s">
        <v>1245</v>
      </c>
      <c r="I582" s="125"/>
      <c r="J582" s="129" t="s">
        <v>749</v>
      </c>
      <c r="K582" s="123">
        <v>46303</v>
      </c>
      <c r="L582" s="129" t="s">
        <v>978</v>
      </c>
    </row>
    <row r="583" spans="1:12" ht="43.75" x14ac:dyDescent="0.4">
      <c r="A583" s="129" t="s">
        <v>1650</v>
      </c>
      <c r="B583" s="129" t="s">
        <v>493</v>
      </c>
      <c r="C583" s="129" t="s">
        <v>1740</v>
      </c>
      <c r="D583" s="130" t="s">
        <v>1741</v>
      </c>
      <c r="E583" s="129" t="s">
        <v>181</v>
      </c>
      <c r="F583" s="129" t="s">
        <v>569</v>
      </c>
      <c r="G583" s="129" t="s">
        <v>753</v>
      </c>
      <c r="H583" s="129" t="s">
        <v>569</v>
      </c>
      <c r="I583" s="125"/>
      <c r="J583" s="129" t="s">
        <v>749</v>
      </c>
      <c r="K583" s="123">
        <v>46303</v>
      </c>
      <c r="L583" s="129" t="s">
        <v>978</v>
      </c>
    </row>
    <row r="584" spans="1:12" ht="43.75" x14ac:dyDescent="0.4">
      <c r="A584" s="129" t="s">
        <v>1650</v>
      </c>
      <c r="B584" s="129" t="s">
        <v>493</v>
      </c>
      <c r="C584" s="129" t="s">
        <v>1740</v>
      </c>
      <c r="D584" s="130" t="s">
        <v>1741</v>
      </c>
      <c r="E584" s="129" t="s">
        <v>267</v>
      </c>
      <c r="F584" s="129" t="s">
        <v>1235</v>
      </c>
      <c r="G584" s="129" t="s">
        <v>753</v>
      </c>
      <c r="H584" s="129" t="s">
        <v>1235</v>
      </c>
      <c r="I584" s="125"/>
      <c r="J584" s="129" t="s">
        <v>749</v>
      </c>
      <c r="K584" s="123">
        <v>46303</v>
      </c>
      <c r="L584" s="129" t="s">
        <v>978</v>
      </c>
    </row>
    <row r="585" spans="1:12" ht="43.75" x14ac:dyDescent="0.4">
      <c r="A585" s="129" t="s">
        <v>1650</v>
      </c>
      <c r="B585" s="129" t="s">
        <v>493</v>
      </c>
      <c r="C585" s="129" t="s">
        <v>1743</v>
      </c>
      <c r="D585" s="130" t="s">
        <v>1744</v>
      </c>
      <c r="E585" s="129" t="s">
        <v>181</v>
      </c>
      <c r="F585" s="129" t="s">
        <v>601</v>
      </c>
      <c r="G585" s="129" t="s">
        <v>753</v>
      </c>
      <c r="H585" s="129" t="s">
        <v>601</v>
      </c>
      <c r="I585" s="125"/>
      <c r="J585" s="129" t="s">
        <v>749</v>
      </c>
      <c r="K585" s="123">
        <v>46303</v>
      </c>
      <c r="L585" s="129" t="s">
        <v>978</v>
      </c>
    </row>
    <row r="586" spans="1:12" ht="43.75" x14ac:dyDescent="0.4">
      <c r="A586" s="129" t="s">
        <v>1650</v>
      </c>
      <c r="B586" s="129" t="s">
        <v>493</v>
      </c>
      <c r="C586" s="129" t="s">
        <v>1743</v>
      </c>
      <c r="D586" s="130" t="s">
        <v>1744</v>
      </c>
      <c r="E586" s="129" t="s">
        <v>267</v>
      </c>
      <c r="F586" s="129" t="s">
        <v>1245</v>
      </c>
      <c r="G586" s="129" t="s">
        <v>753</v>
      </c>
      <c r="H586" s="129" t="s">
        <v>1245</v>
      </c>
      <c r="I586" s="125"/>
      <c r="J586" s="129" t="s">
        <v>749</v>
      </c>
      <c r="K586" s="123">
        <v>46303</v>
      </c>
      <c r="L586" s="129" t="s">
        <v>978</v>
      </c>
    </row>
    <row r="587" spans="1:12" ht="43.75" x14ac:dyDescent="0.4">
      <c r="A587" s="129" t="s">
        <v>1650</v>
      </c>
      <c r="B587" s="129" t="s">
        <v>493</v>
      </c>
      <c r="C587" s="129" t="s">
        <v>1746</v>
      </c>
      <c r="D587" s="130" t="s">
        <v>1747</v>
      </c>
      <c r="E587" s="129" t="s">
        <v>181</v>
      </c>
      <c r="F587" s="129" t="s">
        <v>606</v>
      </c>
      <c r="G587" s="129" t="s">
        <v>753</v>
      </c>
      <c r="H587" s="129" t="s">
        <v>606</v>
      </c>
      <c r="I587" s="125"/>
      <c r="J587" s="129" t="s">
        <v>749</v>
      </c>
      <c r="K587" s="123">
        <v>46303</v>
      </c>
      <c r="L587" s="129" t="s">
        <v>978</v>
      </c>
    </row>
    <row r="588" spans="1:12" ht="43.75" x14ac:dyDescent="0.4">
      <c r="A588" s="129" t="s">
        <v>1650</v>
      </c>
      <c r="B588" s="129" t="s">
        <v>493</v>
      </c>
      <c r="C588" s="129" t="s">
        <v>1746</v>
      </c>
      <c r="D588" s="130" t="s">
        <v>1747</v>
      </c>
      <c r="E588" s="129" t="s">
        <v>267</v>
      </c>
      <c r="F588" s="129" t="s">
        <v>1235</v>
      </c>
      <c r="G588" s="129" t="s">
        <v>753</v>
      </c>
      <c r="H588" s="129" t="s">
        <v>1235</v>
      </c>
      <c r="I588" s="125"/>
      <c r="J588" s="129" t="s">
        <v>749</v>
      </c>
      <c r="K588" s="123">
        <v>46303</v>
      </c>
      <c r="L588" s="129" t="s">
        <v>978</v>
      </c>
    </row>
    <row r="589" spans="1:12" ht="43.75" x14ac:dyDescent="0.4">
      <c r="A589" s="129" t="s">
        <v>1650</v>
      </c>
      <c r="B589" s="129" t="s">
        <v>493</v>
      </c>
      <c r="C589" s="129" t="s">
        <v>1749</v>
      </c>
      <c r="D589" s="130" t="s">
        <v>1750</v>
      </c>
      <c r="E589" s="129" t="s">
        <v>181</v>
      </c>
      <c r="F589" s="129" t="s">
        <v>579</v>
      </c>
      <c r="G589" s="129" t="s">
        <v>753</v>
      </c>
      <c r="H589" s="129" t="s">
        <v>579</v>
      </c>
      <c r="I589" s="125"/>
      <c r="J589" s="129" t="s">
        <v>749</v>
      </c>
      <c r="K589" s="123">
        <v>46303</v>
      </c>
      <c r="L589" s="129" t="s">
        <v>978</v>
      </c>
    </row>
    <row r="590" spans="1:12" ht="43.75" x14ac:dyDescent="0.4">
      <c r="A590" s="129" t="s">
        <v>1650</v>
      </c>
      <c r="B590" s="129" t="s">
        <v>493</v>
      </c>
      <c r="C590" s="129" t="s">
        <v>1749</v>
      </c>
      <c r="D590" s="130" t="s">
        <v>1750</v>
      </c>
      <c r="E590" s="129" t="s">
        <v>267</v>
      </c>
      <c r="F590" s="129" t="s">
        <v>1245</v>
      </c>
      <c r="G590" s="129" t="s">
        <v>753</v>
      </c>
      <c r="H590" s="129" t="s">
        <v>1245</v>
      </c>
      <c r="I590" s="125"/>
      <c r="J590" s="129" t="s">
        <v>749</v>
      </c>
      <c r="K590" s="123">
        <v>46303</v>
      </c>
      <c r="L590" s="129" t="s">
        <v>978</v>
      </c>
    </row>
    <row r="591" spans="1:12" ht="29.15" x14ac:dyDescent="0.4">
      <c r="A591" s="129" t="s">
        <v>1650</v>
      </c>
      <c r="B591" s="129" t="s">
        <v>493</v>
      </c>
      <c r="C591" s="129" t="s">
        <v>1752</v>
      </c>
      <c r="D591" s="130" t="s">
        <v>1753</v>
      </c>
      <c r="E591" s="129" t="s">
        <v>181</v>
      </c>
      <c r="F591" s="129" t="s">
        <v>1599</v>
      </c>
      <c r="G591" s="129" t="s">
        <v>753</v>
      </c>
      <c r="H591" s="129" t="s">
        <v>1599</v>
      </c>
      <c r="I591" s="125"/>
      <c r="J591" s="129" t="s">
        <v>749</v>
      </c>
      <c r="K591" s="123">
        <v>46303</v>
      </c>
      <c r="L591" s="129" t="s">
        <v>978</v>
      </c>
    </row>
    <row r="592" spans="1:12" ht="29.15" x14ac:dyDescent="0.4">
      <c r="A592" s="129" t="s">
        <v>1650</v>
      </c>
      <c r="B592" s="129" t="s">
        <v>493</v>
      </c>
      <c r="C592" s="129" t="s">
        <v>1752</v>
      </c>
      <c r="D592" s="130" t="s">
        <v>1753</v>
      </c>
      <c r="E592" s="129" t="s">
        <v>267</v>
      </c>
      <c r="F592" s="129" t="s">
        <v>797</v>
      </c>
      <c r="G592" s="129" t="s">
        <v>753</v>
      </c>
      <c r="H592" s="129" t="s">
        <v>797</v>
      </c>
      <c r="I592" s="125"/>
      <c r="J592" s="129" t="s">
        <v>749</v>
      </c>
      <c r="K592" s="123">
        <v>46303</v>
      </c>
      <c r="L592" s="129" t="s">
        <v>978</v>
      </c>
    </row>
    <row r="593" spans="1:12" ht="29.15" x14ac:dyDescent="0.4">
      <c r="A593" s="129" t="s">
        <v>1650</v>
      </c>
      <c r="B593" s="129" t="s">
        <v>493</v>
      </c>
      <c r="C593" s="129" t="s">
        <v>1755</v>
      </c>
      <c r="D593" s="130" t="s">
        <v>1756</v>
      </c>
      <c r="E593" s="129" t="s">
        <v>181</v>
      </c>
      <c r="F593" s="129" t="s">
        <v>1587</v>
      </c>
      <c r="G593" s="129" t="s">
        <v>753</v>
      </c>
      <c r="H593" s="129" t="s">
        <v>1587</v>
      </c>
      <c r="I593" s="125"/>
      <c r="J593" s="129" t="s">
        <v>749</v>
      </c>
      <c r="K593" s="123">
        <v>46303</v>
      </c>
      <c r="L593" s="129" t="s">
        <v>978</v>
      </c>
    </row>
    <row r="594" spans="1:12" ht="29.15" x14ac:dyDescent="0.4">
      <c r="A594" s="129" t="s">
        <v>1650</v>
      </c>
      <c r="B594" s="129" t="s">
        <v>493</v>
      </c>
      <c r="C594" s="129" t="s">
        <v>1755</v>
      </c>
      <c r="D594" s="130" t="s">
        <v>1756</v>
      </c>
      <c r="E594" s="129" t="s">
        <v>267</v>
      </c>
      <c r="F594" s="129" t="s">
        <v>1245</v>
      </c>
      <c r="G594" s="129" t="s">
        <v>753</v>
      </c>
      <c r="H594" s="129" t="s">
        <v>1245</v>
      </c>
      <c r="I594" s="125"/>
      <c r="J594" s="129" t="s">
        <v>749</v>
      </c>
      <c r="K594" s="123">
        <v>46303</v>
      </c>
      <c r="L594" s="129" t="s">
        <v>978</v>
      </c>
    </row>
    <row r="595" spans="1:12" ht="29.15" x14ac:dyDescent="0.4">
      <c r="A595" s="129" t="s">
        <v>1650</v>
      </c>
      <c r="B595" s="129" t="s">
        <v>18</v>
      </c>
      <c r="C595" s="129" t="s">
        <v>560</v>
      </c>
      <c r="D595" s="130" t="s">
        <v>561</v>
      </c>
      <c r="E595" s="129" t="s">
        <v>203</v>
      </c>
      <c r="F595" s="129">
        <v>4</v>
      </c>
      <c r="G595" s="129" t="s">
        <v>1763</v>
      </c>
      <c r="H595" s="129">
        <v>4</v>
      </c>
      <c r="I595" s="130" t="s">
        <v>1760</v>
      </c>
      <c r="J595" s="129" t="s">
        <v>1649</v>
      </c>
      <c r="K595" s="123">
        <v>46303</v>
      </c>
      <c r="L595" s="129" t="s">
        <v>978</v>
      </c>
    </row>
    <row r="596" spans="1:12" ht="29.15" x14ac:dyDescent="0.4">
      <c r="A596" s="129" t="s">
        <v>1650</v>
      </c>
      <c r="B596" s="129" t="s">
        <v>18</v>
      </c>
      <c r="C596" s="129" t="s">
        <v>560</v>
      </c>
      <c r="D596" s="130" t="s">
        <v>561</v>
      </c>
      <c r="E596" s="129" t="s">
        <v>300</v>
      </c>
      <c r="F596" s="129">
        <v>4</v>
      </c>
      <c r="G596" s="129" t="s">
        <v>1763</v>
      </c>
      <c r="H596" s="129">
        <v>4</v>
      </c>
      <c r="I596" s="130" t="s">
        <v>1760</v>
      </c>
      <c r="J596" s="129" t="s">
        <v>1649</v>
      </c>
      <c r="K596" s="123">
        <v>46303</v>
      </c>
      <c r="L596" s="129" t="s">
        <v>978</v>
      </c>
    </row>
    <row r="597" spans="1:12" ht="29.15" x14ac:dyDescent="0.4">
      <c r="A597" s="129" t="s">
        <v>1650</v>
      </c>
      <c r="B597" s="129" t="s">
        <v>18</v>
      </c>
      <c r="C597" s="129" t="s">
        <v>560</v>
      </c>
      <c r="D597" s="130" t="s">
        <v>561</v>
      </c>
      <c r="E597" s="129" t="s">
        <v>206</v>
      </c>
      <c r="F597" s="129">
        <v>3</v>
      </c>
      <c r="G597" s="129" t="s">
        <v>1763</v>
      </c>
      <c r="H597" s="129">
        <v>3</v>
      </c>
      <c r="I597" s="130" t="s">
        <v>1760</v>
      </c>
      <c r="J597" s="129" t="s">
        <v>1649</v>
      </c>
      <c r="K597" s="123">
        <v>46303</v>
      </c>
      <c r="L597" s="129" t="s">
        <v>978</v>
      </c>
    </row>
    <row r="598" spans="1:12" ht="29.15" x14ac:dyDescent="0.4">
      <c r="A598" s="129" t="s">
        <v>1650</v>
      </c>
      <c r="B598" s="129" t="s">
        <v>18</v>
      </c>
      <c r="C598" s="129" t="s">
        <v>560</v>
      </c>
      <c r="D598" s="130" t="s">
        <v>561</v>
      </c>
      <c r="E598" s="129" t="s">
        <v>204</v>
      </c>
      <c r="F598" s="129">
        <v>2</v>
      </c>
      <c r="G598" s="129" t="s">
        <v>1764</v>
      </c>
      <c r="H598" s="129">
        <v>4</v>
      </c>
      <c r="I598" s="130" t="s">
        <v>1760</v>
      </c>
      <c r="J598" s="129" t="s">
        <v>1649</v>
      </c>
      <c r="K598" s="123">
        <v>46303</v>
      </c>
      <c r="L598" s="129" t="s">
        <v>978</v>
      </c>
    </row>
    <row r="599" spans="1:12" ht="29.15" x14ac:dyDescent="0.4">
      <c r="A599" s="129" t="s">
        <v>1650</v>
      </c>
      <c r="B599" s="129" t="s">
        <v>18</v>
      </c>
      <c r="C599" s="129" t="s">
        <v>560</v>
      </c>
      <c r="D599" s="130" t="s">
        <v>561</v>
      </c>
      <c r="E599" s="129" t="s">
        <v>551</v>
      </c>
      <c r="F599" s="129"/>
      <c r="G599" s="129" t="s">
        <v>1763</v>
      </c>
      <c r="H599" s="129"/>
      <c r="I599" s="130" t="s">
        <v>1760</v>
      </c>
      <c r="J599" s="129" t="s">
        <v>1649</v>
      </c>
      <c r="K599" s="123">
        <v>46303</v>
      </c>
      <c r="L599" s="129" t="s">
        <v>978</v>
      </c>
    </row>
    <row r="600" spans="1:12" ht="29.15" x14ac:dyDescent="0.4">
      <c r="A600" s="129" t="s">
        <v>1650</v>
      </c>
      <c r="B600" s="129" t="s">
        <v>18</v>
      </c>
      <c r="C600" s="129" t="s">
        <v>560</v>
      </c>
      <c r="D600" s="130" t="s">
        <v>561</v>
      </c>
      <c r="E600" s="129" t="s">
        <v>772</v>
      </c>
      <c r="F600" s="129" t="s">
        <v>776</v>
      </c>
      <c r="G600" s="129" t="s">
        <v>1763</v>
      </c>
      <c r="H600" s="129" t="s">
        <v>776</v>
      </c>
      <c r="I600" s="130" t="s">
        <v>1760</v>
      </c>
      <c r="J600" s="129" t="s">
        <v>1649</v>
      </c>
      <c r="K600" s="123">
        <v>46303</v>
      </c>
      <c r="L600" s="129" t="s">
        <v>978</v>
      </c>
    </row>
    <row r="601" spans="1:12" ht="29.15" x14ac:dyDescent="0.4">
      <c r="A601" s="129" t="s">
        <v>1650</v>
      </c>
      <c r="B601" s="129" t="s">
        <v>124</v>
      </c>
      <c r="C601" s="129" t="s">
        <v>1298</v>
      </c>
      <c r="D601" s="130" t="s">
        <v>1299</v>
      </c>
      <c r="E601" s="129" t="s">
        <v>834</v>
      </c>
      <c r="F601" s="129">
        <v>70</v>
      </c>
      <c r="G601" s="129" t="s">
        <v>1764</v>
      </c>
      <c r="H601" s="129">
        <v>78</v>
      </c>
      <c r="I601" s="130" t="s">
        <v>1761</v>
      </c>
      <c r="J601" s="129" t="s">
        <v>1649</v>
      </c>
      <c r="K601" s="123">
        <v>46303</v>
      </c>
      <c r="L601" s="129" t="s">
        <v>978</v>
      </c>
    </row>
    <row r="602" spans="1:12" ht="29.15" x14ac:dyDescent="0.4">
      <c r="A602" s="129" t="s">
        <v>1650</v>
      </c>
      <c r="B602" s="129" t="s">
        <v>124</v>
      </c>
      <c r="C602" s="129" t="s">
        <v>1298</v>
      </c>
      <c r="D602" s="130" t="s">
        <v>1299</v>
      </c>
      <c r="E602" s="129" t="s">
        <v>828</v>
      </c>
      <c r="F602" s="129">
        <v>60</v>
      </c>
      <c r="G602" s="129" t="s">
        <v>1763</v>
      </c>
      <c r="H602" s="129">
        <v>60</v>
      </c>
      <c r="I602" s="130" t="s">
        <v>1761</v>
      </c>
      <c r="J602" s="129" t="s">
        <v>1649</v>
      </c>
      <c r="K602" s="123">
        <v>46303</v>
      </c>
      <c r="L602" s="129" t="s">
        <v>978</v>
      </c>
    </row>
    <row r="603" spans="1:12" ht="29.15" x14ac:dyDescent="0.4">
      <c r="A603" s="129" t="s">
        <v>1650</v>
      </c>
      <c r="B603" s="129" t="s">
        <v>124</v>
      </c>
      <c r="C603" s="129" t="s">
        <v>1298</v>
      </c>
      <c r="D603" s="130" t="s">
        <v>1299</v>
      </c>
      <c r="E603" s="129" t="s">
        <v>832</v>
      </c>
      <c r="F603" s="129">
        <v>75</v>
      </c>
      <c r="G603" s="129" t="s">
        <v>1763</v>
      </c>
      <c r="H603" s="129">
        <v>75</v>
      </c>
      <c r="I603" s="130" t="s">
        <v>1761</v>
      </c>
      <c r="J603" s="129" t="s">
        <v>1649</v>
      </c>
      <c r="K603" s="123">
        <v>46303</v>
      </c>
      <c r="L603" s="129" t="s">
        <v>978</v>
      </c>
    </row>
    <row r="604" spans="1:12" ht="29.15" x14ac:dyDescent="0.4">
      <c r="A604" s="129" t="s">
        <v>1650</v>
      </c>
      <c r="B604" s="129" t="s">
        <v>124</v>
      </c>
      <c r="C604" s="129" t="s">
        <v>1537</v>
      </c>
      <c r="D604" s="130" t="s">
        <v>1538</v>
      </c>
      <c r="E604" s="129" t="s">
        <v>834</v>
      </c>
      <c r="F604" s="129">
        <v>0</v>
      </c>
      <c r="G604" s="129" t="s">
        <v>1763</v>
      </c>
      <c r="H604" s="129">
        <v>0</v>
      </c>
      <c r="I604" s="125"/>
      <c r="J604" s="129" t="s">
        <v>1649</v>
      </c>
      <c r="K604" s="123">
        <v>46303</v>
      </c>
      <c r="L604" s="129" t="s">
        <v>978</v>
      </c>
    </row>
    <row r="605" spans="1:12" ht="29.15" x14ac:dyDescent="0.4">
      <c r="A605" s="129" t="s">
        <v>1650</v>
      </c>
      <c r="B605" s="129" t="s">
        <v>124</v>
      </c>
      <c r="C605" s="129" t="s">
        <v>1537</v>
      </c>
      <c r="D605" s="130" t="s">
        <v>1538</v>
      </c>
      <c r="E605" s="129" t="s">
        <v>828</v>
      </c>
      <c r="F605" s="129">
        <v>1</v>
      </c>
      <c r="G605" s="129" t="s">
        <v>1763</v>
      </c>
      <c r="H605" s="129">
        <v>1</v>
      </c>
      <c r="I605" s="125"/>
      <c r="J605" s="129" t="s">
        <v>1649</v>
      </c>
      <c r="K605" s="123">
        <v>46303</v>
      </c>
      <c r="L605" s="129" t="s">
        <v>978</v>
      </c>
    </row>
    <row r="606" spans="1:12" ht="29.15" x14ac:dyDescent="0.4">
      <c r="A606" s="129" t="s">
        <v>1650</v>
      </c>
      <c r="B606" s="129" t="s">
        <v>124</v>
      </c>
      <c r="C606" s="129" t="s">
        <v>1537</v>
      </c>
      <c r="D606" s="130" t="s">
        <v>1538</v>
      </c>
      <c r="E606" s="129" t="s">
        <v>832</v>
      </c>
      <c r="F606" s="129">
        <v>3</v>
      </c>
      <c r="G606" s="129" t="s">
        <v>1763</v>
      </c>
      <c r="H606" s="129">
        <v>3</v>
      </c>
      <c r="I606" s="125"/>
      <c r="J606" s="129" t="s">
        <v>1649</v>
      </c>
      <c r="K606" s="123">
        <v>46303</v>
      </c>
      <c r="L606" s="129" t="s">
        <v>978</v>
      </c>
    </row>
    <row r="607" spans="1:12" ht="29.15" x14ac:dyDescent="0.4">
      <c r="A607" s="129" t="s">
        <v>1650</v>
      </c>
      <c r="B607" s="129" t="s">
        <v>493</v>
      </c>
      <c r="C607" s="129" t="s">
        <v>1233</v>
      </c>
      <c r="D607" s="130" t="s">
        <v>1234</v>
      </c>
      <c r="E607" s="129" t="s">
        <v>181</v>
      </c>
      <c r="F607" s="129" t="s">
        <v>563</v>
      </c>
      <c r="G607" s="129" t="s">
        <v>1763</v>
      </c>
      <c r="H607" s="129" t="s">
        <v>563</v>
      </c>
      <c r="I607" s="125"/>
      <c r="J607" s="129" t="s">
        <v>1649</v>
      </c>
      <c r="K607" s="123">
        <v>46303</v>
      </c>
      <c r="L607" s="129" t="s">
        <v>978</v>
      </c>
    </row>
    <row r="608" spans="1:12" ht="29.15" x14ac:dyDescent="0.4">
      <c r="A608" s="129" t="s">
        <v>1650</v>
      </c>
      <c r="B608" s="129" t="s">
        <v>493</v>
      </c>
      <c r="C608" s="129" t="s">
        <v>1233</v>
      </c>
      <c r="D608" s="130" t="s">
        <v>1234</v>
      </c>
      <c r="E608" s="129" t="s">
        <v>267</v>
      </c>
      <c r="F608" s="129" t="s">
        <v>1235</v>
      </c>
      <c r="G608" s="129" t="s">
        <v>1763</v>
      </c>
      <c r="H608" s="129" t="s">
        <v>1235</v>
      </c>
      <c r="I608" s="125"/>
      <c r="J608" s="129" t="s">
        <v>1649</v>
      </c>
      <c r="K608" s="123">
        <v>46303</v>
      </c>
      <c r="L608" s="129" t="s">
        <v>978</v>
      </c>
    </row>
    <row r="609" spans="1:12" ht="29.15" x14ac:dyDescent="0.4">
      <c r="A609" s="129" t="s">
        <v>1650</v>
      </c>
      <c r="B609" s="129" t="s">
        <v>493</v>
      </c>
      <c r="C609" s="129" t="s">
        <v>1582</v>
      </c>
      <c r="D609" s="130" t="s">
        <v>1583</v>
      </c>
      <c r="E609" s="129" t="s">
        <v>181</v>
      </c>
      <c r="F609" s="129" t="s">
        <v>563</v>
      </c>
      <c r="G609" s="129" t="s">
        <v>1763</v>
      </c>
      <c r="H609" s="129" t="s">
        <v>563</v>
      </c>
      <c r="I609" s="125"/>
      <c r="J609" s="129" t="s">
        <v>1649</v>
      </c>
      <c r="K609" s="123">
        <v>46303</v>
      </c>
      <c r="L609" s="129" t="s">
        <v>978</v>
      </c>
    </row>
    <row r="610" spans="1:12" ht="29.15" x14ac:dyDescent="0.4">
      <c r="A610" s="129" t="s">
        <v>1650</v>
      </c>
      <c r="B610" s="129" t="s">
        <v>493</v>
      </c>
      <c r="C610" s="129" t="s">
        <v>1582</v>
      </c>
      <c r="D610" s="130" t="s">
        <v>1583</v>
      </c>
      <c r="E610" s="129" t="s">
        <v>267</v>
      </c>
      <c r="F610" s="129" t="s">
        <v>1245</v>
      </c>
      <c r="G610" s="129" t="s">
        <v>1763</v>
      </c>
      <c r="H610" s="129" t="s">
        <v>1245</v>
      </c>
      <c r="I610" s="125"/>
      <c r="J610" s="129" t="s">
        <v>1649</v>
      </c>
      <c r="K610" s="123">
        <v>46303</v>
      </c>
      <c r="L610" s="129" t="s">
        <v>978</v>
      </c>
    </row>
    <row r="611" spans="1:12" ht="29.15" x14ac:dyDescent="0.4">
      <c r="A611" s="129" t="s">
        <v>1650</v>
      </c>
      <c r="B611" s="129" t="s">
        <v>493</v>
      </c>
      <c r="C611" s="129" t="s">
        <v>1585</v>
      </c>
      <c r="D611" s="130" t="s">
        <v>1586</v>
      </c>
      <c r="E611" s="129" t="s">
        <v>181</v>
      </c>
      <c r="F611" s="129" t="s">
        <v>1587</v>
      </c>
      <c r="G611" s="129" t="s">
        <v>1763</v>
      </c>
      <c r="H611" s="129" t="s">
        <v>1587</v>
      </c>
      <c r="I611" s="125"/>
      <c r="J611" s="129" t="s">
        <v>1649</v>
      </c>
      <c r="K611" s="123">
        <v>46303</v>
      </c>
      <c r="L611" s="129" t="s">
        <v>978</v>
      </c>
    </row>
    <row r="612" spans="1:12" ht="29.15" x14ac:dyDescent="0.4">
      <c r="A612" s="129" t="s">
        <v>1650</v>
      </c>
      <c r="B612" s="129" t="s">
        <v>493</v>
      </c>
      <c r="C612" s="129" t="s">
        <v>1585</v>
      </c>
      <c r="D612" s="130" t="s">
        <v>1586</v>
      </c>
      <c r="E612" s="129" t="s">
        <v>267</v>
      </c>
      <c r="F612" s="129" t="s">
        <v>1235</v>
      </c>
      <c r="G612" s="129" t="s">
        <v>1763</v>
      </c>
      <c r="H612" s="129" t="s">
        <v>1235</v>
      </c>
      <c r="I612" s="125"/>
      <c r="J612" s="129" t="s">
        <v>1649</v>
      </c>
      <c r="K612" s="123">
        <v>46303</v>
      </c>
      <c r="L612" s="129" t="s">
        <v>978</v>
      </c>
    </row>
    <row r="613" spans="1:12" ht="29.15" x14ac:dyDescent="0.4">
      <c r="A613" s="129" t="s">
        <v>1650</v>
      </c>
      <c r="B613" s="129" t="s">
        <v>493</v>
      </c>
      <c r="C613" s="129" t="s">
        <v>1719</v>
      </c>
      <c r="D613" s="130" t="s">
        <v>1720</v>
      </c>
      <c r="E613" s="129" t="s">
        <v>181</v>
      </c>
      <c r="F613" s="129" t="s">
        <v>563</v>
      </c>
      <c r="G613" s="129" t="s">
        <v>1763</v>
      </c>
      <c r="H613" s="129" t="s">
        <v>563</v>
      </c>
      <c r="I613" s="125"/>
      <c r="J613" s="129" t="s">
        <v>1649</v>
      </c>
      <c r="K613" s="123">
        <v>46303</v>
      </c>
      <c r="L613" s="129" t="s">
        <v>978</v>
      </c>
    </row>
    <row r="614" spans="1:12" ht="29.15" x14ac:dyDescent="0.4">
      <c r="A614" s="129" t="s">
        <v>1650</v>
      </c>
      <c r="B614" s="129" t="s">
        <v>493</v>
      </c>
      <c r="C614" s="129" t="s">
        <v>1719</v>
      </c>
      <c r="D614" s="130" t="s">
        <v>1720</v>
      </c>
      <c r="E614" s="129" t="s">
        <v>267</v>
      </c>
      <c r="F614" s="129" t="s">
        <v>1245</v>
      </c>
      <c r="G614" s="129" t="s">
        <v>1763</v>
      </c>
      <c r="H614" s="129" t="s">
        <v>1245</v>
      </c>
      <c r="I614" s="125"/>
      <c r="J614" s="129" t="s">
        <v>1649</v>
      </c>
      <c r="K614" s="123">
        <v>46303</v>
      </c>
      <c r="L614" s="129" t="s">
        <v>978</v>
      </c>
    </row>
    <row r="615" spans="1:12" ht="29.15" x14ac:dyDescent="0.4">
      <c r="A615" s="129" t="s">
        <v>1774</v>
      </c>
      <c r="B615" s="129" t="s">
        <v>540</v>
      </c>
      <c r="C615" s="129" t="s">
        <v>1768</v>
      </c>
      <c r="D615" s="130" t="s">
        <v>1769</v>
      </c>
      <c r="E615" s="129" t="s">
        <v>878</v>
      </c>
      <c r="F615" s="129" t="s">
        <v>554</v>
      </c>
      <c r="G615" s="129"/>
      <c r="H615" s="129"/>
      <c r="I615" s="125"/>
      <c r="J615" s="129"/>
      <c r="K615" s="123"/>
      <c r="L615" s="129" t="s">
        <v>1775</v>
      </c>
    </row>
    <row r="616" spans="1:12" ht="29.15" x14ac:dyDescent="0.4">
      <c r="A616" s="129" t="s">
        <v>1774</v>
      </c>
      <c r="B616" s="129" t="s">
        <v>540</v>
      </c>
      <c r="C616" s="129" t="s">
        <v>1768</v>
      </c>
      <c r="D616" s="130" t="s">
        <v>1769</v>
      </c>
      <c r="E616" s="129" t="s">
        <v>544</v>
      </c>
      <c r="F616" s="129" t="s">
        <v>883</v>
      </c>
      <c r="G616" s="129"/>
      <c r="H616" s="129"/>
      <c r="I616" s="125"/>
      <c r="J616" s="129"/>
      <c r="K616" s="123"/>
      <c r="L616" s="129" t="s">
        <v>1775</v>
      </c>
    </row>
  </sheetData>
  <mergeCells count="4">
    <mergeCell ref="A3:F3"/>
    <mergeCell ref="G3:L3"/>
    <mergeCell ref="A2:I2"/>
    <mergeCell ref="A1:L1"/>
  </mergeCells>
  <conditionalFormatting sqref="G6:G20411">
    <cfRule type="expression" dxfId="2" priority="2">
      <formula>G6="Rettificato"</formula>
    </cfRule>
    <cfRule type="expression" dxfId="1" priority="3">
      <formula>G6="Respinto"</formula>
    </cfRule>
  </conditionalFormatting>
  <conditionalFormatting sqref="L6:L20411">
    <cfRule type="expression" dxfId="0" priority="1">
      <formula>L6="Da decidere"</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24</vt:i4>
      </vt:variant>
      <vt:variant>
        <vt:lpstr>Intervalli denominati</vt:lpstr>
      </vt:variant>
      <vt:variant>
        <vt:i4>264</vt:i4>
      </vt:variant>
    </vt:vector>
  </HeadingPairs>
  <TitlesOfParts>
    <vt:vector size="288" baseType="lpstr">
      <vt:lpstr>Guida</vt:lpstr>
      <vt:lpstr>Quadro</vt:lpstr>
      <vt:lpstr>Classifica</vt:lpstr>
      <vt:lpstr>Radar_Mosca</vt:lpstr>
      <vt:lpstr>Matrice</vt:lpstr>
      <vt:lpstr>Delta</vt:lpstr>
      <vt:lpstr>Fenomeni</vt:lpstr>
      <vt:lpstr>Metodologia</vt:lpstr>
      <vt:lpstr>Registro</vt:lpstr>
      <vt:lpstr>Storico</vt:lpstr>
      <vt:lpstr>Indicatori</vt:lpstr>
      <vt:lpstr>Notizie</vt:lpstr>
      <vt:lpstr>Piano_azioni</vt:lpstr>
      <vt:lpstr>Osservazione</vt:lpstr>
      <vt:lpstr>Validazione</vt:lpstr>
      <vt:lpstr>Parametri</vt:lpstr>
      <vt:lpstr>Dizionario</vt:lpstr>
      <vt:lpstr>RiskRegister</vt:lpstr>
      <vt:lpstr>Azioni</vt:lpstr>
      <vt:lpstr>KRI</vt:lpstr>
      <vt:lpstr>NewsLog</vt:lpstr>
      <vt:lpstr>Sintesi_Cicli</vt:lpstr>
      <vt:lpstr>Sintesi_Settimane</vt:lpstr>
      <vt:lpstr>Storico_Validazioni</vt:lpstr>
      <vt:lpstr>ANA_Anni_Adeguamento</vt:lpstr>
      <vt:lpstr>ANA_Attenzione_Supervisore</vt:lpstr>
      <vt:lpstr>ANA_Driver</vt:lpstr>
      <vt:lpstr>ANA_Event_Type</vt:lpstr>
      <vt:lpstr>ANA_ID</vt:lpstr>
      <vt:lpstr>ANA_Nome</vt:lpstr>
      <vt:lpstr>ANA_Owner</vt:lpstr>
      <vt:lpstr>ANA_Presidio_Controlli</vt:lpstr>
      <vt:lpstr>anagrafica</vt:lpstr>
      <vt:lpstr>anniProssimita</vt:lpstr>
      <vt:lpstr>Classifica!Area_stampa</vt:lpstr>
      <vt:lpstr>Delta!Area_stampa</vt:lpstr>
      <vt:lpstr>Fenomeni!Area_stampa</vt:lpstr>
      <vt:lpstr>Matrice!Area_stampa</vt:lpstr>
      <vt:lpstr>Metodologia!Area_stampa</vt:lpstr>
      <vt:lpstr>Parametri!Area_stampa</vt:lpstr>
      <vt:lpstr>Quadro!Area_stampa</vt:lpstr>
      <vt:lpstr>Radar_Mosca!Area_stampa</vt:lpstr>
      <vt:lpstr>Registro!Area_stampa</vt:lpstr>
      <vt:lpstr>Validazione!Area_stampa</vt:lpstr>
      <vt:lpstr>AZ_Ciclo</vt:lpstr>
      <vt:lpstr>AZ_Data_Decisione</vt:lpstr>
      <vt:lpstr>AZ_Decisa_Da</vt:lpstr>
      <vt:lpstr>AZ_Descrizione</vt:lpstr>
      <vt:lpstr>AZ_ID_Azione</vt:lpstr>
      <vt:lpstr>AZ_ID_Rischio</vt:lpstr>
      <vt:lpstr>AZ_Mesi_Orizzonte</vt:lpstr>
      <vt:lpstr>AZ_Orizzonte</vt:lpstr>
      <vt:lpstr>AZ_Owner</vt:lpstr>
      <vt:lpstr>AZ_Razionale</vt:lpstr>
      <vt:lpstr>AZ_Stato</vt:lpstr>
      <vt:lpstr>AZ_Validazione</vt:lpstr>
      <vt:lpstr>capienzaRadar</vt:lpstr>
      <vt:lpstr>cicliTrend</vt:lpstr>
      <vt:lpstr>cicliUscitaRadar</vt:lpstr>
      <vt:lpstr>cicloCorrente</vt:lpstr>
      <vt:lpstr>cicloMeno2</vt:lpstr>
      <vt:lpstr>cicloPrecedente</vt:lpstr>
      <vt:lpstr>codiciDriver</vt:lpstr>
      <vt:lpstr>codiciL1</vt:lpstr>
      <vt:lpstr>coperturaAnagrafica</vt:lpstr>
      <vt:lpstr>coperturaValutati</vt:lpstr>
      <vt:lpstr>dataRiferimento</vt:lpstr>
      <vt:lpstr>decisioniDaPrendere</vt:lpstr>
      <vt:lpstr>deltaMotivi</vt:lpstr>
      <vt:lpstr>etichettaCiclo</vt:lpstr>
      <vt:lpstr>fenomeniLista</vt:lpstr>
      <vt:lpstr>fenomeniUscite</vt:lpstr>
      <vt:lpstr>inizioFinestra4</vt:lpstr>
      <vt:lpstr>KRI_Chiave</vt:lpstr>
      <vt:lpstr>KRI_Ciclo</vt:lpstr>
      <vt:lpstr>KRI_Ciclo_Aggiornamento</vt:lpstr>
      <vt:lpstr>KRI_Ciclo_Definizione</vt:lpstr>
      <vt:lpstr>KRI_Data_Rilevazione</vt:lpstr>
      <vt:lpstr>KRI_Fonte_Dati</vt:lpstr>
      <vt:lpstr>KRI_Fonte_Rilevazione</vt:lpstr>
      <vt:lpstr>KRI_ID_Rischio</vt:lpstr>
      <vt:lpstr>KRI_In_Vigore</vt:lpstr>
      <vt:lpstr>KRI_KRI_ID</vt:lpstr>
      <vt:lpstr>KRI_Nome</vt:lpstr>
      <vt:lpstr>KRI_Nota_Rilevazione</vt:lpstr>
      <vt:lpstr>KRI_Razionale</vt:lpstr>
      <vt:lpstr>KRI_Soglia_Allerta</vt:lpstr>
      <vt:lpstr>KRI_Soglia_Attenzione</vt:lpstr>
      <vt:lpstr>KRI_Stato</vt:lpstr>
      <vt:lpstr>KRI_Tipo</vt:lpstr>
      <vt:lpstr>KRI_Unita</vt:lpstr>
      <vt:lpstr>KRI_Validazione</vt:lpstr>
      <vt:lpstr>KRI_Valore_Corrente</vt:lpstr>
      <vt:lpstr>livelloForti</vt:lpstr>
      <vt:lpstr>livelloMargine</vt:lpstr>
      <vt:lpstr>livelloPxI</vt:lpstr>
      <vt:lpstr>livelloQuotaKRI</vt:lpstr>
      <vt:lpstr>moscaX</vt:lpstr>
      <vt:lpstr>moscaYDefault</vt:lpstr>
      <vt:lpstr>nomiDriver</vt:lpstr>
      <vt:lpstr>nomiL1</vt:lpstr>
      <vt:lpstr>NW_Codice_Fonte</vt:lpstr>
      <vt:lpstr>NW_Data</vt:lpstr>
      <vt:lpstr>NW_Fonte</vt:lpstr>
      <vt:lpstr>NW_ID_Notizia</vt:lpstr>
      <vt:lpstr>NW_Imp_9_1</vt:lpstr>
      <vt:lpstr>NW_Imp_9_11</vt:lpstr>
      <vt:lpstr>NW_Imp_9_13</vt:lpstr>
      <vt:lpstr>NW_Imp_9_4</vt:lpstr>
      <vt:lpstr>NW_Imp_9_5</vt:lpstr>
      <vt:lpstr>NW_Imp_9_6</vt:lpstr>
      <vt:lpstr>NW_Imp_9_7</vt:lpstr>
      <vt:lpstr>NW_Imp_9_8</vt:lpstr>
      <vt:lpstr>NW_Imp_9_9</vt:lpstr>
      <vt:lpstr>NW_Rischio_ID</vt:lpstr>
      <vt:lpstr>NW_Segnale</vt:lpstr>
      <vt:lpstr>NW_Settimana</vt:lpstr>
      <vt:lpstr>NW_Sintesi</vt:lpstr>
      <vt:lpstr>NW_Titolo</vt:lpstr>
      <vt:lpstr>NW_Validazione</vt:lpstr>
      <vt:lpstr>pesoImpatto</vt:lpstr>
      <vt:lpstr>pesoProbabilita</vt:lpstr>
      <vt:lpstr>pesoProssimita</vt:lpstr>
      <vt:lpstr>pesoVelocity</vt:lpstr>
      <vt:lpstr>posBadge</vt:lpstr>
      <vt:lpstr>posID</vt:lpstr>
      <vt:lpstr>posImpatto</vt:lpstr>
      <vt:lpstr>posLivello</vt:lpstr>
      <vt:lpstr>posNetti</vt:lpstr>
      <vt:lpstr>posNome</vt:lpstr>
      <vt:lpstr>posProbabilita</vt:lpstr>
      <vt:lpstr>posProssimita</vt:lpstr>
      <vt:lpstr>posScore</vt:lpstr>
      <vt:lpstr>posScore2</vt:lpstr>
      <vt:lpstr>posScorePrec</vt:lpstr>
      <vt:lpstr>posVelocity</vt:lpstr>
      <vt:lpstr>presidioCodici</vt:lpstr>
      <vt:lpstr>presidioStato</vt:lpstr>
      <vt:lpstr>quadroCommento</vt:lpstr>
      <vt:lpstr>quadroNote</vt:lpstr>
      <vt:lpstr>quadroSegnalati</vt:lpstr>
      <vt:lpstr>rettificheApplicate</vt:lpstr>
      <vt:lpstr>rmID</vt:lpstr>
      <vt:lpstr>rmLivello</vt:lpstr>
      <vt:lpstr>rmMargine</vt:lpstr>
      <vt:lpstr>rmMotivoLivello</vt:lpstr>
      <vt:lpstr>rmPxI</vt:lpstr>
      <vt:lpstr>rmUrgenza</vt:lpstr>
      <vt:lpstr>rmX</vt:lpstr>
      <vt:lpstr>rmY</vt:lpstr>
      <vt:lpstr>rmZ</vt:lpstr>
      <vt:lpstr>RR_Anni_Adeguamento</vt:lpstr>
      <vt:lpstr>RR_Approvato_Da</vt:lpstr>
      <vt:lpstr>RR_Chiave</vt:lpstr>
      <vt:lpstr>RR_Ciclo</vt:lpstr>
      <vt:lpstr>RR_Data_Riferimento</vt:lpstr>
      <vt:lpstr>RR_Data_Scrittura</vt:lpstr>
      <vt:lpstr>RR_Data_Validazione</vt:lpstr>
      <vt:lpstr>RR_Decisione_Stato</vt:lpstr>
      <vt:lpstr>RR_Descrizione</vt:lpstr>
      <vt:lpstr>RR_Driver</vt:lpstr>
      <vt:lpstr>RR_Esito</vt:lpstr>
      <vt:lpstr>RR_Event_Type</vt:lpstr>
      <vt:lpstr>RR_Fonti</vt:lpstr>
      <vt:lpstr>RR_ID_Rischio</vt:lpstr>
      <vt:lpstr>RR_Impatto</vt:lpstr>
      <vt:lpstr>RR_Motivo_Stato</vt:lpstr>
      <vt:lpstr>RR_Movimento</vt:lpstr>
      <vt:lpstr>RR_Nome</vt:lpstr>
      <vt:lpstr>RR_Ordine_Osservazione</vt:lpstr>
      <vt:lpstr>RR_Orizzonte_Anni</vt:lpstr>
      <vt:lpstr>RR_Owner</vt:lpstr>
      <vt:lpstr>RR_Periodo_Valutazione</vt:lpstr>
      <vt:lpstr>RR_Probabilita</vt:lpstr>
      <vt:lpstr>RR_Prossimita</vt:lpstr>
      <vt:lpstr>RR_Razionale</vt:lpstr>
      <vt:lpstr>RR_Rilievi</vt:lpstr>
      <vt:lpstr>RR_Score_Composito</vt:lpstr>
      <vt:lpstr>RR_Segnale_Avvicinamento</vt:lpstr>
      <vt:lpstr>RR_Stato</vt:lpstr>
      <vt:lpstr>RR_Validazione</vt:lpstr>
      <vt:lpstr>RR_Variazioni</vt:lpstr>
      <vt:lpstr>RR_Velocity</vt:lpstr>
      <vt:lpstr>SE_Data_Scrittura</vt:lpstr>
      <vt:lpstr>SE_Flag_Proposti</vt:lpstr>
      <vt:lpstr>SE_Notizie</vt:lpstr>
      <vt:lpstr>SE_Proposta_Straordinario</vt:lpstr>
      <vt:lpstr>SE_Settimana</vt:lpstr>
      <vt:lpstr>SE_Sintesi_A3</vt:lpstr>
      <vt:lpstr>settimanaCorrente</vt:lpstr>
      <vt:lpstr>settimane12</vt:lpstr>
      <vt:lpstr>SI_Ciclo</vt:lpstr>
      <vt:lpstr>SI_Data_Riferimento</vt:lpstr>
      <vt:lpstr>SI_Data_Scrittura</vt:lpstr>
      <vt:lpstr>SI_Note_Analista</vt:lpstr>
      <vt:lpstr>SI_Osservazioni_Controlli</vt:lpstr>
      <vt:lpstr>SI_Rilievi_Ciclo</vt:lpstr>
      <vt:lpstr>SI_Rilievi_Superati</vt:lpstr>
      <vt:lpstr>SI_Sintesi_A1</vt:lpstr>
      <vt:lpstr>SI_Sintesi_A5</vt:lpstr>
      <vt:lpstr>SI_Straordinario</vt:lpstr>
      <vt:lpstr>sogliaDelta</vt:lpstr>
      <vt:lpstr>sogliaDirezione</vt:lpstr>
      <vt:lpstr>sogliaProbabilitaRadar</vt:lpstr>
      <vt:lpstr>sogliaProssimitaRadar</vt:lpstr>
      <vt:lpstr>statoCopertura</vt:lpstr>
      <vt:lpstr>statoValidazione</vt:lpstr>
      <vt:lpstr>Registro!Titoli_stampa</vt:lpstr>
      <vt:lpstr>VAL_Campo</vt:lpstr>
      <vt:lpstr>VAL_Data_Validazione</vt:lpstr>
      <vt:lpstr>VAL_Decisione</vt:lpstr>
      <vt:lpstr>VAL_ID</vt:lpstr>
      <vt:lpstr>VAL_Motivazione</vt:lpstr>
      <vt:lpstr>VAL_Nome</vt:lpstr>
      <vt:lpstr>VAL_Oggetto</vt:lpstr>
      <vt:lpstr>VAL_Periodo</vt:lpstr>
      <vt:lpstr>VAL_Proposta_Agente</vt:lpstr>
      <vt:lpstr>VAL_Stato</vt:lpstr>
      <vt:lpstr>VAL_Validato_Da</vt:lpstr>
      <vt:lpstr>VAL_Valore_Validato</vt:lpstr>
      <vt:lpstr>valStato</vt:lpstr>
      <vt:lpstr>VG_Azione_Appoggio</vt:lpstr>
      <vt:lpstr>VG_Azione_ID</vt:lpstr>
      <vt:lpstr>VG_Azione_Mesi</vt:lpstr>
      <vt:lpstr>VG_Azione_Motivazione</vt:lpstr>
      <vt:lpstr>VG_Azione_Nome</vt:lpstr>
      <vt:lpstr>VG_Azione_Orizzonte</vt:lpstr>
      <vt:lpstr>VG_Azione_Orizzonte_P</vt:lpstr>
      <vt:lpstr>VG_Azione_Owner</vt:lpstr>
      <vt:lpstr>VG_Azione_Owner_P</vt:lpstr>
      <vt:lpstr>VG_Azione_Periodo</vt:lpstr>
      <vt:lpstr>VG_Azione_Respingi</vt:lpstr>
      <vt:lpstr>VG_Azione_righe</vt:lpstr>
      <vt:lpstr>VG_Azione_titolo</vt:lpstr>
      <vt:lpstr>VG_KRI_Appoggio</vt:lpstr>
      <vt:lpstr>VG_KRI_ID</vt:lpstr>
      <vt:lpstr>VG_KRI_Motivazione</vt:lpstr>
      <vt:lpstr>VG_KRI_Nome</vt:lpstr>
      <vt:lpstr>VG_KRI_Periodo</vt:lpstr>
      <vt:lpstr>VG_KRI_Respingi</vt:lpstr>
      <vt:lpstr>VG_KRI_righe</vt:lpstr>
      <vt:lpstr>VG_KRI_Soglia_Allerta</vt:lpstr>
      <vt:lpstr>VG_KRI_Soglia_Allerta_P</vt:lpstr>
      <vt:lpstr>VG_KRI_Soglia_Attenzione</vt:lpstr>
      <vt:lpstr>VG_KRI_Soglia_Attenzione_P</vt:lpstr>
      <vt:lpstr>VG_KRI_Tipo</vt:lpstr>
      <vt:lpstr>VG_KRI_titolo</vt:lpstr>
      <vt:lpstr>VG_KRI_Valore_Corrente</vt:lpstr>
      <vt:lpstr>VG_KRI_Valore_Corrente_P</vt:lpstr>
      <vt:lpstr>VG_Notizia_Appoggio</vt:lpstr>
      <vt:lpstr>VG_Notizia_ID</vt:lpstr>
      <vt:lpstr>VG_Notizia_Motivazione</vt:lpstr>
      <vt:lpstr>VG_Notizia_Nome</vt:lpstr>
      <vt:lpstr>VG_Notizia_Periodo</vt:lpstr>
      <vt:lpstr>VG_Notizia_Respingi</vt:lpstr>
      <vt:lpstr>VG_Notizia_righe</vt:lpstr>
      <vt:lpstr>VG_Notizia_Rischio_ID</vt:lpstr>
      <vt:lpstr>VG_Notizia_Rischio_ID_P</vt:lpstr>
      <vt:lpstr>VG_Notizia_Segnale</vt:lpstr>
      <vt:lpstr>VG_Notizia_Segnale_P</vt:lpstr>
      <vt:lpstr>VG_Notizia_Settimana</vt:lpstr>
      <vt:lpstr>VG_Notizia_titolo</vt:lpstr>
      <vt:lpstr>VG_Rischio_Anni_Adeguamento</vt:lpstr>
      <vt:lpstr>VG_Rischio_Anni_Adeguamento_P</vt:lpstr>
      <vt:lpstr>VG_Rischio_Appoggio</vt:lpstr>
      <vt:lpstr>VG_Rischio_Decisione_Stato</vt:lpstr>
      <vt:lpstr>VG_Rischio_Decisione_Stato_P</vt:lpstr>
      <vt:lpstr>VG_Rischio_ID</vt:lpstr>
      <vt:lpstr>VG_Rischio_Impatto</vt:lpstr>
      <vt:lpstr>VG_Rischio_Impatto_P</vt:lpstr>
      <vt:lpstr>VG_Rischio_Margine</vt:lpstr>
      <vt:lpstr>VG_Rischio_MargineNum</vt:lpstr>
      <vt:lpstr>VG_Rischio_Motivazione</vt:lpstr>
      <vt:lpstr>VG_Rischio_Nome</vt:lpstr>
      <vt:lpstr>VG_Rischio_Periodo</vt:lpstr>
      <vt:lpstr>VG_Rischio_Probabilita</vt:lpstr>
      <vt:lpstr>VG_Rischio_Probabilita_P</vt:lpstr>
      <vt:lpstr>VG_Rischio_Prossimita</vt:lpstr>
      <vt:lpstr>VG_Rischio_Prossimita_P</vt:lpstr>
      <vt:lpstr>VG_Rischio_righe</vt:lpstr>
      <vt:lpstr>VG_Rischio_Score</vt:lpstr>
      <vt:lpstr>VG_Rischio_ScoreNum</vt:lpstr>
      <vt:lpstr>VG_Rischio_Segnalazioni</vt:lpstr>
      <vt:lpstr>VG_Rischio_SegnalazioniCiclo</vt:lpstr>
      <vt:lpstr>VG_Rischio_Stato</vt:lpstr>
      <vt:lpstr>VG_Rischio_titolo</vt:lpstr>
      <vt:lpstr>VG_Rischio_Velocity</vt:lpstr>
      <vt:lpstr>VG_Rischio_Velocity_P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Corrado Grasso</cp:lastModifiedBy>
  <dcterms:created xsi:type="dcterms:W3CDTF">2026-10-08T11:48:19Z</dcterms:created>
  <dcterms:modified xsi:type="dcterms:W3CDTF">2026-10-08T17:09:24Z</dcterms:modified>
</cp:coreProperties>
</file>