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7B227015-9DE2-47C2-B58D-F29B7C8024E3}"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Storico_Validazioni!$E$6:$E$20389</definedName>
    <definedName name="VAL_Data_Validazione">Storico_Validazioni!$K$6:$K$20389</definedName>
    <definedName name="VAL_Decisione">Storico_Validazioni!$G$6:$G$20389</definedName>
    <definedName name="VAL_ID">Storico_Validazioni!$C$6:$C$20389</definedName>
    <definedName name="VAL_Motivazione">Storico_Validazioni!$I$6:$I$20389</definedName>
    <definedName name="VAL_Nome">Storico_Validazioni!$D$6:$D$20389</definedName>
    <definedName name="VAL_Oggetto">Storico_Validazioni!$B$6:$B$20389</definedName>
    <definedName name="VAL_Periodo">Storico_Validazioni!$A$6:$A$20389</definedName>
    <definedName name="VAL_Proposta_Agente">Storico_Validazioni!$F$6:$F$20389</definedName>
    <definedName name="VAL_Stato">Storico_Validazioni!$L$6:$L$20389</definedName>
    <definedName name="VAL_Validato_Da">Storico_Validazioni!$J$6:$J$20389</definedName>
    <definedName name="VAL_Valore_Validato">Storico_Validazioni!$H$6:$H$20389</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75" i="18" l="1"/>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A25" i="9"/>
  <c r="AG25" i="9" s="1"/>
  <c r="T21" i="3" s="1"/>
  <c r="AA24" i="9"/>
  <c r="AJ24" i="9" s="1"/>
  <c r="AL23" i="9"/>
  <c r="AK23" i="9"/>
  <c r="AJ23" i="9"/>
  <c r="AI23" i="9"/>
  <c r="AH23" i="9"/>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19" i="6"/>
  <c r="AI19" i="6" s="1"/>
  <c r="L22" i="5"/>
  <c r="L21" i="5"/>
  <c r="L19"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J29" i="2"/>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M11" i="2"/>
  <c r="BL11" i="2"/>
  <c r="BJ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J5" i="2"/>
  <c r="G5" i="2"/>
  <c r="BN44" i="2" l="1"/>
  <c r="BI11" i="2"/>
  <c r="BP44" i="2"/>
  <c r="N20" i="15"/>
  <c r="AK57" i="4"/>
  <c r="BL73" i="2"/>
  <c r="AK37" i="4"/>
  <c r="T11" i="15"/>
  <c r="AJ37" i="4"/>
  <c r="BN63" i="2"/>
  <c r="BN73" i="2"/>
  <c r="O21" i="15"/>
  <c r="S16" i="15"/>
  <c r="S10" i="15"/>
  <c r="S9" i="15"/>
  <c r="S15" i="15"/>
  <c r="S17" i="15"/>
  <c r="S11" i="15"/>
  <c r="O11" i="15" s="1"/>
  <c r="S12" i="15"/>
  <c r="T9" i="15"/>
  <c r="T14" i="15"/>
  <c r="O14" i="15" s="1"/>
  <c r="T10" i="15"/>
  <c r="O10" i="15" s="1"/>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7"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H19" i="6"/>
  <c r="AE10" i="9"/>
  <c r="AJ19" i="6"/>
  <c r="AF10" i="9"/>
  <c r="C6" i="4"/>
  <c r="AG10" i="9"/>
  <c r="AG19" i="6"/>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C23" i="10"/>
  <c r="O12" i="11"/>
  <c r="P12" i="11"/>
  <c r="T12" i="11"/>
  <c r="Q12" i="11"/>
  <c r="AE19" i="9"/>
  <c r="AE21" i="9"/>
  <c r="AD21" i="9"/>
  <c r="AB21" i="9"/>
  <c r="B17" i="10" s="1"/>
  <c r="AJ21" i="9"/>
  <c r="AK21" i="9" s="1"/>
  <c r="H12" i="10"/>
  <c r="E12" i="10"/>
  <c r="N12" i="11"/>
  <c r="P16" i="11"/>
  <c r="O16" i="11"/>
  <c r="N16" i="11"/>
  <c r="T16" i="11"/>
  <c r="R16" i="11"/>
  <c r="H23" i="10"/>
  <c r="G6" i="10"/>
  <c r="C6" i="10"/>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K5" i="4" l="1"/>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X5" i="4" s="1"/>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Q5" i="4"/>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W5" i="4"/>
  <c r="F8" i="4"/>
  <c r="K12" i="4"/>
  <c r="L12" i="4" s="1"/>
  <c r="V5" i="4"/>
  <c r="M20" i="5"/>
  <c r="AL20" i="5" s="1"/>
  <c r="M16" i="5"/>
  <c r="O16" i="5" s="1"/>
  <c r="Z16" i="5" s="1"/>
  <c r="F13" i="4"/>
  <c r="X13" i="4" s="1"/>
  <c r="Z5" i="4"/>
  <c r="M10" i="5"/>
  <c r="Z10" i="5" s="1"/>
  <c r="M18" i="5"/>
  <c r="X18" i="5" s="1"/>
  <c r="F17" i="4"/>
  <c r="M22" i="5"/>
  <c r="AQ22" i="5" s="1"/>
  <c r="L5" i="4"/>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Y5" i="4"/>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P11" i="4" l="1"/>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R5" i="4"/>
  <c r="DO5" i="2" s="1"/>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R11" i="4" s="1"/>
  <c r="CK11" i="4" s="1"/>
  <c r="U8" i="4"/>
  <c r="L11" i="4"/>
  <c r="U11" i="4"/>
  <c r="V8" i="4"/>
  <c r="W11" i="4"/>
  <c r="U10" i="4"/>
  <c r="AN10" i="5"/>
  <c r="AQ10" i="5"/>
  <c r="AA10" i="5"/>
  <c r="AP10" i="5"/>
  <c r="AA6" i="5"/>
  <c r="S5" i="4"/>
  <c r="CM5" i="4" s="1"/>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A5" i="4"/>
  <c r="T5" i="2" s="1"/>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S17" i="4" l="1"/>
  <c r="CM17" i="4" s="1"/>
  <c r="AE17" i="5"/>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BQ5" i="4"/>
  <c r="BE5" i="4"/>
  <c r="CS5" i="2"/>
  <c r="BH5" i="4"/>
  <c r="CA5" i="4"/>
  <c r="R12" i="4"/>
  <c r="CK12" i="4" s="1"/>
  <c r="CA5" i="2"/>
  <c r="DB5" i="2"/>
  <c r="DD5" i="2"/>
  <c r="DL5" i="2"/>
  <c r="BG5" i="4"/>
  <c r="AB5" i="4"/>
  <c r="BO5" i="4"/>
  <c r="CE5" i="4"/>
  <c r="DH5" i="2"/>
  <c r="AA12" i="4"/>
  <c r="T12" i="2" s="1"/>
  <c r="G20" i="9"/>
  <c r="E20" i="9"/>
  <c r="BY5" i="2"/>
  <c r="CX5" i="2"/>
  <c r="CQ5" i="2"/>
  <c r="BF5" i="4"/>
  <c r="CY5" i="2"/>
  <c r="CU5" i="2"/>
  <c r="BZ5" i="4"/>
  <c r="CB5" i="4"/>
  <c r="AX5" i="4"/>
  <c r="BK5" i="4"/>
  <c r="CD5" i="4"/>
  <c r="BT5" i="4"/>
  <c r="CE5" i="2"/>
  <c r="BV5" i="4"/>
  <c r="CT5" i="2"/>
  <c r="BI5" i="4"/>
  <c r="BU5" i="4"/>
  <c r="DM5" i="2"/>
  <c r="BX5" i="4"/>
  <c r="DI5" i="2"/>
  <c r="CG5" i="2"/>
  <c r="CZ5" i="2"/>
  <c r="DG5" i="2"/>
  <c r="BP5" i="4"/>
  <c r="CL5" i="2"/>
  <c r="CD5" i="2"/>
  <c r="CV5" i="2"/>
  <c r="AY5" i="4"/>
  <c r="CH5" i="4"/>
  <c r="BB5" i="4"/>
  <c r="CJ5" i="2"/>
  <c r="CR5" i="2"/>
  <c r="CW5" i="2"/>
  <c r="BM5" i="4"/>
  <c r="CP5" i="2"/>
  <c r="CO5" i="2"/>
  <c r="CI5" i="4"/>
  <c r="CC5" i="4"/>
  <c r="DA5" i="2"/>
  <c r="AN9" i="9"/>
  <c r="DC5" i="2"/>
  <c r="BC5" i="4"/>
  <c r="BR5" i="4"/>
  <c r="CI5" i="2"/>
  <c r="CM5" i="2"/>
  <c r="CN5" i="2"/>
  <c r="BN5" i="4"/>
  <c r="BY5" i="4"/>
  <c r="AZ5" i="4"/>
  <c r="AV5" i="4"/>
  <c r="BA5" i="4"/>
  <c r="AW5" i="4"/>
  <c r="BJ5" i="4"/>
  <c r="CF5" i="4"/>
  <c r="CH5" i="2"/>
  <c r="DF5" i="2"/>
  <c r="CK5" i="2"/>
  <c r="CC5" i="2"/>
  <c r="DE5" i="2"/>
  <c r="DN5" i="2"/>
  <c r="R20" i="9"/>
  <c r="H20" i="9"/>
  <c r="J20" i="9" s="1"/>
  <c r="D20" i="9"/>
  <c r="CJ5" i="4"/>
  <c r="CB5" i="2"/>
  <c r="BZ5" i="2"/>
  <c r="CF5" i="2"/>
  <c r="BW5" i="4"/>
  <c r="BL5" i="4"/>
  <c r="Q20" i="9"/>
  <c r="T20" i="9"/>
  <c r="F20" i="9"/>
  <c r="AU5" i="4"/>
  <c r="BS5" i="4"/>
  <c r="DJ5" i="2"/>
  <c r="DK5" i="2"/>
  <c r="CG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DQ17" i="2" l="1"/>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<sst xmlns="http://schemas.openxmlformats.org/spreadsheetml/2006/main" count="10517" uniqueCount="1781">
  <si>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</si>
  <si>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</si>
  <si>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</si>
  <si>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</si>
  <si>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</si>
  <si>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</si>
  <si>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</si>
  <si>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</si>
  <si>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</si>
  <si>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</si>
  <si>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</si>
  <si>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</si>
  <si>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</si>
  <si>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</si>
  <si>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</si>
  <si>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</si>
  <si>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</si>
  <si>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</si>
  <si>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</si>
  <si>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</si>
  <si>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</si>
  <si>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</si>
  <si>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</si>
  <si>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</si>
  <si>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</si>
  <si>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</si>
  <si>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</si>
  <si>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</si>
  <si>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</si>
  <si>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</si>
  <si>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</si>
  <si>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</si>
  <si>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</si>
  <si>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</si>
  <si>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</si>
  <si>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</si>
  <si>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</si>
  <si>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</si>
  <si>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</si>
  <si>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</si>
  <si>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</si>
  <si>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</si>
  <si>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</si>
  <si>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</si>
  <si>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</si>
  <si>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</si>
  <si>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</si>
  <si>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</si>
  <si>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</si>
  <si>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</si>
  <si>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</si>
  <si>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</si>
  <si>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</si>
  <si>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</si>
  <si>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</si>
  <si>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</si>
  <si>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</si>
  <si>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</si>
  <si>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</si>
  <si>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</si>
  <si>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</si>
  <si>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</si>
  <si>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</si>
  <si>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</si>
  <si>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</si>
  <si>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</si>
  <si>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</si>
  <si>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</si>
  <si>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</si>
  <si>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</si>
  <si>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</si>
  <si>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</si>
  <si>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</si>
  <si>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</si>
  <si>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</si>
  <si>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</si>
  <si>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</si>
  <si>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</si>
  <si>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</si>
  <si>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</si>
  <si>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</si>
  <si>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</si>
  <si>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</si>
  <si>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</si>
  <si>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</si>
  <si>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</si>
  <si>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</si>
  <si>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</si>
  <si>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</si>
  <si>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</si>
  <si>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</si>
  <si>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</si>
  <si>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</si>
  <si>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</si>
  <si>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</si>
  <si>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</si>
  <si>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</si>
  <si>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</si>
  <si>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</si>
  <si>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</si>
  <si>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</si>
  <si>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</si>
  <si>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</si>
  <si>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</si>
  <si>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</si>
  <si>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</si>
  <si>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</si>
  <si>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</si>
  <si>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</si>
  <si>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</si>
  <si>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</si>
  <si>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</si>
  <si>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</si>
  <si>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</si>
  <si>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</si>
  <si>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</si>
  <si>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</si>
  <si>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</si>
  <si>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</si>
  <si>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</si>
  <si>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</si>
  <si>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</si>
  <si>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</si>
  <si>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</si>
  <si>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</si>
  <si>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</si>
  <si>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</si>
  <si>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</si>
  <si>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</si>
  <si>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</si>
  <si>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</si>
  <si>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</si>
  <si>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</si>
  <si>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</si>
  <si>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</si>
  <si>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</si>
  <si>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</si>
  <si>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</si>
  <si>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</si>
  <si>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</si>
  <si>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</si>
  <si>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</si>
  <si>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</si>
  <si>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</si>
  <si>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</si>
  <si>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</si>
  <si>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</si>
  <si>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</si>
  <si>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</si>
  <si>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</si>
  <si>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</si>
  <si>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</si>
  <si>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</si>
  <si>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</si>
  <si>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</si>
  <si>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</si>
  <si>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</si>
  <si>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</si>
  <si>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</si>
  <si>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</si>
  <si>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</si>
  <si>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</si>
  <si>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</si>
  <si>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</si>
  <si>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</si>
  <si>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</si>
  <si>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</si>
  <si>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</si>
  <si>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</si>
  <si>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</si>
  <si>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</si>
  <si>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</si>
  <si>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</si>
  <si>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</si>
  <si>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</si>
  <si>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</si>
  <si>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</si>
  <si>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</si>
  <si>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</si>
  <si>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</si>
  <si>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</si>
  <si>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</si>
  <si>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</si>
  <si>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</si>
  <si>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</si>
  <si>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</si>
  <si>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</si>
  <si>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</si>
  <si>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</si>
  <si>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</si>
  <si>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</si>
  <si>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</si>
  <si>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</si>
  <si>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</si>
  <si>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</si>
  <si>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</si>
  <si>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</si>
  <si>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</si>
  <si>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</si>
  <si>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</si>
  <si>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</si>
  <si>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</si>
  <si>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</si>
  <si>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</si>
  <si>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</si>
  <si>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</si>
  <si>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</si>
  <si>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</si>
  <si>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</si>
  <si>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</si>
  <si>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</si>
  <si>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</si>
  <si>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</si>
  <si>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</si>
  <si>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</si>
  <si>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</si>
  <si>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</si>
  <si>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</si>
  <si>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</si>
  <si>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</si>
  <si>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</si>
  <si>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</si>
  <si>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</si>
  <si>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</si>
  <si>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</si>
  <si>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</si>
  <si>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</si>
  <si>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</si>
  <si>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</si>
  <si>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</si>
  <si>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</si>
  <si>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</si>
  <si>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</si>
  <si>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</si>
  <si>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</si>
  <si>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</si>
  <si>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</si>
  <si>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</si>
  <si>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</si>
  <si>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</si>
  <si>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</si>
  <si>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</si>
  <si>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</si>
  <si>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</si>
  <si>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</si>
  <si>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</si>
  <si>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</si>
  <si>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</si>
  <si>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</si>
  <si>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</si>
  <si>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</si>
  <si>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</si>
  <si>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</si>
  <si>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</si>
  <si>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</si>
  <si>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</si>
  <si>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</si>
  <si>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</si>
  <si>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</si>
  <si>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</si>
  <si>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</si>
  <si>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</si>
  <si>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</si>
  <si>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</si>
  <si>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</si>
  <si>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</si>
  <si>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</si>
  <si>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</si>
  <si>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</si>
  <si>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</si>
  <si>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</si>
  <si>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</si>
  <si>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</si>
  <si>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</si>
  <si>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</si>
  <si>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</si>
  <si>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</si>
  <si>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</si>
  <si>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</si>
  <si>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</si>
  <si>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</si>
  <si>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</si>
  <si>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</si>
  <si>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</si>
  <si>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</si>
  <si>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</si>
  <si>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</si>
  <si>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</si>
  <si>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</si>
  <si>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</si>
  <si>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</si>
  <si>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</si>
  <si>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</si>
  <si>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</si>
  <si>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</si>
  <si>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</si>
  <si>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</si>
  <si>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</si>
  <si>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</si>
  <si>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</si>
  <si>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</si>
  <si>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</si>
  <si>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</si>
  <si>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</si>
  <si>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</si>
  <si>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</si>
  <si>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</si>
  <si>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</si>
  <si>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</si>
  <si>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</si>
  <si>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</si>
  <si>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</si>
  <si>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</si>
  <si>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</si>
  <si>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</si>
  <si>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</si>
  <si>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</si>
  <si>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</si>
  <si>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</si>
  <si>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</si>
  <si>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</si>
  <si>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</si>
  <si>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</si>
  <si>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</si>
  <si>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</si>
  <si>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</si>
  <si>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</si>
  <si>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</si>
  <si>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</si>
  <si>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</si>
  <si>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</si>
  <si>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</si>
  <si>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</si>
  <si>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</si>
  <si>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</si>
  <si>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</si>
  <si>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</si>
  <si>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</si>
  <si>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</si>
  <si>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</si>
  <si>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</si>
  <si>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</si>
  <si>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</si>
  <si>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</si>
  <si>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</si>
  <si>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</si>
  <si>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</si>
  <si>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</si>
  <si>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</si>
  <si>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</si>
  <si>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</si>
  <si>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</si>
  <si>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</si>
  <si>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</si>
  <si>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</si>
  <si>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</si>
  <si>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</si>
  <si>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</si>
  <si>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</si>
  <si>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</si>
  <si>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</si>
  <si>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</si>
  <si>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</si>
  <si>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</si>
  <si>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</si>
  <si>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</si>
  <si>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</si>
  <si>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</si>
  <si>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</si>
  <si>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</si>
  <si>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</si>
  <si>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</si>
  <si>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</si>
  <si>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</si>
  <si>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</si>
  <si>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</si>
  <si>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</si>
  <si>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</si>
  <si>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</si>
  <si>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</si>
  <si>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</si>
  <si>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</si>
  <si>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</si>
  <si>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</si>
  <si>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</si>
  <si>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</si>
  <si>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</si>
  <si>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</si>
  <si>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</si>
  <si>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</si>
  <si>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</si>
  <si>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</si>
  <si>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</si>
  <si>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</si>
  <si>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</si>
  <si>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</si>
  <si>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</si>
  <si>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</si>
  <si>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</si>
  <si>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</si>
  <si>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</si>
  <si>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</si>
  <si>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</si>
  <si>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</si>
  <si>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</si>
  <si>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</si>
  <si>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</si>
  <si>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</si>
  <si>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</si>
  <si>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</si>
  <si>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</si>
  <si>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</si>
  <si>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</si>
  <si>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</si>
  <si>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</si>
  <si>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</si>
  <si>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</si>
  <si>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</si>
  <si>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</si>
  <si>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</si>
  <si>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</si>
  <si>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</si>
  <si>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</si>
  <si>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</si>
  <si>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</si>
  <si>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</si>
  <si>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</si>
  <si>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</si>
  <si>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</si>
  <si>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</si>
  <si>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</si>
  <si>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</si>
  <si>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</si>
  <si>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</si>
  <si>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</si>
  <si>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</si>
  <si>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</si>
  <si>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</si>
  <si>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</si>
  <si>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</si>
  <si>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</si>
  <si>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</si>
  <si>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</si>
  <si>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</si>
  <si>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</si>
  <si>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</si>
  <si>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</si>
  <si>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</si>
  <si>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</si>
  <si>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</si>
  <si>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</si>
  <si>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</si>
  <si>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</si>
  <si>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</si>
  <si>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</si>
  <si>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</si>
  <si>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</si>
  <si>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</si>
  <si>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</si>
  <si>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</si>
  <si>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</si>
  <si>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</si>
  <si>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</si>
  <si>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</si>
  <si>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</si>
  <si>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</si>
  <si>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</si>
  <si>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</si>
  <si>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</si>
  <si>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</si>
  <si>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</si>
  <si>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</si>
  <si>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</si>
  <si>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</si>
  <si>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</si>
  <si>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</si>
  <si>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</si>
  <si>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</si>
  <si>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</si>
  <si>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</si>
  <si>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</si>
  <si>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</si>
  <si>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</si>
  <si>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</si>
  <si>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</si>
  <si>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</si>
  <si>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</si>
  <si>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</si>
  <si>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</si>
  <si>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</si>
  <si>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</si>
  <si>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</si>
  <si>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</si>
  <si>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</si>
  <si>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</si>
  <si>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</si>
  <si>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</si>
  <si>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</si>
  <si>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</si>
  <si>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</si>
  <si>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</si>
  <si>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</si>
  <si>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</si>
  <si>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</si>
  <si>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</si>
  <si>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</si>
  <si>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</si>
  <si>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</si>
  <si>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</si>
  <si>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</si>
  <si>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</si>
  <si>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</si>
  <si>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</si>
  <si>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</si>
  <si>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</si>
  <si>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</si>
  <si>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</si>
  <si>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</si>
  <si>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</si>
  <si>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</si>
  <si>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</si>
  <si>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</si>
  <si>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</si>
  <si>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</si>
  <si>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</si>
  <si>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</si>
  <si>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</si>
  <si>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</si>
  <si>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</si>
  <si>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</si>
  <si>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</si>
  <si>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</si>
  <si>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</si>
  <si>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</si>
  <si>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</si>
  <si>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</si>
  <si>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</si>
  <si>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</si>
  <si>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</si>
  <si>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</si>
  <si>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</si>
  <si>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</si>
  <si>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</si>
  <si>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</si>
  <si>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</si>
  <si>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</si>
  <si>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</si>
  <si>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</si>
  <si>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</si>
  <si>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</si>
  <si>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</si>
  <si>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</si>
  <si>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</si>
  <si>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</si>
  <si>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</si>
  <si>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</si>
  <si>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</si>
  <si>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</si>
  <si>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</si>
  <si>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</si>
  <si>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</si>
  <si>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</si>
  <si>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</si>
  <si>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</si>
  <si>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</si>
  <si>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</si>
  <si>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</si>
  <si>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</si>
  <si>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</si>
  <si>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</si>
  <si>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</si>
  <si>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</si>
  <si>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</si>
  <si>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</si>
  <si>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</si>
  <si>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</si>
  <si>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</si>
  <si>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</si>
  <si>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</si>
  <si>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</si>
  <si>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</si>
  <si>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</si>
  <si>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</si>
  <si>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</si>
  <si>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</si>
  <si>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</si>
  <si>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</si>
  <si>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</si>
  <si>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</si>
  <si>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</si>
  <si>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</si>
  <si>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</si>
  <si>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</si>
  <si>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</si>
  <si>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</si>
  <si>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</si>
  <si>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</si>
  <si>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</si>
  <si>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</si>
  <si>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</si>
  <si>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</si>
  <si>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</si>
  <si>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</si>
  <si>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</si>
  <si>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</si>
  <si>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</si>
  <si>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</si>
  <si>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</si>
  <si>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</si>
  <si>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</si>
  <si>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</si>
  <si>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</si>
  <si>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</si>
  <si>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</si>
  <si>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</si>
  <si>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</si>
  <si>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</si>
  <si>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</si>
  <si>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</si>
  <si>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</si>
  <si>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</si>
  <si>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</si>
  <si>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</si>
  <si>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</si>
  <si>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</si>
  <si>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</si>
  <si>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</si>
  <si>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</si>
  <si>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</si>
  <si>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</si>
  <si>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</si>
  <si>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</si>
  <si>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</si>
  <si>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</si>
  <si>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</si>
  <si>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</si>
  <si>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</si>
  <si>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</si>
  <si>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</si>
  <si>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</si>
  <si>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</si>
  <si>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</si>
  <si>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</si>
  <si>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</si>
  <si>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</si>
  <si>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</si>
  <si>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</si>
  <si>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</si>
  <si>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</si>
  <si>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</si>
  <si>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</si>
  <si>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</si>
  <si>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</si>
  <si>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</si>
  <si>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</si>
  <si>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</si>
  <si>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</si>
  <si>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</si>
  <si>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</si>
  <si>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</si>
  <si>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</si>
  <si>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</si>
  <si>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</si>
  <si>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</si>
  <si>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</si>
  <si>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</si>
  <si>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</si>
  <si>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</si>
  <si>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</si>
  <si>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</si>
  <si>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</si>
  <si>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</si>
  <si>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</si>
  <si>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</si>
  <si>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</si>
  <si>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</si>
  <si>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</si>
  <si>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</si>
  <si>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</si>
  <si>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</si>
  <si>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</si>
  <si>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</si>
  <si>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</si>
  <si>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</si>
  <si>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</si>
  <si>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</si>
  <si>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</si>
  <si>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</si>
  <si>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</si>
  <si>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</si>
  <si>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</si>
  <si>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</si>
  <si>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</si>
  <si>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</si>
  <si>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</si>
  <si>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</si>
  <si>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</si>
  <si>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</si>
  <si>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</si>
  <si>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</si>
  <si>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</si>
  <si>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</si>
  <si>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</si>
  <si>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</si>
  <si>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</si>
  <si>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</si>
  <si>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</si>
  <si>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</si>
  <si>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</si>
  <si>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</si>
  <si>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</si>
  <si>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</si>
  <si>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</si>
  <si>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</si>
  <si>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</si>
  <si>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</si>
  <si>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</si>
  <si>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</si>
  <si>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</si>
  <si>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</si>
  <si>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</si>
  <si>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</si>
  <si>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</si>
  <si>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</si>
  <si>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</si>
  <si>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</si>
  <si>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</si>
  <si>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</si>
  <si>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</si>
  <si>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</si>
  <si>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</si>
  <si>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</si>
  <si>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</si>
  <si>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</si>
  <si>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</si>
  <si>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</si>
  <si>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</si>
  <si>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</si>
  <si>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</si>
  <si>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</si>
  <si>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</si>
  <si>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</si>
  <si>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</si>
  <si>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</si>
  <si>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</si>
  <si>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</si>
  <si>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</si>
  <si>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</si>
  <si>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</si>
  <si>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</si>
  <si>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</si>
  <si>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</si>
  <si>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</si>
  <si>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</si>
  <si>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</si>
  <si>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</si>
  <si>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</si>
  <si>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</si>
  <si>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</si>
  <si>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</si>
  <si>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</si>
  <si>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</si>
  <si>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</si>
  <si>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</si>
  <si>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</si>
  <si>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</si>
  <si>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</si>
  <si>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</si>
  <si>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</si>
  <si>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</si>
  <si>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</si>
  <si>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</si>
  <si>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</si>
  <si>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</si>
  <si>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</si>
  <si>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</si>
  <si>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</si>
  <si>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</si>
  <si>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</si>
  <si>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</si>
  <si>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</si>
  <si>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</si>
  <si>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</si>
  <si>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</si>
  <si>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</si>
  <si>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</si>
  <si>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</si>
  <si>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</si>
  <si>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</si>
  <si>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</si>
  <si>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</si>
  <si>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</si>
  <si>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</si>
  <si>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</si>
  <si>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</si>
  <si>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</si>
  <si>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</si>
  <si>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</si>
  <si>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</si>
  <si>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</si>
  <si>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</si>
  <si>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</si>
  <si>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</si>
  <si>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</si>
  <si>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</si>
  <si>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</si>
  <si>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</si>
  <si>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</si>
  <si>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</si>
  <si>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</si>
  <si>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</si>
  <si>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</si>
  <si>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</si>
  <si>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</si>
  <si>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</si>
  <si>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</si>
  <si>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</si>
  <si>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</si>
  <si>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</si>
  <si>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</si>
  <si>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</si>
  <si>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</si>
  <si>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</si>
  <si>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</si>
  <si>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</si>
  <si>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</si>
  <si>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</si>
  <si>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</si>
  <si>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</si>
  <si>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</si>
  <si>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</si>
  <si>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</si>
  <si>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</si>
  <si>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</si>
  <si>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</si>
  <si>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</si>
  <si>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</si>
  <si>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</si>
  <si>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</si>
  <si>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</si>
  <si>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</si>
  <si>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</si>
  <si>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</si>
  <si>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</si>
  <si>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</si>
  <si>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</si>
  <si>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</si>
  <si>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</si>
  <si>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</si>
  <si>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</si>
  <si>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</si>
  <si>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</si>
  <si>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</si>
  <si>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</si>
  <si>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</si>
  <si>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</si>
  <si>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</si>
  <si>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</si>
  <si>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</si>
  <si>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</si>
  <si>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</si>
  <si>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</si>
  <si>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</si>
  <si>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</si>
  <si>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</si>
  <si>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</si>
  <si>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</si>
  <si>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</si>
  <si>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</si>
  <si>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</si>
  <si>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</si>
  <si>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</si>
  <si>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</si>
  <si>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</si>
  <si>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</si>
  <si>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</si>
  <si>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</si>
  <si>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</si>
  <si>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</si>
  <si>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</si>
  <si>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</si>
  <si>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</si>
  <si>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</si>
  <si>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</si>
  <si>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</si>
  <si>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</si>
  <si>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</si>
  <si>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</si>
  <si>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</si>
  <si>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</si>
  <si>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</si>
  <si>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</si>
  <si>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</si>
  <si>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</si>
  <si>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</si>
  <si>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</si>
  <si>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</si>
  <si>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</si>
  <si>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</si>
  <si>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</si>
  <si>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</si>
  <si>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</si>
  <si>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</si>
  <si>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</si>
  <si>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</si>
  <si>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</si>
  <si>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</si>
  <si>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</si>
  <si>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</si>
  <si>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</si>
  <si>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</si>
  <si>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</si>
  <si>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</si>
  <si>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</si>
  <si>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</si>
  <si>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</si>
  <si>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</si>
  <si>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</si>
  <si>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</si>
  <si>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</si>
  <si>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</si>
  <si>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</si>
  <si>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</si>
  <si>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</si>
  <si>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</si>
  <si>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</si>
  <si>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</si>
  <si>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</si>
  <si>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</si>
  <si>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</si>
  <si>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</si>
  <si>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</si>
  <si>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</si>
  <si>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</si>
  <si>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</si>
  <si>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</si>
  <si>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</si>
  <si>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</si>
  <si>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</si>
  <si>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</si>
  <si>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</si>
  <si>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</si>
  <si>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</si>
  <si>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</si>
  <si>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</si>
  <si>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</si>
  <si>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</si>
  <si>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</si>
  <si>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</si>
  <si>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</si>
  <si>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</si>
  <si>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</si>
  <si>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</si>
  <si>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</si>
  <si>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</si>
  <si>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</si>
  <si>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</si>
  <si>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</si>
  <si>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</si>
  <si>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</si>
  <si>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</si>
  <si>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</si>
  <si>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</si>
  <si>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</si>
  <si>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</si>
  <si>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</si>
  <si>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</si>
  <si>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</si>
  <si>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</si>
  <si>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</si>
  <si>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</si>
  <si>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</si>
  <si>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</si>
  <si>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</si>
  <si>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</si>
  <si>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</si>
  <si>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</si>
  <si>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</si>
  <si>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</si>
  <si>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</si>
  <si>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</si>
  <si>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</si>
  <si>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</si>
  <si>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</si>
  <si>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</si>
  <si>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</si>
  <si>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</si>
  <si>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</si>
  <si>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</si>
  <si>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</si>
  <si>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</si>
  <si>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</si>
  <si>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</si>
  <si>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</si>
  <si>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</si>
  <si>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</si>
  <si>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</si>
  <si>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</si>
  <si>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</si>
  <si>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</si>
  <si>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</si>
  <si>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</si>
  <si>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</si>
  <si>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</si>
  <si>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</si>
  <si>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</si>
  <si>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</si>
  <si>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</si>
  <si>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</si>
  <si>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</si>
  <si>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</si>
  <si>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</si>
  <si>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</si>
  <si>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</si>
  <si>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</si>
  <si>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</si>
  <si>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</si>
  <si>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</si>
  <si>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</si>
  <si>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</si>
  <si>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</si>
  <si>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</si>
  <si>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</si>
  <si>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</si>
  <si>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</si>
  <si>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</si>
  <si>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</si>
  <si>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</si>
  <si>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</si>
  <si>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</si>
  <si>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</si>
  <si>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</si>
  <si>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</si>
  <si>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</si>
  <si>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</si>
  <si>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</si>
  <si>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</si>
  <si>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</si>
  <si>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</si>
  <si>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</si>
  <si>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</si>
  <si>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</si>
  <si>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</si>
  <si>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</si>
  <si>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</si>
  <si>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</si>
  <si>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</si>
  <si>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</si>
  <si>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</si>
  <si>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</si>
  <si>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</si>
  <si>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</si>
  <si>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</si>
  <si>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</si>
  <si>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</si>
  <si>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</si>
  <si>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</si>
  <si>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</si>
  <si>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</si>
  <si>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</si>
  <si>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</si>
  <si>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</si>
  <si>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</si>
  <si>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</si>
  <si>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</si>
  <si>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</si>
  <si>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</si>
  <si>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</si>
  <si>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</si>
  <si>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</si>
  <si>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</si>
  <si>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</si>
  <si>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</si>
  <si>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</si>
  <si>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</si>
  <si>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</si>
  <si>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</si>
  <si>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</si>
  <si>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</si>
  <si>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</si>
  <si>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</si>
  <si>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</si>
  <si>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</si>
  <si>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</si>
  <si>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</si>
  <si>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</si>
  <si>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</si>
  <si>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</si>
  <si>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</si>
  <si>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</si>
  <si>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</si>
  <si>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</si>
  <si>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</si>
  <si>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</si>
  <si>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</si>
  <si>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</si>
  <si>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</si>
  <si>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</si>
  <si>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</si>
  <si>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</si>
  <si>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</si>
  <si>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</si>
  <si>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</si>
  <si>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</si>
  <si>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</si>
  <si>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</si>
  <si>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</si>
  <si>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</si>
  <si>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</si>
  <si>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</si>
  <si>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</si>
  <si>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</si>
  <si>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</si>
  <si>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</si>
  <si>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</si>
  <si>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</si>
  <si>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</si>
  <si>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</si>
  <si>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</si>
  <si>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</si>
  <si>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</si>
  <si>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</si>
  <si>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</si>
  <si>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</si>
  <si>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</si>
  <si>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</si>
  <si>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</si>
  <si>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</si>
  <si>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</si>
  <si>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</si>
  <si>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</si>
  <si>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</si>
  <si>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</si>
  <si>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</si>
  <si>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</si>
  <si>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</si>
  <si>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</si>
  <si>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</si>
  <si>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</si>
  <si>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</si>
  <si>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</si>
  <si>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</si>
  <si>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</si>
  <si>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</si>
  <si>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</si>
  <si>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</si>
  <si>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</si>
  <si>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</si>
  <si>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</si>
  <si>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</si>
  <si>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</si>
  <si>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</si>
  <si>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</si>
  <si>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</si>
  <si>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</si>
  <si>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</si>
  <si>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</si>
  <si>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</si>
  <si>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</si>
  <si>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</si>
  <si>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</si>
  <si>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</si>
  <si>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</si>
  <si>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</si>
  <si>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</si>
  <si>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</si>
  <si>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</si>
  <si>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</si>
  <si>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</si>
  <si>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</si>
  <si>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</si>
  <si>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</si>
  <si>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</si>
  <si>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</si>
  <si>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</si>
  <si>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</si>
  <si>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</si>
  <si>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</si>
  <si>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</si>
  <si>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</si>
  <si>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</si>
  <si>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</si>
  <si>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</si>
  <si>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</si>
  <si>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</si>
  <si>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</si>
  <si>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</si>
  <si>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</si>
  <si>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</si>
  <si>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</si>
  <si>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</si>
  <si>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</si>
  <si>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</si>
  <si>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</si>
  <si>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</si>
  <si>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</si>
  <si>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</si>
  <si>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</si>
  <si>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</si>
  <si>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</si>
  <si>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</si>
  <si>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</si>
  <si>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</si>
  <si>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</si>
  <si>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</si>
  <si>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</si>
  <si>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</si>
  <si>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</si>
  <si>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</si>
  <si>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</si>
  <si>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</si>
  <si>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</si>
  <si>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</si>
  <si>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</si>
  <si>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</si>
  <si>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</si>
  <si>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</si>
  <si>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</si>
  <si>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</si>
  <si>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</si>
  <si>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</si>
  <si>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</si>
  <si>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</si>
  <si>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</si>
  <si>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</si>
  <si>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</si>
  <si>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</si>
  <si>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</si>
  <si>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</si>
  <si>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</si>
  <si>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</si>
  <si>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</si>
  <si>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</si>
  <si>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</si>
  <si>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</si>
  <si>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</si>
  <si>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</si>
  <si>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</si>
  <si>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</si>
  <si>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</si>
  <si>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</si>
  <si>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</si>
  <si>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</si>
  <si>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</si>
  <si>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</si>
  <si>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</si>
  <si>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</si>
  <si>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</si>
  <si>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</si>
  <si>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</si>
  <si>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</si>
  <si>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</si>
  <si>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</si>
  <si>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</si>
  <si>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</si>
  <si>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</si>
  <si>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</si>
  <si>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</si>
  <si>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</si>
  <si>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</si>
  <si>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</si>
  <si>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</si>
  <si>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</si>
  <si>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</si>
  <si>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</si>
  <si>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</si>
  <si>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</si>
  <si>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</si>
  <si>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</si>
  <si>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</si>
  <si>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</si>
  <si>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</si>
  <si>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</si>
  <si>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</si>
  <si>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</si>
  <si>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</si>
  <si>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</si>
  <si>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</si>
  <si>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</si>
  <si>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</si>
  <si>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</si>
  <si>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</si>
  <si>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</si>
  <si>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</si>
  <si>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</si>
  <si>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</si>
  <si>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</si>
  <si>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</si>
  <si>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</si>
  <si>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</si>
  <si>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</si>
  <si>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</si>
  <si>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</si>
  <si>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</si>
  <si>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</si>
  <si>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</si>
  <si>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</si>
  <si>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</si>
  <si>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</si>
  <si>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</si>
  <si>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</si>
  <si>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</si>
  <si>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</si>
  <si>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</si>
  <si>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</si>
  <si>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</si>
  <si>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</si>
  <si>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</si>
  <si>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</si>
  <si>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</si>
  <si>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</si>
  <si>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</si>
  <si>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</si>
  <si>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</si>
  <si>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</si>
  <si>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</si>
  <si>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</si>
  <si>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</si>
  <si>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</si>
  <si>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</si>
  <si>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</si>
  <si>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</si>
  <si>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</si>
  <si>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</si>
  <si>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</si>
  <si>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</si>
  <si>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</si>
  <si>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</si>
  <si>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</si>
  <si>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</si>
  <si>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</si>
  <si>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</si>
  <si>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</si>
  <si>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</si>
  <si>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</si>
  <si>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</si>
  <si>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</si>
  <si>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</si>
  <si>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</si>
  <si>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</si>
  <si>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</si>
  <si>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</si>
  <si>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</si>
  <si>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</si>
  <si>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</si>
  <si>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</si>
  <si>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</si>
  <si>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</si>
  <si>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</si>
  <si>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</si>
  <si>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</si>
  <si>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</si>
  <si>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</si>
  <si>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</si>
  <si>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</si>
  <si>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</si>
  <si>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</si>
  <si>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</si>
  <si>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</si>
  <si>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</si>
  <si>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</si>
  <si>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</si>
  <si>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</si>
  <si>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</si>
  <si>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</si>
  <si>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</si>
  <si>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</si>
  <si>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</si>
  <si>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</si>
  <si>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</si>
  <si>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</si>
  <si>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</si>
  <si>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</si>
  <si>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</si>
  <si>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</si>
  <si>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</si>
  <si>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</si>
  <si>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</si>
  <si>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</si>
  <si>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</si>
  <si>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</si>
  <si>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</si>
  <si>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</si>
  <si>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</si>
  <si>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</si>
  <si>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</si>
  <si>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</si>
  <si>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</si>
  <si>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</si>
  <si>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</si>
  <si>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</si>
  <si>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</si>
  <si>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</si>
  <si>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</si>
  <si>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</si>
  <si>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</si>
  <si>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</si>
  <si>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</si>
  <si>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</si>
  <si>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</si>
  <si>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</si>
  <si>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</si>
  <si>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</si>
  <si>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</si>
  <si>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</si>
  <si>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</si>
  <si>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</si>
  <si>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</si>
  <si>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</si>
  <si>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</si>
  <si>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</si>
  <si>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</si>
  <si>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</si>
  <si>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</si>
  <si>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</si>
  <si>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</si>
  <si>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</si>
  <si>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</si>
  <si>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</si>
  <si>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</si>
  <si>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</si>
  <si>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</si>
  <si>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</si>
  <si>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</si>
  <si>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</si>
  <si>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</si>
  <si>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</si>
  <si>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</si>
  <si>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</si>
  <si>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</si>
  <si>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</si>
  <si>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</si>
  <si>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</si>
  <si>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</si>
  <si>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</si>
  <si>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</si>
  <si>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</si>
  <si>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</si>
  <si>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</si>
  <si>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</si>
  <si>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</si>
  <si>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</si>
  <si>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</si>
  <si>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</si>
  <si>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</si>
  <si>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</si>
  <si>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</si>
  <si>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</si>
  <si>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</si>
  <si>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</si>
  <si>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</si>
  <si>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</si>
  <si>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</si>
  <si>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</si>
  <si>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</si>
  <si>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</si>
  <si>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</si>
  <si>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</si>
  <si>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</si>
  <si>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</si>
  <si>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</si>
  <si>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</si>
  <si>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</si>
  <si>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</si>
  <si>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</si>
  <si>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</si>
  <si>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</si>
  <si>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</si>
  <si>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</si>
  <si>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</si>
  <si>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</si>
  <si>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</si>
  <si>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</si>
  <si>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</si>
  <si>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</si>
  <si>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</si>
  <si>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</si>
  <si>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</si>
  <si>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</si>
  <si>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</si>
  <si>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</si>
  <si>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</si>
  <si>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</si>
  <si>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</si>
  <si>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</si>
  <si>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</si>
  <si>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</si>
  <si>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</si>
  <si>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</si>
  <si>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</si>
  <si>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</si>
  <si>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</si>
  <si>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</si>
  <si>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</si>
  <si>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</si>
  <si>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</si>
  <si>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</si>
  <si>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</si>
  <si>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</si>
  <si>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</si>
  <si>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</si>
  <si>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</si>
  <si>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</si>
  <si>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</si>
  <si>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</si>
  <si>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</si>
  <si>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</si>
  <si>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</si>
  <si>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</si>
  <si>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</si>
  <si>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</si>
  <si>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</si>
  <si>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</si>
  <si>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</si>
  <si>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</si>
  <si>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</si>
  <si>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</si>
  <si>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</si>
  <si>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</si>
  <si>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</si>
  <si>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</si>
  <si>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</si>
  <si>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</si>
  <si>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</si>
  <si>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</si>
  <si>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</si>
  <si>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</si>
  <si>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</si>
  <si>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</si>
  <si>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</si>
  <si>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</si>
  <si>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</si>
  <si>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</si>
  <si>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</si>
  <si>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</si>
  <si>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</si>
  <si>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</si>
  <si>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</si>
  <si>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</si>
  <si>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</si>
  <si>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</si>
  <si>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</si>
  <si>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</si>
  <si>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</si>
  <si>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</si>
  <si>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</si>
  <si>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</si>
  <si>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</si>
  <si>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</si>
  <si>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</si>
  <si>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</si>
  <si>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</si>
  <si>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</si>
  <si>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</si>
  <si>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</si>
  <si>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</si>
  <si>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</si>
  <si>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</si>
  <si>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</si>
  <si>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</si>
  <si>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</si>
  <si>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</si>
  <si>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</si>
  <si>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</si>
  <si>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</si>
  <si>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</si>
  <si>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</si>
  <si>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</si>
  <si>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</si>
  <si>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</si>
  <si>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</si>
  <si>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</si>
  <si>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</si>
  <si>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</si>
  <si>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</si>
  <si>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</si>
  <si>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</si>
  <si>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</si>
  <si>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</si>
  <si>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</si>
  <si>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</si>
  <si>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</si>
  <si>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</si>
  <si>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</si>
  <si>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</si>
  <si>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</si>
  <si>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</si>
  <si>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</si>
  <si>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</si>
  <si>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</si>
  <si>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</si>
  <si>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</si>
  <si>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</si>
  <si>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</si>
  <si>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</si>
  <si>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</si>
  <si>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</si>
  <si>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</si>
  <si>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</si>
  <si>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</si>
  <si>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</si>
  <si>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</si>
  <si>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</si>
  <si>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</si>
  <si>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</si>
  <si>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</si>
  <si>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</si>
  <si>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</si>
  <si>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</si>
  <si>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</si>
  <si>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</si>
  <si>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</si>
  <si>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</si>
  <si>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</si>
  <si>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</si>
  <si>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</si>
  <si>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</si>
  <si>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</si>
  <si>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</si>
  <si>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</si>
  <si>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</si>
  <si>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</si>
  <si>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</si>
  <si>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</si>
  <si>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</si>
  <si>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</si>
  <si>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</si>
  <si>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</si>
  <si>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</si>
  <si>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</si>
  <si>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</si>
  <si>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</si>
  <si>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</si>
  <si>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</si>
  <si>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</si>
  <si>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</si>
  <si>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</si>
  <si>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</si>
  <si>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</si>
  <si>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</si>
  <si>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</si>
  <si>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</si>
  <si>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</si>
  <si>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</si>
  <si>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</si>
  <si>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</si>
  <si>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</si>
  <si>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</si>
  <si>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</si>
  <si>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</si>
  <si>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</si>
  <si>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</si>
  <si>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</si>
  <si>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</si>
  <si>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Da validare</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</si>
  <si>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</si>
  <si>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</si>
  <si>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</si>
  <si>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</si>
  <si>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</si>
  <si>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</si>
  <si>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</si>
  <si>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</si>
  <si>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</si>
  <si>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</si>
  <si>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</si>
  <si>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</si>
  <si>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</si>
  <si>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</si>
  <si>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</si>
  <si>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</si>
  <si>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</si>
  <si>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</si>
  <si>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</si>
  <si>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</si>
  <si>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</si>
  <si>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</si>
  <si>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</si>
  <si>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</si>
  <si>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</si>
  <si>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</si>
  <si>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</si>
  <si>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</si>
  <si>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</si>
  <si>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</si>
  <si>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</si>
  <si>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</si>
  <si>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</si>
  <si>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</si>
  <si>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</si>
  <si>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</si>
  <si>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</si>
  <si>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</si>
  <si>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</si>
  <si>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</si>
  <si>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</si>
  <si>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</si>
  <si>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</si>
  <si>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</si>
  <si>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</si>
  <si>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</si>
  <si>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</si>
  <si>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</si>
  <si>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</si>
  <si>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</si>
  <si>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</si>
  <si>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</si>
  <si>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</si>
  <si>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</si>
  <si>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</si>
  <si>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</si>
  <si>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</si>
  <si>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</si>
  <si>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</si>
  <si>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</si>
  <si>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</si>
  <si>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</si>
  <si>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</si>
  <si>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</si>
  <si>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</si>
  <si>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</si>
  <si>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Proposta — da valutare</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</si>
  <si>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</si>
  <si>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</si>
  <si>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</si>
  <si>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</si>
  <si>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</si>
  <si>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</si>
  <si>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</si>
  <si>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</si>
  <si>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</si>
  <si>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</si>
  <si>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</si>
  <si>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</si>
  <si>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</si>
  <si>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</si>
  <si>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</si>
  <si>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</si>
  <si>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</si>
  <si>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</si>
  <si>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</si>
  <si>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</si>
  <si>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</si>
  <si>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</si>
  <si>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</si>
  <si>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</si>
  <si>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</si>
  <si>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</si>
  <si>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</si>
  <si>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</si>
  <si>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</si>
  <si>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</si>
  <si>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</si>
  <si>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</si>
  <si>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</si>
  <si>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</si>
  <si>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</si>
  <si>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</si>
  <si>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</si>
  <si>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</si>
  <si>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</si>
  <si>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</si>
  <si>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</si>
  <si>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Da decidere</t>
  </si>
  <si>
    <t>n.v.</t>
  </si>
  <si>
    <t>Radar: Prossimita 5 e Probabilita 4: sopra la soglia; posto garantito: AGIRE ORA (radar di Mosca)</t>
  </si>
  <si>
    <t>Radar: Prossimita 3 e Probabilita 2: sopra la soglia; posto garantito: tema del supervisore</t>
  </si>
  <si>
    <t>Radar: Prossimita 4 e Probabilita 3: sopra la soglia</t>
  </si>
  <si>
    <t>Radar: Prossimita 3 e Probabilita 3: sopra la soglia</t>
  </si>
  <si>
    <t>Radar: Prossimita 3 e Probabilita 3: sopra la soglia; posto garantito: tema del supervisore</t>
  </si>
  <si>
    <t>Radar: Prossimita 3 e Probabilita 2: sopra la soglia</t>
  </si>
  <si>
    <t>Radar: Prossimita 2 e Probabilita 2: sopra la soglia; posto garantito: tema del supervisore</t>
  </si>
  <si>
    <t>Radar: Prossimita 3 e Probabilita 3: sopra la soglia; posto garantito: AGIRE ORA (radar di Mosca)</t>
  </si>
  <si>
    <t>Radar: Prossimita 4 e Probabilita 4: sopra la soglia</t>
  </si>
  <si>
    <t>Radar: Prossimita 2 e Probabilita 3: sopra la soglia</t>
  </si>
  <si>
    <t>Osservazione: Prossimita 1 sotto la soglia 2</t>
  </si>
  <si>
    <t>Osservazione: Prossimita 1 sotto la soglia 2; Probabilita 1 sotto la soglia 2</t>
  </si>
  <si>
    <t>RISCHI — ciclo 2026Q4 (15 righe): i quattro punteggi, gli anni di adeguamento e la decisione sullo stato (Automatico, Radar, Osservazione: D-79)</t>
  </si>
  <si>
    <t>KRI — ciclo 2026Q4 (26 righe): valore rilevato e soglie; Respingi = Sì toglie il KRI</t>
  </si>
  <si>
    <t>AZIONI — ciclo 2026Q4 (14 righe): owner e orizzonte; Respingi = Sì non approva l'azione</t>
  </si>
  <si>
    <t>Da validare: ciclo 2026Q4 (55 righe)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</si>
</sst>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16" fillId="0" borderId="1" xfId="0" applyFont="1" applyBorder="1"/>
    <xf numFmtId="0" fontId="0" fillId="0" borderId="1" xfId="0" applyBorder="1"/>
    <xf numFmtId="0" fontId="20" fillId="0" borderId="2" xfId="0" applyFont="1" applyBorder="1" applyAlignment="1">
      <alignment vertical="center" wrapText="1"/>
    </xf>
    <xf numFmtId="0" fontId="0" fillId="0" borderId="2" xfId="0" applyBorder="1"/>
    <xf numFmtId="0" fontId="19" fillId="0" borderId="0" xfId="0" applyFont="1"/>
    <xf numFmtId="0" fontId="0" fillId="0" borderId="0" xfId="0"/>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24" fillId="0" borderId="0" xfId="0" applyFont="1" applyAlignment="1">
      <alignment vertical="top" wrapText="1"/>
    </xf>
    <xf numFmtId="0" fontId="34" fillId="0" borderId="0" xfId="0" applyFont="1" applyAlignment="1">
      <alignment vertical="top" wrapText="1"/>
    </xf>
    <xf numFmtId="0" fontId="20"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15" fillId="0" borderId="0" xfId="0" applyFont="1" applyAlignment="1">
      <alignment vertical="top" wrapText="1"/>
    </xf>
    <xf numFmtId="0" fontId="25" fillId="11" borderId="0" xfId="0" applyFont="1" applyFill="1" applyAlignment="1">
      <alignment horizontal="center" vertical="center" wrapText="1"/>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5" fillId="13" borderId="0" xfId="0" applyFont="1" applyFill="1" applyAlignment="1">
      <alignment horizontal="center" vertical="center" wrapText="1"/>
    </xf>
    <xf numFmtId="0" fontId="33" fillId="0" borderId="0" xfId="0" applyFont="1" applyAlignment="1">
      <alignment vertical="top"/>
    </xf>
    <xf numFmtId="0" fontId="1" fillId="2" borderId="0" xfId="0" applyFont="1" applyFill="1" applyAlignment="1">
      <alignment vertical="center" indent="1"/>
    </xf>
    <xf numFmtId="0" fontId="0" fillId="2" borderId="0" xfId="0" applyFill="1"/>
    <xf numFmtId="0" fontId="25" fillId="0" borderId="0" xfId="0" applyFont="1"/>
    <xf numFmtId="0" fontId="28" fillId="11" borderId="0" xfId="0" applyFont="1" applyFill="1" applyAlignment="1">
      <alignment horizontal="center" vertical="center" wrapText="1"/>
    </xf>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7F6000"/>
      </font>
      <fill>
        <patternFill patternType="solid">
          <fgColor rgb="FFFFF2CC"/>
          <bgColor rgb="FFFFF2CC"/>
        </patternFill>
      </fill>
    </dxf>
    <dxf>
      <font>
        <b/>
        <sz val="8"/>
        <color rgb="FF5B3F8C"/>
      </font>
      <fill>
        <patternFill patternType="solid">
          <fgColor rgb="FFEDE7F6"/>
          <bgColor rgb="FFEDE7F6"/>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3.75</c:v>
                </c:pt>
                <c:pt idx="2">
                  <c:v>3.65</c:v>
                </c:pt>
                <c:pt idx="3">
                  <c:v>0</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0</c:v>
                </c:pt>
                <c:pt idx="2">
                  <c:v>0</c:v>
                </c:pt>
                <c:pt idx="3">
                  <c:v>3.3</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-1.0260604299770058</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2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0.20000000000000018</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NFR-01  Frodi su pagamenti istantanei </c:v>
                </c:pt>
                <c:pt idx="2">
                  <c:v>NFR-02  Concentrazione su un fornitore</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594">
  <autoFilter ref="A5:L594"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5" t="str">
        <f>"Horizon Scan NFR — Guida: come si usa questo workbook   ·   "&amp;etichettaCiclo</f>
        <v>Horizon Scan NFR — Guida: come si usa questo workbook   ·   Ciclo 2026Q4 · dati al 31/12/2026 · da validare · Uso interno</v>
      </c>
      <c r="B1" s="166"/>
      <c r="C1" s="166"/>
      <c r="D1" s="166"/>
      <c r="E1" s="166"/>
    </row>
    <row r="3" spans="1:5" x14ac:dyDescent="0.4">
      <c r="A3" s="176" t="s">
        <v>51</v>
      </c>
      <c r="B3" s="146"/>
      <c r="C3" s="146"/>
      <c r="D3" s="146"/>
      <c r="E3" s="146"/>
    </row>
    <row r="4" spans="1:5" ht="32.049999999999997" customHeight="1" x14ac:dyDescent="0.4">
      <c r="A4" s="175" t="s">
        <v>52</v>
      </c>
      <c r="B4" s="146"/>
      <c r="C4" s="146"/>
      <c r="D4" s="146"/>
      <c r="E4" s="146"/>
    </row>
    <row r="6" spans="1:5" x14ac:dyDescent="0.4">
      <c r="A6" s="176" t="s">
        <v>53</v>
      </c>
      <c r="B6" s="146"/>
      <c r="C6" s="146"/>
      <c r="D6" s="146"/>
      <c r="E6" s="146"/>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6"/>
      <c r="C35" s="146"/>
      <c r="D35" s="146"/>
      <c r="E35" s="146"/>
    </row>
    <row r="37" spans="1:5" x14ac:dyDescent="0.4">
      <c r="A37" s="178" t="s">
        <v>149</v>
      </c>
      <c r="B37" s="146"/>
      <c r="C37" s="146"/>
      <c r="D37" s="146"/>
      <c r="E37" s="146"/>
    </row>
    <row r="38" spans="1:5" ht="47.05" customHeight="1" x14ac:dyDescent="0.4">
      <c r="A38" s="175" t="s">
        <v>150</v>
      </c>
      <c r="B38" s="146"/>
      <c r="C38" s="146"/>
      <c r="D38" s="146"/>
      <c r="E38" s="146"/>
    </row>
    <row r="39" spans="1:5" ht="32.049999999999997" customHeight="1" x14ac:dyDescent="0.4">
      <c r="A39" s="175" t="s">
        <v>151</v>
      </c>
      <c r="B39" s="146"/>
      <c r="C39" s="146"/>
      <c r="D39" s="146"/>
      <c r="E39" s="146"/>
    </row>
    <row r="41" spans="1:5" x14ac:dyDescent="0.4">
      <c r="A41" s="177" t="s">
        <v>152</v>
      </c>
      <c r="B41" s="146"/>
      <c r="C41" s="146"/>
      <c r="D41" s="146"/>
      <c r="E41" s="146"/>
    </row>
    <row r="42" spans="1:5" x14ac:dyDescent="0.4">
      <c r="A42" s="175" t="s">
        <v>153</v>
      </c>
      <c r="B42" s="146"/>
      <c r="C42" s="146"/>
      <c r="D42" s="146"/>
      <c r="E42" s="146"/>
    </row>
    <row r="43" spans="1:5" ht="32.049999999999997" customHeight="1" x14ac:dyDescent="0.4">
      <c r="A43" s="175" t="s">
        <v>154</v>
      </c>
      <c r="B43" s="146"/>
      <c r="C43" s="146"/>
      <c r="D43" s="146"/>
      <c r="E43" s="146"/>
    </row>
    <row r="44" spans="1:5" x14ac:dyDescent="0.4">
      <c r="A44" s="175" t="s">
        <v>155</v>
      </c>
      <c r="B44" s="146"/>
      <c r="C44" s="146"/>
      <c r="D44" s="146"/>
      <c r="E44" s="146"/>
    </row>
    <row r="45" spans="1:5" x14ac:dyDescent="0.4">
      <c r="A45" s="175" t="s">
        <v>156</v>
      </c>
      <c r="B45" s="146"/>
      <c r="C45" s="146"/>
      <c r="D45" s="146"/>
      <c r="E45" s="146"/>
    </row>
    <row r="46" spans="1:5" ht="47.05" customHeight="1" x14ac:dyDescent="0.4">
      <c r="A46" s="175" t="s">
        <v>157</v>
      </c>
      <c r="B46" s="146"/>
      <c r="C46" s="146"/>
      <c r="D46" s="146"/>
      <c r="E46" s="146"/>
    </row>
    <row r="47" spans="1:5" ht="32.049999999999997" customHeight="1" x14ac:dyDescent="0.4">
      <c r="A47" s="175" t="s">
        <v>158</v>
      </c>
      <c r="B47" s="146"/>
      <c r="C47" s="146"/>
      <c r="D47" s="146"/>
      <c r="E47" s="146"/>
    </row>
    <row r="48" spans="1:5" x14ac:dyDescent="0.4">
      <c r="A48" s="175" t="s">
        <v>159</v>
      </c>
      <c r="B48" s="146"/>
      <c r="C48" s="146"/>
      <c r="D48" s="146"/>
      <c r="E48" s="146"/>
    </row>
    <row r="50" spans="1:5" x14ac:dyDescent="0.4">
      <c r="A50" s="176" t="s">
        <v>160</v>
      </c>
      <c r="B50" s="146"/>
      <c r="C50" s="146"/>
      <c r="D50" s="146"/>
      <c r="E50" s="146"/>
    </row>
    <row r="51" spans="1:5" x14ac:dyDescent="0.4">
      <c r="A51" s="175" t="s">
        <v>161</v>
      </c>
      <c r="B51" s="146"/>
      <c r="C51" s="146"/>
      <c r="D51" s="146"/>
      <c r="E51" s="146"/>
    </row>
    <row r="52" spans="1:5" ht="32.049999999999997" customHeight="1" x14ac:dyDescent="0.4">
      <c r="A52" s="175" t="s">
        <v>162</v>
      </c>
      <c r="B52" s="146"/>
      <c r="C52" s="146"/>
      <c r="D52" s="146"/>
      <c r="E52" s="146"/>
    </row>
    <row r="53" spans="1:5" x14ac:dyDescent="0.4">
      <c r="A53" s="175" t="s">
        <v>163</v>
      </c>
      <c r="B53" s="146"/>
      <c r="C53" s="146"/>
      <c r="D53" s="146"/>
      <c r="E53" s="146"/>
    </row>
    <row r="54" spans="1:5" x14ac:dyDescent="0.4">
      <c r="A54" s="175" t="s">
        <v>164</v>
      </c>
      <c r="B54" s="146"/>
      <c r="C54" s="146"/>
      <c r="D54" s="146"/>
      <c r="E54" s="146"/>
    </row>
    <row r="55" spans="1:5" x14ac:dyDescent="0.4">
      <c r="A55" s="175" t="s">
        <v>165</v>
      </c>
      <c r="B55" s="146"/>
      <c r="C55" s="146"/>
      <c r="D55" s="146"/>
      <c r="E55" s="146"/>
    </row>
    <row r="56" spans="1:5" x14ac:dyDescent="0.4">
      <c r="A56" s="175" t="s">
        <v>166</v>
      </c>
      <c r="B56" s="146"/>
      <c r="C56" s="146"/>
      <c r="D56" s="146"/>
      <c r="E56" s="146"/>
    </row>
    <row r="58" spans="1:5" x14ac:dyDescent="0.4">
      <c r="A58" s="176" t="s">
        <v>167</v>
      </c>
      <c r="B58" s="146"/>
      <c r="C58" s="146"/>
      <c r="D58" s="146"/>
      <c r="E58" s="146"/>
    </row>
    <row r="59" spans="1:5" ht="32.049999999999997" customHeight="1" x14ac:dyDescent="0.4">
      <c r="A59" s="175" t="s">
        <v>168</v>
      </c>
      <c r="B59" s="146"/>
      <c r="C59" s="146"/>
      <c r="D59" s="146"/>
      <c r="E59" s="146"/>
    </row>
    <row r="61" spans="1:5" x14ac:dyDescent="0.4">
      <c r="A61" s="175" t="s">
        <v>169</v>
      </c>
      <c r="B61" s="146"/>
      <c r="C61" s="146"/>
      <c r="D61" s="146"/>
      <c r="E61" s="146"/>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5" t="str">
        <f>"Horizon Scan NFR — Quadro d'insieme   ·   "&amp;etichettaCiclo</f>
        <v>Horizon Scan NFR — Quadro d'insieme   ·   Ciclo 2026Q4 · dati al 31/12/2026 · da validare · Uso interno</v>
      </c>
      <c r="B1" s="166"/>
      <c r="C1" s="166"/>
      <c r="D1" s="166"/>
      <c r="E1" s="166"/>
      <c r="F1" s="166"/>
      <c r="G1" s="166"/>
      <c r="H1" s="166"/>
      <c r="I1" s="166"/>
      <c r="J1" s="166"/>
      <c r="K1" s="166"/>
      <c r="L1" s="166"/>
      <c r="M1" s="166"/>
      <c r="N1" s="166"/>
      <c r="O1" s="166"/>
    </row>
    <row r="2" spans="1:124" ht="72.55" customHeight="1" x14ac:dyDescent="0.4">
      <c r="A2" s="173" t="s">
        <v>0</v>
      </c>
      <c r="B2" s="146"/>
      <c r="C2" s="146"/>
      <c r="D2" s="146"/>
      <c r="E2" s="146"/>
      <c r="F2" s="146"/>
      <c r="G2" s="146"/>
      <c r="H2" s="146"/>
      <c r="I2" s="146"/>
      <c r="J2" s="146"/>
      <c r="K2" s="146"/>
      <c r="L2" s="146"/>
      <c r="M2" s="146"/>
      <c r="N2" s="146"/>
      <c r="O2" s="146"/>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3" t="s">
        <v>5</v>
      </c>
      <c r="B4" s="148"/>
      <c r="C4" s="149"/>
      <c r="D4" s="162" t="s">
        <v>6</v>
      </c>
      <c r="E4" s="159"/>
      <c r="F4" s="160"/>
      <c r="G4" s="163" t="s">
        <v>7</v>
      </c>
      <c r="H4" s="148"/>
      <c r="I4" s="149"/>
      <c r="J4" s="162" t="s">
        <v>8</v>
      </c>
      <c r="K4" s="159"/>
      <c r="L4" s="160"/>
      <c r="M4" s="157" t="s">
        <v>9</v>
      </c>
      <c r="N4" s="154"/>
      <c r="O4" s="155"/>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74">
        <f>coperturaValutati</f>
        <v>13</v>
      </c>
      <c r="B5" s="148"/>
      <c r="C5" s="149"/>
      <c r="D5" s="158" t="str">
        <f>$T$4&amp;" · "&amp;COUNTIF(Radar_Mosca!$AA$5:$AA$24,"Attenzione")</f>
        <v>2 · 5</v>
      </c>
      <c r="E5" s="159"/>
      <c r="F5" s="160"/>
      <c r="G5" s="174" t="str">
        <f>COUNTIFS(RR_Ciclo,cicloCorrente,RR_Stato,"Radar*",RR_Esito,"Variato")&amp;" · "&amp;COUNTIFS(RR_Ciclo,cicloCorrente,RR_Stato,"Radar*",RR_Esito,"Nuovo")</f>
        <v>2 · 0</v>
      </c>
      <c r="H5" s="148"/>
      <c r="I5" s="149"/>
      <c r="J5" s="158">
        <f>COUNTIFS(KRI_Ciclo,cicloCorrente,KRI_In_Vigore,"Sì",KRI_Stato,"Rosso")</f>
        <v>2</v>
      </c>
      <c r="K5" s="159"/>
      <c r="L5" s="160"/>
      <c r="M5" s="168">
        <f>IF(decisioniDaPrendere&gt;0,decisioniDaPrendere,"✓")</f>
        <v>55</v>
      </c>
      <c r="N5" s="154"/>
      <c r="O5" s="155"/>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47" t="str">
        <f>"su "&amp;coperturaAnagrafica&amp;" in anagrafica · "&amp;IF(coperturaValutati=coperturaAnagrafica,"completo","INCOMPLETO")</f>
        <v>su 13 in anagrafica · completo</v>
      </c>
      <c r="B6" s="148"/>
      <c r="C6" s="149"/>
      <c r="D6" s="161" t="str">
        <f>IF($T$4=0,"nessun rischio in attivazione","in attivazione: "&amp;_xlfn.TEXTJOIN(", ",TRUE,$T$5:$T$24))&amp;" · in monitoraggio "&amp;COUNTIF(Radar_Mosca!$AA$5:$AA$24,"Monitoraggio")</f>
        <v>in attivazione: NFR-01, NFR-11 · in monitoraggio 6</v>
      </c>
      <c r="E6" s="159"/>
      <c r="F6" s="160"/>
      <c r="G6" s="147"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48"/>
      <c r="I6" s="149"/>
      <c r="J6" s="161" t="str">
        <f>"su "&amp;COUNTIFS(KRI_Ciclo,cicloCorrente,KRI_In_Vigore,"Sì")&amp;" in vigore"</f>
        <v>su 26 in vigore</v>
      </c>
      <c r="K6" s="159"/>
      <c r="L6" s="160"/>
      <c r="M6" s="153" t="str">
        <f>IF(decisioniDaPrendere&gt;0,"righe da validare: ciclo non validato","ciclo validato")</f>
        <v>righe da validare: ciclo non validato</v>
      </c>
      <c r="N6" s="154"/>
      <c r="O6" s="155"/>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f>IF(AND(ISNUMBER(Radar_Mosca!$F6),ISNUMBER(Radar_Mosca!$S6)),IF(AND(Radar_Mosca!$F6=DG$4,Radar_Mosca!$AA6=DG$3),Radar_Mosca!$S6,NA()),NA())</f>
        <v>-1.0260604299770058</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41" t="s">
        <v>13</v>
      </c>
      <c r="B8" s="142"/>
      <c r="C8" s="142"/>
      <c r="D8" s="142"/>
      <c r="E8" s="142"/>
      <c r="F8" s="142"/>
      <c r="G8" s="142"/>
      <c r="H8" s="142"/>
      <c r="J8" s="141" t="s">
        <v>14</v>
      </c>
      <c r="K8" s="142"/>
      <c r="L8" s="142"/>
      <c r="M8" s="142"/>
      <c r="N8" s="142"/>
      <c r="O8" s="142"/>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7" t="s">
        <v>18</v>
      </c>
      <c r="C9" s="146"/>
      <c r="D9" s="146"/>
      <c r="E9" s="146"/>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43" t="str">
        <f>IF(Classifica!$B$5="","",Classifica!$B$5&amp;"  "&amp;Classifica!$C$5&amp;IFERROR(IF(INDEX(ANA_Attenzione_Supervisore,Classifica!$U$5)="Sì","  ◆",""),""))</f>
        <v>NFR-01  Frodi su pagamenti istantanei abilitate da AI generativa  ◆</v>
      </c>
      <c r="C10" s="144"/>
      <c r="D10" s="144"/>
      <c r="E10" s="144"/>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43" t="str">
        <f>IF(Classifica!$B$6="","",Classifica!$B$6&amp;"  "&amp;Classifica!$C$6&amp;IFERROR(IF(INDEX(ANA_Attenzione_Supervisore,Classifica!$U$6)="Sì","  ◆",""),""))</f>
        <v>NFR-07  Ransomware presso un fornitore di servizi di pagamento  ◆</v>
      </c>
      <c r="C11" s="144"/>
      <c r="D11" s="144"/>
      <c r="E11" s="144"/>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43" t="str">
        <f>IF(Classifica!$B$7="","",Classifica!$B$7&amp;"  "&amp;Classifica!$C$7&amp;IFERROR(IF(INDEX(ANA_Attenzione_Supervisore,Classifica!$U$7)="Sì","  ◆",""),""))</f>
        <v>NFR-12  Errori operativi nei pagamenti istantanei obbligatori</v>
      </c>
      <c r="C12" s="144"/>
      <c r="D12" s="144"/>
      <c r="E12" s="144"/>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43" t="str">
        <f>IF(Classifica!$B$8="","",Classifica!$B$8&amp;"  "&amp;Classifica!$C$8&amp;IFERROR(IF(INDEX(ANA_Attenzione_Supervisore,Classifica!$U$8)="Sì","  ◆",""),""))</f>
        <v>NFR-02  Concentrazione su un fornitore cloud critico  ◆</v>
      </c>
      <c r="C13" s="144"/>
      <c r="D13" s="144"/>
      <c r="E13" s="144"/>
      <c r="F13" s="17">
        <f>IF(Classifica!$B$8="","",Classifica!$D$8)</f>
        <v>3.3</v>
      </c>
      <c r="G13" s="18">
        <f>IF(Classifica!$B$8="","",IF(ISNUMBER(Classifica!$F$8),Classifica!$F$8,"nuovo"))</f>
        <v>0</v>
      </c>
      <c r="H13" s="19" t="str">
        <f>IF(Classifica!$B$8="","",IF(LEFT(Classifica!$H$8,9)="AGIRE ORA","AGIRE ORA",IF(LEFT(Classifica!$H$8,11)="Agire entro","Entro l'anno",Classifica!$H$8)))</f>
        <v>Margine 1 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43" t="str">
        <f>IF(Classifica!$B$9="","",Classifica!$B$9&amp;"  "&amp;Classifica!$C$9&amp;IFERROR(IF(INDEX(ANA_Attenzione_Supervisore,Classifica!$U$9)="Sì","  ◆",""),""))</f>
        <v>NFR-03  Greenwashing nella commercializzazione di prodotti ESG</v>
      </c>
      <c r="C14" s="144"/>
      <c r="D14" s="144"/>
      <c r="E14" s="144"/>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50" t="s">
        <v>34</v>
      </c>
      <c r="B16" s="146"/>
      <c r="C16" s="171"/>
      <c r="D16" s="172"/>
      <c r="E16" s="172"/>
      <c r="F16" s="172"/>
      <c r="G16" s="172"/>
      <c r="H16" s="172"/>
      <c r="I16" s="172"/>
      <c r="J16" s="172"/>
      <c r="K16" s="172"/>
      <c r="L16" s="172"/>
      <c r="M16" s="172"/>
      <c r="N16" s="172"/>
      <c r="O16" s="172"/>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41" t="s">
        <v>35</v>
      </c>
      <c r="B17" s="142"/>
      <c r="C17" s="142"/>
      <c r="D17" s="142"/>
      <c r="E17" s="142"/>
      <c r="F17" s="142"/>
      <c r="G17" s="142"/>
      <c r="H17" s="142"/>
      <c r="J17" s="141" t="s">
        <v>36</v>
      </c>
      <c r="K17" s="142"/>
      <c r="L17" s="142"/>
      <c r="M17" s="142"/>
      <c r="N17" s="142"/>
      <c r="O17" s="142"/>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45" t="str">
        <f>IF(J18="","",INDEX(posNome,1)&amp;IF(INDEX(ANA_Attenzione_Supervisore,1)="Sì","  ◆",""))</f>
        <v>Frodi su pagamenti istantanei abilitate da AI generativa  ◆</v>
      </c>
      <c r="L18" s="146"/>
      <c r="M18" s="146"/>
      <c r="N18" s="146"/>
      <c r="O18" s="146"/>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5" t="str">
        <f>IF(J19="","",INDEX(posNome,2)&amp;IF(INDEX(ANA_Attenzione_Supervisore,2)="Sì","  ◆",""))</f>
        <v>Concentrazione su un fornitore cloud critico  ◆</v>
      </c>
      <c r="L19" s="146"/>
      <c r="M19" s="146"/>
      <c r="N19" s="146"/>
      <c r="O19" s="146"/>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5" t="str">
        <f>IF(J20="","",INDEX(posNome,3)&amp;IF(INDEX(ANA_Attenzione_Supervisore,3)="Sì","  ◆",""))</f>
        <v>Greenwashing nella commercializzazione di prodotti ESG</v>
      </c>
      <c r="L20" s="146"/>
      <c r="M20" s="146"/>
      <c r="N20" s="146"/>
      <c r="O20" s="146"/>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5" t="str">
        <f>IF(J21="","",INDEX(posNome,4)&amp;IF(INDEX(ANA_Attenzione_Supervisore,4)="Sì","  ◆",""))</f>
        <v>Eventi climatici estremi su sedi e data center</v>
      </c>
      <c r="L21" s="146"/>
      <c r="M21" s="146"/>
      <c r="N21" s="146"/>
      <c r="O21" s="146"/>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5" t="str">
        <f>IF(J22="","",INDEX(posNome,5)&amp;IF(INDEX(ANA_Attenzione_Supervisore,5)="Sì","  ◆",""))</f>
        <v>Errori di processo nella migrazione del core banking</v>
      </c>
      <c r="L22" s="146"/>
      <c r="M22" s="146"/>
      <c r="N22" s="146"/>
      <c r="O22" s="146"/>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5" t="str">
        <f>IF(J23="","",INDEX(posNome,6)&amp;IF(INDEX(ANA_Attenzione_Supervisore,6)="Sì","  ◆",""))</f>
        <v>Esfiltrazione di dati tramite strumenti di AI non autorizzati</v>
      </c>
      <c r="L23" s="146"/>
      <c r="M23" s="146"/>
      <c r="N23" s="146"/>
      <c r="O23" s="146"/>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5" t="str">
        <f>IF(J24="","",INDEX(posNome,7)&amp;IF(INDEX(ANA_Attenzione_Supervisore,7)="Sì","  ◆",""))</f>
        <v>Ransomware presso un fornitore di servizi di pagamento  ◆</v>
      </c>
      <c r="L24" s="146"/>
      <c r="M24" s="146"/>
      <c r="N24" s="146"/>
      <c r="O24" s="146"/>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5" t="str">
        <f>IF(J25="","",INDEX(posNome,8)&amp;IF(INDEX(ANA_Attenzione_Supervisore,8)="Sì","  ◆",""))</f>
        <v>Accessi impropri di dipendenti ai dati dei clienti</v>
      </c>
      <c r="L25" s="146"/>
      <c r="M25" s="146"/>
      <c r="N25" s="146"/>
      <c r="O25" s="146"/>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5" t="str">
        <f>IF(J26="","",INDEX(posNome,9)&amp;IF(INDEX(ANA_Attenzione_Supervisore,9)="Sì","  ◆",""))</f>
        <v>Violazione di sanzioni internazionali tramite triangolazioni  ◆</v>
      </c>
      <c r="L26" s="146"/>
      <c r="M26" s="146"/>
      <c r="N26" s="146"/>
      <c r="O26" s="146"/>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5" t="str">
        <f>IF(J27="","",INDEX(posNome,10)&amp;IF(INDEX(ANA_Attenzione_Supervisore,10)="Sì","  ◆",""))</f>
        <v>Informazioni errate ai clienti da assistenti di AI generativa</v>
      </c>
      <c r="L27" s="146"/>
      <c r="M27" s="146"/>
      <c r="N27" s="146"/>
      <c r="O27" s="146"/>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5" t="str">
        <f>IF(J28="","",INDEX(posNome,11)&amp;IF(INDEX(ANA_Attenzione_Supervisore,11)="Sì","  ◆",""))</f>
        <v>Fine del supporto dei sistemi di pagamento legacy</v>
      </c>
      <c r="L28" s="146"/>
      <c r="M28" s="146"/>
      <c r="N28" s="146"/>
      <c r="O28" s="146"/>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5" t="str">
        <f>IF(J29="","",INDEX(posNome,12)&amp;IF(INDEX(ANA_Attenzione_Supervisore,12)="Sì","  ◆",""))</f>
        <v>Errori operativi nei pagamenti istantanei obbligatori</v>
      </c>
      <c r="L29" s="146"/>
      <c r="M29" s="146"/>
      <c r="N29" s="146"/>
      <c r="O29" s="146"/>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45" t="str">
        <f>IF(J30="","",INDEX(posNome,13)&amp;IF(INDEX(ANA_Attenzione_Supervisore,13)="Sì","  ◆",""))</f>
        <v>Vertenze e carenza di tecnici nei ruoli IT critici</v>
      </c>
      <c r="L30" s="146"/>
      <c r="M30" s="146"/>
      <c r="N30" s="146"/>
      <c r="O30" s="146"/>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5" t="str">
        <f>IF(J31="","",INDEX(posNome,14)&amp;IF(INDEX(ANA_Attenzione_Supervisore,14)="Sì","  ◆",""))</f>
        <v/>
      </c>
      <c r="L31" s="146"/>
      <c r="M31" s="146"/>
      <c r="N31" s="146"/>
      <c r="O31" s="146"/>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5" t="str">
        <f>IF(J32="","",INDEX(posNome,15)&amp;IF(INDEX(ANA_Attenzione_Supervisore,15)="Sì","  ◆",""))</f>
        <v/>
      </c>
      <c r="L32" s="146"/>
      <c r="M32" s="146"/>
      <c r="N32" s="146"/>
      <c r="O32" s="146"/>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5" t="str">
        <f>IF(J33="","",INDEX(posNome,16)&amp;IF(INDEX(ANA_Attenzione_Supervisore,16)="Sì","  ◆",""))</f>
        <v/>
      </c>
      <c r="L33" s="146"/>
      <c r="M33" s="146"/>
      <c r="N33" s="146"/>
      <c r="O33" s="146"/>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5" t="str">
        <f>IF(J34="","",INDEX(posNome,17)&amp;IF(INDEX(ANA_Attenzione_Supervisore,17)="Sì","  ◆",""))</f>
        <v/>
      </c>
      <c r="L34" s="146"/>
      <c r="M34" s="146"/>
      <c r="N34" s="146"/>
      <c r="O34" s="146"/>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5" t="str">
        <f>IF(J35="","",INDEX(posNome,18)&amp;IF(INDEX(ANA_Attenzione_Supervisore,18)="Sì","  ◆",""))</f>
        <v/>
      </c>
      <c r="L35" s="146"/>
      <c r="M35" s="146"/>
      <c r="N35" s="146"/>
      <c r="O35" s="146"/>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5" t="str">
        <f>IF(J36="","",INDEX(posNome,19)&amp;IF(INDEX(ANA_Attenzione_Supervisore,19)="Sì","  ◆",""))</f>
        <v/>
      </c>
      <c r="L36" s="146"/>
      <c r="M36" s="146"/>
      <c r="N36" s="146"/>
      <c r="O36" s="146"/>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5" t="str">
        <f>IF(J37="","",INDEX(posNome,20)&amp;IF(INDEX(ANA_Attenzione_Supervisore,20)="Sì","  ◆",""))</f>
        <v/>
      </c>
      <c r="L37" s="146"/>
      <c r="M37" s="146"/>
      <c r="N37" s="146"/>
      <c r="O37" s="146"/>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1" t="s">
        <v>38</v>
      </c>
      <c r="B40" s="142"/>
      <c r="C40" s="142"/>
      <c r="D40" s="142"/>
      <c r="E40" s="142"/>
      <c r="F40" s="142"/>
      <c r="G40" s="142"/>
      <c r="H40" s="142"/>
      <c r="I40" s="142"/>
      <c r="J40" s="142"/>
      <c r="K40" s="142"/>
      <c r="L40" s="142"/>
      <c r="M40" s="142"/>
      <c r="N40" s="142"/>
      <c r="O40" s="142"/>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64" t="s">
        <v>39</v>
      </c>
      <c r="B41" s="146"/>
      <c r="C41" s="146"/>
      <c r="D41" s="151"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6"/>
      <c r="F41" s="146"/>
      <c r="G41" s="146"/>
      <c r="H41" s="146"/>
      <c r="I41" s="146"/>
      <c r="J41" s="146"/>
      <c r="K41" s="146"/>
      <c r="L41" s="146"/>
      <c r="M41" s="146"/>
      <c r="N41" s="146"/>
      <c r="O41" s="146"/>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64" t="s">
        <v>40</v>
      </c>
      <c r="B42" s="146"/>
      <c r="C42" s="146"/>
      <c r="D42" s="151" t="str">
        <f>IF(T42&gt;0,TRIM(MID(T41,T42+10,4000)),"—")</f>
        <v>—</v>
      </c>
      <c r="E42" s="146"/>
      <c r="F42" s="146"/>
      <c r="G42" s="146"/>
      <c r="H42" s="146"/>
      <c r="I42" s="146"/>
      <c r="J42" s="146"/>
      <c r="K42" s="146"/>
      <c r="L42" s="146"/>
      <c r="M42" s="146"/>
      <c r="N42" s="146"/>
      <c r="O42" s="146"/>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64" t="s">
        <v>41</v>
      </c>
      <c r="B43" s="146"/>
      <c r="C43" s="146"/>
      <c r="D43" s="151" t="str">
        <f>IFERROR(INDEX(SI_Sintesi_A5,MATCH(cicloCorrente,SI_Ciclo,0))&amp;"","")&amp;IFERROR(" Osservazioni: "&amp;INDEX(SI_Osservazioni_Controlli,MATCH(cicloCorrente,SI_Ciclo,0))&amp;".","")</f>
        <v>A5 non usato in questo ciclo (facoltativo, D-71): valgono i controlli dello script e la validazione. Osservazioni: 0.</v>
      </c>
      <c r="E43" s="146"/>
      <c r="F43" s="146"/>
      <c r="G43" s="146"/>
      <c r="H43" s="146"/>
      <c r="I43" s="146"/>
      <c r="J43" s="146"/>
      <c r="K43" s="146"/>
      <c r="L43" s="146"/>
      <c r="M43" s="146"/>
      <c r="N43" s="146"/>
      <c r="O43" s="146"/>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64" t="s">
        <v>42</v>
      </c>
      <c r="B44" s="146"/>
      <c r="C44" s="146"/>
      <c r="D44" s="151"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6"/>
      <c r="F44" s="146"/>
      <c r="G44" s="146"/>
      <c r="H44" s="146"/>
      <c r="I44" s="146"/>
      <c r="J44" s="146"/>
      <c r="K44" s="146"/>
      <c r="L44" s="146"/>
      <c r="M44" s="146"/>
      <c r="N44" s="146"/>
      <c r="O44" s="146"/>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64" t="s">
        <v>43</v>
      </c>
      <c r="B45" s="146"/>
      <c r="C45" s="146"/>
      <c r="D45" s="151" t="str">
        <f>IFERROR(IF(INDEX(SI_Rilievi_Superati,MATCH(cicloCorrente,SI_Ciclo,0))="","",INDEX(SI_Rilievi_Superati,MATCH(cicloCorrente,SI_Ciclo,0))&amp;" In validazione ogni rischio interessato chiede una motivazione (colonna Segnalazioni)."),"")</f>
        <v/>
      </c>
      <c r="E45" s="146"/>
      <c r="F45" s="146"/>
      <c r="G45" s="146"/>
      <c r="H45" s="146"/>
      <c r="I45" s="146"/>
      <c r="J45" s="146"/>
      <c r="K45" s="146"/>
      <c r="L45" s="146"/>
      <c r="M45" s="146"/>
      <c r="N45" s="146"/>
      <c r="O45" s="146"/>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1" t="s">
        <v>44</v>
      </c>
      <c r="B47" s="142"/>
      <c r="C47" s="142"/>
      <c r="D47" s="142"/>
      <c r="E47" s="142"/>
      <c r="F47" s="142"/>
      <c r="G47" s="142"/>
      <c r="H47" s="142"/>
      <c r="I47" s="142"/>
      <c r="J47" s="142"/>
      <c r="K47" s="142"/>
      <c r="L47" s="142"/>
      <c r="M47" s="142"/>
      <c r="N47" s="142"/>
      <c r="O47" s="142"/>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9" t="s">
        <v>18</v>
      </c>
      <c r="B49" s="170"/>
      <c r="C49" s="170"/>
      <c r="D49" s="26" t="s">
        <v>46</v>
      </c>
      <c r="E49" s="169" t="s">
        <v>47</v>
      </c>
      <c r="F49" s="170"/>
      <c r="G49" s="170"/>
      <c r="H49" s="170"/>
      <c r="I49" s="169" t="s">
        <v>48</v>
      </c>
      <c r="J49" s="170"/>
      <c r="K49" s="170"/>
      <c r="L49" s="170"/>
      <c r="M49" s="170"/>
      <c r="N49" s="170"/>
      <c r="O49" s="170"/>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50" t="str">
        <f>IF($V50="","",INDEX(Classifica!$B$5:$B$24,$V50)&amp;CHAR(10)&amp;INDEX(Classifica!$C$5:$C$24,$V50)&amp;IF(INDEX(ANA_Attenzione_Supervisore,INDEX(Classifica!$U$5:$U$24,$V50))="Sì",CHAR(10)&amp;"◆ attenzione del supervisore",""))</f>
        <v>NFR-01
Frodi su pagamenti istantanei abilitate da AI generativa
◆ attenzione del supervisore</v>
      </c>
      <c r="B50" s="146"/>
      <c r="C50" s="146"/>
      <c r="D50" s="27" t="str">
        <f>IF($V50="","",INDEX(Radar_Mosca!$AA$5:$AA$24,INDEX(Classifica!$U$5:$U$24,$V50))&amp;"")</f>
        <v>Attivazione</v>
      </c>
      <c r="E50" s="152"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46"/>
      <c r="G50" s="146"/>
      <c r="H50" s="146"/>
      <c r="I50" s="152"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6"/>
      <c r="K50" s="146"/>
      <c r="L50" s="146"/>
      <c r="M50" s="146"/>
      <c r="N50" s="146"/>
      <c r="O50" s="146"/>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50" t="str">
        <f>IF($V51="","",INDEX(Classifica!$B$5:$B$24,$V51)&amp;CHAR(10)&amp;INDEX(Classifica!$C$5:$C$24,$V51)&amp;IF(INDEX(ANA_Attenzione_Supervisore,INDEX(Classifica!$U$5:$U$24,$V51))="Sì",CHAR(10)&amp;"◆ attenzione del supervisore",""))</f>
        <v>NFR-07
Ransomware presso un fornitore di servizi di pagamento
◆ attenzione del supervisore</v>
      </c>
      <c r="B51" s="146"/>
      <c r="C51" s="146"/>
      <c r="D51" s="27" t="str">
        <f>IF($V51="","",INDEX(Radar_Mosca!$AA$5:$AA$24,INDEX(Classifica!$U$5:$U$24,$V51))&amp;"")</f>
        <v>Attenzione</v>
      </c>
      <c r="E51" s="152" t="str">
        <f t="shared" si="16"/>
        <v>2° per score composito (3,75); margine di Mosca sotto l'anno (0,75); tema all'attenzione del supervisore.</v>
      </c>
      <c r="F51" s="146"/>
      <c r="G51" s="146"/>
      <c r="H51" s="146"/>
      <c r="I51" s="152"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6"/>
      <c r="K51" s="146"/>
      <c r="L51" s="146"/>
      <c r="M51" s="146"/>
      <c r="N51" s="146"/>
      <c r="O51" s="146"/>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50" t="str">
        <f>IF($V52="","",INDEX(Classifica!$B$5:$B$24,$V52)&amp;CHAR(10)&amp;INDEX(Classifica!$C$5:$C$24,$V52)&amp;IF(INDEX(ANA_Attenzione_Supervisore,INDEX(Classifica!$U$5:$U$24,$V52))="Sì",CHAR(10)&amp;"◆ attenzione del supervisore",""))</f>
        <v>NFR-12
Errori operativi nei pagamenti istantanei obbligatori</v>
      </c>
      <c r="B52" s="146"/>
      <c r="C52" s="146"/>
      <c r="D52" s="27" t="str">
        <f>IF($V52="","",INDEX(Radar_Mosca!$AA$5:$AA$24,INDEX(Classifica!$U$5:$U$24,$V52))&amp;"")</f>
        <v>Attenzione</v>
      </c>
      <c r="E52" s="152" t="str">
        <f t="shared" si="16"/>
        <v>3° per score composito (3,65); margine di Mosca sotto l'anno (0,00).</v>
      </c>
      <c r="F52" s="146"/>
      <c r="G52" s="146"/>
      <c r="H52" s="146"/>
      <c r="I52" s="152"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6"/>
      <c r="K52" s="146"/>
      <c r="L52" s="146"/>
      <c r="M52" s="146"/>
      <c r="N52" s="146"/>
      <c r="O52" s="146"/>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50" t="str">
        <f>IF($V53="","",INDEX(Classifica!$B$5:$B$24,$V53)&amp;CHAR(10)&amp;INDEX(Classifica!$C$5:$C$24,$V53)&amp;IF(INDEX(ANA_Attenzione_Supervisore,INDEX(Classifica!$U$5:$U$24,$V53))="Sì",CHAR(10)&amp;"◆ attenzione del supervisore",""))</f>
        <v>NFR-03
Greenwashing nella commercializzazione di prodotti ESG</v>
      </c>
      <c r="B53" s="146"/>
      <c r="C53" s="146"/>
      <c r="D53" s="27" t="str">
        <f>IF($V53="","",INDEX(Radar_Mosca!$AA$5:$AA$24,INDEX(Classifica!$U$5:$U$24,$V53))&amp;"")</f>
        <v>Attenzione</v>
      </c>
      <c r="E53" s="152" t="str">
        <f t="shared" si="16"/>
        <v/>
      </c>
      <c r="F53" s="146"/>
      <c r="G53" s="146"/>
      <c r="H53" s="146"/>
      <c r="I53" s="152"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6"/>
      <c r="K53" s="146"/>
      <c r="L53" s="146"/>
      <c r="M53" s="146"/>
      <c r="N53" s="146"/>
      <c r="O53" s="146"/>
      <c r="U53" t="str">
        <f>IF(Classifica!$B$8="","",IF(OR(4&lt;=3,INDEX(Radar_Mosca!$AA$5:$AA$24,Classifica!$U$8)="Attivazione",INDEX(Radar_Mosca!$AA$5:$AA$24,Classifica!$U$8)="Attenzione",Classifica!$G$8="Variato",Classifica!$G$8="Nuovo"),4,""))</f>
        <v/>
      </c>
      <c r="V53">
        <f>IFERROR(_xlfn.AGGREGATE(15,6,$U$50:$U$69,4),"")</f>
        <v>5</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50" t="str">
        <f>IF($V54="","",INDEX(Classifica!$B$5:$B$24,$V54)&amp;CHAR(10)&amp;INDEX(Classifica!$C$5:$C$24,$V54)&amp;IF(INDEX(ANA_Attenzione_Supervisore,INDEX(Classifica!$U$5:$U$24,$V54))="Sì",CHAR(10)&amp;"◆ attenzione del supervisore",""))</f>
        <v>NFR-06
Esfiltrazione di dati tramite strumenti di AI non autorizzati</v>
      </c>
      <c r="B54" s="146"/>
      <c r="C54" s="146"/>
      <c r="D54" s="27" t="str">
        <f>IF($V54="","",INDEX(Radar_Mosca!$AA$5:$AA$24,INDEX(Classifica!$U$5:$U$24,$V54))&amp;"")</f>
        <v>Attenzione</v>
      </c>
      <c r="E54" s="152" t="str">
        <f t="shared" si="16"/>
        <v>presidio dei controlli assente.</v>
      </c>
      <c r="F54" s="146"/>
      <c r="G54" s="146"/>
      <c r="H54" s="146"/>
      <c r="I54" s="152"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6"/>
      <c r="K54" s="146"/>
      <c r="L54" s="146"/>
      <c r="M54" s="146"/>
      <c r="N54" s="146"/>
      <c r="O54" s="146"/>
      <c r="U54">
        <f>IF(Classifica!$B$9="","",IF(OR(5&lt;=3,INDEX(Radar_Mosca!$AA$5:$AA$24,Classifica!$U$9)="Attivazione",INDEX(Radar_Mosca!$AA$5:$AA$24,Classifica!$U$9)="Attenzione",Classifica!$G$9="Variato",Classifica!$G$9="Nuovo"),5,""))</f>
        <v>5</v>
      </c>
      <c r="V54">
        <f>IFERROR(_xlfn.AGGREGATE(15,6,$U$50:$U$69,5),"")</f>
        <v>7</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presidio dei controlli assente;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50" t="str">
        <f>IF($V55="","",INDEX(Classifica!$B$5:$B$24,$V55)&amp;CHAR(10)&amp;INDEX(Classifica!$C$5:$C$24,$V55)&amp;IF(INDEX(ANA_Attenzione_Supervisore,INDEX(Classifica!$U$5:$U$24,$V55))="Sì",CHAR(10)&amp;"◆ attenzione del supervisore",""))</f>
        <v>NFR-04
Eventi climatici estremi su sedi e data center</v>
      </c>
      <c r="B55" s="146"/>
      <c r="C55" s="146"/>
      <c r="D55" s="27" t="str">
        <f>IF($V55="","",INDEX(Radar_Mosca!$AA$5:$AA$24,INDEX(Classifica!$U$5:$U$24,$V55))&amp;"")</f>
        <v>Attenzione</v>
      </c>
      <c r="E55" s="152" t="str">
        <f t="shared" si="16"/>
        <v/>
      </c>
      <c r="F55" s="146"/>
      <c r="G55" s="146"/>
      <c r="H55" s="146"/>
      <c r="I55" s="152"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6"/>
      <c r="K55" s="146"/>
      <c r="L55" s="146"/>
      <c r="M55" s="146"/>
      <c r="N55" s="146"/>
      <c r="O55" s="146"/>
      <c r="U55" t="str">
        <f>IF(Classifica!$B$10="","",IF(OR(6&lt;=3,INDEX(Radar_Mosca!$AA$5:$AA$24,Classifica!$U$10)="Attivazione",INDEX(Radar_Mosca!$AA$5:$AA$24,Classifica!$U$10)="Attenzione",Classifica!$G$10="Variato",Classifica!$G$10="Nuovo"),6,""))</f>
        <v/>
      </c>
      <c r="V55">
        <f>IFERROR(_xlfn.AGGREGATE(15,6,$U$50:$U$69,6),"")</f>
        <v>10</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53.6" customHeight="1" x14ac:dyDescent="0.4">
      <c r="A56" s="150" t="str">
        <f>IF($V56="","",INDEX(Classifica!$B$5:$B$24,$V56)&amp;CHAR(10)&amp;INDEX(Classifica!$C$5:$C$24,$V56)&amp;IF(INDEX(ANA_Attenzione_Supervisore,INDEX(Classifica!$U$5:$U$24,$V56))="Sì",CHAR(10)&amp;"◆ attenzione del supervisore",""))</f>
        <v>NFR-11
Fine del supporto dei sistemi di pagamento legacy</v>
      </c>
      <c r="B56" s="146"/>
      <c r="C56" s="146"/>
      <c r="D56" s="27" t="str">
        <f>IF($V56="","",INDEX(Radar_Mosca!$AA$5:$AA$24,INDEX(Classifica!$U$5:$U$24,$V56))&amp;"")</f>
        <v>Attivazione</v>
      </c>
      <c r="E56" s="152" t="str">
        <f t="shared" si="16"/>
        <v>AGIRE ORA: servono X + Y = 3,25 anni per decidere e mitigare, di cui 3 di adeguamento strutturale; ne restano Z = 1,5 prima che possa manifestarsi; presidio dei controlli assente; 1 KRI in rosso.</v>
      </c>
      <c r="F56" s="146"/>
      <c r="G56" s="146"/>
      <c r="H56" s="146"/>
      <c r="I56" s="152"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6"/>
      <c r="K56" s="146"/>
      <c r="L56" s="146"/>
      <c r="M56" s="146"/>
      <c r="N56" s="146"/>
      <c r="O56" s="146"/>
      <c r="U56">
        <f>IF(Classifica!$B$11="","",IF(OR(7&lt;=3,INDEX(Radar_Mosca!$AA$5:$AA$24,Classifica!$U$11)="Attivazione",INDEX(Radar_Mosca!$AA$5:$AA$24,Classifica!$U$11)="Attenzione",Classifica!$G$11="Variato",Classifica!$G$11="Nuovo"),7,""))</f>
        <v>7</v>
      </c>
      <c r="V56">
        <f>IFERROR(_xlfn.AGGREGATE(15,6,$U$50:$U$69,7),"")</f>
        <v>11</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AGIRE ORA: servono X + Y = 3,25 anni per decidere e mitigare, di cui 3 di adeguamento strutturale; ne restano Z = 1,5 prima che possa manifestarsi; presidio dei controlli assente; 1 KRI in rosso;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114.35" customHeight="1" x14ac:dyDescent="0.4">
      <c r="A57" s="150" t="str">
        <f>IF($V57="","",INDEX(Classifica!$B$5:$B$24,$V57)&amp;CHAR(10)&amp;INDEX(Classifica!$C$5:$C$24,$V57)&amp;IF(INDEX(ANA_Attenzione_Supervisore,INDEX(Classifica!$U$5:$U$24,$V57))="Sì",CHAR(10)&amp;"◆ attenzione del supervisore",""))</f>
        <v>NFR-16
Vertenze e carenza di tecnici nei ruoli IT critici</v>
      </c>
      <c r="B57" s="146"/>
      <c r="C57" s="146"/>
      <c r="D57" s="27" t="str">
        <f>IF($V57="","",INDEX(Radar_Mosca!$AA$5:$AA$24,INDEX(Classifica!$U$5:$U$24,$V57))&amp;"")</f>
        <v>Monitoraggio</v>
      </c>
      <c r="E57" s="152" t="str">
        <f t="shared" si="16"/>
        <v>variato nel ciclo: peggiora.</v>
      </c>
      <c r="F57" s="146"/>
      <c r="G57" s="146"/>
      <c r="H57" s="146"/>
      <c r="I57" s="152"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7" s="146"/>
      <c r="K57" s="146"/>
      <c r="L57" s="146"/>
      <c r="M57" s="146"/>
      <c r="N57" s="146"/>
      <c r="O57" s="146"/>
      <c r="U57" t="str">
        <f>IF(Classifica!$B$12="","",IF(OR(8&lt;=3,INDEX(Radar_Mosca!$AA$5:$AA$24,Classifica!$U$12)="Attivazione",INDEX(Radar_Mosca!$AA$5:$AA$24,Classifica!$U$12)="Attenzione",Classifica!$G$12="Variato",Classifica!$G$12="Nuovo"),8,""))</f>
        <v/>
      </c>
      <c r="V57">
        <f>IFERROR(_xlfn.AGGREGATE(15,6,$U$50:$U$69,8),"")</f>
        <v>12</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variato nel ciclo: peggiora;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50" t="str">
        <f>IF($V58="","",INDEX(Classifica!$B$5:$B$24,$V58)&amp;CHAR(10)&amp;INDEX(Classifica!$C$5:$C$24,$V58)&amp;IF(INDEX(ANA_Attenzione_Supervisore,INDEX(Classifica!$U$5:$U$24,$V58))="Sì",CHAR(10)&amp;"◆ attenzione del supervisore",""))</f>
        <v/>
      </c>
      <c r="B58" s="146"/>
      <c r="C58" s="146"/>
      <c r="D58" s="27" t="str">
        <f>IF($V58="","",INDEX(Radar_Mosca!$AA$5:$AA$24,INDEX(Classifica!$U$5:$U$24,$V58))&amp;"")</f>
        <v/>
      </c>
      <c r="E58" s="152" t="str">
        <f t="shared" si="16"/>
        <v/>
      </c>
      <c r="F58" s="146"/>
      <c r="G58" s="146"/>
      <c r="H58" s="146"/>
      <c r="I58" s="152"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6"/>
      <c r="K58" s="146"/>
      <c r="L58" s="146"/>
      <c r="M58" s="146"/>
      <c r="N58" s="146"/>
      <c r="O58" s="146"/>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50" t="str">
        <f>IF($V59="","",INDEX(Classifica!$B$5:$B$24,$V59)&amp;CHAR(10)&amp;INDEX(Classifica!$C$5:$C$24,$V59)&amp;IF(INDEX(ANA_Attenzione_Supervisore,INDEX(Classifica!$U$5:$U$24,$V59))="Sì",CHAR(10)&amp;"◆ attenzione del supervisore",""))</f>
        <v/>
      </c>
      <c r="B59" s="146"/>
      <c r="C59" s="146"/>
      <c r="D59" s="27" t="str">
        <f>IF($V59="","",INDEX(Radar_Mosca!$AA$5:$AA$24,INDEX(Classifica!$U$5:$U$24,$V59))&amp;"")</f>
        <v/>
      </c>
      <c r="E59" s="152" t="str">
        <f t="shared" si="16"/>
        <v/>
      </c>
      <c r="F59" s="146"/>
      <c r="G59" s="146"/>
      <c r="H59" s="146"/>
      <c r="I59" s="152"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6"/>
      <c r="K59" s="146"/>
      <c r="L59" s="146"/>
      <c r="M59" s="146"/>
      <c r="N59" s="146"/>
      <c r="O59" s="146"/>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50" t="str">
        <f>IF($V60="","",INDEX(Classifica!$B$5:$B$24,$V60)&amp;CHAR(10)&amp;INDEX(Classifica!$C$5:$C$24,$V60)&amp;IF(INDEX(ANA_Attenzione_Supervisore,INDEX(Classifica!$U$5:$U$24,$V60))="Sì",CHAR(10)&amp;"◆ attenzione del supervisore",""))</f>
        <v/>
      </c>
      <c r="B60" s="146"/>
      <c r="C60" s="146"/>
      <c r="D60" s="27" t="str">
        <f>IF($V60="","",INDEX(Radar_Mosca!$AA$5:$AA$24,INDEX(Classifica!$U$5:$U$24,$V60))&amp;"")</f>
        <v/>
      </c>
      <c r="E60" s="152" t="str">
        <f t="shared" si="16"/>
        <v/>
      </c>
      <c r="F60" s="146"/>
      <c r="G60" s="146"/>
      <c r="H60" s="146"/>
      <c r="I60" s="152"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6"/>
      <c r="K60" s="146"/>
      <c r="L60" s="146"/>
      <c r="M60" s="146"/>
      <c r="N60" s="146"/>
      <c r="O60" s="146"/>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50" t="str">
        <f>IF($V61="","",INDEX(Classifica!$B$5:$B$24,$V61)&amp;CHAR(10)&amp;INDEX(Classifica!$C$5:$C$24,$V61)&amp;IF(INDEX(ANA_Attenzione_Supervisore,INDEX(Classifica!$U$5:$U$24,$V61))="Sì",CHAR(10)&amp;"◆ attenzione del supervisore",""))</f>
        <v/>
      </c>
      <c r="B61" s="146"/>
      <c r="C61" s="146"/>
      <c r="D61" s="27" t="str">
        <f>IF($V61="","",INDEX(Radar_Mosca!$AA$5:$AA$24,INDEX(Classifica!$U$5:$U$24,$V61))&amp;"")</f>
        <v/>
      </c>
      <c r="E61" s="152" t="str">
        <f t="shared" si="16"/>
        <v/>
      </c>
      <c r="F61" s="146"/>
      <c r="G61" s="146"/>
      <c r="H61" s="146"/>
      <c r="I61" s="152"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6"/>
      <c r="K61" s="146"/>
      <c r="L61" s="146"/>
      <c r="M61" s="146"/>
      <c r="N61" s="146"/>
      <c r="O61" s="146"/>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50" t="str">
        <f>IF($V62="","",INDEX(Classifica!$B$5:$B$24,$V62)&amp;CHAR(10)&amp;INDEX(Classifica!$C$5:$C$24,$V62)&amp;IF(INDEX(ANA_Attenzione_Supervisore,INDEX(Classifica!$U$5:$U$24,$V62))="Sì",CHAR(10)&amp;"◆ attenzione del supervisore",""))</f>
        <v/>
      </c>
      <c r="B62" s="146"/>
      <c r="C62" s="146"/>
      <c r="D62" s="27" t="str">
        <f>IF($V62="","",INDEX(Radar_Mosca!$AA$5:$AA$24,INDEX(Classifica!$U$5:$U$24,$V62))&amp;"")</f>
        <v/>
      </c>
      <c r="E62" s="152" t="str">
        <f t="shared" si="16"/>
        <v/>
      </c>
      <c r="F62" s="146"/>
      <c r="G62" s="146"/>
      <c r="H62" s="146"/>
      <c r="I62" s="152"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6"/>
      <c r="K62" s="146"/>
      <c r="L62" s="146"/>
      <c r="M62" s="146"/>
      <c r="N62" s="146"/>
      <c r="O62" s="146"/>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50" t="str">
        <f>IF($V63="","",INDEX(Classifica!$B$5:$B$24,$V63)&amp;CHAR(10)&amp;INDEX(Classifica!$C$5:$C$24,$V63)&amp;IF(INDEX(ANA_Attenzione_Supervisore,INDEX(Classifica!$U$5:$U$24,$V63))="Sì",CHAR(10)&amp;"◆ attenzione del supervisore",""))</f>
        <v/>
      </c>
      <c r="B63" s="146"/>
      <c r="C63" s="146"/>
      <c r="D63" s="27" t="str">
        <f>IF($V63="","",INDEX(Radar_Mosca!$AA$5:$AA$24,INDEX(Classifica!$U$5:$U$24,$V63))&amp;"")</f>
        <v/>
      </c>
      <c r="E63" s="152" t="str">
        <f t="shared" si="16"/>
        <v/>
      </c>
      <c r="F63" s="146"/>
      <c r="G63" s="146"/>
      <c r="H63" s="146"/>
      <c r="I63" s="152"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6"/>
      <c r="K63" s="146"/>
      <c r="L63" s="146"/>
      <c r="M63" s="146"/>
      <c r="N63" s="146"/>
      <c r="O63" s="146"/>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50" t="str">
        <f>IF($V64="","",INDEX(Classifica!$B$5:$B$24,$V64)&amp;CHAR(10)&amp;INDEX(Classifica!$C$5:$C$24,$V64)&amp;IF(INDEX(ANA_Attenzione_Supervisore,INDEX(Classifica!$U$5:$U$24,$V64))="Sì",CHAR(10)&amp;"◆ attenzione del supervisore",""))</f>
        <v/>
      </c>
      <c r="B64" s="146"/>
      <c r="C64" s="146"/>
      <c r="D64" s="27" t="str">
        <f>IF($V64="","",INDEX(Radar_Mosca!$AA$5:$AA$24,INDEX(Classifica!$U$5:$U$24,$V64))&amp;"")</f>
        <v/>
      </c>
      <c r="E64" s="152" t="str">
        <f t="shared" si="16"/>
        <v/>
      </c>
      <c r="F64" s="146"/>
      <c r="G64" s="146"/>
      <c r="H64" s="146"/>
      <c r="I64" s="152"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6"/>
      <c r="K64" s="146"/>
      <c r="L64" s="146"/>
      <c r="M64" s="146"/>
      <c r="N64" s="146"/>
      <c r="O64" s="146"/>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50" t="str">
        <f>IF($V65="","",INDEX(Classifica!$B$5:$B$24,$V65)&amp;CHAR(10)&amp;INDEX(Classifica!$C$5:$C$24,$V65)&amp;IF(INDEX(ANA_Attenzione_Supervisore,INDEX(Classifica!$U$5:$U$24,$V65))="Sì",CHAR(10)&amp;"◆ attenzione del supervisore",""))</f>
        <v/>
      </c>
      <c r="B65" s="146"/>
      <c r="C65" s="146"/>
      <c r="D65" s="27" t="str">
        <f>IF($V65="","",INDEX(Radar_Mosca!$AA$5:$AA$24,INDEX(Classifica!$U$5:$U$24,$V65))&amp;"")</f>
        <v/>
      </c>
      <c r="E65" s="152" t="str">
        <f t="shared" si="16"/>
        <v/>
      </c>
      <c r="F65" s="146"/>
      <c r="G65" s="146"/>
      <c r="H65" s="146"/>
      <c r="I65" s="152"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6"/>
      <c r="K65" s="146"/>
      <c r="L65" s="146"/>
      <c r="M65" s="146"/>
      <c r="N65" s="146"/>
      <c r="O65" s="146"/>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50" t="str">
        <f>IF($V66="","",INDEX(Classifica!$B$5:$B$24,$V66)&amp;CHAR(10)&amp;INDEX(Classifica!$C$5:$C$24,$V66)&amp;IF(INDEX(ANA_Attenzione_Supervisore,INDEX(Classifica!$U$5:$U$24,$V66))="Sì",CHAR(10)&amp;"◆ attenzione del supervisore",""))</f>
        <v/>
      </c>
      <c r="B66" s="146"/>
      <c r="C66" s="146"/>
      <c r="D66" s="27" t="str">
        <f>IF($V66="","",INDEX(Radar_Mosca!$AA$5:$AA$24,INDEX(Classifica!$U$5:$U$24,$V66))&amp;"")</f>
        <v/>
      </c>
      <c r="E66" s="152" t="str">
        <f t="shared" si="16"/>
        <v/>
      </c>
      <c r="F66" s="146"/>
      <c r="G66" s="146"/>
      <c r="H66" s="146"/>
      <c r="I66" s="152"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6"/>
      <c r="K66" s="146"/>
      <c r="L66" s="146"/>
      <c r="M66" s="146"/>
      <c r="N66" s="146"/>
      <c r="O66" s="146"/>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50" t="str">
        <f>IF($V67="","",INDEX(Classifica!$B$5:$B$24,$V67)&amp;CHAR(10)&amp;INDEX(Classifica!$C$5:$C$24,$V67)&amp;IF(INDEX(ANA_Attenzione_Supervisore,INDEX(Classifica!$U$5:$U$24,$V67))="Sì",CHAR(10)&amp;"◆ attenzione del supervisore",""))</f>
        <v/>
      </c>
      <c r="B67" s="146"/>
      <c r="C67" s="146"/>
      <c r="D67" s="27" t="str">
        <f>IF($V67="","",INDEX(Radar_Mosca!$AA$5:$AA$24,INDEX(Classifica!$U$5:$U$24,$V67))&amp;"")</f>
        <v/>
      </c>
      <c r="E67" s="152" t="str">
        <f t="shared" si="16"/>
        <v/>
      </c>
      <c r="F67" s="146"/>
      <c r="G67" s="146"/>
      <c r="H67" s="146"/>
      <c r="I67" s="152"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6"/>
      <c r="K67" s="146"/>
      <c r="L67" s="146"/>
      <c r="M67" s="146"/>
      <c r="N67" s="146"/>
      <c r="O67" s="146"/>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50" t="str">
        <f>IF($V68="","",INDEX(Classifica!$B$5:$B$24,$V68)&amp;CHAR(10)&amp;INDEX(Classifica!$C$5:$C$24,$V68)&amp;IF(INDEX(ANA_Attenzione_Supervisore,INDEX(Classifica!$U$5:$U$24,$V68))="Sì",CHAR(10)&amp;"◆ attenzione del supervisore",""))</f>
        <v/>
      </c>
      <c r="B68" s="146"/>
      <c r="C68" s="146"/>
      <c r="D68" s="27" t="str">
        <f>IF($V68="","",INDEX(Radar_Mosca!$AA$5:$AA$24,INDEX(Classifica!$U$5:$U$24,$V68))&amp;"")</f>
        <v/>
      </c>
      <c r="E68" s="152" t="str">
        <f t="shared" si="16"/>
        <v/>
      </c>
      <c r="F68" s="146"/>
      <c r="G68" s="146"/>
      <c r="H68" s="146"/>
      <c r="I68" s="152"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6"/>
      <c r="K68" s="146"/>
      <c r="L68" s="146"/>
      <c r="M68" s="146"/>
      <c r="N68" s="146"/>
      <c r="O68" s="146"/>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50" t="str">
        <f>IF($V69="","",INDEX(Classifica!$B$5:$B$24,$V69)&amp;CHAR(10)&amp;INDEX(Classifica!$C$5:$C$24,$V69)&amp;IF(INDEX(ANA_Attenzione_Supervisore,INDEX(Classifica!$U$5:$U$24,$V69))="Sì",CHAR(10)&amp;"◆ attenzione del supervisore",""))</f>
        <v/>
      </c>
      <c r="B69" s="146"/>
      <c r="C69" s="146"/>
      <c r="D69" s="27" t="str">
        <f>IF($V69="","",INDEX(Radar_Mosca!$AA$5:$AA$24,INDEX(Classifica!$U$5:$U$24,$V69))&amp;"")</f>
        <v/>
      </c>
      <c r="E69" s="152" t="str">
        <f t="shared" si="16"/>
        <v/>
      </c>
      <c r="F69" s="146"/>
      <c r="G69" s="146"/>
      <c r="H69" s="146"/>
      <c r="I69" s="152"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6"/>
      <c r="K69" s="146"/>
      <c r="L69" s="146"/>
      <c r="M69" s="146"/>
      <c r="N69" s="146"/>
      <c r="O69" s="146"/>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56" t="s">
        <v>49</v>
      </c>
      <c r="B71" s="146"/>
      <c r="C71" s="146"/>
      <c r="D71" s="146"/>
      <c r="E71" s="146"/>
      <c r="F71" s="146"/>
      <c r="G71" s="146"/>
      <c r="H71" s="146"/>
      <c r="I71" s="146"/>
      <c r="J71" s="146"/>
      <c r="K71" s="146"/>
      <c r="L71" s="146"/>
      <c r="M71" s="146"/>
      <c r="N71" s="146"/>
      <c r="O71" s="146"/>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56" t="s">
        <v>50</v>
      </c>
      <c r="B72" s="146"/>
      <c r="C72" s="146"/>
      <c r="D72" s="146"/>
      <c r="E72" s="146"/>
      <c r="F72" s="146"/>
      <c r="G72" s="146"/>
      <c r="H72" s="146"/>
      <c r="I72" s="146"/>
      <c r="J72" s="146"/>
      <c r="K72" s="146"/>
      <c r="L72" s="146"/>
      <c r="M72" s="146"/>
      <c r="N72" s="146"/>
      <c r="O72" s="146"/>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I69:O69"/>
    <mergeCell ref="E62:H62"/>
    <mergeCell ref="D4:F4"/>
    <mergeCell ref="B10:E10"/>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I52:O52"/>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E63:H63"/>
    <mergeCell ref="I56:O56"/>
    <mergeCell ref="E61:H61"/>
    <mergeCell ref="A57:C57"/>
    <mergeCell ref="A40:O40"/>
    <mergeCell ref="B14:E14"/>
    <mergeCell ref="K30:O30"/>
    <mergeCell ref="K32:O32"/>
    <mergeCell ref="A6:C6"/>
    <mergeCell ref="A50:C50"/>
    <mergeCell ref="D44:O44"/>
    <mergeCell ref="A59:C59"/>
    <mergeCell ref="A8:H8"/>
    <mergeCell ref="A17:H17"/>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2"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5" t="str">
        <f>"Horizon Scan NFR — Classifica e lente di Mosca   ·   "&amp;etichettaCiclo</f>
        <v>Horizon Scan NFR — Classifica e lente di Mosca   ·   Ciclo 2026Q4 · dati al 31/12/2026 · da validare · Uso interno</v>
      </c>
      <c r="B1" s="166"/>
      <c r="C1" s="166"/>
      <c r="D1" s="166"/>
      <c r="E1" s="166"/>
      <c r="F1" s="166"/>
      <c r="G1" s="166"/>
      <c r="H1" s="166"/>
      <c r="I1" s="166"/>
      <c r="J1" s="166"/>
      <c r="K1" s="166"/>
    </row>
    <row r="2" spans="1:38" ht="45.55" customHeight="1" x14ac:dyDescent="0.4">
      <c r="A2" s="173" t="s">
        <v>170</v>
      </c>
      <c r="B2" s="146"/>
      <c r="C2" s="146"/>
      <c r="D2" s="146"/>
      <c r="E2" s="146"/>
      <c r="F2" s="146"/>
      <c r="G2" s="146"/>
      <c r="H2" s="146"/>
      <c r="I2" s="146"/>
      <c r="J2" s="146"/>
      <c r="K2" s="146"/>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Margine 1 anno</v>
      </c>
      <c r="I8" s="29">
        <f>IF($U8="","",IFERROR(INDEX(Radar_Mosca!$K$5:$K$24,$U8),""))</f>
        <v>1</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0</v>
      </c>
      <c r="X8" s="31">
        <f t="shared" si="10"/>
        <v>3.3</v>
      </c>
      <c r="Y8">
        <f>IF($U8="",NA(),INDEX(Radar_Mosca!$I$5:$I$24,$U8))</f>
        <v>0.25</v>
      </c>
      <c r="Z8">
        <f>IF($U8="",NA(),INDEX(Radar_Mosca!$J$5:$J$24,$U8))</f>
        <v>0.25</v>
      </c>
      <c r="AA8">
        <f>IF($U8="",NA(),INDEX(Radar_Mosca!$H$5:$H$24,$U8))</f>
        <v>1.5</v>
      </c>
      <c r="AB8" t="str">
        <f t="shared" si="11"/>
        <v/>
      </c>
      <c r="AD8">
        <f>IF(ISNUMBER(I8),I8+4/100000,"")</f>
        <v>1.00004</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4</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6"/>
      <c r="C53" s="146"/>
      <c r="D53" s="146"/>
      <c r="E53" s="146"/>
      <c r="F53" s="146"/>
      <c r="G53" s="146"/>
      <c r="H53" s="146"/>
      <c r="I53" s="146"/>
      <c r="J53" s="146"/>
      <c r="K53" s="146"/>
    </row>
    <row r="54" spans="1:11" ht="26.05" customHeight="1" x14ac:dyDescent="0.4">
      <c r="A54" s="156" t="s">
        <v>200</v>
      </c>
      <c r="B54" s="146"/>
      <c r="C54" s="146"/>
      <c r="D54" s="146"/>
      <c r="E54" s="146"/>
      <c r="F54" s="146"/>
      <c r="G54" s="146"/>
      <c r="H54" s="146"/>
      <c r="I54" s="146"/>
      <c r="J54" s="146"/>
      <c r="K54" s="146"/>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5" t="str">
        <f>"Horizon Scan NFR — Radar di Mosca: quanto presto agire, e quanto e' grande ogni rischio   ·   "&amp;etichettaCiclo</f>
        <v>Horizon Scan NFR — Radar di Mosca: quanto presto agire, e quanto e' grande ogni rischio   ·   Ciclo 2026Q4 · dati al 31/12/2026 · da validare · Uso interno</v>
      </c>
      <c r="B1" s="166"/>
      <c r="C1" s="166"/>
      <c r="D1" s="166"/>
      <c r="E1" s="166"/>
      <c r="F1" s="166"/>
      <c r="G1" s="166"/>
      <c r="H1" s="166"/>
      <c r="I1" s="166"/>
      <c r="J1" s="166"/>
      <c r="K1" s="166"/>
      <c r="L1" s="166"/>
    </row>
    <row r="2" spans="1:94" ht="45.55" customHeight="1" x14ac:dyDescent="0.4">
      <c r="A2" s="173" t="s">
        <v>201</v>
      </c>
      <c r="B2" s="146"/>
      <c r="C2" s="146"/>
      <c r="D2" s="146"/>
      <c r="E2" s="146"/>
      <c r="F2" s="146"/>
      <c r="G2" s="146"/>
      <c r="H2" s="146"/>
      <c r="I2" s="146"/>
      <c r="J2" s="146"/>
      <c r="K2" s="146"/>
      <c r="L2" s="146"/>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Monitoraggio</v>
      </c>
      <c r="AB6" t="str">
        <f t="shared" si="19"/>
        <v>nessun segnale forte</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f t="shared" si="32"/>
        <v>-1.0260604299770058</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56" t="s">
        <v>228</v>
      </c>
      <c r="B26" s="146"/>
      <c r="C26" s="146"/>
      <c r="D26" s="146"/>
      <c r="E26" s="146"/>
      <c r="F26" s="146"/>
      <c r="G26" s="146"/>
      <c r="H26" s="146"/>
      <c r="I26" s="146"/>
      <c r="J26" s="146"/>
      <c r="K26" s="146"/>
      <c r="L26" s="146"/>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5" t="str">
        <f>"Horizon Scan NFR — Matrice di gravita'   ·   "&amp;etichettaCiclo</f>
        <v>Horizon Scan NFR — Matrice di gravita'   ·   Ciclo 2026Q4 · dati al 31/12/2026 · da validare · Uso interno</v>
      </c>
      <c r="B1" s="166"/>
      <c r="C1" s="166"/>
      <c r="D1" s="166"/>
      <c r="E1" s="166"/>
      <c r="F1" s="166"/>
      <c r="G1" s="166"/>
    </row>
    <row r="2" spans="1:43" ht="45.55" customHeight="1" x14ac:dyDescent="0.4">
      <c r="A2" s="173" t="s">
        <v>229</v>
      </c>
      <c r="B2" s="146"/>
      <c r="C2" s="146"/>
      <c r="D2" s="146"/>
      <c r="E2" s="146"/>
      <c r="F2" s="146"/>
      <c r="G2" s="146"/>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1" t="s">
        <v>240</v>
      </c>
      <c r="B14" s="142"/>
      <c r="C14" s="142"/>
      <c r="D14" s="142"/>
      <c r="E14" s="142"/>
      <c r="F14" s="142"/>
      <c r="G14" s="142"/>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13</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6"/>
      <c r="C15" s="182" t="s">
        <v>18</v>
      </c>
      <c r="D15" s="146"/>
      <c r="E15" s="146"/>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2</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44"/>
      <c r="C16" s="181" t="str">
        <f>IF($Q$5="","",INDEX(posNome,$Q$5)&amp;IF(INDEX(ANA_Attenzione_Supervisore,$Q$5)="Sì","  ◆",""))</f>
        <v>Frodi su pagamenti istantanei abilitate da AI generativa  ◆</v>
      </c>
      <c r="D16" s="144"/>
      <c r="E16" s="144"/>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44"/>
      <c r="C17" s="181" t="str">
        <f>IF($Q$6="","",INDEX(posNome,$Q$6)&amp;IF(INDEX(ANA_Attenzione_Supervisore,$Q$6)="Sì","  ◆",""))</f>
        <v>Ransomware presso un fornitore di servizi di pagamento  ◆</v>
      </c>
      <c r="D17" s="144"/>
      <c r="E17" s="144"/>
      <c r="F17" s="41" t="str">
        <f>IF($Q$6="","",INDEX(posProbabilita,$Q$6)&amp;" · "&amp;INDEX(posImpatto,$Q$6))</f>
        <v>3 · 4</v>
      </c>
      <c r="G17" s="41">
        <f>IF($Q$6="","",INDEX($N$5:$N$24,$Q$6))</f>
        <v>12</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44"/>
      <c r="C18" s="181" t="str">
        <f>IF($Q$7="","",INDEX(posNome,$Q$7)&amp;IF(INDEX(ANA_Attenzione_Supervisore,$Q$7)="Sì","  ◆",""))</f>
        <v>Errori operativi nei pagamenti istantanei obbligatori</v>
      </c>
      <c r="D18" s="144"/>
      <c r="E18" s="144"/>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44"/>
      <c r="C19" s="181" t="str">
        <f>IF($Q$8="","",INDEX(posNome,$Q$8)&amp;IF(INDEX(ANA_Attenzione_Supervisore,$Q$8)="Sì","  ◆",""))</f>
        <v>Greenwashing nella commercializzazione di prodotti ESG</v>
      </c>
      <c r="D19" s="144"/>
      <c r="E19" s="144"/>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44"/>
      <c r="C20" s="181" t="str">
        <f>IF($Q$9="","",INDEX(posNome,$Q$9)&amp;IF(INDEX(ANA_Attenzione_Supervisore,$Q$9)="Sì","  ◆",""))</f>
        <v>Eventi climatici estremi su sedi e data center</v>
      </c>
      <c r="D20" s="144"/>
      <c r="E20" s="144"/>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44"/>
      <c r="C21" s="181" t="str">
        <f>IF($Q$10="","",INDEX(posNome,$Q$10)&amp;IF(INDEX(ANA_Attenzione_Supervisore,$Q$10)="Sì","  ◆",""))</f>
        <v>Errori di processo nella migrazione del core banking</v>
      </c>
      <c r="D21" s="144"/>
      <c r="E21" s="144"/>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44"/>
      <c r="C22" s="181" t="str">
        <f>IF($Q$11="","",INDEX(posNome,$Q$11)&amp;IF(INDEX(ANA_Attenzione_Supervisore,$Q$11)="Sì","  ◆",""))</f>
        <v>Esfiltrazione di dati tramite strumenti di AI non autorizzati</v>
      </c>
      <c r="D22" s="144"/>
      <c r="E22" s="144"/>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44"/>
      <c r="C23" s="181" t="str">
        <f>IF($Q$12="","",INDEX(posNome,$Q$12)&amp;IF(INDEX(ANA_Attenzione_Supervisore,$Q$12)="Sì","  ◆",""))</f>
        <v>Informazioni errate ai clienti da assistenti di AI generativa</v>
      </c>
      <c r="D23" s="144"/>
      <c r="E23" s="144"/>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44"/>
      <c r="C24" s="181" t="str">
        <f>IF($Q$13="","",INDEX(posNome,$Q$13)&amp;IF(INDEX(ANA_Attenzione_Supervisore,$Q$13)="Sì","  ◆",""))</f>
        <v>Fine del supporto dei sistemi di pagamento legacy</v>
      </c>
      <c r="D24" s="144"/>
      <c r="E24" s="144"/>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NFR-16</v>
      </c>
      <c r="B25" s="144"/>
      <c r="C25" s="181" t="str">
        <f>IF($Q$14="","",INDEX(posNome,$Q$14)&amp;IF(INDEX(ANA_Attenzione_Supervisore,$Q$14)="Sì","  ◆",""))</f>
        <v>Vertenze e carenza di tecnici nei ruoli IT critici</v>
      </c>
      <c r="D25" s="144"/>
      <c r="E25" s="144"/>
      <c r="F25" s="41" t="str">
        <f>IF($Q$14="","",INDEX(posProbabilita,$Q$14)&amp;" · "&amp;INDEX(posImpatto,$Q$14))</f>
        <v>3 · 3</v>
      </c>
      <c r="G25" s="41">
        <f>IF($Q$14="","",INDEX($N$5:$N$24,$Q$14))</f>
        <v>9</v>
      </c>
    </row>
    <row r="26" spans="1:43" x14ac:dyDescent="0.4">
      <c r="A26" s="180" t="str">
        <f>IF($Q$15="","",INDEX(posID,$Q$15))</f>
        <v>NFR-02</v>
      </c>
      <c r="B26" s="144"/>
      <c r="C26" s="181" t="str">
        <f>IF($Q$15="","",INDEX(posNome,$Q$15)&amp;IF(INDEX(ANA_Attenzione_Supervisore,$Q$15)="Sì","  ◆",""))</f>
        <v>Concentrazione su un fornitore cloud critico  ◆</v>
      </c>
      <c r="D26" s="144"/>
      <c r="E26" s="144"/>
      <c r="F26" s="41" t="str">
        <f>IF($Q$15="","",INDEX(posProbabilita,$Q$15)&amp;" · "&amp;INDEX(posImpatto,$Q$15))</f>
        <v>2 · 4</v>
      </c>
      <c r="G26" s="41">
        <f>IF($Q$15="","",INDEX($N$5:$N$24,$Q$15))</f>
        <v>8</v>
      </c>
    </row>
    <row r="27" spans="1:43" x14ac:dyDescent="0.4">
      <c r="A27" s="180" t="str">
        <f>IF($Q$16="","",INDEX(posID,$Q$16))</f>
        <v>NFR-09</v>
      </c>
      <c r="B27" s="144"/>
      <c r="C27" s="181" t="str">
        <f>IF($Q$16="","",INDEX(posNome,$Q$16)&amp;IF(INDEX(ANA_Attenzione_Supervisore,$Q$16)="Sì","  ◆",""))</f>
        <v>Violazione di sanzioni internazionali tramite triangolazioni  ◆</v>
      </c>
      <c r="D27" s="144"/>
      <c r="E27" s="144"/>
      <c r="F27" s="41" t="str">
        <f>IF($Q$16="","",INDEX(posProbabilita,$Q$16)&amp;" · "&amp;INDEX(posImpatto,$Q$16))</f>
        <v>2 · 4</v>
      </c>
      <c r="G27" s="41">
        <f>IF($Q$16="","",INDEX($N$5:$N$24,$Q$16))</f>
        <v>8</v>
      </c>
    </row>
    <row r="28" spans="1:43" x14ac:dyDescent="0.4">
      <c r="A28" s="180" t="str">
        <f>IF($Q$17="","",INDEX(posID,$Q$17))</f>
        <v>NFR-08</v>
      </c>
      <c r="B28" s="144"/>
      <c r="C28" s="181" t="str">
        <f>IF($Q$17="","",INDEX(posNome,$Q$17)&amp;IF(INDEX(ANA_Attenzione_Supervisore,$Q$17)="Sì","  ◆",""))</f>
        <v>Accessi impropri di dipendenti ai dati dei clienti</v>
      </c>
      <c r="D28" s="144"/>
      <c r="E28" s="144"/>
      <c r="F28" s="41" t="str">
        <f>IF($Q$17="","",INDEX(posProbabilita,$Q$17)&amp;" · "&amp;INDEX(posImpatto,$Q$17))</f>
        <v>2 · 3</v>
      </c>
      <c r="G28" s="41">
        <f>IF($Q$17="","",INDEX($N$5:$N$24,$Q$17))</f>
        <v>6</v>
      </c>
    </row>
    <row r="29" spans="1:43" x14ac:dyDescent="0.4">
      <c r="A29" s="180" t="str">
        <f>IF($Q$18="","",INDEX(posID,$Q$18))</f>
        <v/>
      </c>
      <c r="B29" s="144"/>
      <c r="C29" s="181" t="str">
        <f>IF($Q$18="","",INDEX(posNome,$Q$18)&amp;IF(INDEX(ANA_Attenzione_Supervisore,$Q$18)="Sì","  ◆",""))</f>
        <v/>
      </c>
      <c r="D29" s="144"/>
      <c r="E29" s="144"/>
      <c r="F29" s="41" t="str">
        <f>IF($Q$18="","",INDEX(posProbabilita,$Q$18)&amp;" · "&amp;INDEX(posImpatto,$Q$18))</f>
        <v/>
      </c>
      <c r="G29" s="41" t="str">
        <f>IF($Q$18="","",INDEX($N$5:$N$24,$Q$18))</f>
        <v/>
      </c>
    </row>
    <row r="30" spans="1:43" x14ac:dyDescent="0.4">
      <c r="A30" s="180" t="str">
        <f>IF($Q$19="","",INDEX(posID,$Q$19))</f>
        <v/>
      </c>
      <c r="B30" s="144"/>
      <c r="C30" s="181" t="str">
        <f>IF($Q$19="","",INDEX(posNome,$Q$19)&amp;IF(INDEX(ANA_Attenzione_Supervisore,$Q$19)="Sì","  ◆",""))</f>
        <v/>
      </c>
      <c r="D30" s="144"/>
      <c r="E30" s="144"/>
      <c r="F30" s="41" t="str">
        <f>IF($Q$19="","",INDEX(posProbabilita,$Q$19)&amp;" · "&amp;INDEX(posImpatto,$Q$19))</f>
        <v/>
      </c>
      <c r="G30" s="41" t="str">
        <f>IF($Q$19="","",INDEX($N$5:$N$24,$Q$19))</f>
        <v/>
      </c>
    </row>
    <row r="31" spans="1:43" x14ac:dyDescent="0.4">
      <c r="A31" s="180" t="str">
        <f>IF($Q$20="","",INDEX(posID,$Q$20))</f>
        <v/>
      </c>
      <c r="B31" s="144"/>
      <c r="C31" s="181" t="str">
        <f>IF($Q$20="","",INDEX(posNome,$Q$20)&amp;IF(INDEX(ANA_Attenzione_Supervisore,$Q$20)="Sì","  ◆",""))</f>
        <v/>
      </c>
      <c r="D31" s="144"/>
      <c r="E31" s="144"/>
      <c r="F31" s="41" t="str">
        <f>IF($Q$20="","",INDEX(posProbabilita,$Q$20)&amp;" · "&amp;INDEX(posImpatto,$Q$20))</f>
        <v/>
      </c>
      <c r="G31" s="41" t="str">
        <f>IF($Q$20="","",INDEX($N$5:$N$24,$Q$20))</f>
        <v/>
      </c>
    </row>
    <row r="32" spans="1:43" x14ac:dyDescent="0.4">
      <c r="A32" s="180" t="str">
        <f>IF($Q$21="","",INDEX(posID,$Q$21))</f>
        <v/>
      </c>
      <c r="B32" s="144"/>
      <c r="C32" s="181" t="str">
        <f>IF($Q$21="","",INDEX(posNome,$Q$21)&amp;IF(INDEX(ANA_Attenzione_Supervisore,$Q$21)="Sì","  ◆",""))</f>
        <v/>
      </c>
      <c r="D32" s="144"/>
      <c r="E32" s="144"/>
      <c r="F32" s="41" t="str">
        <f>IF($Q$21="","",INDEX(posProbabilita,$Q$21)&amp;" · "&amp;INDEX(posImpatto,$Q$21))</f>
        <v/>
      </c>
      <c r="G32" s="41" t="str">
        <f>IF($Q$21="","",INDEX($N$5:$N$24,$Q$21))</f>
        <v/>
      </c>
    </row>
    <row r="33" spans="1:7" x14ac:dyDescent="0.4">
      <c r="A33" s="180" t="str">
        <f>IF($Q$22="","",INDEX(posID,$Q$22))</f>
        <v/>
      </c>
      <c r="B33" s="144"/>
      <c r="C33" s="181" t="str">
        <f>IF($Q$22="","",INDEX(posNome,$Q$22)&amp;IF(INDEX(ANA_Attenzione_Supervisore,$Q$22)="Sì","  ◆",""))</f>
        <v/>
      </c>
      <c r="D33" s="144"/>
      <c r="E33" s="144"/>
      <c r="F33" s="41" t="str">
        <f>IF($Q$22="","",INDEX(posProbabilita,$Q$22)&amp;" · "&amp;INDEX(posImpatto,$Q$22))</f>
        <v/>
      </c>
      <c r="G33" s="41" t="str">
        <f>IF($Q$22="","",INDEX($N$5:$N$24,$Q$22))</f>
        <v/>
      </c>
    </row>
    <row r="34" spans="1:7" x14ac:dyDescent="0.4">
      <c r="A34" s="180" t="str">
        <f>IF($Q$23="","",INDEX(posID,$Q$23))</f>
        <v/>
      </c>
      <c r="B34" s="144"/>
      <c r="C34" s="181" t="str">
        <f>IF($Q$23="","",INDEX(posNome,$Q$23)&amp;IF(INDEX(ANA_Attenzione_Supervisore,$Q$23)="Sì","  ◆",""))</f>
        <v/>
      </c>
      <c r="D34" s="144"/>
      <c r="E34" s="144"/>
      <c r="F34" s="41" t="str">
        <f>IF($Q$23="","",INDEX(posProbabilita,$Q$23)&amp;" · "&amp;INDEX(posImpatto,$Q$23))</f>
        <v/>
      </c>
      <c r="G34" s="41" t="str">
        <f>IF($Q$23="","",INDEX($N$5:$N$24,$Q$23))</f>
        <v/>
      </c>
    </row>
    <row r="35" spans="1:7" x14ac:dyDescent="0.4">
      <c r="A35" s="180" t="str">
        <f>IF($Q$24="","",INDEX(posID,$Q$24))</f>
        <v/>
      </c>
      <c r="B35" s="144"/>
      <c r="C35" s="181" t="str">
        <f>IF($Q$24="","",INDEX(posNome,$Q$24)&amp;IF(INDEX(ANA_Attenzione_Supervisore,$Q$24)="Sì","  ◆",""))</f>
        <v/>
      </c>
      <c r="D35" s="144"/>
      <c r="E35" s="144"/>
      <c r="F35" s="41" t="str">
        <f>IF($Q$24="","",INDEX(posProbabilita,$Q$24)&amp;" · "&amp;INDEX(posImpatto,$Q$24))</f>
        <v/>
      </c>
      <c r="G35" s="41" t="str">
        <f>IF($Q$24="","",INDEX($N$5:$N$24,$Q$24))</f>
        <v/>
      </c>
    </row>
    <row r="37" spans="1:7" ht="26.05" customHeight="1" x14ac:dyDescent="0.4">
      <c r="A37" s="156" t="s">
        <v>242</v>
      </c>
      <c r="B37" s="146"/>
      <c r="C37" s="146"/>
      <c r="D37" s="146"/>
      <c r="E37" s="146"/>
      <c r="F37" s="146"/>
      <c r="G37" s="146"/>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5" t="str">
        <f>"Horizon Scan NFR — Delta: che cosa e' cambiato dal ciclo precedente   ·   "&amp;etichettaCiclo</f>
        <v>Horizon Scan NFR — Delta: che cosa e' cambiato dal ciclo precedente   ·   Ciclo 2026Q4 · dati al 31/12/2026 · da validare · Uso interno</v>
      </c>
      <c r="B1" s="166"/>
      <c r="C1" s="166"/>
      <c r="D1" s="166"/>
      <c r="E1" s="166"/>
      <c r="F1" s="166"/>
      <c r="G1" s="166"/>
      <c r="H1" s="166"/>
      <c r="I1" s="166"/>
      <c r="J1" s="166"/>
      <c r="K1" s="166"/>
      <c r="L1" s="166"/>
      <c r="M1" s="166"/>
      <c r="N1" s="166"/>
      <c r="O1" s="166"/>
      <c r="P1" s="166"/>
      <c r="Q1" s="166"/>
    </row>
    <row r="2" spans="1:46" ht="45.55" customHeight="1" x14ac:dyDescent="0.4">
      <c r="A2" s="173" t="s">
        <v>243</v>
      </c>
      <c r="B2" s="146"/>
      <c r="C2" s="146"/>
      <c r="D2" s="146"/>
      <c r="E2" s="146"/>
      <c r="F2" s="146"/>
      <c r="G2" s="146"/>
      <c r="H2" s="146"/>
      <c r="I2" s="146"/>
      <c r="J2" s="146"/>
      <c r="K2" s="146"/>
      <c r="L2" s="146"/>
      <c r="M2" s="146"/>
      <c r="N2" s="146"/>
      <c r="O2" s="146"/>
      <c r="P2" s="146"/>
      <c r="Q2" s="146"/>
      <c r="AT2" t="str">
        <f>COUNTIF($AI$5:$AI$24,"&gt;0")&amp;" in aumento, "&amp;COUNTIF($AI$5:$AI$24,"&lt;0")&amp;" in diminuzione, "&amp;COUNTIF($AI$5:$AI$24,0)&amp;" invariati"</f>
        <v>2 in aumento, 0 in diminuzione, 11 invariati</v>
      </c>
    </row>
    <row r="4" spans="1:46" ht="15.9" x14ac:dyDescent="0.45">
      <c r="K4" s="141" t="s">
        <v>244</v>
      </c>
      <c r="L4" s="142"/>
      <c r="M4" s="142"/>
      <c r="N4" s="142"/>
      <c r="O4" s="142"/>
      <c r="P4" s="142"/>
      <c r="Q4" s="142"/>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6"/>
      <c r="O5" s="146"/>
      <c r="P5" s="146"/>
      <c r="Q5" s="146"/>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0.20000000000000018</v>
      </c>
      <c r="AN6" s="42">
        <f t="shared" si="7"/>
        <v>0</v>
      </c>
      <c r="AO6" s="42" t="e">
        <f t="shared" si="8"/>
        <v>#N/A</v>
      </c>
    </row>
    <row r="7" spans="1:46" ht="26.6" customHeight="1" x14ac:dyDescent="0.4">
      <c r="K7" s="43" t="str">
        <f>IF($AK$6="","",INDEX(posID,$AK$6))</f>
        <v>NFR-01</v>
      </c>
      <c r="L7" s="44">
        <f>IF($AK$6="","",IFERROR(INDEX($AI$5:$AI$24,$AK$6),"nuovo"))</f>
        <v>0.20000000000000018</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6"/>
      <c r="C27" s="146"/>
      <c r="D27" s="146"/>
      <c r="E27" s="146"/>
      <c r="F27" s="146"/>
      <c r="G27" s="146"/>
      <c r="H27" s="146"/>
      <c r="I27" s="146"/>
      <c r="J27" s="146"/>
      <c r="K27" s="146"/>
      <c r="L27" s="146"/>
      <c r="M27" s="146"/>
      <c r="N27" s="146"/>
      <c r="O27" s="146"/>
      <c r="P27" s="146"/>
      <c r="Q27" s="146"/>
    </row>
    <row r="29" spans="1:41" ht="15.9" x14ac:dyDescent="0.45">
      <c r="A29" s="141" t="s">
        <v>257</v>
      </c>
      <c r="B29" s="142"/>
      <c r="C29" s="142"/>
      <c r="D29" s="142"/>
      <c r="E29" s="142"/>
      <c r="F29" s="142"/>
      <c r="G29" s="142"/>
      <c r="H29" s="142"/>
      <c r="I29" s="142"/>
      <c r="J29" s="142"/>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6"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6"/>
      <c r="M31" s="146"/>
      <c r="N31" s="146"/>
      <c r="O31" s="146"/>
      <c r="P31" s="146"/>
      <c r="Q31" s="146"/>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1</v>
      </c>
      <c r="F32" s="46">
        <f>IF($AK$6="",NA(),INDEX($AH$5:$AH$24,$AK$6))</f>
        <v>0</v>
      </c>
      <c r="G32" s="46">
        <f>IF($AK$6="",NA(),INDEX($AI$5:$AI$24,$AK$6))</f>
        <v>0.20000000000000018</v>
      </c>
      <c r="K32" s="146" t="str">
        <f t="shared" si="9"/>
        <v/>
      </c>
      <c r="L32" s="146"/>
      <c r="M32" s="146"/>
      <c r="N32" s="146"/>
      <c r="O32" s="146"/>
      <c r="P32" s="146"/>
      <c r="Q32" s="146"/>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6" t="str">
        <f t="shared" si="9"/>
        <v/>
      </c>
      <c r="L33" s="146"/>
      <c r="M33" s="146"/>
      <c r="N33" s="146"/>
      <c r="O33" s="146"/>
      <c r="P33" s="146"/>
      <c r="Q33" s="146"/>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6" t="str">
        <f t="shared" si="9"/>
        <v/>
      </c>
      <c r="L34" s="146"/>
      <c r="M34" s="146"/>
      <c r="N34" s="146"/>
      <c r="O34" s="146"/>
      <c r="P34" s="146"/>
      <c r="Q34" s="146"/>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6" t="str">
        <f t="shared" si="9"/>
        <v/>
      </c>
      <c r="L35" s="146"/>
      <c r="M35" s="146"/>
      <c r="N35" s="146"/>
      <c r="O35" s="146"/>
      <c r="P35" s="146"/>
      <c r="Q35" s="146"/>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6" t="str">
        <f t="shared" si="9"/>
        <v/>
      </c>
      <c r="L36" s="146"/>
      <c r="M36" s="146"/>
      <c r="N36" s="146"/>
      <c r="O36" s="146"/>
      <c r="P36" s="146"/>
      <c r="Q36" s="146"/>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6" t="str">
        <f t="shared" si="9"/>
        <v/>
      </c>
      <c r="L37" s="146"/>
      <c r="M37" s="146"/>
      <c r="N37" s="146"/>
      <c r="O37" s="146"/>
      <c r="P37" s="146"/>
      <c r="Q37" s="146"/>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6" t="str">
        <f t="shared" si="9"/>
        <v/>
      </c>
      <c r="L38" s="146"/>
      <c r="M38" s="146"/>
      <c r="N38" s="146"/>
      <c r="O38" s="146"/>
      <c r="P38" s="146"/>
      <c r="Q38" s="146"/>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6" t="str">
        <f t="shared" si="9"/>
        <v/>
      </c>
      <c r="L39" s="146"/>
      <c r="M39" s="146"/>
      <c r="N39" s="146"/>
      <c r="O39" s="146"/>
      <c r="P39" s="146"/>
      <c r="Q39" s="146"/>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6" t="str">
        <f t="shared" si="9"/>
        <v/>
      </c>
      <c r="L40" s="146"/>
      <c r="M40" s="146"/>
      <c r="N40" s="146"/>
      <c r="O40" s="146"/>
      <c r="P40" s="146"/>
      <c r="Q40" s="146"/>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6" t="str">
        <f t="shared" si="9"/>
        <v/>
      </c>
      <c r="L41" s="146"/>
      <c r="M41" s="146"/>
      <c r="N41" s="146"/>
      <c r="O41" s="146"/>
      <c r="P41" s="146"/>
      <c r="Q41" s="146"/>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6" t="str">
        <f t="shared" si="9"/>
        <v/>
      </c>
      <c r="L42" s="146"/>
      <c r="M42" s="146"/>
      <c r="N42" s="146"/>
      <c r="O42" s="146"/>
      <c r="P42" s="146"/>
      <c r="Q42" s="146"/>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6" t="str">
        <f t="shared" si="9"/>
        <v/>
      </c>
      <c r="L43" s="146"/>
      <c r="M43" s="146"/>
      <c r="N43" s="146"/>
      <c r="O43" s="146"/>
      <c r="P43" s="146"/>
      <c r="Q43" s="146"/>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6" t="str">
        <f t="shared" si="9"/>
        <v/>
      </c>
      <c r="L44" s="146"/>
      <c r="M44" s="146"/>
      <c r="N44" s="146"/>
      <c r="O44" s="146"/>
      <c r="P44" s="146"/>
      <c r="Q44" s="146"/>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6" t="str">
        <f t="shared" si="9"/>
        <v/>
      </c>
      <c r="L45" s="146"/>
      <c r="M45" s="146"/>
      <c r="N45" s="146"/>
      <c r="O45" s="146"/>
      <c r="P45" s="146"/>
      <c r="Q45" s="146"/>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6" t="str">
        <f t="shared" si="9"/>
        <v/>
      </c>
      <c r="L46" s="146"/>
      <c r="M46" s="146"/>
      <c r="N46" s="146"/>
      <c r="O46" s="146"/>
      <c r="P46" s="146"/>
      <c r="Q46" s="146"/>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6" t="str">
        <f t="shared" si="9"/>
        <v/>
      </c>
      <c r="L47" s="146"/>
      <c r="M47" s="146"/>
      <c r="N47" s="146"/>
      <c r="O47" s="146"/>
      <c r="P47" s="146"/>
      <c r="Q47" s="146"/>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6" t="str">
        <f t="shared" si="9"/>
        <v/>
      </c>
      <c r="L48" s="146"/>
      <c r="M48" s="146"/>
      <c r="N48" s="146"/>
      <c r="O48" s="146"/>
      <c r="P48" s="146"/>
      <c r="Q48" s="146"/>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6" t="str">
        <f t="shared" si="9"/>
        <v/>
      </c>
      <c r="L49" s="146"/>
      <c r="M49" s="146"/>
      <c r="N49" s="146"/>
      <c r="O49" s="146"/>
      <c r="P49" s="146"/>
      <c r="Q49" s="146"/>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6" t="str">
        <f t="shared" si="9"/>
        <v/>
      </c>
      <c r="L50" s="146"/>
      <c r="M50" s="146"/>
      <c r="N50" s="146"/>
      <c r="O50" s="146"/>
      <c r="P50" s="146"/>
      <c r="Q50" s="146"/>
    </row>
    <row r="52" spans="1:17" ht="15" customHeight="1" x14ac:dyDescent="0.4">
      <c r="A52" s="156" t="s">
        <v>263</v>
      </c>
      <c r="B52" s="146"/>
      <c r="C52" s="146"/>
      <c r="D52" s="146"/>
      <c r="E52" s="146"/>
      <c r="F52" s="146"/>
      <c r="G52" s="146"/>
      <c r="H52" s="146"/>
      <c r="I52" s="146"/>
      <c r="J52" s="146"/>
      <c r="K52" s="146"/>
      <c r="L52" s="146"/>
      <c r="M52" s="146"/>
      <c r="N52" s="146"/>
      <c r="O52" s="146"/>
      <c r="P52" s="146"/>
      <c r="Q52" s="146"/>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5" t="str">
        <f>"Horizon Scan NFR — Rischi in osservazione   ·   "&amp;etichettaCiclo</f>
        <v>Horizon Scan NFR — Rischi in osservazione   ·   Ciclo 2026Q4 · dati al 31/12/2026 · da validare · Uso interno</v>
      </c>
      <c r="B1" s="166"/>
      <c r="C1" s="166"/>
      <c r="D1" s="166"/>
      <c r="E1" s="166"/>
      <c r="F1" s="166"/>
      <c r="G1" s="166"/>
      <c r="H1" s="166"/>
      <c r="I1" s="166"/>
      <c r="J1" s="166"/>
      <c r="K1" s="166"/>
    </row>
    <row r="2" spans="1:12" ht="45.55" customHeight="1" x14ac:dyDescent="0.4">
      <c r="A2" s="173" t="s">
        <v>264</v>
      </c>
      <c r="B2" s="146"/>
      <c r="C2" s="146"/>
      <c r="D2" s="146"/>
      <c r="E2" s="146"/>
      <c r="F2" s="146"/>
      <c r="G2" s="146"/>
      <c r="H2" s="146"/>
      <c r="I2" s="146"/>
      <c r="J2" s="146"/>
      <c r="K2" s="146"/>
    </row>
    <row r="4" spans="1:12" ht="20.05" customHeight="1" x14ac:dyDescent="0.4">
      <c r="A4" s="187"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6"/>
      <c r="C4" s="146"/>
      <c r="D4" s="146"/>
      <c r="E4" s="146"/>
      <c r="F4" s="146"/>
      <c r="G4" s="146"/>
      <c r="H4" s="146"/>
      <c r="I4" s="146"/>
      <c r="J4" s="146"/>
      <c r="K4" s="146"/>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41" t="s">
        <v>271</v>
      </c>
      <c r="B28" s="142"/>
      <c r="C28" s="142"/>
      <c r="D28" s="142"/>
      <c r="E28" s="142"/>
      <c r="F28" s="142"/>
      <c r="G28" s="142"/>
      <c r="H28" s="142"/>
      <c r="I28" s="142"/>
      <c r="J28" s="142"/>
      <c r="K28" s="142"/>
    </row>
    <row r="29" spans="1:12" ht="28" customHeight="1" x14ac:dyDescent="0.4">
      <c r="B29" s="47" t="s">
        <v>173</v>
      </c>
      <c r="C29" s="47" t="s">
        <v>18</v>
      </c>
      <c r="D29" s="47" t="s">
        <v>272</v>
      </c>
      <c r="E29" s="186" t="s">
        <v>273</v>
      </c>
      <c r="F29" s="146"/>
      <c r="G29" s="146"/>
      <c r="H29" s="146"/>
      <c r="I29" s="146"/>
      <c r="J29" s="146"/>
      <c r="K29" s="146"/>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6"/>
      <c r="G30" s="146"/>
      <c r="H30" s="146"/>
      <c r="I30" s="146"/>
      <c r="J30" s="146"/>
      <c r="K30" s="146"/>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6"/>
      <c r="G31" s="146"/>
      <c r="H31" s="146"/>
      <c r="I31" s="146"/>
      <c r="J31" s="146"/>
      <c r="K31" s="146"/>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6"/>
      <c r="G32" s="146"/>
      <c r="H32" s="146"/>
      <c r="I32" s="146"/>
      <c r="J32" s="146"/>
      <c r="K32" s="146"/>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6"/>
      <c r="G33" s="146"/>
      <c r="H33" s="146"/>
      <c r="I33" s="146"/>
      <c r="J33" s="146"/>
      <c r="K33" s="146"/>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6"/>
      <c r="G34" s="146"/>
      <c r="H34" s="146"/>
      <c r="I34" s="146"/>
      <c r="J34" s="146"/>
      <c r="K34" s="146"/>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6"/>
      <c r="G35" s="146"/>
      <c r="H35" s="146"/>
      <c r="I35" s="146"/>
      <c r="J35" s="146"/>
      <c r="K35" s="146"/>
      <c r="L35" t="str">
        <f>IFERROR(_xlfn.AGGREGATE(15,6,ROW(RR_Ciclo)/((RR_Ciclo=cicloCorrente)*(RR_Movimento&lt;&gt;"")),6),"")</f>
        <v/>
      </c>
    </row>
    <row r="37" spans="1:12" ht="37" customHeight="1" x14ac:dyDescent="0.4">
      <c r="A37" s="156" t="s">
        <v>274</v>
      </c>
      <c r="B37" s="146"/>
      <c r="C37" s="146"/>
      <c r="D37" s="146"/>
      <c r="E37" s="146"/>
      <c r="F37" s="146"/>
      <c r="G37" s="146"/>
      <c r="H37" s="146"/>
      <c r="I37" s="146"/>
      <c r="J37" s="146"/>
      <c r="K37" s="146"/>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5" t="str">
        <f>"Horizon Scan NFR — Metodologia: come si leggono i numeri   ·   "&amp;etichettaCiclo</f>
        <v>Horizon Scan NFR — Metodologia: come si leggono i numeri   ·   Ciclo 2026Q4 · dati al 31/12/2026 · da validare · Uso interno</v>
      </c>
      <c r="B1" s="166"/>
    </row>
    <row r="2" spans="1:2" ht="32.049999999999997" customHeight="1" x14ac:dyDescent="0.4">
      <c r="A2" s="188" t="s">
        <v>275</v>
      </c>
      <c r="B2" s="146"/>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5" t="str">
        <f>"Horizon Scan NFR — Registro: il ciclo corrente   ·   "&amp;etichettaCiclo</f>
        <v>Horizon Scan NFR — Registro: il ciclo corrente   ·   Ciclo 2026Q4 · dati al 31/12/2026 · da validare · Uso interno</v>
      </c>
      <c r="B1" s="166"/>
      <c r="C1" s="166"/>
      <c r="D1" s="166"/>
      <c r="E1" s="166"/>
      <c r="F1" s="166"/>
      <c r="G1" s="166"/>
      <c r="H1" s="166"/>
      <c r="I1" s="166"/>
      <c r="J1" s="166"/>
      <c r="K1" s="166"/>
      <c r="L1" s="166"/>
      <c r="M1" s="166"/>
      <c r="N1" s="166"/>
      <c r="O1" s="166"/>
      <c r="P1" s="166"/>
      <c r="Q1" s="166"/>
      <c r="R1" s="166"/>
      <c r="S1" s="166"/>
      <c r="T1" s="166"/>
    </row>
    <row r="2" spans="1:40" ht="59.05" customHeight="1" x14ac:dyDescent="0.4">
      <c r="A2" s="194" t="s">
        <v>394</v>
      </c>
      <c r="B2" s="146"/>
      <c r="C2" s="146"/>
      <c r="D2" s="146"/>
      <c r="E2" s="146"/>
      <c r="F2" s="146"/>
      <c r="G2" s="146"/>
      <c r="H2" s="146"/>
      <c r="I2" s="146"/>
      <c r="J2" s="146"/>
      <c r="K2" s="146"/>
      <c r="L2" s="146"/>
      <c r="M2" s="146"/>
      <c r="N2" s="146"/>
      <c r="O2" s="146"/>
      <c r="P2" s="146"/>
      <c r="Q2" s="146"/>
      <c r="R2" s="146"/>
      <c r="S2" s="146"/>
      <c r="T2" s="146"/>
      <c r="U2" s="146"/>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55</v>
      </c>
      <c r="E4" t="s">
        <v>397</v>
      </c>
      <c r="G4">
        <f>COUNTIFS(VAL_Periodo,cicloCorrente,VAL_Decisione,"Rettificato",VAL_Stato,"Applicata")</f>
        <v>0</v>
      </c>
      <c r="H4" s="193" t="str">
        <f>IF(D4&gt;0,"CICLO NON ANCORA VALIDATO — vedi foglio Validazione","Ciclo validato")</f>
        <v>CICLO NON ANCORA VALIDATO — vedi foglio Validazione</v>
      </c>
      <c r="I4" s="146"/>
      <c r="J4" s="146"/>
      <c r="K4" s="146"/>
      <c r="L4" s="146"/>
      <c r="M4" s="146"/>
      <c r="N4" s="146"/>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6"/>
      <c r="J5" s="146"/>
      <c r="K5" s="146"/>
      <c r="L5" s="146"/>
      <c r="M5" s="146"/>
      <c r="N5" s="146"/>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-1</v>
      </c>
      <c r="AK10" t="str">
        <f t="shared" si="26"/>
        <v>● -1</v>
      </c>
      <c r="AL10">
        <f>IF($AA10="","",IF(ISNUMBER(AG10),AG10,-1)-2/100000)</f>
        <v>3.2999799999999997</v>
      </c>
      <c r="AM10">
        <f>IFERROR(MATCH(_xlfn.AGGREGATE(14,6,$AL$9:$AL$28,2),$AL$9:$AL$28,0),"")</f>
        <v>7</v>
      </c>
      <c r="AN10" t="str">
        <f>IF($AA10="","",Radar_Mosca!$AA$6&amp;"")</f>
        <v>Monitoraggio</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v>
      </c>
      <c r="K11" s="70" t="str">
        <f>IF($AM11="","",INDEX(Radar_Mosca!$L$5:$L$24,$AM11)&amp;"")</f>
        <v>Agire entro l'anno</v>
      </c>
      <c r="L11" s="72">
        <f>IF($AM11="","",IFERROR(INDEX(Radar_Mosca!$K$5:$K$24,$AM11),""))</f>
        <v>0</v>
      </c>
      <c r="M11" s="70" t="str">
        <f t="shared" si="10"/>
        <v/>
      </c>
      <c r="N11" s="73">
        <f t="shared" si="11"/>
        <v>0</v>
      </c>
      <c r="O11" s="73">
        <f t="shared" si="12"/>
        <v>1</v>
      </c>
      <c r="P11" s="73">
        <f t="shared" si="13"/>
        <v>1</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Margine 1 anno</v>
      </c>
      <c r="L12" s="72">
        <f>IF($AM12="","",IFERROR(INDEX(Radar_Mosca!$K$5:$K$24,$AM12),""))</f>
        <v>1</v>
      </c>
      <c r="M12" s="70" t="str">
        <f t="shared" si="10"/>
        <v>◆</v>
      </c>
      <c r="N12" s="73">
        <f t="shared" si="11"/>
        <v>0</v>
      </c>
      <c r="O12" s="73">
        <f t="shared" si="12"/>
        <v>1</v>
      </c>
      <c r="P12" s="73">
        <f t="shared" si="13"/>
        <v>1</v>
      </c>
      <c r="Q12" s="70" t="str">
        <f t="shared" si="14"/>
        <v>● -1</v>
      </c>
      <c r="R12" s="70" t="str">
        <f t="shared" si="15"/>
        <v>Non verificato</v>
      </c>
      <c r="S12" s="70" t="str">
        <f t="shared" si="16"/>
        <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+1</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1</v>
      </c>
      <c r="AK21" t="str">
        <f t="shared" si="26"/>
        <v>● +1</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56" t="s">
        <v>428</v>
      </c>
      <c r="B30" s="146"/>
      <c r="C30" s="146"/>
      <c r="D30" s="146"/>
      <c r="E30" s="146"/>
      <c r="F30" s="146"/>
      <c r="G30" s="146"/>
      <c r="H30" s="146"/>
      <c r="I30" s="146"/>
      <c r="J30" s="146"/>
      <c r="K30" s="146"/>
      <c r="L30" s="146"/>
      <c r="M30" s="146"/>
      <c r="N30" s="146"/>
      <c r="O30" s="146"/>
      <c r="P30" s="146"/>
      <c r="Q30" s="146"/>
      <c r="R30" s="146"/>
      <c r="S30" s="146"/>
      <c r="T30" s="146"/>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5" t="str">
        <f>"Horizon Scan NFR — Storico: score composito negli ultimi otto cicli   ·   "&amp;etichettaCiclo</f>
        <v>Horizon Scan NFR — Storico: score composito negli ultimi otto cicli   ·   Ciclo 2026Q4 · dati al 31/12/2026 · da validare · Uso interno</v>
      </c>
      <c r="B1" s="166"/>
      <c r="C1" s="166"/>
      <c r="D1" s="166"/>
      <c r="E1" s="166"/>
      <c r="F1" s="166"/>
      <c r="G1" s="166"/>
      <c r="H1" s="166"/>
      <c r="I1" s="166"/>
      <c r="J1" s="166"/>
    </row>
    <row r="2" spans="1:10" ht="32.049999999999997" customHeight="1" x14ac:dyDescent="0.4">
      <c r="A2" s="173" t="s">
        <v>429</v>
      </c>
      <c r="B2" s="146"/>
      <c r="C2" s="146"/>
      <c r="D2" s="146"/>
      <c r="E2" s="146"/>
      <c r="F2" s="146"/>
      <c r="G2" s="146"/>
      <c r="H2" s="146"/>
      <c r="I2" s="146"/>
      <c r="J2" s="146"/>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5" t="str">
        <f>"Horizon Scan NFR — Indicatori: KRI del ciclo e storia di un KRI   ·   "&amp;etichettaCiclo</f>
        <v>Horizon Scan NFR — Indicatori: KRI del ciclo e storia di un KRI   ·   Ciclo 2026Q4 · dati al 31/12/2026 · da validare · Uso interno</v>
      </c>
      <c r="B1" s="166"/>
      <c r="C1" s="166"/>
      <c r="D1" s="166"/>
      <c r="E1" s="166"/>
      <c r="F1" s="166"/>
      <c r="G1" s="166"/>
      <c r="H1" s="166"/>
      <c r="I1" s="166"/>
      <c r="J1" s="166"/>
      <c r="K1" s="166"/>
      <c r="L1" s="166"/>
      <c r="M1" s="166"/>
      <c r="N1" s="166"/>
      <c r="O1" s="166"/>
      <c r="P1" s="166"/>
      <c r="Q1" s="166"/>
      <c r="R1" s="166"/>
      <c r="S1" s="166"/>
      <c r="T1" s="166"/>
      <c r="U1" s="166"/>
    </row>
    <row r="2" spans="1:28" ht="32.049999999999997" customHeight="1" x14ac:dyDescent="0.4">
      <c r="A2" s="173" t="s">
        <v>430</v>
      </c>
      <c r="B2" s="146"/>
      <c r="C2" s="146"/>
      <c r="D2" s="146"/>
      <c r="E2" s="146"/>
      <c r="F2" s="146"/>
      <c r="G2" s="146"/>
      <c r="H2" s="146"/>
      <c r="I2" s="146"/>
      <c r="J2" s="146"/>
      <c r="K2" s="146"/>
      <c r="L2" s="146"/>
      <c r="M2" s="146"/>
      <c r="N2" s="146"/>
      <c r="O2" s="146"/>
      <c r="P2" s="146"/>
      <c r="Q2" s="146"/>
      <c r="R2" s="146"/>
      <c r="S2" s="146"/>
      <c r="T2" s="146"/>
    </row>
    <row r="4" spans="1:28" x14ac:dyDescent="0.4">
      <c r="A4" s="61" t="s">
        <v>431</v>
      </c>
      <c r="B4">
        <f>COUNTIFS(KRI_Ciclo,cicloCorrente,KRI_In_Vigore,"Sì",KRI_Stato,"Verde")</f>
        <v>11</v>
      </c>
      <c r="C4" s="61" t="s">
        <v>432</v>
      </c>
      <c r="D4">
        <f>COUNTIFS(KRI_Ciclo,cicloCorrente,KRI_In_Vigore,"Sì",KRI_Stato,"Ambra")</f>
        <v>11</v>
      </c>
      <c r="E4" s="61" t="s">
        <v>433</v>
      </c>
      <c r="F4">
        <f>COUNTIFS(KRI_Ciclo,cicloCorrente,KRI_In_Vigore,"Sì",KRI_Stato,"Rosso")</f>
        <v>2</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70</v>
      </c>
      <c r="H9" s="77">
        <f>IF($Z9="","",IF(INDEX(KRI!$K:$K,$Z9)="","",INDEX(KRI!$K:$K,$Z9)))</f>
        <v>46387</v>
      </c>
      <c r="I9" t="str">
        <f>IF($Z9="","",INDEX(KRI!$N:$N,$Z9)&amp;"")</f>
        <v>Ambra</v>
      </c>
      <c r="J9">
        <f t="shared" si="0"/>
        <v>72</v>
      </c>
      <c r="K9" t="str">
        <f t="shared" si="1"/>
        <v>▼ migliora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5" t="str">
        <f>"Horizon Scan NFR — Notizie: pressione sulle categorie di rischio   ·   "&amp;etichettaCiclo</f>
        <v>Horizon Scan NFR — Notizie: pressione sulle categorie di rischio   ·   Ciclo 2026Q4 · dati al 31/12/2026 · da validare · Uso interno</v>
      </c>
      <c r="B1" s="166"/>
      <c r="C1" s="166"/>
      <c r="D1" s="166"/>
      <c r="E1" s="166"/>
      <c r="F1" s="166"/>
      <c r="G1" s="166"/>
      <c r="H1" s="166"/>
      <c r="I1" s="166"/>
      <c r="J1" s="166"/>
    </row>
    <row r="2" spans="1:19" ht="59.05" customHeight="1" x14ac:dyDescent="0.4">
      <c r="A2" s="197" t="s">
        <v>453</v>
      </c>
      <c r="B2" s="146"/>
      <c r="C2" s="146"/>
      <c r="D2" s="146"/>
      <c r="E2" s="146"/>
      <c r="F2" s="146"/>
      <c r="G2" s="146"/>
      <c r="H2" s="146"/>
      <c r="I2" s="146"/>
      <c r="J2" s="146"/>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6"/>
      <c r="N5" s="146"/>
      <c r="O5" s="146"/>
      <c r="P5" s="146"/>
      <c r="Q5" s="146"/>
      <c r="R5" s="146"/>
      <c r="S5" s="146"/>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6"/>
      <c r="M6" s="146"/>
      <c r="N6" s="146"/>
      <c r="O6" s="146"/>
      <c r="P6" s="146"/>
      <c r="Q6" s="146"/>
      <c r="R6" s="146"/>
      <c r="S6" s="146"/>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6"/>
      <c r="M7" s="146"/>
      <c r="N7" s="146"/>
      <c r="O7" s="146"/>
      <c r="P7" s="146"/>
      <c r="Q7" s="146"/>
      <c r="R7" s="146"/>
      <c r="S7" s="146"/>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6"/>
      <c r="M8" s="146"/>
      <c r="N8" s="146"/>
      <c r="O8" s="146"/>
      <c r="P8" s="146"/>
      <c r="Q8" s="146"/>
      <c r="R8" s="146"/>
      <c r="S8" s="146"/>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6"/>
      <c r="M9" s="146"/>
      <c r="N9" s="146"/>
      <c r="O9" s="146"/>
      <c r="P9" s="146"/>
      <c r="Q9" s="146"/>
      <c r="R9" s="146"/>
      <c r="S9" s="146"/>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6"/>
      <c r="N11" s="146"/>
      <c r="O11" s="146"/>
      <c r="P11" s="146"/>
      <c r="Q11" s="146"/>
      <c r="R11" s="146"/>
      <c r="S11" s="146"/>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1</v>
      </c>
      <c r="F12" t="str">
        <f t="shared" si="1"/>
        <v>Presidiata</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6"/>
      <c r="M12" s="146"/>
      <c r="N12" s="146"/>
      <c r="O12" s="146"/>
      <c r="P12" s="146"/>
      <c r="Q12" s="146"/>
      <c r="R12" s="146"/>
      <c r="S12" s="146"/>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6"/>
      <c r="M13" s="146"/>
      <c r="N13" s="146"/>
      <c r="O13" s="146"/>
      <c r="P13" s="146"/>
      <c r="Q13" s="146"/>
      <c r="R13" s="146"/>
      <c r="S13" s="146"/>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6"/>
      <c r="N16" s="146"/>
      <c r="O16" s="146"/>
      <c r="P16" s="146"/>
      <c r="Q16" s="146"/>
      <c r="R16" s="146"/>
      <c r="S16" s="146"/>
    </row>
    <row r="17" spans="1:19" ht="15.9" x14ac:dyDescent="0.45">
      <c r="A17" s="141" t="s">
        <v>482</v>
      </c>
      <c r="B17" s="142"/>
      <c r="C17" s="142"/>
      <c r="D17" s="142"/>
      <c r="E17" s="142"/>
      <c r="L17" s="146"/>
      <c r="M17" s="146"/>
      <c r="N17" s="146"/>
      <c r="O17" s="146"/>
      <c r="P17" s="146"/>
      <c r="Q17" s="146"/>
      <c r="R17" s="146"/>
      <c r="S17" s="146"/>
    </row>
    <row r="18" spans="1:19" x14ac:dyDescent="0.4">
      <c r="A18" s="61" t="s">
        <v>483</v>
      </c>
      <c r="B18" s="61" t="s">
        <v>95</v>
      </c>
      <c r="C18" s="61" t="s">
        <v>484</v>
      </c>
      <c r="D18" s="61" t="s">
        <v>485</v>
      </c>
      <c r="E18" s="61" t="s">
        <v>486</v>
      </c>
      <c r="L18" s="146"/>
      <c r="M18" s="146"/>
      <c r="N18" s="146"/>
      <c r="O18" s="146"/>
      <c r="P18" s="146"/>
      <c r="Q18" s="146"/>
      <c r="R18" s="146"/>
      <c r="S18" s="146"/>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6"/>
      <c r="M19" s="146"/>
      <c r="N19" s="146"/>
      <c r="O19" s="146"/>
      <c r="P19" s="146"/>
      <c r="Q19" s="146"/>
      <c r="R19" s="146"/>
      <c r="S19" s="146"/>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6"/>
      <c r="N22" s="146"/>
      <c r="O22" s="146"/>
      <c r="P22" s="146"/>
      <c r="Q22" s="146"/>
      <c r="R22" s="146"/>
      <c r="S22" s="146"/>
    </row>
    <row r="23" spans="1:19" x14ac:dyDescent="0.4">
      <c r="A23" s="77">
        <f>Parametri!$B$38</f>
        <v>46258</v>
      </c>
      <c r="B23">
        <f t="shared" si="3"/>
        <v>0</v>
      </c>
      <c r="C23">
        <f t="shared" si="4"/>
        <v>0</v>
      </c>
      <c r="D23">
        <f t="shared" si="5"/>
        <v>0</v>
      </c>
      <c r="E23">
        <f t="shared" si="6"/>
        <v>0</v>
      </c>
      <c r="L23" s="146"/>
      <c r="M23" s="146"/>
      <c r="N23" s="146"/>
      <c r="O23" s="146"/>
      <c r="P23" s="146"/>
      <c r="Q23" s="146"/>
      <c r="R23" s="146"/>
      <c r="S23" s="146"/>
    </row>
    <row r="24" spans="1:19" x14ac:dyDescent="0.4">
      <c r="A24" s="77">
        <f>Parametri!$B$39</f>
        <v>46265</v>
      </c>
      <c r="B24">
        <f t="shared" si="3"/>
        <v>0</v>
      </c>
      <c r="C24">
        <f t="shared" si="4"/>
        <v>0</v>
      </c>
      <c r="D24">
        <f t="shared" si="5"/>
        <v>0</v>
      </c>
      <c r="E24">
        <f t="shared" si="6"/>
        <v>0</v>
      </c>
      <c r="L24" s="146"/>
      <c r="M24" s="146"/>
      <c r="N24" s="146"/>
      <c r="O24" s="146"/>
      <c r="P24" s="146"/>
      <c r="Q24" s="146"/>
      <c r="R24" s="146"/>
      <c r="S24" s="146"/>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5" t="str">
        <f>"Horizon Scan NFR — Piano delle azioni   ·   "&amp;etichettaCiclo</f>
        <v>Horizon Scan NFR — Piano delle azioni   ·   Ciclo 2026Q4 · dati al 31/12/2026 · da validare · Uso interno</v>
      </c>
      <c r="B1" s="166"/>
      <c r="C1" s="166"/>
      <c r="D1" s="166"/>
      <c r="E1" s="166"/>
      <c r="F1" s="166"/>
      <c r="G1" s="166"/>
      <c r="H1" s="166"/>
      <c r="I1" s="166"/>
      <c r="J1" s="166"/>
    </row>
    <row r="2" spans="1:14" ht="45.55" customHeight="1" x14ac:dyDescent="0.4">
      <c r="A2" s="198" t="s">
        <v>489</v>
      </c>
      <c r="B2" s="146"/>
      <c r="C2" s="146"/>
      <c r="D2" s="146"/>
      <c r="E2" s="146"/>
      <c r="F2" s="146"/>
      <c r="G2" s="146"/>
      <c r="H2" s="146"/>
      <c r="I2" s="146"/>
      <c r="J2" s="146"/>
    </row>
    <row r="4" spans="1:14" x14ac:dyDescent="0.4">
      <c r="A4" s="200" t="s">
        <v>490</v>
      </c>
      <c r="B4" s="190"/>
      <c r="C4" s="190"/>
      <c r="D4" s="190"/>
      <c r="E4" s="190"/>
      <c r="F4" s="190"/>
      <c r="G4" s="199" t="s">
        <v>491</v>
      </c>
      <c r="H4" s="172"/>
      <c r="I4" s="172"/>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2026Q4</v>
      </c>
      <c r="B6" s="81" t="str">
        <f>IF($N6="","",INDEX(Azioni!$B:$B,$N6)&amp;"")</f>
        <v>NFR-01</v>
      </c>
      <c r="C6" s="81" t="str">
        <f>IF($N6="","",INDEX(Azioni!$C:$C,$N6)&amp;"")</f>
        <v>2026Q4-NFR-01-A1</v>
      </c>
      <c r="D6" s="82" t="str">
        <f>IF($N6="","",INDEX(Azioni!$D:$D,$N6)&amp;"")</f>
        <v>Anticipare al primo trimestre 2027 l'attivazione della verifica fuori banda sui bonifici istantanei.</v>
      </c>
      <c r="E6" s="81" t="str">
        <f>IF($N6="","",INDEX(Azioni!$E:$E,$N6)&amp;"")</f>
        <v>Funzione Antifrode</v>
      </c>
      <c r="F6" s="81" t="str">
        <f>IF($N6="","",INDEX(Azioni!$F:$F,$N6)&amp;"")</f>
        <v>3 mesi</v>
      </c>
      <c r="G6" s="81" t="str">
        <f>IF($N6="","",INDEX(Azioni!$I:$I,$N6)&amp;"")</f>
        <v>Proposta — da valutare</v>
      </c>
      <c r="H6" s="83" t="str">
        <f>IF($N6="","",IF(INDEX(Azioni!$J:$J,$N6)="","",INDEX(Azioni!$J:$J,$N6)))</f>
        <v/>
      </c>
      <c r="I6" s="83" t="str">
        <f>IF(OR($N6="",H6=""),"",IF(OR(G6="Approvata",G6="In corso"),EDATE(H6,N(INDEX(Azioni!$G:$G,$N6))),""))</f>
        <v/>
      </c>
      <c r="J6" s="81"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33</v>
      </c>
    </row>
    <row r="7" spans="1:14" x14ac:dyDescent="0.4">
      <c r="A7" s="81" t="str">
        <f>IF($N7="","",INDEX(Azioni!$A:$A,$N7)&amp;"")</f>
        <v>2026Q4</v>
      </c>
      <c r="B7" s="81" t="str">
        <f>IF($N7="","",INDEX(Azioni!$B:$B,$N7)&amp;"")</f>
        <v>NFR-02</v>
      </c>
      <c r="C7" s="81" t="str">
        <f>IF($N7="","",INDEX(Azioni!$C:$C,$N7)&amp;"")</f>
        <v>2026Q4-NFR-02-A1</v>
      </c>
      <c r="D7" s="82" t="str">
        <f>IF($N7="","",INDEX(Azioni!$D:$D,$N7)&amp;"")</f>
        <v>Chiudere i rilievi minori emersi dal test di exit strategy.</v>
      </c>
      <c r="E7" s="81" t="str">
        <f>IF($N7="","",INDEX(Azioni!$E:$E,$N7)&amp;"")</f>
        <v>Funzione ICT &amp; Security Risk</v>
      </c>
      <c r="F7" s="81" t="str">
        <f>IF($N7="","",INDEX(Azioni!$F:$F,$N7)&amp;"")</f>
        <v>3 mesi</v>
      </c>
      <c r="G7" s="81" t="str">
        <f>IF($N7="","",INDEX(Azioni!$I:$I,$N7)&amp;"")</f>
        <v>Proposta — da valutare</v>
      </c>
      <c r="H7" s="83" t="str">
        <f>IF($N7="","",IF(INDEX(Azioni!$J:$J,$N7)="","",INDEX(Azioni!$J:$J,$N7)))</f>
        <v/>
      </c>
      <c r="I7" s="83" t="str">
        <f>IF(OR($N7="",H7=""),"",IF(OR(G7="Approvata",G7="In corso"),EDATE(H7,N(INDEX(Azioni!$G:$G,$N7))),""))</f>
        <v/>
      </c>
      <c r="J7" s="81" t="str">
        <f>IF($N7="","",INDEX(Azioni!$L:$L,$N7)&amp;"")</f>
        <v>Da validare</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34</v>
      </c>
    </row>
    <row r="8" spans="1:14" x14ac:dyDescent="0.4">
      <c r="A8" s="81" t="str">
        <f>IF($N8="","",INDEX(Azioni!$A:$A,$N8)&amp;"")</f>
        <v>2026Q4</v>
      </c>
      <c r="B8" s="81" t="str">
        <f>IF($N8="","",INDEX(Azioni!$B:$B,$N8)&amp;"")</f>
        <v>NFR-03</v>
      </c>
      <c r="C8" s="81" t="str">
        <f>IF($N8="","",INDEX(Azioni!$C:$C,$N8)&amp;"")</f>
        <v>2026Q4-NFR-03-A1</v>
      </c>
      <c r="D8" s="82" t="str">
        <f>IF($N8="","",INDEX(Azioni!$D:$D,$N8)&amp;"")</f>
        <v>Completare la revisione indipendente dei claim ambientali dei prodotti ESG residui.</v>
      </c>
      <c r="E8" s="81" t="str">
        <f>IF($N8="","",INDEX(Azioni!$E:$E,$N8)&amp;"")</f>
        <v>Funzione Compliance</v>
      </c>
      <c r="F8" s="81" t="str">
        <f>IF($N8="","",INDEX(Azioni!$F:$F,$N8)&amp;"")</f>
        <v>3 mesi</v>
      </c>
      <c r="G8" s="81" t="str">
        <f>IF($N8="","",INDEX(Azioni!$I:$I,$N8)&amp;"")</f>
        <v>Proposta — da valutare</v>
      </c>
      <c r="H8" s="83" t="str">
        <f>IF($N8="","",IF(INDEX(Azioni!$J:$J,$N8)="","",INDEX(Azioni!$J:$J,$N8)))</f>
        <v/>
      </c>
      <c r="I8" s="83" t="str">
        <f>IF(OR($N8="",H8=""),"",IF(OR(G8="Approvata",G8="In corso"),EDATE(H8,N(INDEX(Azioni!$G:$G,$N8))),""))</f>
        <v/>
      </c>
      <c r="J8" s="81" t="str">
        <f>IF($N8="","",INDEX(Azioni!$L:$L,$N8)&amp;"")</f>
        <v>Da validare</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35</v>
      </c>
    </row>
    <row r="9" spans="1:14" x14ac:dyDescent="0.4">
      <c r="A9" s="81" t="str">
        <f>IF($N9="","",INDEX(Azioni!$A:$A,$N9)&amp;"")</f>
        <v>2026Q4</v>
      </c>
      <c r="B9" s="81" t="str">
        <f>IF($N9="","",INDEX(Azioni!$B:$B,$N9)&amp;"")</f>
        <v>NFR-04</v>
      </c>
      <c r="C9" s="81" t="str">
        <f>IF($N9="","",INDEX(Azioni!$C:$C,$N9)&amp;"")</f>
        <v>2026Q4-NFR-04-A1</v>
      </c>
      <c r="D9" s="82" t="str">
        <f>IF($N9="","",INDEX(Azioni!$D:$D,$N9)&amp;"")</f>
        <v>Verificare con i fornitori di energia e telecomunicazioni delle due sedi critiche i tempi di ripristino garantiti dopo un'alluvione.</v>
      </c>
      <c r="E9" s="81" t="str">
        <f>IF($N9="","",INDEX(Azioni!$E:$E,$N9)&amp;"")</f>
        <v>Funzione Business Continuity</v>
      </c>
      <c r="F9" s="81" t="str">
        <f>IF($N9="","",INDEX(Azioni!$F:$F,$N9)&amp;"")</f>
        <v>6 mesi</v>
      </c>
      <c r="G9" s="81" t="str">
        <f>IF($N9="","",INDEX(Azioni!$I:$I,$N9)&amp;"")</f>
        <v>Proposta — da valutare</v>
      </c>
      <c r="H9" s="83" t="str">
        <f>IF($N9="","",IF(INDEX(Azioni!$J:$J,$N9)="","",INDEX(Azioni!$J:$J,$N9)))</f>
        <v/>
      </c>
      <c r="I9" s="83" t="str">
        <f>IF(OR($N9="",H9=""),"",IF(OR(G9="Approvata",G9="In corso"),EDATE(H9,N(INDEX(Azioni!$G:$G,$N9))),""))</f>
        <v/>
      </c>
      <c r="J9" s="81" t="str">
        <f>IF($N9="","",INDEX(Azioni!$L:$L,$N9)&amp;"")</f>
        <v>Da validare</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36</v>
      </c>
    </row>
    <row r="10" spans="1:14" x14ac:dyDescent="0.4">
      <c r="A10" s="81" t="str">
        <f>IF($N10="","",INDEX(Azioni!$A:$A,$N10)&amp;"")</f>
        <v>2026Q4</v>
      </c>
      <c r="B10" s="81" t="str">
        <f>IF($N10="","",INDEX(Azioni!$B:$B,$N10)&amp;"")</f>
        <v>NFR-05</v>
      </c>
      <c r="C10" s="81" t="str">
        <f>IF($N10="","",INDEX(Azioni!$C:$C,$N10)&amp;"")</f>
        <v>2026Q4-NFR-05-A1</v>
      </c>
      <c r="D10" s="82" t="str">
        <f>IF($N10="","",INDEX(Azioni!$D:$D,$N10)&amp;"")</f>
        <v>Aggiungere a ogni ondata di migrazione una riconciliazione dei saldi prima e dopo la conversione, firmata dal responsabile.</v>
      </c>
      <c r="E10" s="81" t="str">
        <f>IF($N10="","",INDEX(Azioni!$E:$E,$N10)&amp;"")</f>
        <v>Funzione Operations</v>
      </c>
      <c r="F10" s="81" t="str">
        <f>IF($N10="","",INDEX(Azioni!$F:$F,$N10)&amp;"")</f>
        <v>3 mesi</v>
      </c>
      <c r="G10" s="81" t="str">
        <f>IF($N10="","",INDEX(Azioni!$I:$I,$N10)&amp;"")</f>
        <v>Proposta — da valutare</v>
      </c>
      <c r="H10" s="83" t="str">
        <f>IF($N10="","",IF(INDEX(Azioni!$J:$J,$N10)="","",INDEX(Azioni!$J:$J,$N10)))</f>
        <v/>
      </c>
      <c r="I10" s="83" t="str">
        <f>IF(OR($N10="",H10=""),"",IF(OR(G10="Approvata",G10="In corso"),EDATE(H10,N(INDEX(Azioni!$G:$G,$N10))),""))</f>
        <v/>
      </c>
      <c r="J10" s="81" t="str">
        <f>IF($N10="","",INDEX(Azioni!$L:$L,$N10)&amp;"")</f>
        <v>Da validare</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37</v>
      </c>
    </row>
    <row r="11" spans="1:14" x14ac:dyDescent="0.4">
      <c r="A11" s="81" t="str">
        <f>IF($N11="","",INDEX(Azioni!$A:$A,$N11)&amp;"")</f>
        <v>2026Q4</v>
      </c>
      <c r="B11" s="81" t="str">
        <f>IF($N11="","",INDEX(Azioni!$B:$B,$N11)&amp;"")</f>
        <v>NFR-06</v>
      </c>
      <c r="C11" s="81" t="str">
        <f>IF($N11="","",INDEX(Azioni!$C:$C,$N11)&amp;"")</f>
        <v>2026Q4-NFR-06-A1</v>
      </c>
      <c r="D11" s="82" t="str">
        <f>IF($N11="","",INDEX(Azioni!$D:$D,$N11)&amp;"")</f>
        <v>Inserire nel codice di comportamento gli strumenti di AI ammessi e i dati che non si possono caricare, con le conseguenze disciplinari.</v>
      </c>
      <c r="E11" s="81" t="str">
        <f>IF($N11="","",INDEX(Azioni!$E:$E,$N11)&amp;"")</f>
        <v>Direzione Risorse Umane</v>
      </c>
      <c r="F11" s="81" t="str">
        <f>IF($N11="","",INDEX(Azioni!$F:$F,$N11)&amp;"")</f>
        <v>6 mesi</v>
      </c>
      <c r="G11" s="81" t="str">
        <f>IF($N11="","",INDEX(Azioni!$I:$I,$N11)&amp;"")</f>
        <v>Proposta — da valutare</v>
      </c>
      <c r="H11" s="83" t="str">
        <f>IF($N11="","",IF(INDEX(Azioni!$J:$J,$N11)="","",INDEX(Azioni!$J:$J,$N11)))</f>
        <v/>
      </c>
      <c r="I11" s="83" t="str">
        <f>IF(OR($N11="",H11=""),"",IF(OR(G11="Approvata",G11="In corso"),EDATE(H11,N(INDEX(Azioni!$G:$G,$N11))),""))</f>
        <v/>
      </c>
      <c r="J11" s="81" t="str">
        <f>IF($N11="","",INDEX(Azioni!$L:$L,$N11)&amp;"")</f>
        <v>Da validare</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38</v>
      </c>
    </row>
    <row r="12" spans="1:14" x14ac:dyDescent="0.4">
      <c r="A12" s="81" t="str">
        <f>IF($N12="","",INDEX(Azioni!$A:$A,$N12)&amp;"")</f>
        <v>2026Q4</v>
      </c>
      <c r="B12" s="81" t="str">
        <f>IF($N12="","",INDEX(Azioni!$B:$B,$N12)&amp;"")</f>
        <v>NFR-07</v>
      </c>
      <c r="C12" s="81" t="str">
        <f>IF($N12="","",INDEX(Azioni!$C:$C,$N12)&amp;"")</f>
        <v>2026Q4-NFR-07-A1</v>
      </c>
      <c r="D12" s="82" t="str">
        <f>IF($N12="","",INDEX(Azioni!$D:$D,$N12)&amp;"")</f>
        <v>Prevedere un canale di pagamento alternativo, attivabile entro 24 ore, se il gateway del fornitore resta bloccato da un attacco.</v>
      </c>
      <c r="E12" s="81" t="str">
        <f>IF($N12="","",INDEX(Azioni!$E:$E,$N12)&amp;"")</f>
        <v>Funzione ICT &amp; Security Risk</v>
      </c>
      <c r="F12" s="81" t="str">
        <f>IF($N12="","",INDEX(Azioni!$F:$F,$N12)&amp;"")</f>
        <v>6 mesi</v>
      </c>
      <c r="G12" s="81" t="str">
        <f>IF($N12="","",INDEX(Azioni!$I:$I,$N12)&amp;"")</f>
        <v>Proposta — da valutare</v>
      </c>
      <c r="H12" s="83" t="str">
        <f>IF($N12="","",IF(INDEX(Azioni!$J:$J,$N12)="","",INDEX(Azioni!$J:$J,$N12)))</f>
        <v/>
      </c>
      <c r="I12" s="83" t="str">
        <f>IF(OR($N12="",H12=""),"",IF(OR(G12="Approvata",G12="In corso"),EDATE(H12,N(INDEX(Azioni!$G:$G,$N12))),""))</f>
        <v/>
      </c>
      <c r="J12" s="81" t="str">
        <f>IF($N12="","",INDEX(Azioni!$L:$L,$N12)&amp;"")</f>
        <v>Da validare</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39</v>
      </c>
    </row>
    <row r="13" spans="1:14" x14ac:dyDescent="0.4">
      <c r="A13" s="81" t="str">
        <f>IF($N13="","",INDEX(Azioni!$A:$A,$N13)&amp;"")</f>
        <v>2026Q4</v>
      </c>
      <c r="B13" s="81" t="str">
        <f>IF($N13="","",INDEX(Azioni!$B:$B,$N13)&amp;"")</f>
        <v>NFR-08</v>
      </c>
      <c r="C13" s="81" t="str">
        <f>IF($N13="","",INDEX(Azioni!$C:$C,$N13)&amp;"")</f>
        <v>2026Q4-NFR-08-A1</v>
      </c>
      <c r="D13" s="82" t="str">
        <f>IF($N13="","",INDEX(Azioni!$D:$D,$N13)&amp;"")</f>
        <v>Estendere il blocco automatico degli accessi senza pratica alle applicazioni di filiale e al call center.</v>
      </c>
      <c r="E13" s="81" t="str">
        <f>IF($N13="","",INDEX(Azioni!$E:$E,$N13)&amp;"")</f>
        <v>Funzione Sicurezza delle Informazioni</v>
      </c>
      <c r="F13" s="81" t="str">
        <f>IF($N13="","",INDEX(Azioni!$F:$F,$N13)&amp;"")</f>
        <v>3 mesi</v>
      </c>
      <c r="G13" s="81" t="str">
        <f>IF($N13="","",INDEX(Azioni!$I:$I,$N13)&amp;"")</f>
        <v>Proposta — da valutare</v>
      </c>
      <c r="H13" s="83" t="str">
        <f>IF($N13="","",IF(INDEX(Azioni!$J:$J,$N13)="","",INDEX(Azioni!$J:$J,$N13)))</f>
        <v/>
      </c>
      <c r="I13" s="83" t="str">
        <f>IF(OR($N13="",H13=""),"",IF(OR(G13="Approvata",G13="In corso"),EDATE(H13,N(INDEX(Azioni!$G:$G,$N13))),""))</f>
        <v/>
      </c>
      <c r="J13" s="81" t="str">
        <f>IF($N13="","",INDEX(Azioni!$L:$L,$N13)&amp;"")</f>
        <v>Da validare</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40</v>
      </c>
    </row>
    <row r="14" spans="1:14" x14ac:dyDescent="0.4">
      <c r="A14" s="81" t="str">
        <f>IF($N14="","",INDEX(Azioni!$A:$A,$N14)&amp;"")</f>
        <v>2026Q4</v>
      </c>
      <c r="B14" s="81" t="str">
        <f>IF($N14="","",INDEX(Azioni!$B:$B,$N14)&amp;"")</f>
        <v>NFR-09</v>
      </c>
      <c r="C14" s="81" t="str">
        <f>IF($N14="","",INDEX(Azioni!$C:$C,$N14)&amp;"")</f>
        <v>2026Q4-NFR-09-A1</v>
      </c>
      <c r="D14" s="82" t="str">
        <f>IF($N14="","",INDEX(Azioni!$D:$D,$N14)&amp;"")</f>
        <v>Chiedere ai corrispondenti esteri il beneficiario finale dei pagamenti verso i paesi di transito segnalati.</v>
      </c>
      <c r="E14" s="81" t="str">
        <f>IF($N14="","",INDEX(Azioni!$E:$E,$N14)&amp;"")</f>
        <v>Funzione Compliance</v>
      </c>
      <c r="F14" s="81" t="str">
        <f>IF($N14="","",INDEX(Azioni!$F:$F,$N14)&amp;"")</f>
        <v>12 mesi</v>
      </c>
      <c r="G14" s="81" t="str">
        <f>IF($N14="","",INDEX(Azioni!$I:$I,$N14)&amp;"")</f>
        <v>Proposta — da valutare</v>
      </c>
      <c r="H14" s="83" t="str">
        <f>IF($N14="","",IF(INDEX(Azioni!$J:$J,$N14)="","",INDEX(Azioni!$J:$J,$N14)))</f>
        <v/>
      </c>
      <c r="I14" s="83" t="str">
        <f>IF(OR($N14="",H14=""),"",IF(OR(G14="Approvata",G14="In corso"),EDATE(H14,N(INDEX(Azioni!$G:$G,$N14))),""))</f>
        <v/>
      </c>
      <c r="J14" s="81" t="str">
        <f>IF($N14="","",INDEX(Azioni!$L:$L,$N14)&amp;"")</f>
        <v>Da validare</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41</v>
      </c>
    </row>
    <row r="15" spans="1:14" x14ac:dyDescent="0.4">
      <c r="A15" s="81" t="str">
        <f>IF($N15="","",INDEX(Azioni!$A:$A,$N15)&amp;"")</f>
        <v>2026Q4</v>
      </c>
      <c r="B15" s="81" t="str">
        <f>IF($N15="","",INDEX(Azioni!$B:$B,$N15)&amp;"")</f>
        <v>NFR-10</v>
      </c>
      <c r="C15" s="81" t="str">
        <f>IF($N15="","",INDEX(Azioni!$C:$C,$N15)&amp;"")</f>
        <v>2026Q4-NFR-10-A1</v>
      </c>
      <c r="D15" s="82" t="str">
        <f>IF($N15="","",INDEX(Azioni!$D:$D,$N15)&amp;"")</f>
        <v>Mostrare nel chatbot l'avviso che le risposte su condizioni e tassi vanno verificate sul documento di sintesi, con il collegamento.</v>
      </c>
      <c r="E15" s="81" t="str">
        <f>IF($N15="","",INDEX(Azioni!$E:$E,$N15)&amp;"")</f>
        <v>Funzione Customer Experience</v>
      </c>
      <c r="F15" s="81" t="str">
        <f>IF($N15="","",INDEX(Azioni!$F:$F,$N15)&amp;"")</f>
        <v>3 mesi</v>
      </c>
      <c r="G15" s="81" t="str">
        <f>IF($N15="","",INDEX(Azioni!$I:$I,$N15)&amp;"")</f>
        <v>Proposta — da valutare</v>
      </c>
      <c r="H15" s="83" t="str">
        <f>IF($N15="","",IF(INDEX(Azioni!$J:$J,$N15)="","",INDEX(Azioni!$J:$J,$N15)))</f>
        <v/>
      </c>
      <c r="I15" s="83" t="str">
        <f>IF(OR($N15="",H15=""),"",IF(OR(G15="Approvata",G15="In corso"),EDATE(H15,N(INDEX(Azioni!$G:$G,$N15))),""))</f>
        <v/>
      </c>
      <c r="J15" s="81" t="str">
        <f>IF($N15="","",INDEX(Azioni!$L:$L,$N15)&amp;"")</f>
        <v>Da validare</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42</v>
      </c>
    </row>
    <row r="16" spans="1:14" x14ac:dyDescent="0.4">
      <c r="A16" s="81" t="str">
        <f>IF($N16="","",INDEX(Azioni!$A:$A,$N16)&amp;"")</f>
        <v>2026Q4</v>
      </c>
      <c r="B16" s="81" t="str">
        <f>IF($N16="","",INDEX(Azioni!$B:$B,$N16)&amp;"")</f>
        <v>NFR-11</v>
      </c>
      <c r="C16" s="81" t="str">
        <f>IF($N16="","",INDEX(Azioni!$C:$C,$N16)&amp;"")</f>
        <v>2026Q4-NFR-11-A1</v>
      </c>
      <c r="D16" s="82" t="str">
        <f>IF($N16="","",INDEX(Azioni!$D:$D,$N16)&amp;"")</f>
        <v>Ottenere dal produttore un supporto esteso a pagamento per le componenti fuori supporto piu' critiche, fino alla sostituzione.</v>
      </c>
      <c r="E16" s="81" t="str">
        <f>IF($N16="","",INDEX(Azioni!$E:$E,$N16)&amp;"")</f>
        <v>Funzione IT Operations</v>
      </c>
      <c r="F16" s="81" t="str">
        <f>IF($N16="","",INDEX(Azioni!$F:$F,$N16)&amp;"")</f>
        <v>12 mesi</v>
      </c>
      <c r="G16" s="81" t="str">
        <f>IF($N16="","",INDEX(Azioni!$I:$I,$N16)&amp;"")</f>
        <v>Proposta — da valutare</v>
      </c>
      <c r="H16" s="83" t="str">
        <f>IF($N16="","",IF(INDEX(Azioni!$J:$J,$N16)="","",INDEX(Azioni!$J:$J,$N16)))</f>
        <v/>
      </c>
      <c r="I16" s="83" t="str">
        <f>IF(OR($N16="",H16=""),"",IF(OR(G16="Approvata",G16="In corso"),EDATE(H16,N(INDEX(Azioni!$G:$G,$N16))),""))</f>
        <v/>
      </c>
      <c r="J16" s="81" t="str">
        <f>IF($N16="","",INDEX(Azioni!$L:$L,$N16)&amp;"")</f>
        <v>Da validare</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43</v>
      </c>
    </row>
    <row r="17" spans="1:14" x14ac:dyDescent="0.4">
      <c r="A17" s="81" t="str">
        <f>IF($N17="","",INDEX(Azioni!$A:$A,$N17)&amp;"")</f>
        <v>2026Q4</v>
      </c>
      <c r="B17" s="81" t="str">
        <f>IF($N17="","",INDEX(Azioni!$B:$B,$N17)&amp;"")</f>
        <v>NFR-12</v>
      </c>
      <c r="C17" s="81" t="str">
        <f>IF($N17="","",INDEX(Azioni!$C:$C,$N17)&amp;"")</f>
        <v>2026Q4-NFR-12-A1</v>
      </c>
      <c r="D17" s="82" t="str">
        <f>IF($N17="","",INDEX(Azioni!$D:$D,$N17)&amp;"")</f>
        <v>Introdurre un test di riconciliazione su dati anonimizzati prima di ogni rilascio del motore dei bonifici istantanei.</v>
      </c>
      <c r="E17" s="81" t="str">
        <f>IF($N17="","",INDEX(Azioni!$E:$E,$N17)&amp;"")</f>
        <v>Funzione Operations</v>
      </c>
      <c r="F17" s="81" t="str">
        <f>IF($N17="","",INDEX(Azioni!$F:$F,$N17)&amp;"")</f>
        <v>3 mesi</v>
      </c>
      <c r="G17" s="81" t="str">
        <f>IF($N17="","",INDEX(Azioni!$I:$I,$N17)&amp;"")</f>
        <v>Proposta — da valutare</v>
      </c>
      <c r="H17" s="83" t="str">
        <f>IF($N17="","",IF(INDEX(Azioni!$J:$J,$N17)="","",INDEX(Azioni!$J:$J,$N17)))</f>
        <v/>
      </c>
      <c r="I17" s="83" t="str">
        <f>IF(OR($N17="",H17=""),"",IF(OR(G17="Approvata",G17="In corso"),EDATE(H17,N(INDEX(Azioni!$G:$G,$N17))),""))</f>
        <v/>
      </c>
      <c r="J17" s="81" t="str">
        <f>IF($N17="","",INDEX(Azioni!$L:$L,$N17)&amp;"")</f>
        <v>Da validare</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44</v>
      </c>
    </row>
    <row r="18" spans="1:14" x14ac:dyDescent="0.4">
      <c r="A18" s="81" t="str">
        <f>IF($N18="","",INDEX(Azioni!$A:$A,$N18)&amp;"")</f>
        <v>2026Q4</v>
      </c>
      <c r="B18" s="81" t="str">
        <f>IF($N18="","",INDEX(Azioni!$B:$B,$N18)&amp;"")</f>
        <v>NFR-16</v>
      </c>
      <c r="C18" s="81" t="str">
        <f>IF($N18="","",INDEX(Azioni!$C:$C,$N18)&amp;"")</f>
        <v>2026Q4-NFR-16-A1</v>
      </c>
      <c r="D18" s="82" t="str">
        <f>IF($N18="","",INDEX(Azioni!$D:$D,$N18)&amp;"")</f>
        <v>Estendere il piano di successione a tutti i ruoli IT critici, con backup formati.</v>
      </c>
      <c r="E18" s="81" t="str">
        <f>IF($N18="","",INDEX(Azioni!$E:$E,$N18)&amp;"")</f>
        <v>Direzione Risorse Umane</v>
      </c>
      <c r="F18" s="81" t="str">
        <f>IF($N18="","",INDEX(Azioni!$F:$F,$N18)&amp;"")</f>
        <v>6 mesi</v>
      </c>
      <c r="G18" s="81" t="str">
        <f>IF($N18="","",INDEX(Azioni!$I:$I,$N18)&amp;"")</f>
        <v>Proposta — da valutare</v>
      </c>
      <c r="H18" s="83" t="str">
        <f>IF($N18="","",IF(INDEX(Azioni!$J:$J,$N18)="","",INDEX(Azioni!$J:$J,$N18)))</f>
        <v/>
      </c>
      <c r="I18" s="83" t="str">
        <f>IF(OR($N18="",H18=""),"",IF(OR(G18="Approvata",G18="In corso"),EDATE(H18,N(INDEX(Azioni!$G:$G,$N18))),""))</f>
        <v/>
      </c>
      <c r="J18" s="81" t="str">
        <f>IF($N18="","",INDEX(Azioni!$L:$L,$N18)&amp;"")</f>
        <v>Da validare</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45</v>
      </c>
    </row>
    <row r="19" spans="1:14" x14ac:dyDescent="0.4">
      <c r="A19" s="81" t="str">
        <f>IF($N19="","",INDEX(Azioni!$A:$A,$N19)&amp;"")</f>
        <v>2026Q4</v>
      </c>
      <c r="B19" s="81" t="str">
        <f>IF($N19="","",INDEX(Azioni!$B:$B,$N19)&amp;"")</f>
        <v>NFR-16</v>
      </c>
      <c r="C19" s="81" t="str">
        <f>IF($N19="","",INDEX(Azioni!$C:$C,$N19)&amp;"")</f>
        <v>2026Q4-NFR-16-A2</v>
      </c>
      <c r="D19" s="82" t="str">
        <f>IF($N19="","",INDEX(Azioni!$D:$D,$N19)&amp;"")</f>
        <v>Definire i servizi minimi IT garantiti in caso di sciopero, d'intesa con le rappresentanze.</v>
      </c>
      <c r="E19" s="81" t="str">
        <f>IF($N19="","",INDEX(Azioni!$E:$E,$N19)&amp;"")</f>
        <v>Direzione Sistemi Informativi</v>
      </c>
      <c r="F19" s="81" t="str">
        <f>IF($N19="","",INDEX(Azioni!$F:$F,$N19)&amp;"")</f>
        <v>3 mesi</v>
      </c>
      <c r="G19" s="81" t="str">
        <f>IF($N19="","",INDEX(Azioni!$I:$I,$N19)&amp;"")</f>
        <v>Proposta — da valutare</v>
      </c>
      <c r="H19" s="83" t="str">
        <f>IF($N19="","",IF(INDEX(Azioni!$J:$J,$N19)="","",INDEX(Azioni!$J:$J,$N19)))</f>
        <v/>
      </c>
      <c r="I19" s="83" t="str">
        <f>IF(OR($N19="",H19=""),"",IF(OR(G19="Approvata",G19="In corso"),EDATE(H19,N(INDEX(Azioni!$G:$G,$N19))),""))</f>
        <v/>
      </c>
      <c r="J19" s="81" t="str">
        <f>IF($N19="","",INDEX(Azioni!$L:$L,$N19)&amp;"")</f>
        <v>Da validare</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46</v>
      </c>
    </row>
    <row r="20" spans="1:14" x14ac:dyDescent="0.4">
      <c r="A20" s="81" t="str">
        <f>IF($N20="","",INDEX(Azioni!$A:$A,$N20)&amp;"")</f>
        <v>2026Q2</v>
      </c>
      <c r="B20" s="81" t="str">
        <f>IF($N20="","",INDEX(Azioni!$B:$B,$N20)&amp;"")</f>
        <v>NFR-01</v>
      </c>
      <c r="C20" s="81" t="str">
        <f>IF($N20="","",INDEX(Azioni!$C:$C,$N20)&amp;"")</f>
        <v>2026Q2-NFR-01-A1</v>
      </c>
      <c r="D20" s="82" t="str">
        <f>IF($N20="","",INDEX(Azioni!$D:$D,$N20)&amp;"")</f>
        <v>Introdurre la verifica fuori banda per bonifici istantanei sopra soglia verso beneficiari nuovi.</v>
      </c>
      <c r="E20" s="81" t="str">
        <f>IF($N20="","",INDEX(Azioni!$E:$E,$N20)&amp;"")</f>
        <v>Funzione Antifrode</v>
      </c>
      <c r="F20" s="81" t="str">
        <f>IF($N20="","",INDEX(Azioni!$F:$F,$N20)&amp;"")</f>
        <v>6 mesi</v>
      </c>
      <c r="G20" s="81" t="str">
        <f>IF($N20="","",INDEX(Azioni!$I:$I,$N20)&amp;"")</f>
        <v>Approvata</v>
      </c>
      <c r="H20" s="83">
        <f>IF($N20="","",IF(INDEX(Azioni!$J:$J,$N20)="","",INDEX(Azioni!$J:$J,$N20)))</f>
        <v>46218</v>
      </c>
      <c r="I20" s="83">
        <f>IF(OR($N20="",H20=""),"",IF(OR(G20="Approvata",G20="In corso"),EDATE(H20,N(INDEX(Azioni!$G:$G,$N20))),""))</f>
        <v>46402</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6</v>
      </c>
    </row>
    <row r="21" spans="1:14" x14ac:dyDescent="0.4">
      <c r="A21" s="81" t="str">
        <f>IF($N21="","",INDEX(Azioni!$A:$A,$N21)&amp;"")</f>
        <v>2026Q2</v>
      </c>
      <c r="B21" s="81" t="str">
        <f>IF($N21="","",INDEX(Azioni!$B:$B,$N21)&amp;"")</f>
        <v>NFR-02</v>
      </c>
      <c r="C21" s="81" t="str">
        <f>IF($N21="","",INDEX(Azioni!$C:$C,$N21)&amp;"")</f>
        <v>2026Q2-NFR-02-A1</v>
      </c>
      <c r="D21" s="82" t="str">
        <f>IF($N21="","",INDEX(Azioni!$D:$D,$N21)&amp;"")</f>
        <v>Eseguire il test completo di exit strategy sui due servizi critici non ancora coperti.</v>
      </c>
      <c r="E21" s="81" t="str">
        <f>IF($N21="","",INDEX(Azioni!$E:$E,$N21)&amp;"")</f>
        <v>Funzione ICT &amp; Security Risk</v>
      </c>
      <c r="F21" s="81" t="str">
        <f>IF($N21="","",INDEX(Azioni!$F:$F,$N21)&amp;"")</f>
        <v>12 mesi</v>
      </c>
      <c r="G21" s="81" t="str">
        <f>IF($N21="","",INDEX(Azioni!$I:$I,$N21)&amp;"")</f>
        <v>Approvata</v>
      </c>
      <c r="H21" s="83">
        <f>IF($N21="","",IF(INDEX(Azioni!$J:$J,$N21)="","",INDEX(Azioni!$J:$J,$N21)))</f>
        <v>46218</v>
      </c>
      <c r="I21" s="83">
        <f>IF(OR($N21="",H21=""),"",IF(OR(G21="Approvata",G21="In corso"),EDATE(H21,N(INDEX(Azioni!$G:$G,$N21))),""))</f>
        <v>46583</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7</v>
      </c>
    </row>
    <row r="22" spans="1:14" x14ac:dyDescent="0.4">
      <c r="A22" s="81" t="str">
        <f>IF($N22="","",INDEX(Azioni!$A:$A,$N22)&amp;"")</f>
        <v>2026Q2</v>
      </c>
      <c r="B22" s="81" t="str">
        <f>IF($N22="","",INDEX(Azioni!$B:$B,$N22)&amp;"")</f>
        <v>NFR-03</v>
      </c>
      <c r="C22" s="81" t="str">
        <f>IF($N22="","",INDEX(Azioni!$C:$C,$N22)&amp;"")</f>
        <v>2026Q2-NFR-03-A1</v>
      </c>
      <c r="D22" s="82" t="str">
        <f>IF($N22="","",INDEX(Azioni!$D:$D,$N22)&amp;"")</f>
        <v>Revisione indipendente dei claim ambientali di tutti i prodotti ESG in catalogo.</v>
      </c>
      <c r="E22" s="81" t="str">
        <f>IF($N22="","",INDEX(Azioni!$E:$E,$N22)&amp;"")</f>
        <v>Funzione Compliance</v>
      </c>
      <c r="F22" s="81" t="str">
        <f>IF($N22="","",INDEX(Azioni!$F:$F,$N22)&amp;"")</f>
        <v>6 mesi</v>
      </c>
      <c r="G22" s="81" t="str">
        <f>IF($N22="","",INDEX(Azioni!$I:$I,$N22)&amp;"")</f>
        <v>Approvata</v>
      </c>
      <c r="H22" s="83">
        <f>IF($N22="","",IF(INDEX(Azioni!$J:$J,$N22)="","",INDEX(Azioni!$J:$J,$N22)))</f>
        <v>46218</v>
      </c>
      <c r="I22" s="83">
        <f>IF(OR($N22="",H22=""),"",IF(OR(G22="Approvata",G22="In corso"),EDATE(H22,N(INDEX(Azioni!$G:$G,$N22))),""))</f>
        <v>46402</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8</v>
      </c>
    </row>
    <row r="23" spans="1:14" x14ac:dyDescent="0.4">
      <c r="A23" s="81" t="str">
        <f>IF($N23="","",INDEX(Azioni!$A:$A,$N23)&amp;"")</f>
        <v>2026Q2</v>
      </c>
      <c r="B23" s="81" t="str">
        <f>IF($N23="","",INDEX(Azioni!$B:$B,$N23)&amp;"")</f>
        <v>NFR-04</v>
      </c>
      <c r="C23" s="81" t="str">
        <f>IF($N23="","",INDEX(Azioni!$C:$C,$N23)&amp;"")</f>
        <v>2026Q2-NFR-04-A1</v>
      </c>
      <c r="D23" s="82" t="str">
        <f>IF($N23="","",INDEX(Azioni!$D:$D,$N23)&amp;"")</f>
        <v>Redigere piani di continuita' specifici per le due sedi critiche in aree a rischio.</v>
      </c>
      <c r="E23" s="81" t="str">
        <f>IF($N23="","",INDEX(Azioni!$E:$E,$N23)&amp;"")</f>
        <v>Funzione Business Continuity</v>
      </c>
      <c r="F23" s="81" t="str">
        <f>IF($N23="","",INDEX(Azioni!$F:$F,$N23)&amp;"")</f>
        <v>12 mesi</v>
      </c>
      <c r="G23" s="81" t="str">
        <f>IF($N23="","",INDEX(Azioni!$I:$I,$N23)&amp;"")</f>
        <v>Approvata</v>
      </c>
      <c r="H23" s="83">
        <f>IF($N23="","",IF(INDEX(Azioni!$J:$J,$N23)="","",INDEX(Azioni!$J:$J,$N23)))</f>
        <v>46218</v>
      </c>
      <c r="I23" s="83">
        <f>IF(OR($N23="",H23=""),"",IF(OR(G23="Approvata",G23="In corso"),EDATE(H23,N(INDEX(Azioni!$G:$G,$N23))),""))</f>
        <v>46583</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9</v>
      </c>
    </row>
    <row r="24" spans="1:14" x14ac:dyDescent="0.4">
      <c r="A24" s="81" t="str">
        <f>IF($N24="","",INDEX(Azioni!$A:$A,$N24)&amp;"")</f>
        <v>2026Q2</v>
      </c>
      <c r="B24" s="81" t="str">
        <f>IF($N24="","",INDEX(Azioni!$B:$B,$N24)&amp;"")</f>
        <v>NFR-06</v>
      </c>
      <c r="C24" s="81" t="str">
        <f>IF($N24="","",INDEX(Azioni!$C:$C,$N24)&amp;"")</f>
        <v>2026Q2-NFR-06-A1</v>
      </c>
      <c r="D24" s="82" t="str">
        <f>IF($N24="","",INDEX(Azioni!$D:$D,$N24)&amp;"")</f>
        <v>Estendere il DLP a tutti i servizi di AI generativa e bloccare quelli non autorizzati.</v>
      </c>
      <c r="E24" s="81" t="str">
        <f>IF($N24="","",INDEX(Azioni!$E:$E,$N24)&amp;"")</f>
        <v>Funzione Sicurezza delle Informazioni</v>
      </c>
      <c r="F24" s="81" t="str">
        <f>IF($N24="","",INDEX(Azioni!$F:$F,$N24)&amp;"")</f>
        <v>3 mesi</v>
      </c>
      <c r="G24" s="81" t="str">
        <f>IF($N24="","",INDEX(Azioni!$I:$I,$N24)&amp;"")</f>
        <v>Approvata</v>
      </c>
      <c r="H24" s="83">
        <f>IF($N24="","",IF(INDEX(Azioni!$J:$J,$N24)="","",INDEX(Azioni!$J:$J,$N24)))</f>
        <v>46218</v>
      </c>
      <c r="I24" s="83">
        <f>IF(OR($N24="",H24=""),"",IF(OR(G24="Approvata",G24="In corso"),EDATE(H24,N(INDEX(Azioni!$G:$G,$N24))),""))</f>
        <v>46310</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11</v>
      </c>
    </row>
    <row r="25" spans="1:14" x14ac:dyDescent="0.4">
      <c r="A25" s="81" t="str">
        <f>IF($N25="","",INDEX(Azioni!$A:$A,$N25)&amp;"")</f>
        <v>2026Q2</v>
      </c>
      <c r="B25" s="81" t="str">
        <f>IF($N25="","",INDEX(Azioni!$B:$B,$N25)&amp;"")</f>
        <v>NFR-07</v>
      </c>
      <c r="C25" s="81" t="str">
        <f>IF($N25="","",INDEX(Azioni!$C:$C,$N25)&amp;"")</f>
        <v>2026Q2-NFR-07-A1</v>
      </c>
      <c r="D25" s="82" t="str">
        <f>IF($N25="","",INDEX(Azioni!$D:$D,$N25)&amp;"")</f>
        <v>Test congiunto di ripristino da ransomware con il fornitore del gateway di pagamento.</v>
      </c>
      <c r="E25" s="81" t="str">
        <f>IF($N25="","",INDEX(Azioni!$E:$E,$N25)&amp;"")</f>
        <v>Funzione ICT &amp; Security Risk</v>
      </c>
      <c r="F25" s="81" t="str">
        <f>IF($N25="","",INDEX(Azioni!$F:$F,$N25)&amp;"")</f>
        <v>6 mesi</v>
      </c>
      <c r="G25" s="81" t="str">
        <f>IF($N25="","",INDEX(Azioni!$I:$I,$N25)&amp;"")</f>
        <v>Approvata</v>
      </c>
      <c r="H25" s="83">
        <f>IF($N25="","",IF(INDEX(Azioni!$J:$J,$N25)="","",INDEX(Azioni!$J:$J,$N25)))</f>
        <v>46218</v>
      </c>
      <c r="I25" s="83">
        <f>IF(OR($N25="",H25=""),"",IF(OR(G25="Approvata",G25="In corso"),EDATE(H25,N(INDEX(Azioni!$G:$G,$N25))),""))</f>
        <v>46402</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12</v>
      </c>
    </row>
    <row r="26" spans="1:14" x14ac:dyDescent="0.4">
      <c r="A26" s="81" t="str">
        <f>IF($N26="","",INDEX(Azioni!$A:$A,$N26)&amp;"")</f>
        <v>2026Q2</v>
      </c>
      <c r="B26" s="81" t="str">
        <f>IF($N26="","",INDEX(Azioni!$B:$B,$N26)&amp;"")</f>
        <v>NFR-08</v>
      </c>
      <c r="C26" s="81" t="str">
        <f>IF($N26="","",INDEX(Azioni!$C:$C,$N26)&amp;"")</f>
        <v>2026Q2-NFR-08-A1</v>
      </c>
      <c r="D26" s="82" t="str">
        <f>IF($N26="","",INDEX(Azioni!$D:$D,$N26)&amp;"")</f>
        <v>Revisione trimestrale automatica degli accessi ai dati clienti senza pratica associata.</v>
      </c>
      <c r="E26" s="81" t="str">
        <f>IF($N26="","",INDEX(Azioni!$E:$E,$N26)&amp;"")</f>
        <v>Funzione Sicurezza delle Informazioni</v>
      </c>
      <c r="F26" s="81" t="str">
        <f>IF($N26="","",INDEX(Azioni!$F:$F,$N26)&amp;"")</f>
        <v>3 mesi</v>
      </c>
      <c r="G26" s="81" t="str">
        <f>IF($N26="","",INDEX(Azioni!$I:$I,$N26)&amp;"")</f>
        <v>Approvata</v>
      </c>
      <c r="H26" s="83">
        <f>IF($N26="","",IF(INDEX(Azioni!$J:$J,$N26)="","",INDEX(Azioni!$J:$J,$N26)))</f>
        <v>46218</v>
      </c>
      <c r="I26" s="83">
        <f>IF(OR($N26="",H26=""),"",IF(OR(G26="Approvata",G26="In corso"),EDATE(H26,N(INDEX(Azioni!$G:$G,$N26))),""))</f>
        <v>46310</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13</v>
      </c>
    </row>
    <row r="27" spans="1:14" x14ac:dyDescent="0.4">
      <c r="A27" s="81" t="str">
        <f>IF($N27="","",INDEX(Azioni!$A:$A,$N27)&amp;"")</f>
        <v>2026Q2</v>
      </c>
      <c r="B27" s="81" t="str">
        <f>IF($N27="","",INDEX(Azioni!$B:$B,$N27)&amp;"")</f>
        <v>NFR-09</v>
      </c>
      <c r="C27" s="81" t="str">
        <f>IF($N27="","",INDEX(Azioni!$C:$C,$N27)&amp;"")</f>
        <v>2026Q2-NFR-09-A1</v>
      </c>
      <c r="D27" s="82" t="str">
        <f>IF($N27="","",INDEX(Azioni!$D:$D,$N27)&amp;"")</f>
        <v>Estendere lo screening sanzioni alle controparti indirette dei pagamenti verso paesi di transito.</v>
      </c>
      <c r="E27" s="81" t="str">
        <f>IF($N27="","",INDEX(Azioni!$E:$E,$N27)&amp;"")</f>
        <v>Funzione Compliance</v>
      </c>
      <c r="F27" s="81" t="str">
        <f>IF($N27="","",INDEX(Azioni!$F:$F,$N27)&amp;"")</f>
        <v>12 mesi</v>
      </c>
      <c r="G27" s="81" t="str">
        <f>IF($N27="","",INDEX(Azioni!$I:$I,$N27)&amp;"")</f>
        <v>Approvata</v>
      </c>
      <c r="H27" s="83">
        <f>IF($N27="","",IF(INDEX(Azioni!$J:$J,$N27)="","",INDEX(Azioni!$J:$J,$N27)))</f>
        <v>46218</v>
      </c>
      <c r="I27" s="83">
        <f>IF(OR($N27="",H27=""),"",IF(OR(G27="Approvata",G27="In corso"),EDATE(H27,N(INDEX(Azioni!$G:$G,$N27))),""))</f>
        <v>46583</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14</v>
      </c>
    </row>
    <row r="28" spans="1:14" x14ac:dyDescent="0.4">
      <c r="A28" s="81" t="str">
        <f>IF($N28="","",INDEX(Azioni!$A:$A,$N28)&amp;"")</f>
        <v>2026Q2</v>
      </c>
      <c r="B28" s="81" t="str">
        <f>IF($N28="","",INDEX(Azioni!$B:$B,$N28)&amp;"")</f>
        <v>NFR-10</v>
      </c>
      <c r="C28" s="81" t="str">
        <f>IF($N28="","",INDEX(Azioni!$C:$C,$N28)&amp;"")</f>
        <v>2026Q2-NFR-10-A1</v>
      </c>
      <c r="D28" s="82" t="str">
        <f>IF($N28="","",INDEX(Azioni!$D:$D,$N28)&amp;"")</f>
        <v>Campionamento settimanale delle risposte del chatbot con verifica umana.</v>
      </c>
      <c r="E28" s="81" t="str">
        <f>IF($N28="","",INDEX(Azioni!$E:$E,$N28)&amp;"")</f>
        <v>Funzione Customer Experience</v>
      </c>
      <c r="F28" s="81" t="str">
        <f>IF($N28="","",INDEX(Azioni!$F:$F,$N28)&amp;"")</f>
        <v>3 mesi</v>
      </c>
      <c r="G28" s="81" t="str">
        <f>IF($N28="","",INDEX(Azioni!$I:$I,$N28)&amp;"")</f>
        <v>Approvata</v>
      </c>
      <c r="H28" s="83">
        <f>IF($N28="","",IF(INDEX(Azioni!$J:$J,$N28)="","",INDEX(Azioni!$J:$J,$N28)))</f>
        <v>46218</v>
      </c>
      <c r="I28" s="83">
        <f>IF(OR($N28="",H28=""),"",IF(OR(G28="Approvata",G28="In corso"),EDATE(H28,N(INDEX(Azioni!$G:$G,$N28))),""))</f>
        <v>46310</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15</v>
      </c>
    </row>
    <row r="29" spans="1:14" x14ac:dyDescent="0.4">
      <c r="A29" s="81" t="str">
        <f>IF($N29="","",INDEX(Azioni!$A:$A,$N29)&amp;"")</f>
        <v>2026Q2</v>
      </c>
      <c r="B29" s="81" t="str">
        <f>IF($N29="","",INDEX(Azioni!$B:$B,$N29)&amp;"")</f>
        <v>NFR-11</v>
      </c>
      <c r="C29" s="81" t="str">
        <f>IF($N29="","",INDEX(Azioni!$C:$C,$N29)&amp;"")</f>
        <v>2026Q2-NFR-11-A1</v>
      </c>
      <c r="D29" s="82" t="str">
        <f>IF($N29="","",INDEX(Azioni!$D:$D,$N29)&amp;"")</f>
        <v>Piano di sostituzione delle componenti fuori supporto del sistema di pagamento.</v>
      </c>
      <c r="E29" s="81" t="str">
        <f>IF($N29="","",INDEX(Azioni!$E:$E,$N29)&amp;"")</f>
        <v>Funzione IT Operations</v>
      </c>
      <c r="F29" s="81" t="str">
        <f>IF($N29="","",INDEX(Azioni!$F:$F,$N29)&amp;"")</f>
        <v>12 mesi</v>
      </c>
      <c r="G29" s="81" t="str">
        <f>IF($N29="","",INDEX(Azioni!$I:$I,$N29)&amp;"")</f>
        <v>Approvata</v>
      </c>
      <c r="H29" s="83">
        <f>IF($N29="","",IF(INDEX(Azioni!$J:$J,$N29)="","",INDEX(Azioni!$J:$J,$N29)))</f>
        <v>46218</v>
      </c>
      <c r="I29" s="83">
        <f>IF(OR($N29="",H29=""),"",IF(OR(G29="Approvata",G29="In corso"),EDATE(H29,N(INDEX(Azioni!$G:$G,$N29))),""))</f>
        <v>46583</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16</v>
      </c>
    </row>
    <row r="30" spans="1:14" x14ac:dyDescent="0.4">
      <c r="A30" s="81" t="str">
        <f>IF($N30="","",INDEX(Azioni!$A:$A,$N30)&amp;"")</f>
        <v>2026Q2</v>
      </c>
      <c r="B30" s="81" t="str">
        <f>IF($N30="","",INDEX(Azioni!$B:$B,$N30)&amp;"")</f>
        <v>NFR-12</v>
      </c>
      <c r="C30" s="81" t="str">
        <f>IF($N30="","",INDEX(Azioni!$C:$C,$N30)&amp;"")</f>
        <v>2026Q2-NFR-12-A1</v>
      </c>
      <c r="D30" s="82" t="str">
        <f>IF($N30="","",INDEX(Azioni!$D:$D,$N30)&amp;"")</f>
        <v>Controllo giornaliero automatico delle differenze di riconciliazione sui bonifici istantanei.</v>
      </c>
      <c r="E30" s="81" t="str">
        <f>IF($N30="","",INDEX(Azioni!$E:$E,$N30)&amp;"")</f>
        <v>Funzione Operations</v>
      </c>
      <c r="F30" s="81" t="str">
        <f>IF($N30="","",INDEX(Azioni!$F:$F,$N30)&amp;"")</f>
        <v>3 mesi</v>
      </c>
      <c r="G30" s="81" t="str">
        <f>IF($N30="","",INDEX(Azioni!$I:$I,$N30)&amp;"")</f>
        <v>Approvata</v>
      </c>
      <c r="H30" s="83">
        <f>IF($N30="","",IF(INDEX(Azioni!$J:$J,$N30)="","",INDEX(Azioni!$J:$J,$N30)))</f>
        <v>46218</v>
      </c>
      <c r="I30" s="83">
        <f>IF(OR($N30="",H30=""),"",IF(OR(G30="Approvata",G30="In corso"),EDATE(H30,N(INDEX(Azioni!$G:$G,$N30))),""))</f>
        <v>46310</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17</v>
      </c>
    </row>
    <row r="31" spans="1:14" x14ac:dyDescent="0.4">
      <c r="A31" s="81" t="str">
        <f>IF($N31="","",INDEX(Azioni!$A:$A,$N31)&amp;"")</f>
        <v>2026Q3</v>
      </c>
      <c r="B31" s="81" t="str">
        <f>IF($N31="","",INDEX(Azioni!$B:$B,$N31)&amp;"")</f>
        <v>NFR-01</v>
      </c>
      <c r="C31" s="81" t="str">
        <f>IF($N31="","",INDEX(Azioni!$C:$C,$N31)&amp;"")</f>
        <v>2026Q3-NFR-01-A1</v>
      </c>
      <c r="D31" s="82" t="str">
        <f>IF($N31="","",INDEX(Azioni!$D:$D,$N31)&amp;"")</f>
        <v>Attivare la verifica fuori banda per bonifici istantanei sopra soglia verso beneficiari nuovi.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18</v>
      </c>
    </row>
    <row r="32" spans="1:14" x14ac:dyDescent="0.4">
      <c r="A32" s="81" t="str">
        <f>IF($N32="","",INDEX(Azioni!$A:$A,$N32)&amp;"")</f>
        <v>2026Q3</v>
      </c>
      <c r="B32" s="81" t="str">
        <f>IF($N32="","",INDEX(Azioni!$B:$B,$N32)&amp;"")</f>
        <v>NFR-01</v>
      </c>
      <c r="C32" s="81" t="str">
        <f>IF($N32="","",INDEX(Azioni!$C:$C,$N32)&amp;"")</f>
        <v>2026Q3-NFR-01-A2</v>
      </c>
      <c r="D32" s="82" t="str">
        <f>IF($N32="","",INDEX(Azioni!$D:$D,$N32)&amp;"")</f>
        <v>Campagna di sensibilizzazione dei clienti corporate sulle frodi con voce clonata.</v>
      </c>
      <c r="E32" s="81" t="str">
        <f>IF($N32="","",INDEX(Azioni!$E:$E,$N32)&amp;"")</f>
        <v>Direzione Marketing e Comunicazione</v>
      </c>
      <c r="F32" s="81" t="str">
        <f>IF($N32="","",INDEX(Azioni!$F:$F,$N32)&amp;"")</f>
        <v>6 mesi</v>
      </c>
      <c r="G32" s="81" t="str">
        <f>IF($N32="","",INDEX(Azioni!$I:$I,$N32)&amp;"")</f>
        <v>Approvata</v>
      </c>
      <c r="H32" s="83">
        <f>IF($N32="","",IF(INDEX(Azioni!$J:$J,$N32)="","",INDEX(Azioni!$J:$J,$N32)))</f>
        <v>46303</v>
      </c>
      <c r="I32" s="83">
        <f>IF(OR($N32="",H32=""),"",IF(OR(G32="Approvata",G32="In corso"),EDATE(H32,N(INDEX(Azioni!$G:$G,$N32))),""))</f>
        <v>46485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19</v>
      </c>
    </row>
    <row r="33" spans="1:14" x14ac:dyDescent="0.4">
      <c r="A33" s="81" t="str">
        <f>IF($N33="","",INDEX(Azioni!$A:$A,$N33)&amp;"")</f>
        <v>2026Q3</v>
      </c>
      <c r="B33" s="81" t="str">
        <f>IF($N33="","",INDEX(Azioni!$B:$B,$N33)&amp;"")</f>
        <v>NFR-02</v>
      </c>
      <c r="C33" s="81" t="str">
        <f>IF($N33="","",INDEX(Azioni!$C:$C,$N33)&amp;"")</f>
        <v>2026Q3-NFR-02-A1</v>
      </c>
      <c r="D33" s="82" t="str">
        <f>IF($N33="","",INDEX(Azioni!$D:$D,$N33)&amp;"")</f>
        <v>Chiudere i rilievi minori emersi dal test di exit strategy entro il prossimo trimestre.</v>
      </c>
      <c r="E33" s="81" t="str">
        <f>IF($N33="","",INDEX(Azioni!$E:$E,$N33)&amp;"")</f>
        <v>Funzione ICT &amp; Security Risk</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20</v>
      </c>
    </row>
    <row r="34" spans="1:14" x14ac:dyDescent="0.4">
      <c r="A34" s="81" t="str">
        <f>IF($N34="","",INDEX(Azioni!$A:$A,$N34)&amp;"")</f>
        <v>2026Q3</v>
      </c>
      <c r="B34" s="81" t="str">
        <f>IF($N34="","",INDEX(Azioni!$B:$B,$N34)&amp;"")</f>
        <v>NFR-02</v>
      </c>
      <c r="C34" s="81" t="str">
        <f>IF($N34="","",INDEX(Azioni!$C:$C,$N34)&amp;"")</f>
        <v>2026Q3-NFR-02-A2</v>
      </c>
      <c r="D34" s="82" t="str">
        <f>IF($N34="","",INDEX(Azioni!$D:$D,$N34)&amp;"")</f>
        <v>Valutare lo spostamento di un servizio critico sulla nuova region nazionale del fornitore.</v>
      </c>
      <c r="E34" s="81" t="str">
        <f>IF($N34="","",INDEX(Azioni!$E:$E,$N34)&amp;"")</f>
        <v>Direzione Sistemi Informativi</v>
      </c>
      <c r="F34" s="81" t="str">
        <f>IF($N34="","",INDEX(Azioni!$F:$F,$N34)&amp;"")</f>
        <v>12 mesi</v>
      </c>
      <c r="G34" s="81" t="str">
        <f>IF($N34="","",INDEX(Azioni!$I:$I,$N34)&amp;"")</f>
        <v>Approvata</v>
      </c>
      <c r="H34" s="83">
        <f>IF($N34="","",IF(INDEX(Azioni!$J:$J,$N34)="","",INDEX(Azioni!$J:$J,$N34)))</f>
        <v>46303</v>
      </c>
      <c r="I34" s="83">
        <f>IF(OR($N34="",H34=""),"",IF(OR(G34="Approvata",G34="In corso"),EDATE(H34,N(INDEX(Azioni!$G:$G,$N34))),""))</f>
        <v>46668</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21</v>
      </c>
    </row>
    <row r="35" spans="1:14" x14ac:dyDescent="0.4">
      <c r="A35" s="81" t="str">
        <f>IF($N35="","",INDEX(Azioni!$A:$A,$N35)&amp;"")</f>
        <v>2026Q3</v>
      </c>
      <c r="B35" s="81" t="str">
        <f>IF($N35="","",INDEX(Azioni!$B:$B,$N35)&amp;"")</f>
        <v>NFR-03</v>
      </c>
      <c r="C35" s="81" t="str">
        <f>IF($N35="","",INDEX(Azioni!$C:$C,$N35)&amp;"")</f>
        <v>2026Q3-NFR-03-A1</v>
      </c>
      <c r="D35" s="82" t="str">
        <f>IF($N35="","",INDEX(Azioni!$D:$D,$N35)&amp;"")</f>
        <v>Completare la revisione indipendente dei claim ambientali di tutti i prodotti ESG in catalogo.</v>
      </c>
      <c r="E35" s="81" t="str">
        <f>IF($N35="","",INDEX(Azioni!$E:$E,$N35)&amp;"")</f>
        <v>Funzione Compliance</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22</v>
      </c>
    </row>
    <row r="36" spans="1:14" x14ac:dyDescent="0.4">
      <c r="A36" s="81" t="str">
        <f>IF($N36="","",INDEX(Azioni!$A:$A,$N36)&amp;"")</f>
        <v>2026Q3</v>
      </c>
      <c r="B36" s="81" t="str">
        <f>IF($N36="","",INDEX(Azioni!$B:$B,$N36)&amp;"")</f>
        <v>NFR-04</v>
      </c>
      <c r="C36" s="81" t="str">
        <f>IF($N36="","",INDEX(Azioni!$C:$C,$N36)&amp;"")</f>
        <v>2026Q3-NFR-04-A1</v>
      </c>
      <c r="D36" s="82" t="str">
        <f>IF($N36="","",INDEX(Azioni!$D:$D,$N36)&amp;"")</f>
        <v>Provare i piani di continuita' delle due sedi critiche con un'esercitazione di ripartenza in sede alternativa.</v>
      </c>
      <c r="E36" s="81" t="str">
        <f>IF($N36="","",INDEX(Azioni!$E:$E,$N36)&amp;"")</f>
        <v>Funzione Business Continuity</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23</v>
      </c>
    </row>
    <row r="37" spans="1:14" x14ac:dyDescent="0.4">
      <c r="A37" s="81" t="str">
        <f>IF($N37="","",INDEX(Azioni!$A:$A,$N37)&amp;"")</f>
        <v>2026Q3</v>
      </c>
      <c r="B37" s="81" t="str">
        <f>IF($N37="","",INDEX(Azioni!$B:$B,$N37)&amp;"")</f>
        <v>NFR-05</v>
      </c>
      <c r="C37" s="81" t="str">
        <f>IF($N37="","",INDEX(Azioni!$C:$C,$N37)&amp;"")</f>
        <v>2026Q3-NFR-05-A1</v>
      </c>
      <c r="D37" s="82" t="str">
        <f>IF($N37="","",INDEX(Azioni!$D:$D,$N37)&amp;"")</f>
        <v>Monitoraggio giornaliero degli incidenti post-migrazione con escalation entro 4 ore.</v>
      </c>
      <c r="E37" s="81" t="str">
        <f>IF($N37="","",INDEX(Azioni!$E:$E,$N37)&amp;"")</f>
        <v>Funzione Operations</v>
      </c>
      <c r="F37" s="81" t="str">
        <f>IF($N37="","",INDEX(Azioni!$F:$F,$N37)&amp;"")</f>
        <v>3 mesi</v>
      </c>
      <c r="G37" s="81" t="str">
        <f>IF($N37="","",INDEX(Azioni!$I:$I,$N37)&amp;"")</f>
        <v>Approvata</v>
      </c>
      <c r="H37" s="83">
        <f>IF($N37="","",IF(INDEX(Azioni!$J:$J,$N37)="","",INDEX(Azioni!$J:$J,$N37)))</f>
        <v>46303</v>
      </c>
      <c r="I37" s="83">
        <f>IF(OR($N37="",H37=""),"",IF(OR(G37="Approvata",G37="In corso"),EDATE(H37,N(INDEX(Azioni!$G:$G,$N37))),""))</f>
        <v>46395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24</v>
      </c>
    </row>
    <row r="38" spans="1:14" x14ac:dyDescent="0.4">
      <c r="A38" s="81" t="str">
        <f>IF($N38="","",INDEX(Azioni!$A:$A,$N38)&amp;"")</f>
        <v>2026Q3</v>
      </c>
      <c r="B38" s="81" t="str">
        <f>IF($N38="","",INDEX(Azioni!$B:$B,$N38)&amp;"")</f>
        <v>NFR-06</v>
      </c>
      <c r="C38" s="81" t="str">
        <f>IF($N38="","",INDEX(Azioni!$C:$C,$N38)&amp;"")</f>
        <v>2026Q3-NFR-06-A1</v>
      </c>
      <c r="D38" s="82" t="str">
        <f>IF($N38="","",INDEX(Azioni!$D:$D,$N38)&amp;"")</f>
        <v>Completare la formazione obbligatoria sull'uso dell'AI per tutto il personale.</v>
      </c>
      <c r="E38" s="81" t="str">
        <f>IF($N38="","",INDEX(Azioni!$E:$E,$N38)&amp;"")</f>
        <v>Direzione Risorse Umane</v>
      </c>
      <c r="F38" s="81" t="str">
        <f>IF($N38="","",INDEX(Azioni!$F:$F,$N38)&amp;"")</f>
        <v>6 mesi</v>
      </c>
      <c r="G38" s="81" t="str">
        <f>IF($N38="","",INDEX(Azioni!$I:$I,$N38)&amp;"")</f>
        <v>Approvata</v>
      </c>
      <c r="H38" s="83">
        <f>IF($N38="","",IF(INDEX(Azioni!$J:$J,$N38)="","",INDEX(Azioni!$J:$J,$N38)))</f>
        <v>46303</v>
      </c>
      <c r="I38" s="83">
        <f>IF(OR($N38="",H38=""),"",IF(OR(G38="Approvata",G38="In corso"),EDATE(H38,N(INDEX(Azioni!$G:$G,$N38))),""))</f>
        <v>46485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25</v>
      </c>
    </row>
    <row r="39" spans="1:14" x14ac:dyDescent="0.4">
      <c r="A39" s="81" t="str">
        <f>IF($N39="","",INDEX(Azioni!$A:$A,$N39)&amp;"")</f>
        <v>2026Q3</v>
      </c>
      <c r="B39" s="81" t="str">
        <f>IF($N39="","",INDEX(Azioni!$B:$B,$N39)&amp;"")</f>
        <v>NFR-06</v>
      </c>
      <c r="C39" s="81" t="str">
        <f>IF($N39="","",INDEX(Azioni!$C:$C,$N39)&amp;"")</f>
        <v>2026Q3-NFR-06-A2</v>
      </c>
      <c r="D39" s="82" t="str">
        <f>IF($N39="","",INDEX(Azioni!$D:$D,$N39)&amp;"")</f>
        <v>Chiedere all'audit interno la verifica dell'estensione del DLP.</v>
      </c>
      <c r="E39" s="81" t="str">
        <f>IF($N39="","",INDEX(Azioni!$E:$E,$N39)&amp;"")</f>
        <v>Funzione Sicurezza delle Informazioni</v>
      </c>
      <c r="F39" s="81" t="str">
        <f>IF($N39="","",INDEX(Azioni!$F:$F,$N39)&amp;"")</f>
        <v>6 mesi</v>
      </c>
      <c r="G39" s="81" t="str">
        <f>IF($N39="","",INDEX(Azioni!$I:$I,$N39)&amp;"")</f>
        <v>Approvata</v>
      </c>
      <c r="H39" s="83">
        <f>IF($N39="","",IF(INDEX(Azioni!$J:$J,$N39)="","",INDEX(Azioni!$J:$J,$N39)))</f>
        <v>46303</v>
      </c>
      <c r="I39" s="83">
        <f>IF(OR($N39="",H39=""),"",IF(OR(G39="Approvata",G39="In corso"),EDATE(H39,N(INDEX(Azioni!$G:$G,$N39))),""))</f>
        <v>46485</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26</v>
      </c>
    </row>
    <row r="40" spans="1:14" x14ac:dyDescent="0.4">
      <c r="A40" s="81" t="str">
        <f>IF($N40="","",INDEX(Azioni!$A:$A,$N40)&amp;"")</f>
        <v>2026Q3</v>
      </c>
      <c r="B40" s="81" t="str">
        <f>IF($N40="","",INDEX(Azioni!$B:$B,$N40)&amp;"")</f>
        <v>NFR-07</v>
      </c>
      <c r="C40" s="81" t="str">
        <f>IF($N40="","",INDEX(Azioni!$C:$C,$N40)&amp;"")</f>
        <v>2026Q3-NFR-07-A1</v>
      </c>
      <c r="D40" s="82" t="str">
        <f>IF($N40="","",INDEX(Azioni!$D:$D,$N40)&amp;"")</f>
        <v>Inserire nel contratto con il fornitore del gateway di pagamento tempi di ripristino garantiti dopo un attacco ransomware, con penali.</v>
      </c>
      <c r="E40" s="81" t="str">
        <f>IF($N40="","",INDEX(Azioni!$E:$E,$N40)&amp;"")</f>
        <v>Funzione ICT &amp; Security Risk</v>
      </c>
      <c r="F40" s="81" t="str">
        <f>IF($N40="","",INDEX(Azioni!$F:$F,$N40)&amp;"")</f>
        <v>6 mesi</v>
      </c>
      <c r="G40" s="81" t="str">
        <f>IF($N40="","",INDEX(Azioni!$I:$I,$N40)&amp;"")</f>
        <v>Approvata</v>
      </c>
      <c r="H40" s="83">
        <f>IF($N40="","",IF(INDEX(Azioni!$J:$J,$N40)="","",INDEX(Azioni!$J:$J,$N40)))</f>
        <v>46303</v>
      </c>
      <c r="I40" s="83">
        <f>IF(OR($N40="",H40=""),"",IF(OR(G40="Approvata",G40="In corso"),EDATE(H40,N(INDEX(Azioni!$G:$G,$N40))),""))</f>
        <v>46485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27</v>
      </c>
    </row>
    <row r="41" spans="1:14" x14ac:dyDescent="0.4">
      <c r="A41" s="81" t="str">
        <f>IF($N41="","",INDEX(Azioni!$A:$A,$N41)&amp;"")</f>
        <v>2026Q3</v>
      </c>
      <c r="B41" s="81" t="str">
        <f>IF($N41="","",INDEX(Azioni!$B:$B,$N41)&amp;"")</f>
        <v>NFR-09</v>
      </c>
      <c r="C41" s="81" t="str">
        <f>IF($N41="","",INDEX(Azioni!$C:$C,$N41)&amp;"")</f>
        <v>2026Q3-NFR-09-A1</v>
      </c>
      <c r="D41" s="82" t="str">
        <f>IF($N41="","",INDEX(Azioni!$D:$D,$N41)&amp;"")</f>
        <v>Formare gli operatori dei pagamenti esteri sugli indicatori di triangolazione segnalati dalle autorita'.</v>
      </c>
      <c r="E41" s="81" t="str">
        <f>IF($N41="","",INDEX(Azioni!$E:$E,$N41)&amp;"")</f>
        <v>Funzione Compliance</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29</v>
      </c>
    </row>
    <row r="42" spans="1:14" x14ac:dyDescent="0.4">
      <c r="A42" s="81" t="str">
        <f>IF($N42="","",INDEX(Azioni!$A:$A,$N42)&amp;"")</f>
        <v>2026Q3</v>
      </c>
      <c r="B42" s="81" t="str">
        <f>IF($N42="","",INDEX(Azioni!$B:$B,$N42)&amp;"")</f>
        <v>NFR-10</v>
      </c>
      <c r="C42" s="81" t="str">
        <f>IF($N42="","",INDEX(Azioni!$C:$C,$N42)&amp;"")</f>
        <v>2026Q3-NFR-10-A1</v>
      </c>
      <c r="D42" s="82" t="str">
        <f>IF($N42="","",INDEX(Azioni!$D:$D,$N42)&amp;"")</f>
        <v>Definire i temi su cui il chatbot non risponde e passa la conversazione a un operatore (reclami, condizioni contrattuali, tassi).</v>
      </c>
      <c r="E42" s="81" t="str">
        <f>IF($N42="","",INDEX(Azioni!$E:$E,$N42)&amp;"")</f>
        <v>Funzione Customer Experience</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30</v>
      </c>
    </row>
    <row r="43" spans="1:14" x14ac:dyDescent="0.4">
      <c r="A43" s="81" t="str">
        <f>IF($N43="","",INDEX(Azioni!$A:$A,$N43)&amp;"")</f>
        <v>2026Q3</v>
      </c>
      <c r="B43" s="81" t="str">
        <f>IF($N43="","",INDEX(Azioni!$B:$B,$N43)&amp;"")</f>
        <v>NFR-11</v>
      </c>
      <c r="C43" s="81" t="str">
        <f>IF($N43="","",INDEX(Azioni!$C:$C,$N43)&amp;"")</f>
        <v>2026Q3-NFR-11-A1</v>
      </c>
      <c r="D43" s="82" t="str">
        <f>IF($N43="","",INDEX(Azioni!$D:$D,$N43)&amp;"")</f>
        <v>Isolare in un segmento di rete dedicato le componenti fuori supporto del sistema di pagamento, in attesa della sostituzione.</v>
      </c>
      <c r="E43" s="81" t="str">
        <f>IF($N43="","",INDEX(Azioni!$E:$E,$N43)&amp;"")</f>
        <v>Funzione IT Operations</v>
      </c>
      <c r="F43" s="81" t="str">
        <f>IF($N43="","",INDEX(Azioni!$F:$F,$N43)&amp;"")</f>
        <v>12 mesi</v>
      </c>
      <c r="G43" s="81" t="str">
        <f>IF($N43="","",INDEX(Azioni!$I:$I,$N43)&amp;"")</f>
        <v>Approvata</v>
      </c>
      <c r="H43" s="83">
        <f>IF($N43="","",IF(INDEX(Azioni!$J:$J,$N43)="","",INDEX(Azioni!$J:$J,$N43)))</f>
        <v>46303</v>
      </c>
      <c r="I43" s="83">
        <f>IF(OR($N43="",H43=""),"",IF(OR(G43="Approvata",G43="In corso"),EDATE(H43,N(INDEX(Azioni!$G:$G,$N43))),""))</f>
        <v>46668</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31</v>
      </c>
    </row>
    <row r="44" spans="1:14" x14ac:dyDescent="0.4">
      <c r="A44" s="81" t="str">
        <f>IF($N44="","",INDEX(Azioni!$A:$A,$N44)&amp;"")</f>
        <v>2026Q3</v>
      </c>
      <c r="B44" s="81" t="str">
        <f>IF($N44="","",INDEX(Azioni!$B:$B,$N44)&amp;"")</f>
        <v>NFR-12</v>
      </c>
      <c r="C44" s="81" t="str">
        <f>IF($N44="","",INDEX(Azioni!$C:$C,$N44)&amp;"")</f>
        <v>2026Q3-NFR-12-A1</v>
      </c>
      <c r="D44" s="82" t="str">
        <f>IF($N44="","",INDEX(Azioni!$D:$D,$N44)&amp;"")</f>
        <v>Avvisare in automatico il responsabile delle operazioni di ogni differenza di riconciliazione sui bonifici istantanei aperta a fine giornata.</v>
      </c>
      <c r="E44" s="81" t="str">
        <f>IF($N44="","",INDEX(Azioni!$E:$E,$N44)&amp;"")</f>
        <v>Funzione Operations</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32</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56" t="s">
        <v>496</v>
      </c>
      <c r="B157" s="146"/>
      <c r="C157" s="146"/>
      <c r="D157" s="146"/>
      <c r="E157" s="146"/>
      <c r="F157" s="146"/>
      <c r="G157" s="146"/>
      <c r="H157" s="146"/>
      <c r="I157" s="146"/>
      <c r="J157" s="146"/>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5" t="str">
        <f>"Horizon Scan NFR — Rischi in osservazione   ·   "&amp;etichettaCiclo</f>
        <v>Horizon Scan NFR — Rischi in osservazione   ·   Ciclo 2026Q4 · dati al 31/12/2026 · da validare · Uso interno</v>
      </c>
      <c r="B1" s="166"/>
      <c r="C1" s="166"/>
      <c r="D1" s="166"/>
      <c r="E1" s="166"/>
      <c r="F1" s="166"/>
      <c r="G1" s="166"/>
      <c r="H1" s="166"/>
      <c r="I1" s="166"/>
      <c r="J1" s="166"/>
      <c r="K1" s="166"/>
      <c r="L1" s="166"/>
      <c r="M1" s="166"/>
      <c r="N1" s="166"/>
    </row>
    <row r="2" spans="1:32" ht="45.55" customHeight="1" x14ac:dyDescent="0.4">
      <c r="A2" s="173" t="s">
        <v>497</v>
      </c>
      <c r="B2" s="146"/>
      <c r="C2" s="146"/>
      <c r="D2" s="146"/>
      <c r="E2" s="146"/>
      <c r="F2" s="146"/>
      <c r="G2" s="146"/>
      <c r="H2" s="146"/>
      <c r="I2" s="146"/>
      <c r="J2" s="146"/>
      <c r="K2" s="146"/>
      <c r="L2" s="146"/>
      <c r="M2" s="146"/>
      <c r="N2" s="146"/>
      <c r="O2" s="146"/>
    </row>
    <row r="4" spans="1:32" ht="15.9" x14ac:dyDescent="0.45">
      <c r="A4" s="141" t="s">
        <v>498</v>
      </c>
      <c r="B4" s="142"/>
      <c r="C4" s="142"/>
      <c r="D4" s="142"/>
      <c r="E4" s="142"/>
      <c r="F4" s="142"/>
      <c r="G4" s="142"/>
      <c r="H4" s="142"/>
      <c r="I4" s="142"/>
      <c r="J4" s="142"/>
      <c r="K4" s="142"/>
      <c r="L4" s="142"/>
      <c r="M4" s="142"/>
      <c r="N4" s="142"/>
      <c r="P4" s="141" t="s">
        <v>499</v>
      </c>
      <c r="Q4" s="142"/>
      <c r="R4" s="142"/>
      <c r="S4" s="142"/>
      <c r="T4" s="142"/>
      <c r="U4" s="142"/>
      <c r="V4" s="142"/>
      <c r="W4" s="142"/>
      <c r="X4" s="142"/>
      <c r="Y4" s="142"/>
      <c r="Z4" s="142"/>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Da validare</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Da validare</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41" t="s">
        <v>509</v>
      </c>
      <c r="Q16" s="142"/>
      <c r="R16" s="142"/>
      <c r="S16" s="142"/>
      <c r="T16" s="142"/>
      <c r="U16" s="142"/>
      <c r="V16" s="142"/>
      <c r="W16" s="142"/>
      <c r="X16" s="142"/>
      <c r="Y16" s="142"/>
      <c r="Z16" s="142"/>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41" t="s">
        <v>510</v>
      </c>
      <c r="B27" s="142"/>
      <c r="C27" s="142"/>
      <c r="D27" s="142"/>
      <c r="E27" s="142"/>
      <c r="F27" s="142"/>
      <c r="G27" s="142"/>
      <c r="H27" s="142"/>
      <c r="I27" s="142"/>
      <c r="J27" s="142"/>
      <c r="K27" s="142"/>
      <c r="L27" s="142"/>
      <c r="M27" s="142"/>
      <c r="N27" s="142"/>
      <c r="P27" s="156" t="s">
        <v>511</v>
      </c>
      <c r="Q27" s="146"/>
      <c r="R27" s="146"/>
      <c r="S27" s="146"/>
      <c r="T27" s="146"/>
      <c r="U27" s="146"/>
      <c r="V27" s="146"/>
      <c r="W27" s="146"/>
      <c r="X27" s="146"/>
      <c r="Y27" s="146"/>
      <c r="Z27" s="146"/>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6"/>
      <c r="L28" s="146"/>
      <c r="M28" s="146"/>
      <c r="N28" s="146"/>
      <c r="P28" s="146"/>
      <c r="Q28" s="146"/>
      <c r="R28" s="146"/>
      <c r="S28" s="146"/>
      <c r="T28" s="146"/>
      <c r="U28" s="146"/>
      <c r="V28" s="146"/>
      <c r="W28" s="146"/>
      <c r="X28" s="146"/>
      <c r="Y28" s="146"/>
      <c r="Z28" s="146"/>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6"/>
      <c r="Q29" s="146"/>
      <c r="R29" s="146"/>
      <c r="S29" s="146"/>
      <c r="T29" s="146"/>
      <c r="U29" s="146"/>
      <c r="V29" s="146"/>
      <c r="W29" s="146"/>
      <c r="X29" s="146"/>
      <c r="Y29" s="146"/>
      <c r="Z29" s="146"/>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56" t="s">
        <v>513</v>
      </c>
      <c r="B40" s="146"/>
      <c r="C40" s="146"/>
      <c r="D40" s="146"/>
      <c r="E40" s="146"/>
      <c r="F40" s="146"/>
      <c r="G40" s="146"/>
      <c r="H40" s="146"/>
      <c r="I40" s="146"/>
      <c r="J40" s="146"/>
      <c r="K40" s="146"/>
      <c r="L40" s="146"/>
      <c r="M40" s="146"/>
      <c r="N40" s="146"/>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5" t="str">
        <f>"Horizon Scan NFR — Validazione: una riga per rischio (nel radar o in osservazione), KRI, azione e notizia   ·   "&amp;etichettaCiclo</f>
        <v>Horizon Scan NFR — Validazione: una riga per rischio (nel radar o in osservazione), KRI, azione e notizia   ·   Ciclo 2026Q4 · dati al 31/12/2026 · da validare · Uso interno</v>
      </c>
      <c r="B1" s="166"/>
      <c r="C1" s="166"/>
      <c r="D1" s="166"/>
      <c r="E1" s="166"/>
      <c r="F1" s="166"/>
      <c r="G1" s="166"/>
      <c r="H1" s="166"/>
      <c r="I1" s="166"/>
      <c r="J1" s="166"/>
      <c r="K1" s="166"/>
      <c r="L1" s="166"/>
      <c r="M1" s="166"/>
      <c r="N1" s="166"/>
      <c r="O1" s="166"/>
    </row>
    <row r="2" spans="1:25" ht="180.55" customHeight="1" x14ac:dyDescent="0.4">
      <c r="A2" s="198" t="s">
        <v>514</v>
      </c>
      <c r="B2" s="146"/>
      <c r="C2" s="146"/>
      <c r="D2" s="146"/>
      <c r="E2" s="146"/>
      <c r="F2" s="146"/>
      <c r="G2" s="146"/>
      <c r="H2" s="146"/>
      <c r="I2" s="146"/>
      <c r="J2" s="146"/>
      <c r="K2" s="146"/>
      <c r="L2" s="146"/>
      <c r="M2" s="146"/>
      <c r="N2" s="146"/>
      <c r="O2" s="146"/>
    </row>
    <row r="3" spans="1:25" ht="22" customHeight="1" x14ac:dyDescent="0.4">
      <c r="A3" s="211" t="s">
        <v>1780</v>
      </c>
      <c r="B3" s="172"/>
      <c r="C3" s="172"/>
      <c r="D3" s="172"/>
      <c r="E3" s="172"/>
      <c r="F3" s="172"/>
      <c r="G3" s="172"/>
      <c r="H3" s="172"/>
      <c r="I3" s="172"/>
      <c r="J3" s="172"/>
      <c r="K3" s="172"/>
      <c r="L3" s="172"/>
      <c r="M3" s="172"/>
      <c r="N3" s="172"/>
      <c r="O3" s="172"/>
    </row>
    <row r="5" spans="1:25" ht="15.9" x14ac:dyDescent="0.45">
      <c r="A5" s="207" t="s">
        <v>1777</v>
      </c>
      <c r="B5" s="142"/>
      <c r="C5" s="142"/>
      <c r="D5" s="142"/>
      <c r="E5" s="142"/>
      <c r="F5" s="142"/>
      <c r="G5" s="142"/>
      <c r="H5" s="142"/>
      <c r="I5" s="142"/>
      <c r="J5" s="142"/>
      <c r="K5" s="142"/>
      <c r="L5" s="142"/>
      <c r="M5" s="142"/>
      <c r="N5" s="142"/>
      <c r="O5" s="142"/>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customHeight="1" x14ac:dyDescent="0.4">
      <c r="A7" s="132" t="s">
        <v>554</v>
      </c>
      <c r="B7" s="133" t="s">
        <v>555</v>
      </c>
      <c r="C7" s="99">
        <v>4</v>
      </c>
      <c r="D7" s="100">
        <v>4</v>
      </c>
      <c r="E7" s="99">
        <v>4</v>
      </c>
      <c r="F7" s="100">
        <v>4</v>
      </c>
      <c r="G7" s="99">
        <v>5</v>
      </c>
      <c r="H7" s="100">
        <v>5</v>
      </c>
      <c r="I7" s="99">
        <v>5</v>
      </c>
      <c r="J7" s="100">
        <v>5</v>
      </c>
      <c r="K7" s="135" t="s">
        <v>691</v>
      </c>
      <c r="L7" s="100"/>
      <c r="M7" s="101"/>
      <c r="N7" s="102" t="str">
        <f t="shared" ref="N7:N26" si="0">IF(NOT(ISNUMBER($U7)),"",FIXED($U7,2)&amp;IF(AND(ISNUMBER($V7),$V7&lt;&gt;$U7),"  (era "&amp;FIXED($V7,2)&amp;")",""))</f>
        <v>4,40</v>
      </c>
      <c r="O7" s="103" t="str">
        <f t="shared" ref="O7:O26" si="1">IF(NOT(ISNUMBER($S7)),"",IF($S7&lt;0,"AGIRE ORA",IF($S7&lt;1,"Entro l'anno","Margine"))&amp;" · "&amp;FIXED($S7,2)&amp;IF(AND(ISNUMBER($T7),ROUND($T7,2)&lt;&gt;ROUND($S7,2)),"  (era "&amp;FIXED($T7,2)&amp;")",""))</f>
        <v>AGIRE ORA · -0,50</v>
      </c>
      <c r="P7" s="104"/>
      <c r="Q7" s="134" t="s">
        <v>1651</v>
      </c>
      <c r="S7">
        <f t="shared" ref="S7:S26" si="2">IFERROR(IF(NOT(ISNUMBER($H7)),"",INDEX(anniProssimita,$H7)-(moscaX+MAX(IF(COUNTIFS($R$113:$R$212,$A7,$Q$113:$Q$212,$Q7,$S$113:$S$212,"&gt;0")=0,moscaYDefault,_xlfn.MAXIFS($S$113:$S$212,$R$113:$R$212,$A7,$Q$113:$Q$212,$Q7)/12),IF(ISNUMBER($L7),$L7,IFERROR(N(INDEX(ANA_Anni_Adeguamento,MATCH($A7,ANA_ID,0))),0))))),"")</f>
        <v>-0.5</v>
      </c>
      <c r="T7">
        <f t="shared" ref="T7:T26" si="3">IFERROR(IF(NOT(ISNUMBER($G7)),"",INDEX(anniProssimita,$G7)-(moscaX+MAX(IF(COUNTIFS($R$113:$R$212,$A7,$Q$113:$Q$212,$Q7,$T$113:$T$212,"&gt;0")=0,moscaYDefault,_xlfn.MAXIFS($T$113:$T$212,$R$113:$R$212,$A7,$Q$113:$Q$212,$Q7)/12),IF(ISNUMBER($K7),$K7,IFERROR(N(INDEX(ANA_Anni_Adeguamento,MATCH($A7,ANA_ID,0))),0))))),"")</f>
        <v>-0.5</v>
      </c>
      <c r="U7">
        <f t="shared" ref="U7:U26" si="4">IFERROR(IF(COUNT($D7,$F7,$H7)&lt;3,"",ROUND((pesoImpatto*$D7+pesoProbabilita*$F7+pesoProssimita*$H7+IF(ISNUMBER($J7),pesoVelocity*$J7,0))/(pesoImpatto+pesoProbabilita+pesoProssimita+IF(ISNUMBER($J7),pesoVelocity,0)),2)),"")</f>
        <v>4.4000000000000004</v>
      </c>
      <c r="V7">
        <f t="shared" ref="V7:V26" si="5">IFERROR(IF(COUNT($C7,$E7,$G7)&lt;3,"",ROUND((pesoImpatto*$C7+pesoProbabilita*$E7+pesoProssimita*$G7+IF(ISNUMBER($I7),pesoVelocity*$I7,0))/(pesoImpatto+pesoProbabilita+pesoProssimita+IF(ISNUMBER($I7),pesoVelocity,0)),2)),"")</f>
        <v>4.4000000000000004</v>
      </c>
      <c r="W7" s="137" t="s">
        <v>1765</v>
      </c>
      <c r="X7" s="135" t="s">
        <v>776</v>
      </c>
      <c r="Y7" s="136" t="s">
        <v>776</v>
      </c>
    </row>
    <row r="8" spans="1:25" ht="27.65" customHeight="1" x14ac:dyDescent="0.4">
      <c r="A8" s="132" t="s">
        <v>560</v>
      </c>
      <c r="B8" s="133" t="s">
        <v>561</v>
      </c>
      <c r="C8" s="99">
        <v>4</v>
      </c>
      <c r="D8" s="100">
        <v>4</v>
      </c>
      <c r="E8" s="99">
        <v>2</v>
      </c>
      <c r="F8" s="100">
        <v>2</v>
      </c>
      <c r="G8" s="99">
        <v>3</v>
      </c>
      <c r="H8" s="100">
        <v>3</v>
      </c>
      <c r="I8" s="99">
        <v>4</v>
      </c>
      <c r="J8" s="100">
        <v>4</v>
      </c>
      <c r="K8" s="135" t="s">
        <v>691</v>
      </c>
      <c r="L8" s="100"/>
      <c r="M8" s="101"/>
      <c r="N8" s="102" t="str">
        <f t="shared" si="0"/>
        <v>3,30</v>
      </c>
      <c r="O8" s="103" t="str">
        <f t="shared" si="1"/>
        <v>Margine · 1,00</v>
      </c>
      <c r="P8" s="137"/>
      <c r="Q8" s="134" t="s">
        <v>1651</v>
      </c>
      <c r="S8">
        <f t="shared" si="2"/>
        <v>1</v>
      </c>
      <c r="T8">
        <f t="shared" si="3"/>
        <v>1</v>
      </c>
      <c r="U8">
        <f t="shared" si="4"/>
        <v>3.3</v>
      </c>
      <c r="V8">
        <f t="shared" si="5"/>
        <v>3.3</v>
      </c>
      <c r="W8" s="137" t="s">
        <v>1766</v>
      </c>
      <c r="X8" s="135" t="s">
        <v>776</v>
      </c>
      <c r="Y8" s="136" t="s">
        <v>776</v>
      </c>
    </row>
    <row r="9" spans="1:25" ht="24" customHeight="1" x14ac:dyDescent="0.4">
      <c r="A9" s="132" t="s">
        <v>566</v>
      </c>
      <c r="B9" s="133" t="s">
        <v>567</v>
      </c>
      <c r="C9" s="99">
        <v>3</v>
      </c>
      <c r="D9" s="100">
        <v>3</v>
      </c>
      <c r="E9" s="99">
        <v>3</v>
      </c>
      <c r="F9" s="100">
        <v>3</v>
      </c>
      <c r="G9" s="99">
        <v>4</v>
      </c>
      <c r="H9" s="100">
        <v>4</v>
      </c>
      <c r="I9" s="99">
        <v>2</v>
      </c>
      <c r="J9" s="100">
        <v>2</v>
      </c>
      <c r="K9" s="135" t="s">
        <v>691</v>
      </c>
      <c r="L9" s="100"/>
      <c r="M9" s="101"/>
      <c r="N9" s="102" t="str">
        <f t="shared" si="0"/>
        <v>3,00</v>
      </c>
      <c r="O9" s="103" t="str">
        <f t="shared" si="1"/>
        <v>Entro l'anno · 0,00</v>
      </c>
      <c r="P9" s="104"/>
      <c r="Q9" s="134" t="s">
        <v>1651</v>
      </c>
      <c r="S9">
        <f t="shared" si="2"/>
        <v>0</v>
      </c>
      <c r="T9">
        <f t="shared" si="3"/>
        <v>0</v>
      </c>
      <c r="U9">
        <f t="shared" si="4"/>
        <v>3</v>
      </c>
      <c r="V9">
        <f t="shared" si="5"/>
        <v>3</v>
      </c>
      <c r="W9" s="137" t="s">
        <v>1767</v>
      </c>
      <c r="X9" s="135" t="s">
        <v>776</v>
      </c>
      <c r="Y9" s="136" t="s">
        <v>776</v>
      </c>
    </row>
    <row r="10" spans="1:25" ht="24" customHeight="1" x14ac:dyDescent="0.4">
      <c r="A10" s="132" t="s">
        <v>572</v>
      </c>
      <c r="B10" s="133" t="s">
        <v>573</v>
      </c>
      <c r="C10" s="99">
        <v>3</v>
      </c>
      <c r="D10" s="100">
        <v>3</v>
      </c>
      <c r="E10" s="99">
        <v>3</v>
      </c>
      <c r="F10" s="100">
        <v>3</v>
      </c>
      <c r="G10" s="99">
        <v>3</v>
      </c>
      <c r="H10" s="100">
        <v>3</v>
      </c>
      <c r="I10" s="99">
        <v>2</v>
      </c>
      <c r="J10" s="100">
        <v>2</v>
      </c>
      <c r="K10" s="135" t="s">
        <v>691</v>
      </c>
      <c r="L10" s="100"/>
      <c r="M10" s="101"/>
      <c r="N10" s="102" t="str">
        <f t="shared" si="0"/>
        <v>2,80</v>
      </c>
      <c r="O10" s="103" t="str">
        <f t="shared" si="1"/>
        <v>Entro l'anno · 0,75</v>
      </c>
      <c r="P10" s="104"/>
      <c r="Q10" s="134" t="s">
        <v>1651</v>
      </c>
      <c r="S10">
        <f t="shared" si="2"/>
        <v>0.75</v>
      </c>
      <c r="T10">
        <f t="shared" si="3"/>
        <v>0.75</v>
      </c>
      <c r="U10">
        <f t="shared" si="4"/>
        <v>2.8</v>
      </c>
      <c r="V10">
        <f t="shared" si="5"/>
        <v>2.8</v>
      </c>
      <c r="W10" s="137" t="s">
        <v>1768</v>
      </c>
      <c r="X10" s="135" t="s">
        <v>776</v>
      </c>
      <c r="Y10" s="136" t="s">
        <v>776</v>
      </c>
    </row>
    <row r="11" spans="1:25" ht="24" customHeight="1" x14ac:dyDescent="0.4">
      <c r="A11" s="132" t="s">
        <v>576</v>
      </c>
      <c r="B11" s="133" t="s">
        <v>577</v>
      </c>
      <c r="C11" s="99">
        <v>3</v>
      </c>
      <c r="D11" s="100">
        <v>3</v>
      </c>
      <c r="E11" s="99">
        <v>3</v>
      </c>
      <c r="F11" s="100">
        <v>3</v>
      </c>
      <c r="G11" s="99">
        <v>3</v>
      </c>
      <c r="H11" s="100">
        <v>3</v>
      </c>
      <c r="I11" s="99">
        <v>3</v>
      </c>
      <c r="J11" s="100">
        <v>3</v>
      </c>
      <c r="K11" s="135" t="s">
        <v>691</v>
      </c>
      <c r="L11" s="100"/>
      <c r="M11" s="101"/>
      <c r="N11" s="102" t="str">
        <f t="shared" si="0"/>
        <v>3,00</v>
      </c>
      <c r="O11" s="103" t="str">
        <f t="shared" si="1"/>
        <v>Margine · 1,00</v>
      </c>
      <c r="P11" s="104"/>
      <c r="Q11" s="134" t="s">
        <v>1651</v>
      </c>
      <c r="S11">
        <f t="shared" si="2"/>
        <v>1</v>
      </c>
      <c r="T11">
        <f t="shared" si="3"/>
        <v>1</v>
      </c>
      <c r="U11">
        <f t="shared" si="4"/>
        <v>3</v>
      </c>
      <c r="V11">
        <f t="shared" si="5"/>
        <v>3</v>
      </c>
      <c r="W11" s="137" t="s">
        <v>1768</v>
      </c>
      <c r="X11" s="135" t="s">
        <v>776</v>
      </c>
      <c r="Y11" s="136" t="s">
        <v>776</v>
      </c>
    </row>
    <row r="12" spans="1:25" ht="30.35" customHeight="1" x14ac:dyDescent="0.4">
      <c r="A12" s="132" t="s">
        <v>581</v>
      </c>
      <c r="B12" s="133" t="s">
        <v>582</v>
      </c>
      <c r="C12" s="99">
        <v>3</v>
      </c>
      <c r="D12" s="100">
        <v>3</v>
      </c>
      <c r="E12" s="99">
        <v>3</v>
      </c>
      <c r="F12" s="100">
        <v>3</v>
      </c>
      <c r="G12" s="99">
        <v>3</v>
      </c>
      <c r="H12" s="100">
        <v>3</v>
      </c>
      <c r="I12" s="99">
        <v>3</v>
      </c>
      <c r="J12" s="100">
        <v>3</v>
      </c>
      <c r="K12" s="135" t="s">
        <v>691</v>
      </c>
      <c r="L12" s="100"/>
      <c r="M12" s="101"/>
      <c r="N12" s="102" t="str">
        <f t="shared" si="0"/>
        <v>3,00</v>
      </c>
      <c r="O12" s="103" t="str">
        <f t="shared" si="1"/>
        <v>Entro l'anno · 0,25</v>
      </c>
      <c r="P12" s="137"/>
      <c r="Q12" s="134" t="s">
        <v>1651</v>
      </c>
      <c r="S12">
        <f t="shared" si="2"/>
        <v>0.25</v>
      </c>
      <c r="T12">
        <f t="shared" si="3"/>
        <v>0.25</v>
      </c>
      <c r="U12">
        <f t="shared" si="4"/>
        <v>3</v>
      </c>
      <c r="V12">
        <f t="shared" si="5"/>
        <v>3</v>
      </c>
      <c r="W12" s="137" t="s">
        <v>1768</v>
      </c>
      <c r="X12" s="135" t="s">
        <v>776</v>
      </c>
      <c r="Y12" s="136" t="s">
        <v>776</v>
      </c>
    </row>
    <row r="13" spans="1:25" ht="27.65" customHeight="1" x14ac:dyDescent="0.4">
      <c r="A13" s="132" t="s">
        <v>587</v>
      </c>
      <c r="B13" s="133" t="s">
        <v>588</v>
      </c>
      <c r="C13" s="99">
        <v>4</v>
      </c>
      <c r="D13" s="100">
        <v>4</v>
      </c>
      <c r="E13" s="99">
        <v>3</v>
      </c>
      <c r="F13" s="100">
        <v>3</v>
      </c>
      <c r="G13" s="99">
        <v>3</v>
      </c>
      <c r="H13" s="100">
        <v>3</v>
      </c>
      <c r="I13" s="99">
        <v>5</v>
      </c>
      <c r="J13" s="100">
        <v>5</v>
      </c>
      <c r="K13" s="135" t="s">
        <v>691</v>
      </c>
      <c r="L13" s="100"/>
      <c r="M13" s="101"/>
      <c r="N13" s="102" t="str">
        <f t="shared" si="0"/>
        <v>3,75</v>
      </c>
      <c r="O13" s="103" t="str">
        <f t="shared" si="1"/>
        <v>Entro l'anno · 0,75</v>
      </c>
      <c r="P13" s="104"/>
      <c r="Q13" s="134" t="s">
        <v>1651</v>
      </c>
      <c r="S13">
        <f t="shared" si="2"/>
        <v>0.75</v>
      </c>
      <c r="T13">
        <f t="shared" si="3"/>
        <v>0.75</v>
      </c>
      <c r="U13">
        <f t="shared" si="4"/>
        <v>3.75</v>
      </c>
      <c r="V13">
        <f t="shared" si="5"/>
        <v>3.75</v>
      </c>
      <c r="W13" s="137" t="s">
        <v>1769</v>
      </c>
      <c r="X13" s="135" t="s">
        <v>776</v>
      </c>
      <c r="Y13" s="136" t="s">
        <v>776</v>
      </c>
    </row>
    <row r="14" spans="1:25" ht="24" customHeight="1" x14ac:dyDescent="0.4">
      <c r="A14" s="132" t="s">
        <v>591</v>
      </c>
      <c r="B14" s="133" t="s">
        <v>592</v>
      </c>
      <c r="C14" s="99">
        <v>3</v>
      </c>
      <c r="D14" s="100">
        <v>3</v>
      </c>
      <c r="E14" s="99">
        <v>2</v>
      </c>
      <c r="F14" s="100">
        <v>2</v>
      </c>
      <c r="G14" s="99">
        <v>3</v>
      </c>
      <c r="H14" s="100">
        <v>3</v>
      </c>
      <c r="I14" s="99">
        <v>3</v>
      </c>
      <c r="J14" s="100">
        <v>3</v>
      </c>
      <c r="K14" s="135" t="s">
        <v>691</v>
      </c>
      <c r="L14" s="100"/>
      <c r="M14" s="101"/>
      <c r="N14" s="102" t="str">
        <f t="shared" si="0"/>
        <v>2,75</v>
      </c>
      <c r="O14" s="103" t="str">
        <f t="shared" si="1"/>
        <v>Margine · 1,00</v>
      </c>
      <c r="P14" s="104"/>
      <c r="Q14" s="134" t="s">
        <v>1651</v>
      </c>
      <c r="S14">
        <f t="shared" si="2"/>
        <v>1</v>
      </c>
      <c r="T14">
        <f t="shared" si="3"/>
        <v>1</v>
      </c>
      <c r="U14">
        <f t="shared" si="4"/>
        <v>2.75</v>
      </c>
      <c r="V14">
        <f t="shared" si="5"/>
        <v>2.75</v>
      </c>
      <c r="W14" s="137" t="s">
        <v>1770</v>
      </c>
      <c r="X14" s="135" t="s">
        <v>776</v>
      </c>
      <c r="Y14" s="136" t="s">
        <v>776</v>
      </c>
    </row>
    <row r="15" spans="1:25" ht="30.35" customHeight="1" x14ac:dyDescent="0.4">
      <c r="A15" s="132" t="s">
        <v>595</v>
      </c>
      <c r="B15" s="133" t="s">
        <v>596</v>
      </c>
      <c r="C15" s="99">
        <v>4</v>
      </c>
      <c r="D15" s="100">
        <v>4</v>
      </c>
      <c r="E15" s="99">
        <v>2</v>
      </c>
      <c r="F15" s="100">
        <v>2</v>
      </c>
      <c r="G15" s="99">
        <v>2</v>
      </c>
      <c r="H15" s="100">
        <v>2</v>
      </c>
      <c r="I15" s="99">
        <v>3</v>
      </c>
      <c r="J15" s="100">
        <v>3</v>
      </c>
      <c r="K15" s="135" t="s">
        <v>691</v>
      </c>
      <c r="L15" s="100"/>
      <c r="M15" s="101"/>
      <c r="N15" s="102" t="str">
        <f t="shared" si="0"/>
        <v>2,90</v>
      </c>
      <c r="O15" s="103" t="str">
        <f t="shared" si="1"/>
        <v>Margine · 1,25</v>
      </c>
      <c r="P15" s="104"/>
      <c r="Q15" s="134" t="s">
        <v>1651</v>
      </c>
      <c r="S15">
        <f t="shared" si="2"/>
        <v>1.25</v>
      </c>
      <c r="T15">
        <f t="shared" si="3"/>
        <v>1.25</v>
      </c>
      <c r="U15">
        <f t="shared" si="4"/>
        <v>2.9</v>
      </c>
      <c r="V15">
        <f t="shared" si="5"/>
        <v>2.9</v>
      </c>
      <c r="W15" s="137" t="s">
        <v>1771</v>
      </c>
      <c r="X15" s="135" t="s">
        <v>776</v>
      </c>
      <c r="Y15" s="136" t="s">
        <v>776</v>
      </c>
    </row>
    <row r="16" spans="1:25" ht="30.35" customHeight="1" x14ac:dyDescent="0.4">
      <c r="A16" s="132" t="s">
        <v>598</v>
      </c>
      <c r="B16" s="133" t="s">
        <v>599</v>
      </c>
      <c r="C16" s="99">
        <v>3</v>
      </c>
      <c r="D16" s="100">
        <v>3</v>
      </c>
      <c r="E16" s="99">
        <v>3</v>
      </c>
      <c r="F16" s="100">
        <v>3</v>
      </c>
      <c r="G16" s="99">
        <v>3</v>
      </c>
      <c r="H16" s="100">
        <v>3</v>
      </c>
      <c r="I16" s="135">
        <v>3</v>
      </c>
      <c r="J16" s="100">
        <v>3</v>
      </c>
      <c r="K16" s="135" t="s">
        <v>691</v>
      </c>
      <c r="L16" s="100"/>
      <c r="M16" s="101"/>
      <c r="N16" s="102" t="str">
        <f t="shared" si="0"/>
        <v>3,00</v>
      </c>
      <c r="O16" s="103" t="str">
        <f t="shared" si="1"/>
        <v>Margine · 1,00</v>
      </c>
      <c r="P16" s="104"/>
      <c r="Q16" s="134" t="s">
        <v>1651</v>
      </c>
      <c r="S16">
        <f t="shared" si="2"/>
        <v>1</v>
      </c>
      <c r="T16">
        <f t="shared" si="3"/>
        <v>1</v>
      </c>
      <c r="U16">
        <f t="shared" si="4"/>
        <v>3</v>
      </c>
      <c r="V16">
        <f t="shared" si="5"/>
        <v>3</v>
      </c>
      <c r="W16" s="137" t="s">
        <v>1768</v>
      </c>
      <c r="X16" s="135" t="s">
        <v>776</v>
      </c>
      <c r="Y16" s="136" t="s">
        <v>776</v>
      </c>
    </row>
    <row r="17" spans="1:25" ht="27.65" customHeight="1" x14ac:dyDescent="0.4">
      <c r="A17" s="132" t="s">
        <v>604</v>
      </c>
      <c r="B17" s="133" t="s">
        <v>605</v>
      </c>
      <c r="C17" s="99">
        <v>3</v>
      </c>
      <c r="D17" s="100">
        <v>3</v>
      </c>
      <c r="E17" s="99">
        <v>3</v>
      </c>
      <c r="F17" s="100">
        <v>3</v>
      </c>
      <c r="G17" s="99">
        <v>3</v>
      </c>
      <c r="H17" s="100">
        <v>3</v>
      </c>
      <c r="I17" s="99">
        <v>2</v>
      </c>
      <c r="J17" s="100">
        <v>2</v>
      </c>
      <c r="K17" s="99">
        <v>3</v>
      </c>
      <c r="L17" s="100">
        <v>3</v>
      </c>
      <c r="M17" s="101"/>
      <c r="N17" s="102" t="str">
        <f t="shared" si="0"/>
        <v>2,80</v>
      </c>
      <c r="O17" s="103" t="str">
        <f t="shared" si="1"/>
        <v>AGIRE ORA · -1,75</v>
      </c>
      <c r="P17" s="104"/>
      <c r="Q17" s="134" t="s">
        <v>1651</v>
      </c>
      <c r="S17">
        <f t="shared" si="2"/>
        <v>-1.75</v>
      </c>
      <c r="T17">
        <f t="shared" si="3"/>
        <v>-1.75</v>
      </c>
      <c r="U17">
        <f t="shared" si="4"/>
        <v>2.8</v>
      </c>
      <c r="V17">
        <f t="shared" si="5"/>
        <v>2.8</v>
      </c>
      <c r="W17" s="137" t="s">
        <v>1772</v>
      </c>
      <c r="X17" s="135" t="s">
        <v>776</v>
      </c>
      <c r="Y17" s="136" t="s">
        <v>776</v>
      </c>
    </row>
    <row r="18" spans="1:25" ht="24" customHeight="1" x14ac:dyDescent="0.4">
      <c r="A18" s="132" t="s">
        <v>611</v>
      </c>
      <c r="B18" s="133" t="s">
        <v>612</v>
      </c>
      <c r="C18" s="99">
        <v>3</v>
      </c>
      <c r="D18" s="100">
        <v>3</v>
      </c>
      <c r="E18" s="99">
        <v>4</v>
      </c>
      <c r="F18" s="100">
        <v>4</v>
      </c>
      <c r="G18" s="99">
        <v>4</v>
      </c>
      <c r="H18" s="100">
        <v>4</v>
      </c>
      <c r="I18" s="99">
        <v>4</v>
      </c>
      <c r="J18" s="100">
        <v>4</v>
      </c>
      <c r="K18" s="135" t="s">
        <v>691</v>
      </c>
      <c r="L18" s="100"/>
      <c r="M18" s="101"/>
      <c r="N18" s="102" t="str">
        <f t="shared" si="0"/>
        <v>3,65</v>
      </c>
      <c r="O18" s="103" t="str">
        <f t="shared" si="1"/>
        <v>Entro l'anno · 0,00</v>
      </c>
      <c r="P18" s="104"/>
      <c r="Q18" s="134" t="s">
        <v>1651</v>
      </c>
      <c r="S18">
        <f t="shared" si="2"/>
        <v>0</v>
      </c>
      <c r="T18">
        <f t="shared" si="3"/>
        <v>0</v>
      </c>
      <c r="U18">
        <f t="shared" si="4"/>
        <v>3.65</v>
      </c>
      <c r="V18">
        <f t="shared" si="5"/>
        <v>3.65</v>
      </c>
      <c r="W18" s="137" t="s">
        <v>1773</v>
      </c>
      <c r="X18" s="135" t="s">
        <v>776</v>
      </c>
      <c r="Y18" s="136" t="s">
        <v>776</v>
      </c>
    </row>
    <row r="19" spans="1:25" ht="24" customHeight="1" x14ac:dyDescent="0.4">
      <c r="A19" s="132" t="s">
        <v>1567</v>
      </c>
      <c r="B19" s="133" t="s">
        <v>1568</v>
      </c>
      <c r="C19" s="99">
        <v>3</v>
      </c>
      <c r="D19" s="100">
        <v>3</v>
      </c>
      <c r="E19" s="99">
        <v>3</v>
      </c>
      <c r="F19" s="100">
        <v>3</v>
      </c>
      <c r="G19" s="99">
        <v>2</v>
      </c>
      <c r="H19" s="100">
        <v>2</v>
      </c>
      <c r="I19" s="135">
        <v>3</v>
      </c>
      <c r="J19" s="100">
        <v>3</v>
      </c>
      <c r="K19" s="135" t="s">
        <v>691</v>
      </c>
      <c r="L19" s="100"/>
      <c r="M19" s="101"/>
      <c r="N19" s="102" t="str">
        <f t="shared" si="0"/>
        <v>2,80</v>
      </c>
      <c r="O19" s="103" t="str">
        <f t="shared" si="1"/>
        <v>Margine · 1,75</v>
      </c>
      <c r="P19" s="104"/>
      <c r="Q19" s="134" t="s">
        <v>1651</v>
      </c>
      <c r="S19">
        <f t="shared" si="2"/>
        <v>1.75</v>
      </c>
      <c r="T19">
        <f t="shared" si="3"/>
        <v>1.75</v>
      </c>
      <c r="U19">
        <f t="shared" si="4"/>
        <v>2.8</v>
      </c>
      <c r="V19">
        <f t="shared" si="5"/>
        <v>2.8</v>
      </c>
      <c r="W19" s="137" t="s">
        <v>1774</v>
      </c>
      <c r="X19" s="135" t="s">
        <v>776</v>
      </c>
      <c r="Y19" s="136" t="s">
        <v>776</v>
      </c>
    </row>
    <row r="20" spans="1:25" ht="24" customHeight="1" x14ac:dyDescent="0.4">
      <c r="A20" s="132" t="s">
        <v>1190</v>
      </c>
      <c r="B20" s="133" t="s">
        <v>1191</v>
      </c>
      <c r="C20" s="99">
        <v>4</v>
      </c>
      <c r="D20" s="100">
        <v>4</v>
      </c>
      <c r="E20" s="99">
        <v>3</v>
      </c>
      <c r="F20" s="100">
        <v>3</v>
      </c>
      <c r="G20" s="99">
        <v>1</v>
      </c>
      <c r="H20" s="100">
        <v>1</v>
      </c>
      <c r="I20" s="99">
        <v>4</v>
      </c>
      <c r="J20" s="100">
        <v>4</v>
      </c>
      <c r="K20" s="135" t="s">
        <v>691</v>
      </c>
      <c r="L20" s="100"/>
      <c r="M20" s="101"/>
      <c r="N20" s="102" t="str">
        <f t="shared" si="0"/>
        <v>3,15</v>
      </c>
      <c r="O20" s="103" t="str">
        <f t="shared" si="1"/>
        <v>Margine · 2,25</v>
      </c>
      <c r="P20" s="104"/>
      <c r="Q20" s="134" t="s">
        <v>1651</v>
      </c>
      <c r="S20">
        <f t="shared" si="2"/>
        <v>2.25</v>
      </c>
      <c r="T20">
        <f t="shared" si="3"/>
        <v>2.25</v>
      </c>
      <c r="U20">
        <f t="shared" si="4"/>
        <v>3.15</v>
      </c>
      <c r="V20">
        <f t="shared" si="5"/>
        <v>3.15</v>
      </c>
      <c r="W20" s="137" t="s">
        <v>1775</v>
      </c>
      <c r="X20" s="135" t="s">
        <v>776</v>
      </c>
      <c r="Y20" s="136" t="s">
        <v>776</v>
      </c>
    </row>
    <row r="21" spans="1:25" ht="30.35" customHeight="1" x14ac:dyDescent="0.4">
      <c r="A21" s="132" t="s">
        <v>1182</v>
      </c>
      <c r="B21" s="133" t="s">
        <v>1183</v>
      </c>
      <c r="C21" s="99">
        <v>5</v>
      </c>
      <c r="D21" s="100">
        <v>5</v>
      </c>
      <c r="E21" s="99">
        <v>1</v>
      </c>
      <c r="F21" s="100">
        <v>1</v>
      </c>
      <c r="G21" s="99">
        <v>1</v>
      </c>
      <c r="H21" s="100">
        <v>1</v>
      </c>
      <c r="I21" s="135" t="s">
        <v>1764</v>
      </c>
      <c r="J21" s="100"/>
      <c r="K21" s="135" t="s">
        <v>691</v>
      </c>
      <c r="L21" s="100"/>
      <c r="M21" s="101"/>
      <c r="N21" s="102" t="str">
        <f t="shared" si="0"/>
        <v>2,75</v>
      </c>
      <c r="O21" s="103" t="str">
        <f t="shared" si="1"/>
        <v>Margine · 2,25</v>
      </c>
      <c r="P21" s="104"/>
      <c r="Q21" s="134" t="s">
        <v>1651</v>
      </c>
      <c r="S21">
        <f t="shared" si="2"/>
        <v>2.25</v>
      </c>
      <c r="T21">
        <f t="shared" si="3"/>
        <v>2.25</v>
      </c>
      <c r="U21">
        <f t="shared" si="4"/>
        <v>2.75</v>
      </c>
      <c r="V21">
        <f t="shared" si="5"/>
        <v>2.75</v>
      </c>
      <c r="W21" s="137" t="s">
        <v>1776</v>
      </c>
      <c r="X21" s="135" t="s">
        <v>776</v>
      </c>
      <c r="Y21" s="136" t="s">
        <v>776</v>
      </c>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7" t="s">
        <v>1778</v>
      </c>
      <c r="B28" s="142"/>
      <c r="C28" s="142"/>
      <c r="D28" s="142"/>
      <c r="E28" s="142"/>
      <c r="F28" s="142"/>
      <c r="G28" s="142"/>
      <c r="H28" s="142"/>
      <c r="I28" s="142"/>
      <c r="J28" s="142"/>
      <c r="K28" s="142"/>
      <c r="L28" s="142"/>
      <c r="M28" s="142"/>
      <c r="N28" s="142"/>
      <c r="O28" s="142"/>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customHeight="1" x14ac:dyDescent="0.4">
      <c r="A30" s="132" t="s">
        <v>437</v>
      </c>
      <c r="B30" s="133" t="s">
        <v>1290</v>
      </c>
      <c r="C30" s="138" t="s">
        <v>821</v>
      </c>
      <c r="D30" s="99">
        <v>6.4</v>
      </c>
      <c r="E30" s="100">
        <v>6.4</v>
      </c>
      <c r="F30" s="99">
        <v>3</v>
      </c>
      <c r="G30" s="100">
        <v>3</v>
      </c>
      <c r="H30" s="99">
        <v>6</v>
      </c>
      <c r="I30" s="100">
        <v>6</v>
      </c>
      <c r="J30" s="106"/>
      <c r="K30" s="16"/>
      <c r="L30" s="16"/>
      <c r="M30" s="101"/>
      <c r="N30" s="16"/>
      <c r="O30" s="16"/>
      <c r="Q30" s="134" t="s">
        <v>1651</v>
      </c>
    </row>
    <row r="31" spans="1:25" ht="24" customHeight="1" x14ac:dyDescent="0.4">
      <c r="A31" s="132" t="s">
        <v>1292</v>
      </c>
      <c r="B31" s="133" t="s">
        <v>1293</v>
      </c>
      <c r="C31" s="138" t="s">
        <v>1294</v>
      </c>
      <c r="D31" s="99">
        <v>3.5</v>
      </c>
      <c r="E31" s="100">
        <v>3.5</v>
      </c>
      <c r="F31" s="99">
        <v>4</v>
      </c>
      <c r="G31" s="100">
        <v>4</v>
      </c>
      <c r="H31" s="99">
        <v>12</v>
      </c>
      <c r="I31" s="100">
        <v>12</v>
      </c>
      <c r="J31" s="106"/>
      <c r="K31" s="16"/>
      <c r="L31" s="16"/>
      <c r="M31" s="101"/>
      <c r="N31" s="16"/>
      <c r="O31" s="16"/>
      <c r="Q31" s="134" t="s">
        <v>1651</v>
      </c>
    </row>
    <row r="32" spans="1:25" ht="24" customHeight="1" x14ac:dyDescent="0.4">
      <c r="A32" s="132" t="s">
        <v>1298</v>
      </c>
      <c r="B32" s="133" t="s">
        <v>1299</v>
      </c>
      <c r="C32" s="138" t="s">
        <v>1294</v>
      </c>
      <c r="D32" s="99">
        <v>70</v>
      </c>
      <c r="E32" s="100">
        <v>70</v>
      </c>
      <c r="F32" s="99">
        <v>60</v>
      </c>
      <c r="G32" s="100">
        <v>60</v>
      </c>
      <c r="H32" s="99">
        <v>75</v>
      </c>
      <c r="I32" s="100">
        <v>75</v>
      </c>
      <c r="J32" s="106"/>
      <c r="K32" s="16"/>
      <c r="L32" s="16"/>
      <c r="M32" s="101"/>
      <c r="N32" s="16"/>
      <c r="O32" s="16"/>
      <c r="Q32" s="134" t="s">
        <v>1651</v>
      </c>
    </row>
    <row r="33" spans="1:17" ht="24" customHeight="1" x14ac:dyDescent="0.4">
      <c r="A33" s="132" t="s">
        <v>1308</v>
      </c>
      <c r="B33" s="133" t="s">
        <v>1309</v>
      </c>
      <c r="C33" s="138" t="s">
        <v>821</v>
      </c>
      <c r="D33" s="99">
        <v>1.7</v>
      </c>
      <c r="E33" s="100">
        <v>1.7</v>
      </c>
      <c r="F33" s="99">
        <v>1.5</v>
      </c>
      <c r="G33" s="100">
        <v>1.5</v>
      </c>
      <c r="H33" s="99">
        <v>3</v>
      </c>
      <c r="I33" s="100">
        <v>3</v>
      </c>
      <c r="J33" s="106"/>
      <c r="K33" s="16"/>
      <c r="L33" s="16"/>
      <c r="M33" s="101"/>
      <c r="N33" s="16"/>
      <c r="O33" s="16"/>
      <c r="Q33" s="134" t="s">
        <v>1651</v>
      </c>
    </row>
    <row r="34" spans="1:17" ht="24" customHeight="1" x14ac:dyDescent="0.4">
      <c r="A34" s="132" t="s">
        <v>1313</v>
      </c>
      <c r="B34" s="133" t="s">
        <v>1314</v>
      </c>
      <c r="C34" s="138" t="s">
        <v>1294</v>
      </c>
      <c r="D34" s="99">
        <v>35</v>
      </c>
      <c r="E34" s="100">
        <v>35</v>
      </c>
      <c r="F34" s="99">
        <v>20</v>
      </c>
      <c r="G34" s="100">
        <v>20</v>
      </c>
      <c r="H34" s="99">
        <v>40</v>
      </c>
      <c r="I34" s="100">
        <v>40</v>
      </c>
      <c r="J34" s="106"/>
      <c r="K34" s="16"/>
      <c r="L34" s="16"/>
      <c r="M34" s="101"/>
      <c r="N34" s="16"/>
      <c r="O34" s="16"/>
      <c r="Q34" s="134" t="s">
        <v>1651</v>
      </c>
    </row>
    <row r="35" spans="1:17" ht="30.35" customHeight="1" x14ac:dyDescent="0.4">
      <c r="A35" s="132" t="s">
        <v>1317</v>
      </c>
      <c r="B35" s="133" t="s">
        <v>1318</v>
      </c>
      <c r="C35" s="138" t="s">
        <v>1294</v>
      </c>
      <c r="D35" s="135">
        <v>2</v>
      </c>
      <c r="E35" s="100">
        <v>2</v>
      </c>
      <c r="F35" s="99">
        <v>1</v>
      </c>
      <c r="G35" s="100">
        <v>1</v>
      </c>
      <c r="H35" s="99">
        <v>3</v>
      </c>
      <c r="I35" s="100">
        <v>3</v>
      </c>
      <c r="J35" s="106"/>
      <c r="K35" s="16"/>
      <c r="L35" s="16"/>
      <c r="M35" s="101"/>
      <c r="N35" s="16"/>
      <c r="O35" s="16"/>
      <c r="Q35" s="134" t="s">
        <v>1651</v>
      </c>
    </row>
    <row r="36" spans="1:17" ht="24" customHeight="1" x14ac:dyDescent="0.4">
      <c r="A36" s="132" t="s">
        <v>1321</v>
      </c>
      <c r="B36" s="133" t="s">
        <v>1322</v>
      </c>
      <c r="C36" s="138" t="s">
        <v>821</v>
      </c>
      <c r="D36" s="99">
        <v>0</v>
      </c>
      <c r="E36" s="100">
        <v>0</v>
      </c>
      <c r="F36" s="99">
        <v>2</v>
      </c>
      <c r="G36" s="100">
        <v>2</v>
      </c>
      <c r="H36" s="99">
        <v>5</v>
      </c>
      <c r="I36" s="100">
        <v>5</v>
      </c>
      <c r="J36" s="106"/>
      <c r="K36" s="16"/>
      <c r="L36" s="16"/>
      <c r="M36" s="101"/>
      <c r="N36" s="16"/>
      <c r="O36" s="16"/>
      <c r="Q36" s="134" t="s">
        <v>1651</v>
      </c>
    </row>
    <row r="37" spans="1:17" ht="24" customHeight="1" x14ac:dyDescent="0.4">
      <c r="A37" s="132" t="s">
        <v>1326</v>
      </c>
      <c r="B37" s="133" t="s">
        <v>1327</v>
      </c>
      <c r="C37" s="138" t="s">
        <v>821</v>
      </c>
      <c r="D37" s="99">
        <v>2</v>
      </c>
      <c r="E37" s="100">
        <v>2</v>
      </c>
      <c r="F37" s="99">
        <v>3</v>
      </c>
      <c r="G37" s="100">
        <v>3</v>
      </c>
      <c r="H37" s="99">
        <v>6</v>
      </c>
      <c r="I37" s="100">
        <v>6</v>
      </c>
      <c r="J37" s="106"/>
      <c r="K37" s="16"/>
      <c r="L37" s="16"/>
      <c r="M37" s="101"/>
      <c r="N37" s="16"/>
      <c r="O37" s="16"/>
      <c r="Q37" s="134" t="s">
        <v>1651</v>
      </c>
    </row>
    <row r="38" spans="1:17" ht="30.35" customHeight="1" x14ac:dyDescent="0.4">
      <c r="A38" s="132" t="s">
        <v>1330</v>
      </c>
      <c r="B38" s="133" t="s">
        <v>1331</v>
      </c>
      <c r="C38" s="138" t="s">
        <v>1294</v>
      </c>
      <c r="D38" s="99">
        <v>12</v>
      </c>
      <c r="E38" s="100">
        <v>12</v>
      </c>
      <c r="F38" s="99">
        <v>30</v>
      </c>
      <c r="G38" s="100">
        <v>30</v>
      </c>
      <c r="H38" s="99">
        <v>60</v>
      </c>
      <c r="I38" s="100">
        <v>60</v>
      </c>
      <c r="J38" s="106"/>
      <c r="K38" s="16"/>
      <c r="L38" s="16"/>
      <c r="M38" s="101"/>
      <c r="N38" s="16"/>
      <c r="O38" s="16"/>
      <c r="Q38" s="134" t="s">
        <v>1651</v>
      </c>
    </row>
    <row r="39" spans="1:17" ht="30.35" customHeight="1" x14ac:dyDescent="0.4">
      <c r="A39" s="132" t="s">
        <v>1366</v>
      </c>
      <c r="B39" s="133" t="s">
        <v>1367</v>
      </c>
      <c r="C39" s="138" t="s">
        <v>821</v>
      </c>
      <c r="D39" s="99">
        <v>5</v>
      </c>
      <c r="E39" s="100">
        <v>5</v>
      </c>
      <c r="F39" s="99">
        <v>10</v>
      </c>
      <c r="G39" s="100">
        <v>10</v>
      </c>
      <c r="H39" s="99">
        <v>30</v>
      </c>
      <c r="I39" s="100">
        <v>30</v>
      </c>
      <c r="J39" s="106"/>
      <c r="K39" s="16"/>
      <c r="L39" s="16"/>
      <c r="M39" s="101"/>
      <c r="N39" s="16"/>
      <c r="O39" s="16"/>
      <c r="Q39" s="134" t="s">
        <v>1651</v>
      </c>
    </row>
    <row r="40" spans="1:17" ht="24" customHeight="1" x14ac:dyDescent="0.4">
      <c r="A40" s="132" t="s">
        <v>1370</v>
      </c>
      <c r="B40" s="133" t="s">
        <v>1371</v>
      </c>
      <c r="C40" s="138" t="s">
        <v>1294</v>
      </c>
      <c r="D40" s="99">
        <v>12</v>
      </c>
      <c r="E40" s="100">
        <v>12</v>
      </c>
      <c r="F40" s="99">
        <v>20</v>
      </c>
      <c r="G40" s="100">
        <v>20</v>
      </c>
      <c r="H40" s="99">
        <v>40</v>
      </c>
      <c r="I40" s="100">
        <v>40</v>
      </c>
      <c r="J40" s="106"/>
      <c r="K40" s="16"/>
      <c r="L40" s="16"/>
      <c r="M40" s="101"/>
      <c r="N40" s="16"/>
      <c r="O40" s="16"/>
      <c r="Q40" s="134" t="s">
        <v>1651</v>
      </c>
    </row>
    <row r="41" spans="1:17" ht="30.35" customHeight="1" x14ac:dyDescent="0.4">
      <c r="A41" s="132" t="s">
        <v>1334</v>
      </c>
      <c r="B41" s="133" t="s">
        <v>1335</v>
      </c>
      <c r="C41" s="138" t="s">
        <v>1294</v>
      </c>
      <c r="D41" s="99">
        <v>1</v>
      </c>
      <c r="E41" s="100">
        <v>1</v>
      </c>
      <c r="F41" s="99">
        <v>1</v>
      </c>
      <c r="G41" s="100">
        <v>1</v>
      </c>
      <c r="H41" s="99">
        <v>2</v>
      </c>
      <c r="I41" s="100">
        <v>2</v>
      </c>
      <c r="J41" s="106"/>
      <c r="K41" s="16"/>
      <c r="L41" s="16"/>
      <c r="M41" s="101"/>
      <c r="N41" s="16"/>
      <c r="O41" s="16"/>
      <c r="Q41" s="134" t="s">
        <v>1651</v>
      </c>
    </row>
    <row r="42" spans="1:17" ht="30.35" customHeight="1" x14ac:dyDescent="0.4">
      <c r="A42" s="132" t="s">
        <v>1337</v>
      </c>
      <c r="B42" s="133" t="s">
        <v>1338</v>
      </c>
      <c r="C42" s="138" t="s">
        <v>821</v>
      </c>
      <c r="D42" s="99">
        <v>0.5</v>
      </c>
      <c r="E42" s="100">
        <v>0.5</v>
      </c>
      <c r="F42" s="99">
        <v>4</v>
      </c>
      <c r="G42" s="100">
        <v>4</v>
      </c>
      <c r="H42" s="99">
        <v>12</v>
      </c>
      <c r="I42" s="100">
        <v>12</v>
      </c>
      <c r="J42" s="106"/>
      <c r="K42" s="16"/>
      <c r="L42" s="16"/>
      <c r="M42" s="101"/>
      <c r="N42" s="16"/>
      <c r="O42" s="16"/>
      <c r="Q42" s="134" t="s">
        <v>1651</v>
      </c>
    </row>
    <row r="43" spans="1:17" ht="24" customHeight="1" x14ac:dyDescent="0.4">
      <c r="A43" s="132" t="s">
        <v>1340</v>
      </c>
      <c r="B43" s="133" t="s">
        <v>1341</v>
      </c>
      <c r="C43" s="138" t="s">
        <v>821</v>
      </c>
      <c r="D43" s="99">
        <v>19</v>
      </c>
      <c r="E43" s="100">
        <v>19</v>
      </c>
      <c r="F43" s="99">
        <v>20</v>
      </c>
      <c r="G43" s="100">
        <v>20</v>
      </c>
      <c r="H43" s="99">
        <v>50</v>
      </c>
      <c r="I43" s="100">
        <v>50</v>
      </c>
      <c r="J43" s="106"/>
      <c r="K43" s="16"/>
      <c r="L43" s="16"/>
      <c r="M43" s="101"/>
      <c r="N43" s="16"/>
      <c r="O43" s="16"/>
      <c r="Q43" s="134" t="s">
        <v>1651</v>
      </c>
    </row>
    <row r="44" spans="1:17" ht="24" customHeight="1" x14ac:dyDescent="0.4">
      <c r="A44" s="132" t="s">
        <v>1345</v>
      </c>
      <c r="B44" s="133" t="s">
        <v>1346</v>
      </c>
      <c r="C44" s="138" t="s">
        <v>1294</v>
      </c>
      <c r="D44" s="99">
        <v>4</v>
      </c>
      <c r="E44" s="100">
        <v>4</v>
      </c>
      <c r="F44" s="99">
        <v>5</v>
      </c>
      <c r="G44" s="100">
        <v>5</v>
      </c>
      <c r="H44" s="99">
        <v>15</v>
      </c>
      <c r="I44" s="100">
        <v>15</v>
      </c>
      <c r="J44" s="106"/>
      <c r="K44" s="16"/>
      <c r="L44" s="16"/>
      <c r="M44" s="101"/>
      <c r="N44" s="16"/>
      <c r="O44" s="16"/>
      <c r="Q44" s="134" t="s">
        <v>1651</v>
      </c>
    </row>
    <row r="45" spans="1:17" ht="30.35" customHeight="1" x14ac:dyDescent="0.4">
      <c r="A45" s="132" t="s">
        <v>1374</v>
      </c>
      <c r="B45" s="133" t="s">
        <v>1375</v>
      </c>
      <c r="C45" s="138" t="s">
        <v>821</v>
      </c>
      <c r="D45" s="99">
        <v>4</v>
      </c>
      <c r="E45" s="100">
        <v>4</v>
      </c>
      <c r="F45" s="99">
        <v>2</v>
      </c>
      <c r="G45" s="100">
        <v>2</v>
      </c>
      <c r="H45" s="99">
        <v>5</v>
      </c>
      <c r="I45" s="100">
        <v>5</v>
      </c>
      <c r="J45" s="106"/>
      <c r="K45" s="16"/>
      <c r="L45" s="16"/>
      <c r="M45" s="101"/>
      <c r="N45" s="16"/>
      <c r="O45" s="16"/>
      <c r="Q45" s="134" t="s">
        <v>1651</v>
      </c>
    </row>
    <row r="46" spans="1:17" ht="30.35" customHeight="1" x14ac:dyDescent="0.4">
      <c r="A46" s="132" t="s">
        <v>1378</v>
      </c>
      <c r="B46" s="133" t="s">
        <v>1379</v>
      </c>
      <c r="C46" s="138" t="s">
        <v>1294</v>
      </c>
      <c r="D46" s="99">
        <v>8</v>
      </c>
      <c r="E46" s="100">
        <v>8</v>
      </c>
      <c r="F46" s="99">
        <v>5</v>
      </c>
      <c r="G46" s="100">
        <v>5</v>
      </c>
      <c r="H46" s="99">
        <v>15</v>
      </c>
      <c r="I46" s="100">
        <v>15</v>
      </c>
      <c r="J46" s="106"/>
      <c r="K46" s="16"/>
      <c r="L46" s="16"/>
      <c r="M46" s="101"/>
      <c r="N46" s="16"/>
      <c r="O46" s="16"/>
      <c r="Q46" s="134" t="s">
        <v>1651</v>
      </c>
    </row>
    <row r="47" spans="1:17" ht="24" customHeight="1" x14ac:dyDescent="0.4">
      <c r="A47" s="132" t="s">
        <v>1382</v>
      </c>
      <c r="B47" s="133" t="s">
        <v>1383</v>
      </c>
      <c r="C47" s="138" t="s">
        <v>821</v>
      </c>
      <c r="D47" s="99">
        <v>2.2999999999999998</v>
      </c>
      <c r="E47" s="100">
        <v>2.2999999999999998</v>
      </c>
      <c r="F47" s="99">
        <v>2</v>
      </c>
      <c r="G47" s="100">
        <v>2</v>
      </c>
      <c r="H47" s="99">
        <v>5</v>
      </c>
      <c r="I47" s="100">
        <v>5</v>
      </c>
      <c r="J47" s="106"/>
      <c r="K47" s="16"/>
      <c r="L47" s="16"/>
      <c r="M47" s="101"/>
      <c r="N47" s="16"/>
      <c r="O47" s="16"/>
      <c r="Q47" s="134" t="s">
        <v>1651</v>
      </c>
    </row>
    <row r="48" spans="1:17" ht="30.35" customHeight="1" x14ac:dyDescent="0.4">
      <c r="A48" s="132" t="s">
        <v>1386</v>
      </c>
      <c r="B48" s="133" t="s">
        <v>1387</v>
      </c>
      <c r="C48" s="138" t="s">
        <v>1294</v>
      </c>
      <c r="D48" s="99">
        <v>40</v>
      </c>
      <c r="E48" s="100">
        <v>40</v>
      </c>
      <c r="F48" s="135">
        <v>20</v>
      </c>
      <c r="G48" s="100">
        <v>20</v>
      </c>
      <c r="H48" s="135">
        <v>50</v>
      </c>
      <c r="I48" s="100">
        <v>50</v>
      </c>
      <c r="J48" s="106"/>
      <c r="K48" s="16"/>
      <c r="L48" s="16"/>
      <c r="M48" s="101"/>
      <c r="N48" s="16"/>
      <c r="O48" s="16"/>
      <c r="Q48" s="134" t="s">
        <v>1651</v>
      </c>
    </row>
    <row r="49" spans="1:17" ht="24" customHeight="1" x14ac:dyDescent="0.4">
      <c r="A49" s="132" t="s">
        <v>1349</v>
      </c>
      <c r="B49" s="133" t="s">
        <v>1350</v>
      </c>
      <c r="C49" s="138" t="s">
        <v>1294</v>
      </c>
      <c r="D49" s="99">
        <v>6</v>
      </c>
      <c r="E49" s="100">
        <v>6</v>
      </c>
      <c r="F49" s="99">
        <v>3</v>
      </c>
      <c r="G49" s="100">
        <v>3</v>
      </c>
      <c r="H49" s="99">
        <v>8</v>
      </c>
      <c r="I49" s="100">
        <v>8</v>
      </c>
      <c r="J49" s="106"/>
      <c r="K49" s="16"/>
      <c r="L49" s="16"/>
      <c r="M49" s="101"/>
      <c r="N49" s="16"/>
      <c r="O49" s="16"/>
      <c r="Q49" s="134" t="s">
        <v>1651</v>
      </c>
    </row>
    <row r="50" spans="1:17" ht="24" customHeight="1" x14ac:dyDescent="0.4">
      <c r="A50" s="132" t="s">
        <v>1353</v>
      </c>
      <c r="B50" s="133" t="s">
        <v>1354</v>
      </c>
      <c r="C50" s="138" t="s">
        <v>821</v>
      </c>
      <c r="D50" s="99">
        <v>6</v>
      </c>
      <c r="E50" s="100">
        <v>6</v>
      </c>
      <c r="F50" s="99">
        <v>2</v>
      </c>
      <c r="G50" s="100">
        <v>2</v>
      </c>
      <c r="H50" s="99">
        <v>6</v>
      </c>
      <c r="I50" s="100">
        <v>6</v>
      </c>
      <c r="J50" s="106"/>
      <c r="K50" s="16"/>
      <c r="L50" s="16"/>
      <c r="M50" s="101"/>
      <c r="N50" s="16"/>
      <c r="O50" s="16"/>
      <c r="Q50" s="134" t="s">
        <v>1651</v>
      </c>
    </row>
    <row r="51" spans="1:17" ht="30.35" customHeight="1" x14ac:dyDescent="0.4">
      <c r="A51" s="132" t="s">
        <v>1357</v>
      </c>
      <c r="B51" s="133" t="s">
        <v>1358</v>
      </c>
      <c r="C51" s="138" t="s">
        <v>821</v>
      </c>
      <c r="D51" s="99">
        <v>9</v>
      </c>
      <c r="E51" s="100">
        <v>9</v>
      </c>
      <c r="F51" s="99">
        <v>10</v>
      </c>
      <c r="G51" s="100">
        <v>10</v>
      </c>
      <c r="H51" s="99">
        <v>30</v>
      </c>
      <c r="I51" s="100">
        <v>30</v>
      </c>
      <c r="J51" s="106"/>
      <c r="K51" s="16"/>
      <c r="L51" s="16"/>
      <c r="M51" s="101"/>
      <c r="N51" s="16"/>
      <c r="O51" s="16"/>
      <c r="Q51" s="134" t="s">
        <v>1651</v>
      </c>
    </row>
    <row r="52" spans="1:17" ht="30.35" customHeight="1" x14ac:dyDescent="0.4">
      <c r="A52" s="132" t="s">
        <v>1361</v>
      </c>
      <c r="B52" s="133" t="s">
        <v>1362</v>
      </c>
      <c r="C52" s="138" t="s">
        <v>1294</v>
      </c>
      <c r="D52" s="99">
        <v>4</v>
      </c>
      <c r="E52" s="100">
        <v>4</v>
      </c>
      <c r="F52" s="99">
        <v>4</v>
      </c>
      <c r="G52" s="100">
        <v>4</v>
      </c>
      <c r="H52" s="99">
        <v>12</v>
      </c>
      <c r="I52" s="100">
        <v>12</v>
      </c>
      <c r="J52" s="106"/>
      <c r="K52" s="16"/>
      <c r="L52" s="16"/>
      <c r="M52" s="101"/>
      <c r="N52" s="16"/>
      <c r="O52" s="16"/>
      <c r="Q52" s="134" t="s">
        <v>1651</v>
      </c>
    </row>
    <row r="53" spans="1:17" ht="30.35" customHeight="1" x14ac:dyDescent="0.4">
      <c r="A53" s="132" t="s">
        <v>1537</v>
      </c>
      <c r="B53" s="133" t="s">
        <v>1538</v>
      </c>
      <c r="C53" s="138" t="s">
        <v>821</v>
      </c>
      <c r="D53" s="99">
        <v>0</v>
      </c>
      <c r="E53" s="100">
        <v>0</v>
      </c>
      <c r="F53" s="99">
        <v>1</v>
      </c>
      <c r="G53" s="100">
        <v>1</v>
      </c>
      <c r="H53" s="99">
        <v>3</v>
      </c>
      <c r="I53" s="100">
        <v>3</v>
      </c>
      <c r="J53" s="106"/>
      <c r="K53" s="16"/>
      <c r="L53" s="16"/>
      <c r="M53" s="101"/>
      <c r="N53" s="16"/>
      <c r="O53" s="16"/>
      <c r="Q53" s="134" t="s">
        <v>1651</v>
      </c>
    </row>
    <row r="54" spans="1:17" ht="24" customHeight="1" x14ac:dyDescent="0.4">
      <c r="A54" s="132" t="s">
        <v>1685</v>
      </c>
      <c r="B54" s="133" t="s">
        <v>1686</v>
      </c>
      <c r="C54" s="138" t="s">
        <v>1294</v>
      </c>
      <c r="D54" s="135" t="s">
        <v>691</v>
      </c>
      <c r="E54" s="100"/>
      <c r="F54" s="99">
        <v>3</v>
      </c>
      <c r="G54" s="100">
        <v>3</v>
      </c>
      <c r="H54" s="99">
        <v>6</v>
      </c>
      <c r="I54" s="100">
        <v>6</v>
      </c>
      <c r="J54" s="106"/>
      <c r="K54" s="16"/>
      <c r="L54" s="16"/>
      <c r="M54" s="101"/>
      <c r="N54" s="16"/>
      <c r="O54" s="16"/>
      <c r="Q54" s="134" t="s">
        <v>1651</v>
      </c>
    </row>
    <row r="55" spans="1:17" ht="24" customHeight="1" x14ac:dyDescent="0.4">
      <c r="A55" s="132" t="s">
        <v>1689</v>
      </c>
      <c r="B55" s="133" t="s">
        <v>1690</v>
      </c>
      <c r="C55" s="138" t="s">
        <v>821</v>
      </c>
      <c r="D55" s="135" t="s">
        <v>691</v>
      </c>
      <c r="E55" s="100"/>
      <c r="F55" s="99">
        <v>8</v>
      </c>
      <c r="G55" s="100">
        <v>8</v>
      </c>
      <c r="H55" s="99">
        <v>12</v>
      </c>
      <c r="I55" s="100">
        <v>12</v>
      </c>
      <c r="J55" s="106"/>
      <c r="K55" s="16"/>
      <c r="L55" s="16"/>
      <c r="M55" s="101"/>
      <c r="N55" s="16"/>
      <c r="O55" s="16"/>
      <c r="Q55" s="134" t="s">
        <v>1651</v>
      </c>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7" t="s">
        <v>1779</v>
      </c>
      <c r="B111" s="142"/>
      <c r="C111" s="142"/>
      <c r="D111" s="142"/>
      <c r="E111" s="142"/>
      <c r="F111" s="142"/>
      <c r="G111" s="142"/>
      <c r="H111" s="142"/>
      <c r="I111" s="142"/>
      <c r="J111" s="142"/>
      <c r="K111" s="142"/>
      <c r="L111" s="142"/>
      <c r="M111" s="142"/>
      <c r="N111" s="142"/>
      <c r="O111" s="142"/>
    </row>
    <row r="112" spans="1:15" ht="30" customHeight="1" x14ac:dyDescent="0.4">
      <c r="A112" s="94" t="s">
        <v>493</v>
      </c>
      <c r="B112" s="94" t="s">
        <v>536</v>
      </c>
      <c r="C112" s="210" t="s">
        <v>537</v>
      </c>
      <c r="D112" s="146"/>
      <c r="E112" s="209" t="s">
        <v>538</v>
      </c>
      <c r="F112" s="146"/>
      <c r="G112" s="95" t="s">
        <v>539</v>
      </c>
      <c r="H112" s="96" t="s">
        <v>267</v>
      </c>
      <c r="I112" s="96" t="s">
        <v>534</v>
      </c>
      <c r="M112" s="96" t="s">
        <v>535</v>
      </c>
    </row>
    <row r="113" spans="1:20" ht="30.35" customHeight="1" x14ac:dyDescent="0.4">
      <c r="A113" s="139" t="s">
        <v>1718</v>
      </c>
      <c r="B113" s="133" t="s">
        <v>1719</v>
      </c>
      <c r="C113" s="205" t="s">
        <v>557</v>
      </c>
      <c r="D113" s="202"/>
      <c r="E113" s="206" t="s">
        <v>557</v>
      </c>
      <c r="F113" s="202"/>
      <c r="G113" s="135" t="s">
        <v>1245</v>
      </c>
      <c r="H113" s="136" t="s">
        <v>1245</v>
      </c>
      <c r="I113" s="106"/>
      <c r="J113" s="16"/>
      <c r="K113" s="16"/>
      <c r="L113" s="16"/>
      <c r="M113" s="101"/>
      <c r="N113" s="16"/>
      <c r="O113" s="16"/>
      <c r="Q113" s="134" t="s">
        <v>1651</v>
      </c>
      <c r="R113" s="134" t="s">
        <v>554</v>
      </c>
      <c r="S113">
        <f t="shared" ref="S113:S144" si="6">IF($A113="","",IF(OR($I113="Sì",$I113="Si"),0,IFERROR(VALUE(LEFT($H113,FIND(" ",$H113)-1)),0)))</f>
        <v>3</v>
      </c>
      <c r="T113">
        <f t="shared" ref="T113:T144" si="7">IF($A113="","",IFERROR(VALUE(LEFT($G113,FIND(" ",$G113)-1)),0))</f>
        <v>3</v>
      </c>
    </row>
    <row r="114" spans="1:20" ht="33" customHeight="1" x14ac:dyDescent="0.4">
      <c r="A114" s="139" t="s">
        <v>1722</v>
      </c>
      <c r="B114" s="133" t="s">
        <v>1723</v>
      </c>
      <c r="C114" s="205" t="s">
        <v>563</v>
      </c>
      <c r="D114" s="202"/>
      <c r="E114" s="206" t="s">
        <v>563</v>
      </c>
      <c r="F114" s="202"/>
      <c r="G114" s="135" t="s">
        <v>1245</v>
      </c>
      <c r="H114" s="136" t="s">
        <v>1245</v>
      </c>
      <c r="I114" s="106"/>
      <c r="J114" s="16"/>
      <c r="K114" s="16"/>
      <c r="L114" s="16"/>
      <c r="M114" s="101"/>
      <c r="N114" s="16"/>
      <c r="O114" s="16"/>
      <c r="Q114" s="134" t="s">
        <v>1651</v>
      </c>
      <c r="R114" s="134" t="s">
        <v>560</v>
      </c>
      <c r="S114">
        <f t="shared" si="6"/>
        <v>3</v>
      </c>
      <c r="T114">
        <f t="shared" si="7"/>
        <v>3</v>
      </c>
    </row>
    <row r="115" spans="1:20" ht="30.35" customHeight="1" x14ac:dyDescent="0.4">
      <c r="A115" s="139" t="s">
        <v>1725</v>
      </c>
      <c r="B115" s="133" t="s">
        <v>1726</v>
      </c>
      <c r="C115" s="205" t="s">
        <v>569</v>
      </c>
      <c r="D115" s="202"/>
      <c r="E115" s="206" t="s">
        <v>569</v>
      </c>
      <c r="F115" s="202"/>
      <c r="G115" s="135" t="s">
        <v>1245</v>
      </c>
      <c r="H115" s="136" t="s">
        <v>1245</v>
      </c>
      <c r="I115" s="106"/>
      <c r="J115" s="16"/>
      <c r="K115" s="16"/>
      <c r="L115" s="16"/>
      <c r="M115" s="101"/>
      <c r="N115" s="16"/>
      <c r="O115" s="16"/>
      <c r="Q115" s="134" t="s">
        <v>1651</v>
      </c>
      <c r="R115" s="134" t="s">
        <v>566</v>
      </c>
      <c r="S115">
        <f t="shared" si="6"/>
        <v>3</v>
      </c>
      <c r="T115">
        <f t="shared" si="7"/>
        <v>3</v>
      </c>
    </row>
    <row r="116" spans="1:20" ht="42.45" customHeight="1" x14ac:dyDescent="0.4">
      <c r="A116" s="139" t="s">
        <v>1728</v>
      </c>
      <c r="B116" s="133" t="s">
        <v>1729</v>
      </c>
      <c r="C116" s="205" t="s">
        <v>575</v>
      </c>
      <c r="D116" s="202"/>
      <c r="E116" s="206" t="s">
        <v>575</v>
      </c>
      <c r="F116" s="202"/>
      <c r="G116" s="135" t="s">
        <v>797</v>
      </c>
      <c r="H116" s="136" t="s">
        <v>797</v>
      </c>
      <c r="I116" s="106"/>
      <c r="J116" s="16"/>
      <c r="K116" s="16"/>
      <c r="L116" s="16"/>
      <c r="M116" s="101"/>
      <c r="N116" s="16"/>
      <c r="O116" s="16"/>
      <c r="Q116" s="134" t="s">
        <v>1651</v>
      </c>
      <c r="R116" s="134" t="s">
        <v>572</v>
      </c>
      <c r="S116">
        <f t="shared" si="6"/>
        <v>6</v>
      </c>
      <c r="T116">
        <f t="shared" si="7"/>
        <v>6</v>
      </c>
    </row>
    <row r="117" spans="1:20" ht="42.45" customHeight="1" x14ac:dyDescent="0.4">
      <c r="A117" s="139" t="s">
        <v>1731</v>
      </c>
      <c r="B117" s="133" t="s">
        <v>1732</v>
      </c>
      <c r="C117" s="205" t="s">
        <v>579</v>
      </c>
      <c r="D117" s="202"/>
      <c r="E117" s="206" t="s">
        <v>579</v>
      </c>
      <c r="F117" s="202"/>
      <c r="G117" s="135" t="s">
        <v>1245</v>
      </c>
      <c r="H117" s="136" t="s">
        <v>1245</v>
      </c>
      <c r="I117" s="106"/>
      <c r="J117" s="16"/>
      <c r="K117" s="16"/>
      <c r="L117" s="16"/>
      <c r="M117" s="101"/>
      <c r="N117" s="16"/>
      <c r="O117" s="16"/>
      <c r="Q117" s="134" t="s">
        <v>1651</v>
      </c>
      <c r="R117" s="134" t="s">
        <v>576</v>
      </c>
      <c r="S117">
        <f t="shared" si="6"/>
        <v>3</v>
      </c>
      <c r="T117">
        <f t="shared" si="7"/>
        <v>3</v>
      </c>
    </row>
    <row r="118" spans="1:20" ht="42.45" customHeight="1" x14ac:dyDescent="0.4">
      <c r="A118" s="139" t="s">
        <v>1734</v>
      </c>
      <c r="B118" s="133" t="s">
        <v>1735</v>
      </c>
      <c r="C118" s="205" t="s">
        <v>1599</v>
      </c>
      <c r="D118" s="202"/>
      <c r="E118" s="206" t="s">
        <v>1599</v>
      </c>
      <c r="F118" s="202"/>
      <c r="G118" s="135" t="s">
        <v>797</v>
      </c>
      <c r="H118" s="136" t="s">
        <v>797</v>
      </c>
      <c r="I118" s="106"/>
      <c r="J118" s="16"/>
      <c r="K118" s="16"/>
      <c r="L118" s="16"/>
      <c r="M118" s="101"/>
      <c r="N118" s="16"/>
      <c r="O118" s="16"/>
      <c r="Q118" s="134" t="s">
        <v>1651</v>
      </c>
      <c r="R118" s="134" t="s">
        <v>581</v>
      </c>
      <c r="S118">
        <f t="shared" si="6"/>
        <v>6</v>
      </c>
      <c r="T118">
        <f t="shared" si="7"/>
        <v>6</v>
      </c>
    </row>
    <row r="119" spans="1:20" ht="42.45" customHeight="1" x14ac:dyDescent="0.4">
      <c r="A119" s="139" t="s">
        <v>1737</v>
      </c>
      <c r="B119" s="133" t="s">
        <v>1738</v>
      </c>
      <c r="C119" s="205" t="s">
        <v>563</v>
      </c>
      <c r="D119" s="202"/>
      <c r="E119" s="206" t="s">
        <v>563</v>
      </c>
      <c r="F119" s="202"/>
      <c r="G119" s="135" t="s">
        <v>797</v>
      </c>
      <c r="H119" s="136" t="s">
        <v>797</v>
      </c>
      <c r="I119" s="106"/>
      <c r="J119" s="16"/>
      <c r="K119" s="16"/>
      <c r="L119" s="16"/>
      <c r="M119" s="101"/>
      <c r="N119" s="16"/>
      <c r="O119" s="16"/>
      <c r="Q119" s="134" t="s">
        <v>1651</v>
      </c>
      <c r="R119" s="134" t="s">
        <v>587</v>
      </c>
      <c r="S119">
        <f t="shared" si="6"/>
        <v>6</v>
      </c>
      <c r="T119">
        <f t="shared" si="7"/>
        <v>6</v>
      </c>
    </row>
    <row r="120" spans="1:20" ht="33" customHeight="1" x14ac:dyDescent="0.4">
      <c r="A120" s="139" t="s">
        <v>1740</v>
      </c>
      <c r="B120" s="133" t="s">
        <v>1741</v>
      </c>
      <c r="C120" s="205" t="s">
        <v>584</v>
      </c>
      <c r="D120" s="202"/>
      <c r="E120" s="206" t="s">
        <v>584</v>
      </c>
      <c r="F120" s="202"/>
      <c r="G120" s="135" t="s">
        <v>1245</v>
      </c>
      <c r="H120" s="136" t="s">
        <v>1245</v>
      </c>
      <c r="I120" s="106"/>
      <c r="J120" s="16"/>
      <c r="K120" s="16"/>
      <c r="L120" s="16"/>
      <c r="M120" s="101"/>
      <c r="N120" s="16"/>
      <c r="O120" s="16"/>
      <c r="Q120" s="134" t="s">
        <v>1651</v>
      </c>
      <c r="R120" s="134" t="s">
        <v>591</v>
      </c>
      <c r="S120">
        <f t="shared" si="6"/>
        <v>3</v>
      </c>
      <c r="T120">
        <f t="shared" si="7"/>
        <v>3</v>
      </c>
    </row>
    <row r="121" spans="1:20" ht="30.35" customHeight="1" x14ac:dyDescent="0.4">
      <c r="A121" s="139" t="s">
        <v>1743</v>
      </c>
      <c r="B121" s="133" t="s">
        <v>1744</v>
      </c>
      <c r="C121" s="205" t="s">
        <v>569</v>
      </c>
      <c r="D121" s="202"/>
      <c r="E121" s="206" t="s">
        <v>569</v>
      </c>
      <c r="F121" s="202"/>
      <c r="G121" s="135" t="s">
        <v>1235</v>
      </c>
      <c r="H121" s="136" t="s">
        <v>1235</v>
      </c>
      <c r="I121" s="106"/>
      <c r="J121" s="16"/>
      <c r="K121" s="16"/>
      <c r="L121" s="16"/>
      <c r="M121" s="101"/>
      <c r="N121" s="16"/>
      <c r="O121" s="16"/>
      <c r="Q121" s="134" t="s">
        <v>1651</v>
      </c>
      <c r="R121" s="134" t="s">
        <v>595</v>
      </c>
      <c r="S121">
        <f t="shared" si="6"/>
        <v>12</v>
      </c>
      <c r="T121">
        <f t="shared" si="7"/>
        <v>12</v>
      </c>
    </row>
    <row r="122" spans="1:20" ht="42.45" customHeight="1" x14ac:dyDescent="0.4">
      <c r="A122" s="139" t="s">
        <v>1746</v>
      </c>
      <c r="B122" s="133" t="s">
        <v>1747</v>
      </c>
      <c r="C122" s="205" t="s">
        <v>601</v>
      </c>
      <c r="D122" s="202"/>
      <c r="E122" s="206" t="s">
        <v>601</v>
      </c>
      <c r="F122" s="202"/>
      <c r="G122" s="135" t="s">
        <v>1245</v>
      </c>
      <c r="H122" s="136" t="s">
        <v>1245</v>
      </c>
      <c r="I122" s="106"/>
      <c r="J122" s="16"/>
      <c r="K122" s="16"/>
      <c r="L122" s="16"/>
      <c r="M122" s="101"/>
      <c r="N122" s="16"/>
      <c r="O122" s="16"/>
      <c r="Q122" s="134" t="s">
        <v>1651</v>
      </c>
      <c r="R122" s="134" t="s">
        <v>598</v>
      </c>
      <c r="S122">
        <f t="shared" si="6"/>
        <v>3</v>
      </c>
      <c r="T122">
        <f t="shared" si="7"/>
        <v>3</v>
      </c>
    </row>
    <row r="123" spans="1:20" ht="42.45" customHeight="1" x14ac:dyDescent="0.4">
      <c r="A123" s="139" t="s">
        <v>1749</v>
      </c>
      <c r="B123" s="133" t="s">
        <v>1750</v>
      </c>
      <c r="C123" s="205" t="s">
        <v>606</v>
      </c>
      <c r="D123" s="202"/>
      <c r="E123" s="206" t="s">
        <v>606</v>
      </c>
      <c r="F123" s="202"/>
      <c r="G123" s="135" t="s">
        <v>1235</v>
      </c>
      <c r="H123" s="136" t="s">
        <v>1235</v>
      </c>
      <c r="I123" s="106"/>
      <c r="J123" s="16"/>
      <c r="K123" s="16"/>
      <c r="L123" s="16"/>
      <c r="M123" s="101"/>
      <c r="N123" s="16"/>
      <c r="O123" s="16"/>
      <c r="Q123" s="134" t="s">
        <v>1651</v>
      </c>
      <c r="R123" s="134" t="s">
        <v>604</v>
      </c>
      <c r="S123">
        <f t="shared" si="6"/>
        <v>12</v>
      </c>
      <c r="T123">
        <f t="shared" si="7"/>
        <v>12</v>
      </c>
    </row>
    <row r="124" spans="1:20" ht="30.35" customHeight="1" x14ac:dyDescent="0.4">
      <c r="A124" s="139" t="s">
        <v>1752</v>
      </c>
      <c r="B124" s="133" t="s">
        <v>1753</v>
      </c>
      <c r="C124" s="205" t="s">
        <v>579</v>
      </c>
      <c r="D124" s="202"/>
      <c r="E124" s="206" t="s">
        <v>579</v>
      </c>
      <c r="F124" s="202"/>
      <c r="G124" s="135" t="s">
        <v>1245</v>
      </c>
      <c r="H124" s="136" t="s">
        <v>1245</v>
      </c>
      <c r="I124" s="106"/>
      <c r="J124" s="16"/>
      <c r="K124" s="16"/>
      <c r="L124" s="16"/>
      <c r="M124" s="101"/>
      <c r="N124" s="16"/>
      <c r="O124" s="16"/>
      <c r="Q124" s="134" t="s">
        <v>1651</v>
      </c>
      <c r="R124" s="134" t="s">
        <v>611</v>
      </c>
      <c r="S124">
        <f t="shared" si="6"/>
        <v>3</v>
      </c>
      <c r="T124">
        <f t="shared" si="7"/>
        <v>3</v>
      </c>
    </row>
    <row r="125" spans="1:20" ht="30.35" customHeight="1" x14ac:dyDescent="0.4">
      <c r="A125" s="139" t="s">
        <v>1755</v>
      </c>
      <c r="B125" s="133" t="s">
        <v>1756</v>
      </c>
      <c r="C125" s="205" t="s">
        <v>1599</v>
      </c>
      <c r="D125" s="202"/>
      <c r="E125" s="206" t="s">
        <v>1599</v>
      </c>
      <c r="F125" s="202"/>
      <c r="G125" s="135" t="s">
        <v>797</v>
      </c>
      <c r="H125" s="136" t="s">
        <v>797</v>
      </c>
      <c r="I125" s="106"/>
      <c r="J125" s="16"/>
      <c r="K125" s="16"/>
      <c r="L125" s="16"/>
      <c r="M125" s="101"/>
      <c r="N125" s="16"/>
      <c r="O125" s="16"/>
      <c r="Q125" s="134" t="s">
        <v>1651</v>
      </c>
      <c r="R125" s="134" t="s">
        <v>1567</v>
      </c>
      <c r="S125">
        <f t="shared" si="6"/>
        <v>6</v>
      </c>
      <c r="T125">
        <f t="shared" si="7"/>
        <v>6</v>
      </c>
    </row>
    <row r="126" spans="1:20" ht="33" customHeight="1" x14ac:dyDescent="0.4">
      <c r="A126" s="139" t="s">
        <v>1758</v>
      </c>
      <c r="B126" s="133" t="s">
        <v>1759</v>
      </c>
      <c r="C126" s="205" t="s">
        <v>1587</v>
      </c>
      <c r="D126" s="202"/>
      <c r="E126" s="206" t="s">
        <v>1587</v>
      </c>
      <c r="F126" s="202"/>
      <c r="G126" s="135" t="s">
        <v>1245</v>
      </c>
      <c r="H126" s="136" t="s">
        <v>1245</v>
      </c>
      <c r="I126" s="106"/>
      <c r="J126" s="16"/>
      <c r="K126" s="16"/>
      <c r="L126" s="16"/>
      <c r="M126" s="101"/>
      <c r="N126" s="16"/>
      <c r="O126" s="16"/>
      <c r="Q126" s="134" t="s">
        <v>1651</v>
      </c>
      <c r="R126" s="134" t="s">
        <v>1567</v>
      </c>
      <c r="S126">
        <f t="shared" si="6"/>
        <v>3</v>
      </c>
      <c r="T126">
        <f t="shared" si="7"/>
        <v>3</v>
      </c>
    </row>
    <row r="127" spans="1:20" ht="42.45" hidden="1" customHeight="1" x14ac:dyDescent="0.4">
      <c r="A127" s="139"/>
      <c r="B127" s="133"/>
      <c r="C127" s="205"/>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3"/>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3"/>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3"/>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3"/>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3"/>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3"/>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3"/>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3"/>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3"/>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3"/>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3"/>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3"/>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3"/>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3"/>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3"/>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3"/>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3"/>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3"/>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3"/>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3"/>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3"/>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3"/>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3"/>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3"/>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3"/>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3"/>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3"/>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3"/>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3"/>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3"/>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3"/>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3"/>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3"/>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3"/>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3"/>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3"/>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3"/>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3"/>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3"/>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3"/>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3"/>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3"/>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3"/>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3"/>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3"/>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3"/>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3"/>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3"/>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3"/>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3"/>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3"/>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3"/>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3"/>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3"/>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3"/>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3"/>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3"/>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3"/>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3"/>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3"/>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3"/>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3"/>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3"/>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3"/>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3"/>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3"/>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3"/>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3"/>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3"/>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3"/>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3"/>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3"/>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3"/>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3"/>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3"/>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3"/>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3"/>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3"/>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3"/>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3"/>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3"/>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3"/>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3"/>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3"/>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3"/>
      <c r="F212" s="202"/>
      <c r="G212" s="99"/>
      <c r="H212" s="100"/>
      <c r="I212" s="106"/>
      <c r="J212" s="16"/>
      <c r="K212" s="16"/>
      <c r="L212" s="16"/>
      <c r="M212" s="101"/>
      <c r="N212" s="16"/>
      <c r="O212" s="16"/>
      <c r="S212" t="str">
        <f t="shared" si="10"/>
        <v/>
      </c>
      <c r="T212" t="str">
        <f t="shared" si="11"/>
        <v/>
      </c>
    </row>
    <row r="214" spans="1:20" ht="15.9" x14ac:dyDescent="0.45">
      <c r="A214" s="207" t="s">
        <v>1650</v>
      </c>
      <c r="B214" s="142"/>
      <c r="C214" s="142"/>
      <c r="D214" s="142"/>
      <c r="E214" s="142"/>
      <c r="F214" s="142"/>
      <c r="G214" s="142"/>
      <c r="H214" s="142"/>
      <c r="I214" s="142"/>
      <c r="J214" s="142"/>
      <c r="K214" s="142"/>
      <c r="L214" s="142"/>
      <c r="M214" s="142"/>
      <c r="N214" s="142"/>
      <c r="O214" s="142"/>
    </row>
    <row r="215" spans="1:20" ht="30" customHeight="1" x14ac:dyDescent="0.4">
      <c r="A215" s="94" t="s">
        <v>540</v>
      </c>
      <c r="B215" s="94" t="s">
        <v>541</v>
      </c>
      <c r="C215" s="210" t="s">
        <v>542</v>
      </c>
      <c r="D215" s="146"/>
      <c r="E215" s="209" t="s">
        <v>18</v>
      </c>
      <c r="F215" s="146"/>
      <c r="G215" s="95" t="s">
        <v>543</v>
      </c>
      <c r="H215" s="96" t="s">
        <v>544</v>
      </c>
      <c r="I215" s="96" t="s">
        <v>534</v>
      </c>
      <c r="J215" s="94" t="s">
        <v>483</v>
      </c>
      <c r="M215" s="96" t="s">
        <v>535</v>
      </c>
    </row>
    <row r="216" spans="1:20" ht="30.35" hidden="1" customHeight="1" x14ac:dyDescent="0.4">
      <c r="A216" s="139"/>
      <c r="B216" s="133"/>
      <c r="C216" s="205"/>
      <c r="D216" s="202"/>
      <c r="E216" s="206"/>
      <c r="F216" s="202"/>
      <c r="G216" s="135"/>
      <c r="H216" s="136"/>
      <c r="I216" s="106"/>
      <c r="J216" s="138"/>
      <c r="K216" s="16"/>
      <c r="L216" s="16"/>
      <c r="M216" s="101"/>
      <c r="N216" s="16"/>
      <c r="O216" s="16"/>
      <c r="Q216" s="134"/>
    </row>
    <row r="217" spans="1:20" ht="30.35" hidden="1" customHeight="1" x14ac:dyDescent="0.4">
      <c r="A217" s="139"/>
      <c r="B217" s="133"/>
      <c r="C217" s="205"/>
      <c r="D217" s="202"/>
      <c r="E217" s="206"/>
      <c r="F217" s="202"/>
      <c r="G217" s="135"/>
      <c r="H217" s="136"/>
      <c r="I217" s="106"/>
      <c r="J217" s="138"/>
      <c r="K217" s="16"/>
      <c r="L217" s="16"/>
      <c r="M217" s="101"/>
      <c r="N217" s="16"/>
      <c r="O217" s="16"/>
      <c r="Q217" s="134"/>
    </row>
    <row r="218" spans="1:20" ht="30.35" hidden="1" customHeight="1" x14ac:dyDescent="0.4">
      <c r="A218" s="139"/>
      <c r="B218" s="133"/>
      <c r="C218" s="205"/>
      <c r="D218" s="202"/>
      <c r="E218" s="206"/>
      <c r="F218" s="202"/>
      <c r="G218" s="135"/>
      <c r="H218" s="136"/>
      <c r="I218" s="106"/>
      <c r="J218" s="138"/>
      <c r="K218" s="16"/>
      <c r="L218" s="16"/>
      <c r="M218" s="101"/>
      <c r="N218" s="16"/>
      <c r="O218" s="16"/>
      <c r="Q218" s="134"/>
    </row>
    <row r="219" spans="1:20" ht="24" hidden="1" customHeight="1" x14ac:dyDescent="0.4">
      <c r="A219" s="139"/>
      <c r="B219" s="133"/>
      <c r="C219" s="205"/>
      <c r="D219" s="202"/>
      <c r="E219" s="206"/>
      <c r="F219" s="202"/>
      <c r="G219" s="135"/>
      <c r="H219" s="136"/>
      <c r="I219" s="106"/>
      <c r="J219" s="138"/>
      <c r="K219" s="16"/>
      <c r="L219" s="16"/>
      <c r="M219" s="101"/>
      <c r="N219" s="16"/>
      <c r="O219" s="16"/>
      <c r="Q219" s="134"/>
    </row>
    <row r="220" spans="1:20" ht="30.35" hidden="1" customHeight="1" x14ac:dyDescent="0.4">
      <c r="A220" s="139"/>
      <c r="B220" s="133"/>
      <c r="C220" s="205"/>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3"/>
      <c r="F221" s="202"/>
      <c r="G221" s="99"/>
      <c r="H221" s="100"/>
      <c r="I221" s="106"/>
      <c r="J221" s="105"/>
      <c r="K221" s="16"/>
      <c r="L221" s="16"/>
      <c r="M221" s="101"/>
      <c r="N221" s="16"/>
      <c r="O221" s="16"/>
    </row>
    <row r="222" spans="1:20" ht="30" hidden="1" customHeight="1" x14ac:dyDescent="0.4">
      <c r="A222" s="107"/>
      <c r="B222" s="15"/>
      <c r="C222" s="204"/>
      <c r="D222" s="202"/>
      <c r="E222" s="203"/>
      <c r="F222" s="202"/>
      <c r="G222" s="99"/>
      <c r="H222" s="100"/>
      <c r="I222" s="106"/>
      <c r="J222" s="105"/>
      <c r="K222" s="16"/>
      <c r="L222" s="16"/>
      <c r="M222" s="101"/>
      <c r="N222" s="16"/>
      <c r="O222" s="16"/>
    </row>
    <row r="223" spans="1:20" ht="30" hidden="1" customHeight="1" x14ac:dyDescent="0.4">
      <c r="A223" s="107"/>
      <c r="B223" s="15"/>
      <c r="C223" s="204"/>
      <c r="D223" s="202"/>
      <c r="E223" s="203"/>
      <c r="F223" s="202"/>
      <c r="G223" s="99"/>
      <c r="H223" s="100"/>
      <c r="I223" s="106"/>
      <c r="J223" s="105"/>
      <c r="K223" s="16"/>
      <c r="L223" s="16"/>
      <c r="M223" s="101"/>
      <c r="N223" s="16"/>
      <c r="O223" s="16"/>
    </row>
    <row r="224" spans="1:20" ht="30" hidden="1" customHeight="1" x14ac:dyDescent="0.4">
      <c r="A224" s="107"/>
      <c r="B224" s="15"/>
      <c r="C224" s="204"/>
      <c r="D224" s="202"/>
      <c r="E224" s="203"/>
      <c r="F224" s="202"/>
      <c r="G224" s="99"/>
      <c r="H224" s="100"/>
      <c r="I224" s="106"/>
      <c r="J224" s="105"/>
      <c r="K224" s="16"/>
      <c r="L224" s="16"/>
      <c r="M224" s="101"/>
      <c r="N224" s="16"/>
      <c r="O224" s="16"/>
    </row>
    <row r="225" spans="1:15" ht="30" hidden="1" customHeight="1" x14ac:dyDescent="0.4">
      <c r="A225" s="107"/>
      <c r="B225" s="15"/>
      <c r="C225" s="204"/>
      <c r="D225" s="202"/>
      <c r="E225" s="203"/>
      <c r="F225" s="202"/>
      <c r="G225" s="99"/>
      <c r="H225" s="100"/>
      <c r="I225" s="106"/>
      <c r="J225" s="105"/>
      <c r="K225" s="16"/>
      <c r="L225" s="16"/>
      <c r="M225" s="101"/>
      <c r="N225" s="16"/>
      <c r="O225" s="16"/>
    </row>
    <row r="226" spans="1:15" ht="30" hidden="1" customHeight="1" x14ac:dyDescent="0.4">
      <c r="A226" s="107"/>
      <c r="B226" s="15"/>
      <c r="C226" s="204"/>
      <c r="D226" s="202"/>
      <c r="E226" s="203"/>
      <c r="F226" s="202"/>
      <c r="G226" s="99"/>
      <c r="H226" s="100"/>
      <c r="I226" s="106"/>
      <c r="J226" s="105"/>
      <c r="K226" s="16"/>
      <c r="L226" s="16"/>
      <c r="M226" s="101"/>
      <c r="N226" s="16"/>
      <c r="O226" s="16"/>
    </row>
    <row r="227" spans="1:15" ht="30" hidden="1" customHeight="1" x14ac:dyDescent="0.4">
      <c r="A227" s="107"/>
      <c r="B227" s="15"/>
      <c r="C227" s="204"/>
      <c r="D227" s="202"/>
      <c r="E227" s="203"/>
      <c r="F227" s="202"/>
      <c r="G227" s="99"/>
      <c r="H227" s="100"/>
      <c r="I227" s="106"/>
      <c r="J227" s="105"/>
      <c r="K227" s="16"/>
      <c r="L227" s="16"/>
      <c r="M227" s="101"/>
      <c r="N227" s="16"/>
      <c r="O227" s="16"/>
    </row>
    <row r="228" spans="1:15" ht="30" hidden="1" customHeight="1" x14ac:dyDescent="0.4">
      <c r="A228" s="107"/>
      <c r="B228" s="15"/>
      <c r="C228" s="204"/>
      <c r="D228" s="202"/>
      <c r="E228" s="203"/>
      <c r="F228" s="202"/>
      <c r="G228" s="99"/>
      <c r="H228" s="100"/>
      <c r="I228" s="106"/>
      <c r="J228" s="105"/>
      <c r="K228" s="16"/>
      <c r="L228" s="16"/>
      <c r="M228" s="101"/>
      <c r="N228" s="16"/>
      <c r="O228" s="16"/>
    </row>
    <row r="229" spans="1:15" ht="30" hidden="1" customHeight="1" x14ac:dyDescent="0.4">
      <c r="A229" s="107"/>
      <c r="B229" s="15"/>
      <c r="C229" s="204"/>
      <c r="D229" s="202"/>
      <c r="E229" s="203"/>
      <c r="F229" s="202"/>
      <c r="G229" s="99"/>
      <c r="H229" s="100"/>
      <c r="I229" s="106"/>
      <c r="J229" s="105"/>
      <c r="K229" s="16"/>
      <c r="L229" s="16"/>
      <c r="M229" s="101"/>
      <c r="N229" s="16"/>
      <c r="O229" s="16"/>
    </row>
    <row r="230" spans="1:15" ht="30" hidden="1" customHeight="1" x14ac:dyDescent="0.4">
      <c r="A230" s="107"/>
      <c r="B230" s="15"/>
      <c r="C230" s="204"/>
      <c r="D230" s="202"/>
      <c r="E230" s="203"/>
      <c r="F230" s="202"/>
      <c r="G230" s="99"/>
      <c r="H230" s="100"/>
      <c r="I230" s="106"/>
      <c r="J230" s="105"/>
      <c r="K230" s="16"/>
      <c r="L230" s="16"/>
      <c r="M230" s="101"/>
      <c r="N230" s="16"/>
      <c r="O230" s="16"/>
    </row>
    <row r="231" spans="1:15" ht="30" hidden="1" customHeight="1" x14ac:dyDescent="0.4">
      <c r="A231" s="107"/>
      <c r="B231" s="15"/>
      <c r="C231" s="204"/>
      <c r="D231" s="202"/>
      <c r="E231" s="203"/>
      <c r="F231" s="202"/>
      <c r="G231" s="99"/>
      <c r="H231" s="100"/>
      <c r="I231" s="106"/>
      <c r="J231" s="105"/>
      <c r="K231" s="16"/>
      <c r="L231" s="16"/>
      <c r="M231" s="101"/>
      <c r="N231" s="16"/>
      <c r="O231" s="16"/>
    </row>
    <row r="232" spans="1:15" ht="30" hidden="1" customHeight="1" x14ac:dyDescent="0.4">
      <c r="A232" s="107"/>
      <c r="B232" s="15"/>
      <c r="C232" s="204"/>
      <c r="D232" s="202"/>
      <c r="E232" s="203"/>
      <c r="F232" s="202"/>
      <c r="G232" s="99"/>
      <c r="H232" s="100"/>
      <c r="I232" s="106"/>
      <c r="J232" s="105"/>
      <c r="K232" s="16"/>
      <c r="L232" s="16"/>
      <c r="M232" s="101"/>
      <c r="N232" s="16"/>
      <c r="O232" s="16"/>
    </row>
    <row r="233" spans="1:15" ht="30" hidden="1" customHeight="1" x14ac:dyDescent="0.4">
      <c r="A233" s="107"/>
      <c r="B233" s="15"/>
      <c r="C233" s="204"/>
      <c r="D233" s="202"/>
      <c r="E233" s="203"/>
      <c r="F233" s="202"/>
      <c r="G233" s="99"/>
      <c r="H233" s="100"/>
      <c r="I233" s="106"/>
      <c r="J233" s="105"/>
      <c r="K233" s="16"/>
      <c r="L233" s="16"/>
      <c r="M233" s="101"/>
      <c r="N233" s="16"/>
      <c r="O233" s="16"/>
    </row>
    <row r="234" spans="1:15" ht="30" hidden="1" customHeight="1" x14ac:dyDescent="0.4">
      <c r="A234" s="107"/>
      <c r="B234" s="15"/>
      <c r="C234" s="204"/>
      <c r="D234" s="202"/>
      <c r="E234" s="203"/>
      <c r="F234" s="202"/>
      <c r="G234" s="99"/>
      <c r="H234" s="100"/>
      <c r="I234" s="106"/>
      <c r="J234" s="105"/>
      <c r="K234" s="16"/>
      <c r="L234" s="16"/>
      <c r="M234" s="101"/>
      <c r="N234" s="16"/>
      <c r="O234" s="16"/>
    </row>
    <row r="235" spans="1:15" ht="30" hidden="1" customHeight="1" x14ac:dyDescent="0.4">
      <c r="A235" s="107"/>
      <c r="B235" s="15"/>
      <c r="C235" s="204"/>
      <c r="D235" s="202"/>
      <c r="E235" s="203"/>
      <c r="F235" s="202"/>
      <c r="G235" s="99"/>
      <c r="H235" s="100"/>
      <c r="I235" s="106"/>
      <c r="J235" s="105"/>
      <c r="K235" s="16"/>
      <c r="L235" s="16"/>
      <c r="M235" s="101"/>
      <c r="N235" s="16"/>
      <c r="O235" s="16"/>
    </row>
    <row r="236" spans="1:15" ht="30" hidden="1" customHeight="1" x14ac:dyDescent="0.4">
      <c r="A236" s="107"/>
      <c r="B236" s="15"/>
      <c r="C236" s="204"/>
      <c r="D236" s="202"/>
      <c r="E236" s="203"/>
      <c r="F236" s="202"/>
      <c r="G236" s="99"/>
      <c r="H236" s="100"/>
      <c r="I236" s="106"/>
      <c r="J236" s="105"/>
      <c r="K236" s="16"/>
      <c r="L236" s="16"/>
      <c r="M236" s="101"/>
      <c r="N236" s="16"/>
      <c r="O236" s="16"/>
    </row>
    <row r="237" spans="1:15" ht="30" hidden="1" customHeight="1" x14ac:dyDescent="0.4">
      <c r="A237" s="107"/>
      <c r="B237" s="15"/>
      <c r="C237" s="204"/>
      <c r="D237" s="202"/>
      <c r="E237" s="203"/>
      <c r="F237" s="202"/>
      <c r="G237" s="99"/>
      <c r="H237" s="100"/>
      <c r="I237" s="106"/>
      <c r="J237" s="105"/>
      <c r="K237" s="16"/>
      <c r="L237" s="16"/>
      <c r="M237" s="101"/>
      <c r="N237" s="16"/>
      <c r="O237" s="16"/>
    </row>
    <row r="238" spans="1:15" ht="30" hidden="1" customHeight="1" x14ac:dyDescent="0.4">
      <c r="A238" s="107"/>
      <c r="B238" s="15"/>
      <c r="C238" s="204"/>
      <c r="D238" s="202"/>
      <c r="E238" s="203"/>
      <c r="F238" s="202"/>
      <c r="G238" s="99"/>
      <c r="H238" s="100"/>
      <c r="I238" s="106"/>
      <c r="J238" s="105"/>
      <c r="K238" s="16"/>
      <c r="L238" s="16"/>
      <c r="M238" s="101"/>
      <c r="N238" s="16"/>
      <c r="O238" s="16"/>
    </row>
    <row r="239" spans="1:15" ht="30" hidden="1" customHeight="1" x14ac:dyDescent="0.4">
      <c r="A239" s="107"/>
      <c r="B239" s="15"/>
      <c r="C239" s="204"/>
      <c r="D239" s="202"/>
      <c r="E239" s="203"/>
      <c r="F239" s="202"/>
      <c r="G239" s="99"/>
      <c r="H239" s="100"/>
      <c r="I239" s="106"/>
      <c r="J239" s="105"/>
      <c r="K239" s="16"/>
      <c r="L239" s="16"/>
      <c r="M239" s="101"/>
      <c r="N239" s="16"/>
      <c r="O239" s="16"/>
    </row>
    <row r="240" spans="1:15" ht="30" hidden="1" customHeight="1" x14ac:dyDescent="0.4">
      <c r="A240" s="107"/>
      <c r="B240" s="15"/>
      <c r="C240" s="204"/>
      <c r="D240" s="202"/>
      <c r="E240" s="203"/>
      <c r="F240" s="202"/>
      <c r="G240" s="99"/>
      <c r="H240" s="100"/>
      <c r="I240" s="106"/>
      <c r="J240" s="105"/>
      <c r="K240" s="16"/>
      <c r="L240" s="16"/>
      <c r="M240" s="101"/>
      <c r="N240" s="16"/>
      <c r="O240" s="16"/>
    </row>
    <row r="241" spans="1:15" ht="30" hidden="1" customHeight="1" x14ac:dyDescent="0.4">
      <c r="A241" s="107"/>
      <c r="B241" s="15"/>
      <c r="C241" s="204"/>
      <c r="D241" s="202"/>
      <c r="E241" s="203"/>
      <c r="F241" s="202"/>
      <c r="G241" s="99"/>
      <c r="H241" s="100"/>
      <c r="I241" s="106"/>
      <c r="J241" s="105"/>
      <c r="K241" s="16"/>
      <c r="L241" s="16"/>
      <c r="M241" s="101"/>
      <c r="N241" s="16"/>
      <c r="O241" s="16"/>
    </row>
    <row r="242" spans="1:15" ht="30" hidden="1" customHeight="1" x14ac:dyDescent="0.4">
      <c r="A242" s="107"/>
      <c r="B242" s="15"/>
      <c r="C242" s="204"/>
      <c r="D242" s="202"/>
      <c r="E242" s="203"/>
      <c r="F242" s="202"/>
      <c r="G242" s="99"/>
      <c r="H242" s="100"/>
      <c r="I242" s="106"/>
      <c r="J242" s="105"/>
      <c r="K242" s="16"/>
      <c r="L242" s="16"/>
      <c r="M242" s="101"/>
      <c r="N242" s="16"/>
      <c r="O242" s="16"/>
    </row>
    <row r="243" spans="1:15" ht="30" hidden="1" customHeight="1" x14ac:dyDescent="0.4">
      <c r="A243" s="107"/>
      <c r="B243" s="15"/>
      <c r="C243" s="204"/>
      <c r="D243" s="202"/>
      <c r="E243" s="203"/>
      <c r="F243" s="202"/>
      <c r="G243" s="99"/>
      <c r="H243" s="100"/>
      <c r="I243" s="106"/>
      <c r="J243" s="105"/>
      <c r="K243" s="16"/>
      <c r="L243" s="16"/>
      <c r="M243" s="101"/>
      <c r="N243" s="16"/>
      <c r="O243" s="16"/>
    </row>
    <row r="244" spans="1:15" ht="30" hidden="1" customHeight="1" x14ac:dyDescent="0.4">
      <c r="A244" s="107"/>
      <c r="B244" s="15"/>
      <c r="C244" s="204"/>
      <c r="D244" s="202"/>
      <c r="E244" s="203"/>
      <c r="F244" s="202"/>
      <c r="G244" s="99"/>
      <c r="H244" s="100"/>
      <c r="I244" s="106"/>
      <c r="J244" s="105"/>
      <c r="K244" s="16"/>
      <c r="L244" s="16"/>
      <c r="M244" s="101"/>
      <c r="N244" s="16"/>
      <c r="O244" s="16"/>
    </row>
    <row r="245" spans="1:15" ht="30" hidden="1" customHeight="1" x14ac:dyDescent="0.4">
      <c r="A245" s="107"/>
      <c r="B245" s="15"/>
      <c r="C245" s="204"/>
      <c r="D245" s="202"/>
      <c r="E245" s="203"/>
      <c r="F245" s="202"/>
      <c r="G245" s="99"/>
      <c r="H245" s="100"/>
      <c r="I245" s="106"/>
      <c r="J245" s="105"/>
      <c r="K245" s="16"/>
      <c r="L245" s="16"/>
      <c r="M245" s="101"/>
      <c r="N245" s="16"/>
      <c r="O245" s="16"/>
    </row>
    <row r="246" spans="1:15" ht="30" hidden="1" customHeight="1" x14ac:dyDescent="0.4">
      <c r="A246" s="107"/>
      <c r="B246" s="15"/>
      <c r="C246" s="204"/>
      <c r="D246" s="202"/>
      <c r="E246" s="203"/>
      <c r="F246" s="202"/>
      <c r="G246" s="99"/>
      <c r="H246" s="100"/>
      <c r="I246" s="106"/>
      <c r="J246" s="105"/>
      <c r="K246" s="16"/>
      <c r="L246" s="16"/>
      <c r="M246" s="101"/>
      <c r="N246" s="16"/>
      <c r="O246" s="16"/>
    </row>
    <row r="247" spans="1:15" ht="30" hidden="1" customHeight="1" x14ac:dyDescent="0.4">
      <c r="A247" s="107"/>
      <c r="B247" s="15"/>
      <c r="C247" s="204"/>
      <c r="D247" s="202"/>
      <c r="E247" s="203"/>
      <c r="F247" s="202"/>
      <c r="G247" s="99"/>
      <c r="H247" s="100"/>
      <c r="I247" s="106"/>
      <c r="J247" s="105"/>
      <c r="K247" s="16"/>
      <c r="L247" s="16"/>
      <c r="M247" s="101"/>
      <c r="N247" s="16"/>
      <c r="O247" s="16"/>
    </row>
    <row r="248" spans="1:15" ht="30" hidden="1" customHeight="1" x14ac:dyDescent="0.4">
      <c r="A248" s="107"/>
      <c r="B248" s="15"/>
      <c r="C248" s="204"/>
      <c r="D248" s="202"/>
      <c r="E248" s="203"/>
      <c r="F248" s="202"/>
      <c r="G248" s="99"/>
      <c r="H248" s="100"/>
      <c r="I248" s="106"/>
      <c r="J248" s="105"/>
      <c r="K248" s="16"/>
      <c r="L248" s="16"/>
      <c r="M248" s="101"/>
      <c r="N248" s="16"/>
      <c r="O248" s="16"/>
    </row>
    <row r="249" spans="1:15" ht="30" hidden="1" customHeight="1" x14ac:dyDescent="0.4">
      <c r="A249" s="107"/>
      <c r="B249" s="15"/>
      <c r="C249" s="204"/>
      <c r="D249" s="202"/>
      <c r="E249" s="203"/>
      <c r="F249" s="202"/>
      <c r="G249" s="99"/>
      <c r="H249" s="100"/>
      <c r="I249" s="106"/>
      <c r="J249" s="105"/>
      <c r="K249" s="16"/>
      <c r="L249" s="16"/>
      <c r="M249" s="101"/>
      <c r="N249" s="16"/>
      <c r="O249" s="16"/>
    </row>
    <row r="250" spans="1:15" ht="30" hidden="1" customHeight="1" x14ac:dyDescent="0.4">
      <c r="A250" s="107"/>
      <c r="B250" s="15"/>
      <c r="C250" s="204"/>
      <c r="D250" s="202"/>
      <c r="E250" s="203"/>
      <c r="F250" s="202"/>
      <c r="G250" s="99"/>
      <c r="H250" s="100"/>
      <c r="I250" s="106"/>
      <c r="J250" s="105"/>
      <c r="K250" s="16"/>
      <c r="L250" s="16"/>
      <c r="M250" s="101"/>
      <c r="N250" s="16"/>
      <c r="O250" s="16"/>
    </row>
    <row r="251" spans="1:15" ht="30" hidden="1" customHeight="1" x14ac:dyDescent="0.4">
      <c r="A251" s="107"/>
      <c r="B251" s="15"/>
      <c r="C251" s="204"/>
      <c r="D251" s="202"/>
      <c r="E251" s="203"/>
      <c r="F251" s="202"/>
      <c r="G251" s="99"/>
      <c r="H251" s="100"/>
      <c r="I251" s="106"/>
      <c r="J251" s="105"/>
      <c r="K251" s="16"/>
      <c r="L251" s="16"/>
      <c r="M251" s="101"/>
      <c r="N251" s="16"/>
      <c r="O251" s="16"/>
    </row>
    <row r="252" spans="1:15" ht="30" hidden="1" customHeight="1" x14ac:dyDescent="0.4">
      <c r="A252" s="107"/>
      <c r="B252" s="15"/>
      <c r="C252" s="204"/>
      <c r="D252" s="202"/>
      <c r="E252" s="203"/>
      <c r="F252" s="202"/>
      <c r="G252" s="99"/>
      <c r="H252" s="100"/>
      <c r="I252" s="106"/>
      <c r="J252" s="105"/>
      <c r="K252" s="16"/>
      <c r="L252" s="16"/>
      <c r="M252" s="101"/>
      <c r="N252" s="16"/>
      <c r="O252" s="16"/>
    </row>
    <row r="253" spans="1:15" ht="30" hidden="1" customHeight="1" x14ac:dyDescent="0.4">
      <c r="A253" s="107"/>
      <c r="B253" s="15"/>
      <c r="C253" s="204"/>
      <c r="D253" s="202"/>
      <c r="E253" s="203"/>
      <c r="F253" s="202"/>
      <c r="G253" s="99"/>
      <c r="H253" s="100"/>
      <c r="I253" s="106"/>
      <c r="J253" s="105"/>
      <c r="K253" s="16"/>
      <c r="L253" s="16"/>
      <c r="M253" s="101"/>
      <c r="N253" s="16"/>
      <c r="O253" s="16"/>
    </row>
    <row r="254" spans="1:15" ht="30" hidden="1" customHeight="1" x14ac:dyDescent="0.4">
      <c r="A254" s="107"/>
      <c r="B254" s="15"/>
      <c r="C254" s="204"/>
      <c r="D254" s="202"/>
      <c r="E254" s="203"/>
      <c r="F254" s="202"/>
      <c r="G254" s="99"/>
      <c r="H254" s="100"/>
      <c r="I254" s="106"/>
      <c r="J254" s="105"/>
      <c r="K254" s="16"/>
      <c r="L254" s="16"/>
      <c r="M254" s="101"/>
      <c r="N254" s="16"/>
      <c r="O254" s="16"/>
    </row>
    <row r="255" spans="1:15" ht="30" hidden="1" customHeight="1" x14ac:dyDescent="0.4">
      <c r="A255" s="107"/>
      <c r="B255" s="15"/>
      <c r="C255" s="204"/>
      <c r="D255" s="202"/>
      <c r="E255" s="203"/>
      <c r="F255" s="202"/>
      <c r="G255" s="99"/>
      <c r="H255" s="100"/>
      <c r="I255" s="106"/>
      <c r="J255" s="105"/>
      <c r="K255" s="16"/>
      <c r="L255" s="16"/>
      <c r="M255" s="101"/>
      <c r="N255" s="16"/>
      <c r="O255" s="16"/>
    </row>
    <row r="256" spans="1:15" ht="30" hidden="1" customHeight="1" x14ac:dyDescent="0.4">
      <c r="A256" s="107"/>
      <c r="B256" s="15"/>
      <c r="C256" s="204"/>
      <c r="D256" s="202"/>
      <c r="E256" s="203"/>
      <c r="F256" s="202"/>
      <c r="G256" s="99"/>
      <c r="H256" s="100"/>
      <c r="I256" s="106"/>
      <c r="J256" s="105"/>
      <c r="K256" s="16"/>
      <c r="L256" s="16"/>
      <c r="M256" s="101"/>
      <c r="N256" s="16"/>
      <c r="O256" s="16"/>
    </row>
    <row r="257" spans="1:15" ht="30" hidden="1" customHeight="1" x14ac:dyDescent="0.4">
      <c r="A257" s="107"/>
      <c r="B257" s="15"/>
      <c r="C257" s="204"/>
      <c r="D257" s="202"/>
      <c r="E257" s="203"/>
      <c r="F257" s="202"/>
      <c r="G257" s="99"/>
      <c r="H257" s="100"/>
      <c r="I257" s="106"/>
      <c r="J257" s="105"/>
      <c r="K257" s="16"/>
      <c r="L257" s="16"/>
      <c r="M257" s="101"/>
      <c r="N257" s="16"/>
      <c r="O257" s="16"/>
    </row>
    <row r="258" spans="1:15" ht="30" hidden="1" customHeight="1" x14ac:dyDescent="0.4">
      <c r="A258" s="107"/>
      <c r="B258" s="15"/>
      <c r="C258" s="204"/>
      <c r="D258" s="202"/>
      <c r="E258" s="203"/>
      <c r="F258" s="202"/>
      <c r="G258" s="99"/>
      <c r="H258" s="100"/>
      <c r="I258" s="106"/>
      <c r="J258" s="105"/>
      <c r="K258" s="16"/>
      <c r="L258" s="16"/>
      <c r="M258" s="101"/>
      <c r="N258" s="16"/>
      <c r="O258" s="16"/>
    </row>
    <row r="259" spans="1:15" ht="30" hidden="1" customHeight="1" x14ac:dyDescent="0.4">
      <c r="A259" s="107"/>
      <c r="B259" s="15"/>
      <c r="C259" s="204"/>
      <c r="D259" s="202"/>
      <c r="E259" s="203"/>
      <c r="F259" s="202"/>
      <c r="G259" s="99"/>
      <c r="H259" s="100"/>
      <c r="I259" s="106"/>
      <c r="J259" s="105"/>
      <c r="K259" s="16"/>
      <c r="L259" s="16"/>
      <c r="M259" s="101"/>
      <c r="N259" s="16"/>
      <c r="O259" s="16"/>
    </row>
    <row r="260" spans="1:15" ht="30" hidden="1" customHeight="1" x14ac:dyDescent="0.4">
      <c r="A260" s="107"/>
      <c r="B260" s="15"/>
      <c r="C260" s="204"/>
      <c r="D260" s="202"/>
      <c r="E260" s="203"/>
      <c r="F260" s="202"/>
      <c r="G260" s="99"/>
      <c r="H260" s="100"/>
      <c r="I260" s="106"/>
      <c r="J260" s="105"/>
      <c r="K260" s="16"/>
      <c r="L260" s="16"/>
      <c r="M260" s="101"/>
      <c r="N260" s="16"/>
      <c r="O260" s="16"/>
    </row>
    <row r="261" spans="1:15" ht="30" hidden="1" customHeight="1" x14ac:dyDescent="0.4">
      <c r="A261" s="107"/>
      <c r="B261" s="15"/>
      <c r="C261" s="204"/>
      <c r="D261" s="202"/>
      <c r="E261" s="203"/>
      <c r="F261" s="202"/>
      <c r="G261" s="99"/>
      <c r="H261" s="100"/>
      <c r="I261" s="106"/>
      <c r="J261" s="105"/>
      <c r="K261" s="16"/>
      <c r="L261" s="16"/>
      <c r="M261" s="101"/>
      <c r="N261" s="16"/>
      <c r="O261" s="16"/>
    </row>
    <row r="262" spans="1:15" ht="30" hidden="1" customHeight="1" x14ac:dyDescent="0.4">
      <c r="A262" s="107"/>
      <c r="B262" s="15"/>
      <c r="C262" s="204"/>
      <c r="D262" s="202"/>
      <c r="E262" s="203"/>
      <c r="F262" s="202"/>
      <c r="G262" s="99"/>
      <c r="H262" s="100"/>
      <c r="I262" s="106"/>
      <c r="J262" s="105"/>
      <c r="K262" s="16"/>
      <c r="L262" s="16"/>
      <c r="M262" s="101"/>
      <c r="N262" s="16"/>
      <c r="O262" s="16"/>
    </row>
    <row r="263" spans="1:15" ht="30" hidden="1" customHeight="1" x14ac:dyDescent="0.4">
      <c r="A263" s="107"/>
      <c r="B263" s="15"/>
      <c r="C263" s="204"/>
      <c r="D263" s="202"/>
      <c r="E263" s="203"/>
      <c r="F263" s="202"/>
      <c r="G263" s="99"/>
      <c r="H263" s="100"/>
      <c r="I263" s="106"/>
      <c r="J263" s="105"/>
      <c r="K263" s="16"/>
      <c r="L263" s="16"/>
      <c r="M263" s="101"/>
      <c r="N263" s="16"/>
      <c r="O263" s="16"/>
    </row>
    <row r="264" spans="1:15" ht="30" hidden="1" customHeight="1" x14ac:dyDescent="0.4">
      <c r="A264" s="107"/>
      <c r="B264" s="15"/>
      <c r="C264" s="204"/>
      <c r="D264" s="202"/>
      <c r="E264" s="203"/>
      <c r="F264" s="202"/>
      <c r="G264" s="99"/>
      <c r="H264" s="100"/>
      <c r="I264" s="106"/>
      <c r="J264" s="105"/>
      <c r="K264" s="16"/>
      <c r="L264" s="16"/>
      <c r="M264" s="101"/>
      <c r="N264" s="16"/>
      <c r="O264" s="16"/>
    </row>
    <row r="265" spans="1:15" ht="30" hidden="1" customHeight="1" x14ac:dyDescent="0.4">
      <c r="A265" s="107"/>
      <c r="B265" s="15"/>
      <c r="C265" s="204"/>
      <c r="D265" s="202"/>
      <c r="E265" s="203"/>
      <c r="F265" s="202"/>
      <c r="G265" s="99"/>
      <c r="H265" s="100"/>
      <c r="I265" s="106"/>
      <c r="J265" s="105"/>
      <c r="K265" s="16"/>
      <c r="L265" s="16"/>
      <c r="M265" s="101"/>
      <c r="N265" s="16"/>
      <c r="O265" s="16"/>
    </row>
    <row r="266" spans="1:15" ht="30" hidden="1" customHeight="1" x14ac:dyDescent="0.4">
      <c r="A266" s="107"/>
      <c r="B266" s="15"/>
      <c r="C266" s="204"/>
      <c r="D266" s="202"/>
      <c r="E266" s="203"/>
      <c r="F266" s="202"/>
      <c r="G266" s="99"/>
      <c r="H266" s="100"/>
      <c r="I266" s="106"/>
      <c r="J266" s="105"/>
      <c r="K266" s="16"/>
      <c r="L266" s="16"/>
      <c r="M266" s="101"/>
      <c r="N266" s="16"/>
      <c r="O266" s="16"/>
    </row>
    <row r="267" spans="1:15" ht="30" hidden="1" customHeight="1" x14ac:dyDescent="0.4">
      <c r="A267" s="107"/>
      <c r="B267" s="15"/>
      <c r="C267" s="204"/>
      <c r="D267" s="202"/>
      <c r="E267" s="203"/>
      <c r="F267" s="202"/>
      <c r="G267" s="99"/>
      <c r="H267" s="100"/>
      <c r="I267" s="106"/>
      <c r="J267" s="105"/>
      <c r="K267" s="16"/>
      <c r="L267" s="16"/>
      <c r="M267" s="101"/>
      <c r="N267" s="16"/>
      <c r="O267" s="16"/>
    </row>
    <row r="268" spans="1:15" ht="30" hidden="1" customHeight="1" x14ac:dyDescent="0.4">
      <c r="A268" s="107"/>
      <c r="B268" s="15"/>
      <c r="C268" s="204"/>
      <c r="D268" s="202"/>
      <c r="E268" s="203"/>
      <c r="F268" s="202"/>
      <c r="G268" s="99"/>
      <c r="H268" s="100"/>
      <c r="I268" s="106"/>
      <c r="J268" s="105"/>
      <c r="K268" s="16"/>
      <c r="L268" s="16"/>
      <c r="M268" s="101"/>
      <c r="N268" s="16"/>
      <c r="O268" s="16"/>
    </row>
    <row r="269" spans="1:15" ht="30" hidden="1" customHeight="1" x14ac:dyDescent="0.4">
      <c r="A269" s="107"/>
      <c r="B269" s="15"/>
      <c r="C269" s="204"/>
      <c r="D269" s="202"/>
      <c r="E269" s="203"/>
      <c r="F269" s="202"/>
      <c r="G269" s="99"/>
      <c r="H269" s="100"/>
      <c r="I269" s="106"/>
      <c r="J269" s="105"/>
      <c r="K269" s="16"/>
      <c r="L269" s="16"/>
      <c r="M269" s="101"/>
      <c r="N269" s="16"/>
      <c r="O269" s="16"/>
    </row>
    <row r="270" spans="1:15" ht="30" hidden="1" customHeight="1" x14ac:dyDescent="0.4">
      <c r="A270" s="107"/>
      <c r="B270" s="15"/>
      <c r="C270" s="204"/>
      <c r="D270" s="202"/>
      <c r="E270" s="203"/>
      <c r="F270" s="202"/>
      <c r="G270" s="99"/>
      <c r="H270" s="100"/>
      <c r="I270" s="106"/>
      <c r="J270" s="105"/>
      <c r="K270" s="16"/>
      <c r="L270" s="16"/>
      <c r="M270" s="101"/>
      <c r="N270" s="16"/>
      <c r="O270" s="16"/>
    </row>
    <row r="271" spans="1:15" ht="30" hidden="1" customHeight="1" x14ac:dyDescent="0.4">
      <c r="A271" s="107"/>
      <c r="B271" s="15"/>
      <c r="C271" s="204"/>
      <c r="D271" s="202"/>
      <c r="E271" s="203"/>
      <c r="F271" s="202"/>
      <c r="G271" s="99"/>
      <c r="H271" s="100"/>
      <c r="I271" s="106"/>
      <c r="J271" s="105"/>
      <c r="K271" s="16"/>
      <c r="L271" s="16"/>
      <c r="M271" s="101"/>
      <c r="N271" s="16"/>
      <c r="O271" s="16"/>
    </row>
    <row r="272" spans="1:15" ht="30" hidden="1" customHeight="1" x14ac:dyDescent="0.4">
      <c r="A272" s="107"/>
      <c r="B272" s="15"/>
      <c r="C272" s="204"/>
      <c r="D272" s="202"/>
      <c r="E272" s="203"/>
      <c r="F272" s="202"/>
      <c r="G272" s="99"/>
      <c r="H272" s="100"/>
      <c r="I272" s="106"/>
      <c r="J272" s="105"/>
      <c r="K272" s="16"/>
      <c r="L272" s="16"/>
      <c r="M272" s="101"/>
      <c r="N272" s="16"/>
      <c r="O272" s="16"/>
    </row>
    <row r="273" spans="1:15" ht="30" hidden="1" customHeight="1" x14ac:dyDescent="0.4">
      <c r="A273" s="107"/>
      <c r="B273" s="15"/>
      <c r="C273" s="204"/>
      <c r="D273" s="202"/>
      <c r="E273" s="203"/>
      <c r="F273" s="202"/>
      <c r="G273" s="99"/>
      <c r="H273" s="100"/>
      <c r="I273" s="106"/>
      <c r="J273" s="105"/>
      <c r="K273" s="16"/>
      <c r="L273" s="16"/>
      <c r="M273" s="101"/>
      <c r="N273" s="16"/>
      <c r="O273" s="16"/>
    </row>
    <row r="274" spans="1:15" ht="30" hidden="1" customHeight="1" x14ac:dyDescent="0.4">
      <c r="A274" s="107"/>
      <c r="B274" s="15"/>
      <c r="C274" s="204"/>
      <c r="D274" s="202"/>
      <c r="E274" s="203"/>
      <c r="F274" s="202"/>
      <c r="G274" s="99"/>
      <c r="H274" s="100"/>
      <c r="I274" s="106"/>
      <c r="J274" s="105"/>
      <c r="K274" s="16"/>
      <c r="L274" s="16"/>
      <c r="M274" s="101"/>
      <c r="N274" s="16"/>
      <c r="O274" s="16"/>
    </row>
    <row r="275" spans="1:15" ht="30" hidden="1" customHeight="1" x14ac:dyDescent="0.4">
      <c r="A275" s="107"/>
      <c r="B275" s="15"/>
      <c r="C275" s="204"/>
      <c r="D275" s="202"/>
      <c r="E275" s="203"/>
      <c r="F275" s="202"/>
      <c r="G275" s="99"/>
      <c r="H275" s="100"/>
      <c r="I275" s="106"/>
      <c r="J275" s="105"/>
      <c r="K275" s="16"/>
      <c r="L275" s="16"/>
      <c r="M275" s="101"/>
      <c r="N275" s="16"/>
      <c r="O275" s="16"/>
    </row>
    <row r="276" spans="1:15" ht="30" hidden="1" customHeight="1" x14ac:dyDescent="0.4">
      <c r="A276" s="107"/>
      <c r="B276" s="15"/>
      <c r="C276" s="204"/>
      <c r="D276" s="202"/>
      <c r="E276" s="203"/>
      <c r="F276" s="202"/>
      <c r="G276" s="99"/>
      <c r="H276" s="100"/>
      <c r="I276" s="106"/>
      <c r="J276" s="105"/>
      <c r="K276" s="16"/>
      <c r="L276" s="16"/>
      <c r="M276" s="101"/>
      <c r="N276" s="16"/>
      <c r="O276" s="16"/>
    </row>
    <row r="277" spans="1:15" ht="30" hidden="1" customHeight="1" x14ac:dyDescent="0.4">
      <c r="A277" s="107"/>
      <c r="B277" s="15"/>
      <c r="C277" s="204"/>
      <c r="D277" s="202"/>
      <c r="E277" s="203"/>
      <c r="F277" s="202"/>
      <c r="G277" s="99"/>
      <c r="H277" s="100"/>
      <c r="I277" s="106"/>
      <c r="J277" s="105"/>
      <c r="K277" s="16"/>
      <c r="L277" s="16"/>
      <c r="M277" s="101"/>
      <c r="N277" s="16"/>
      <c r="O277" s="16"/>
    </row>
    <row r="278" spans="1:15" ht="30" hidden="1" customHeight="1" x14ac:dyDescent="0.4">
      <c r="A278" s="107"/>
      <c r="B278" s="15"/>
      <c r="C278" s="204"/>
      <c r="D278" s="202"/>
      <c r="E278" s="203"/>
      <c r="F278" s="202"/>
      <c r="G278" s="99"/>
      <c r="H278" s="100"/>
      <c r="I278" s="106"/>
      <c r="J278" s="105"/>
      <c r="K278" s="16"/>
      <c r="L278" s="16"/>
      <c r="M278" s="101"/>
      <c r="N278" s="16"/>
      <c r="O278" s="16"/>
    </row>
    <row r="279" spans="1:15" ht="30" hidden="1" customHeight="1" x14ac:dyDescent="0.4">
      <c r="A279" s="107"/>
      <c r="B279" s="15"/>
      <c r="C279" s="204"/>
      <c r="D279" s="202"/>
      <c r="E279" s="203"/>
      <c r="F279" s="202"/>
      <c r="G279" s="99"/>
      <c r="H279" s="100"/>
      <c r="I279" s="106"/>
      <c r="J279" s="105"/>
      <c r="K279" s="16"/>
      <c r="L279" s="16"/>
      <c r="M279" s="101"/>
      <c r="N279" s="16"/>
      <c r="O279" s="16"/>
    </row>
    <row r="280" spans="1:15" ht="30" hidden="1" customHeight="1" x14ac:dyDescent="0.4">
      <c r="A280" s="107"/>
      <c r="B280" s="15"/>
      <c r="C280" s="204"/>
      <c r="D280" s="202"/>
      <c r="E280" s="203"/>
      <c r="F280" s="202"/>
      <c r="G280" s="99"/>
      <c r="H280" s="100"/>
      <c r="I280" s="106"/>
      <c r="J280" s="105"/>
      <c r="K280" s="16"/>
      <c r="L280" s="16"/>
      <c r="M280" s="101"/>
      <c r="N280" s="16"/>
      <c r="O280" s="16"/>
    </row>
    <row r="281" spans="1:15" ht="30" hidden="1" customHeight="1" x14ac:dyDescent="0.4">
      <c r="A281" s="107"/>
      <c r="B281" s="15"/>
      <c r="C281" s="204"/>
      <c r="D281" s="202"/>
      <c r="E281" s="203"/>
      <c r="F281" s="202"/>
      <c r="G281" s="99"/>
      <c r="H281" s="100"/>
      <c r="I281" s="106"/>
      <c r="J281" s="105"/>
      <c r="K281" s="16"/>
      <c r="L281" s="16"/>
      <c r="M281" s="101"/>
      <c r="N281" s="16"/>
      <c r="O281" s="16"/>
    </row>
    <row r="282" spans="1:15" ht="30" hidden="1" customHeight="1" x14ac:dyDescent="0.4">
      <c r="A282" s="107"/>
      <c r="B282" s="15"/>
      <c r="C282" s="204"/>
      <c r="D282" s="202"/>
      <c r="E282" s="203"/>
      <c r="F282" s="202"/>
      <c r="G282" s="99"/>
      <c r="H282" s="100"/>
      <c r="I282" s="106"/>
      <c r="J282" s="105"/>
      <c r="K282" s="16"/>
      <c r="L282" s="16"/>
      <c r="M282" s="101"/>
      <c r="N282" s="16"/>
      <c r="O282" s="16"/>
    </row>
    <row r="283" spans="1:15" ht="30" hidden="1" customHeight="1" x14ac:dyDescent="0.4">
      <c r="A283" s="107"/>
      <c r="B283" s="15"/>
      <c r="C283" s="204"/>
      <c r="D283" s="202"/>
      <c r="E283" s="203"/>
      <c r="F283" s="202"/>
      <c r="G283" s="99"/>
      <c r="H283" s="100"/>
      <c r="I283" s="106"/>
      <c r="J283" s="105"/>
      <c r="K283" s="16"/>
      <c r="L283" s="16"/>
      <c r="M283" s="101"/>
      <c r="N283" s="16"/>
      <c r="O283" s="16"/>
    </row>
    <row r="284" spans="1:15" ht="30" hidden="1" customHeight="1" x14ac:dyDescent="0.4">
      <c r="A284" s="107"/>
      <c r="B284" s="15"/>
      <c r="C284" s="204"/>
      <c r="D284" s="202"/>
      <c r="E284" s="203"/>
      <c r="F284" s="202"/>
      <c r="G284" s="99"/>
      <c r="H284" s="100"/>
      <c r="I284" s="106"/>
      <c r="J284" s="105"/>
      <c r="K284" s="16"/>
      <c r="L284" s="16"/>
      <c r="M284" s="101"/>
      <c r="N284" s="16"/>
      <c r="O284" s="16"/>
    </row>
    <row r="285" spans="1:15" ht="30" hidden="1" customHeight="1" x14ac:dyDescent="0.4">
      <c r="A285" s="107"/>
      <c r="B285" s="15"/>
      <c r="C285" s="204"/>
      <c r="D285" s="202"/>
      <c r="E285" s="203"/>
      <c r="F285" s="202"/>
      <c r="G285" s="99"/>
      <c r="H285" s="100"/>
      <c r="I285" s="106"/>
      <c r="J285" s="105"/>
      <c r="K285" s="16"/>
      <c r="L285" s="16"/>
      <c r="M285" s="101"/>
      <c r="N285" s="16"/>
      <c r="O285" s="16"/>
    </row>
    <row r="286" spans="1:15" ht="30" hidden="1" customHeight="1" x14ac:dyDescent="0.4">
      <c r="A286" s="107"/>
      <c r="B286" s="15"/>
      <c r="C286" s="204"/>
      <c r="D286" s="202"/>
      <c r="E286" s="203"/>
      <c r="F286" s="202"/>
      <c r="G286" s="99"/>
      <c r="H286" s="100"/>
      <c r="I286" s="106"/>
      <c r="J286" s="105"/>
      <c r="K286" s="16"/>
      <c r="L286" s="16"/>
      <c r="M286" s="101"/>
      <c r="N286" s="16"/>
      <c r="O286" s="16"/>
    </row>
    <row r="287" spans="1:15" ht="30" hidden="1" customHeight="1" x14ac:dyDescent="0.4">
      <c r="A287" s="107"/>
      <c r="B287" s="15"/>
      <c r="C287" s="204"/>
      <c r="D287" s="202"/>
      <c r="E287" s="203"/>
      <c r="F287" s="202"/>
      <c r="G287" s="99"/>
      <c r="H287" s="100"/>
      <c r="I287" s="106"/>
      <c r="J287" s="105"/>
      <c r="K287" s="16"/>
      <c r="L287" s="16"/>
      <c r="M287" s="101"/>
      <c r="N287" s="16"/>
      <c r="O287" s="16"/>
    </row>
    <row r="288" spans="1:15" ht="30" hidden="1" customHeight="1" x14ac:dyDescent="0.4">
      <c r="A288" s="107"/>
      <c r="B288" s="15"/>
      <c r="C288" s="204"/>
      <c r="D288" s="202"/>
      <c r="E288" s="203"/>
      <c r="F288" s="202"/>
      <c r="G288" s="99"/>
      <c r="H288" s="100"/>
      <c r="I288" s="106"/>
      <c r="J288" s="105"/>
      <c r="K288" s="16"/>
      <c r="L288" s="16"/>
      <c r="M288" s="101"/>
      <c r="N288" s="16"/>
      <c r="O288" s="16"/>
    </row>
    <row r="289" spans="1:15" ht="30" hidden="1" customHeight="1" x14ac:dyDescent="0.4">
      <c r="A289" s="107"/>
      <c r="B289" s="15"/>
      <c r="C289" s="204"/>
      <c r="D289" s="202"/>
      <c r="E289" s="203"/>
      <c r="F289" s="202"/>
      <c r="G289" s="99"/>
      <c r="H289" s="100"/>
      <c r="I289" s="106"/>
      <c r="J289" s="105"/>
      <c r="K289" s="16"/>
      <c r="L289" s="16"/>
      <c r="M289" s="101"/>
      <c r="N289" s="16"/>
      <c r="O289" s="16"/>
    </row>
    <row r="290" spans="1:15" ht="30" hidden="1" customHeight="1" x14ac:dyDescent="0.4">
      <c r="A290" s="107"/>
      <c r="B290" s="15"/>
      <c r="C290" s="204"/>
      <c r="D290" s="202"/>
      <c r="E290" s="203"/>
      <c r="F290" s="202"/>
      <c r="G290" s="99"/>
      <c r="H290" s="100"/>
      <c r="I290" s="106"/>
      <c r="J290" s="105"/>
      <c r="K290" s="16"/>
      <c r="L290" s="16"/>
      <c r="M290" s="101"/>
      <c r="N290" s="16"/>
      <c r="O290" s="16"/>
    </row>
    <row r="291" spans="1:15" ht="30" hidden="1" customHeight="1" x14ac:dyDescent="0.4">
      <c r="A291" s="107"/>
      <c r="B291" s="15"/>
      <c r="C291" s="204"/>
      <c r="D291" s="202"/>
      <c r="E291" s="203"/>
      <c r="F291" s="202"/>
      <c r="G291" s="99"/>
      <c r="H291" s="100"/>
      <c r="I291" s="106"/>
      <c r="J291" s="105"/>
      <c r="K291" s="16"/>
      <c r="L291" s="16"/>
      <c r="M291" s="101"/>
      <c r="N291" s="16"/>
      <c r="O291" s="16"/>
    </row>
    <row r="292" spans="1:15" ht="30" hidden="1" customHeight="1" x14ac:dyDescent="0.4">
      <c r="A292" s="107"/>
      <c r="B292" s="15"/>
      <c r="C292" s="204"/>
      <c r="D292" s="202"/>
      <c r="E292" s="203"/>
      <c r="F292" s="202"/>
      <c r="G292" s="99"/>
      <c r="H292" s="100"/>
      <c r="I292" s="106"/>
      <c r="J292" s="105"/>
      <c r="K292" s="16"/>
      <c r="L292" s="16"/>
      <c r="M292" s="101"/>
      <c r="N292" s="16"/>
      <c r="O292" s="16"/>
    </row>
    <row r="293" spans="1:15" ht="30" hidden="1" customHeight="1" x14ac:dyDescent="0.4">
      <c r="A293" s="107"/>
      <c r="B293" s="15"/>
      <c r="C293" s="204"/>
      <c r="D293" s="202"/>
      <c r="E293" s="203"/>
      <c r="F293" s="202"/>
      <c r="G293" s="99"/>
      <c r="H293" s="100"/>
      <c r="I293" s="106"/>
      <c r="J293" s="105"/>
      <c r="K293" s="16"/>
      <c r="L293" s="16"/>
      <c r="M293" s="101"/>
      <c r="N293" s="16"/>
      <c r="O293" s="16"/>
    </row>
    <row r="294" spans="1:15" ht="30" hidden="1" customHeight="1" x14ac:dyDescent="0.4">
      <c r="A294" s="107"/>
      <c r="B294" s="15"/>
      <c r="C294" s="204"/>
      <c r="D294" s="202"/>
      <c r="E294" s="203"/>
      <c r="F294" s="202"/>
      <c r="G294" s="99"/>
      <c r="H294" s="100"/>
      <c r="I294" s="106"/>
      <c r="J294" s="105"/>
      <c r="K294" s="16"/>
      <c r="L294" s="16"/>
      <c r="M294" s="101"/>
      <c r="N294" s="16"/>
      <c r="O294" s="16"/>
    </row>
    <row r="295" spans="1:15" ht="30" hidden="1" customHeight="1" x14ac:dyDescent="0.4">
      <c r="A295" s="107"/>
      <c r="B295" s="15"/>
      <c r="C295" s="204"/>
      <c r="D295" s="202"/>
      <c r="E295" s="203"/>
      <c r="F295" s="202"/>
      <c r="G295" s="99"/>
      <c r="H295" s="100"/>
      <c r="I295" s="106"/>
      <c r="J295" s="105"/>
      <c r="K295" s="16"/>
      <c r="L295" s="16"/>
      <c r="M295" s="101"/>
      <c r="N295" s="16"/>
      <c r="O295" s="16"/>
    </row>
    <row r="296" spans="1:15" ht="30" hidden="1" customHeight="1" x14ac:dyDescent="0.4">
      <c r="A296" s="107"/>
      <c r="B296" s="15"/>
      <c r="C296" s="204"/>
      <c r="D296" s="202"/>
      <c r="E296" s="203"/>
      <c r="F296" s="202"/>
      <c r="G296" s="99"/>
      <c r="H296" s="100"/>
      <c r="I296" s="106"/>
      <c r="J296" s="105"/>
      <c r="K296" s="16"/>
      <c r="L296" s="16"/>
      <c r="M296" s="101"/>
      <c r="N296" s="16"/>
      <c r="O296" s="16"/>
    </row>
    <row r="297" spans="1:15" ht="30" hidden="1" customHeight="1" x14ac:dyDescent="0.4">
      <c r="A297" s="107"/>
      <c r="B297" s="15"/>
      <c r="C297" s="204"/>
      <c r="D297" s="202"/>
      <c r="E297" s="203"/>
      <c r="F297" s="202"/>
      <c r="G297" s="99"/>
      <c r="H297" s="100"/>
      <c r="I297" s="106"/>
      <c r="J297" s="105"/>
      <c r="K297" s="16"/>
      <c r="L297" s="16"/>
      <c r="M297" s="101"/>
      <c r="N297" s="16"/>
      <c r="O297" s="16"/>
    </row>
    <row r="298" spans="1:15" ht="30" hidden="1" customHeight="1" x14ac:dyDescent="0.4">
      <c r="A298" s="107"/>
      <c r="B298" s="15"/>
      <c r="C298" s="204"/>
      <c r="D298" s="202"/>
      <c r="E298" s="203"/>
      <c r="F298" s="202"/>
      <c r="G298" s="99"/>
      <c r="H298" s="100"/>
      <c r="I298" s="106"/>
      <c r="J298" s="105"/>
      <c r="K298" s="16"/>
      <c r="L298" s="16"/>
      <c r="M298" s="101"/>
      <c r="N298" s="16"/>
      <c r="O298" s="16"/>
    </row>
    <row r="299" spans="1:15" ht="30" hidden="1" customHeight="1" x14ac:dyDescent="0.4">
      <c r="A299" s="107"/>
      <c r="B299" s="15"/>
      <c r="C299" s="204"/>
      <c r="D299" s="202"/>
      <c r="E299" s="203"/>
      <c r="F299" s="202"/>
      <c r="G299" s="99"/>
      <c r="H299" s="100"/>
      <c r="I299" s="106"/>
      <c r="J299" s="105"/>
      <c r="K299" s="16"/>
      <c r="L299" s="16"/>
      <c r="M299" s="101"/>
      <c r="N299" s="16"/>
      <c r="O299" s="16"/>
    </row>
    <row r="300" spans="1:15" ht="30" hidden="1" customHeight="1" x14ac:dyDescent="0.4">
      <c r="A300" s="107"/>
      <c r="B300" s="15"/>
      <c r="C300" s="204"/>
      <c r="D300" s="202"/>
      <c r="E300" s="203"/>
      <c r="F300" s="202"/>
      <c r="G300" s="99"/>
      <c r="H300" s="100"/>
      <c r="I300" s="106"/>
      <c r="J300" s="105"/>
      <c r="K300" s="16"/>
      <c r="L300" s="16"/>
      <c r="M300" s="101"/>
      <c r="N300" s="16"/>
      <c r="O300" s="16"/>
    </row>
    <row r="301" spans="1:15" ht="30" hidden="1" customHeight="1" x14ac:dyDescent="0.4">
      <c r="A301" s="107"/>
      <c r="B301" s="15"/>
      <c r="C301" s="204"/>
      <c r="D301" s="202"/>
      <c r="E301" s="203"/>
      <c r="F301" s="202"/>
      <c r="G301" s="99"/>
      <c r="H301" s="100"/>
      <c r="I301" s="106"/>
      <c r="J301" s="105"/>
      <c r="K301" s="16"/>
      <c r="L301" s="16"/>
      <c r="M301" s="101"/>
      <c r="N301" s="16"/>
      <c r="O301" s="16"/>
    </row>
    <row r="302" spans="1:15" ht="30" hidden="1" customHeight="1" x14ac:dyDescent="0.4">
      <c r="A302" s="107"/>
      <c r="B302" s="15"/>
      <c r="C302" s="204"/>
      <c r="D302" s="202"/>
      <c r="E302" s="203"/>
      <c r="F302" s="202"/>
      <c r="G302" s="99"/>
      <c r="H302" s="100"/>
      <c r="I302" s="106"/>
      <c r="J302" s="105"/>
      <c r="K302" s="16"/>
      <c r="L302" s="16"/>
      <c r="M302" s="101"/>
      <c r="N302" s="16"/>
      <c r="O302" s="16"/>
    </row>
    <row r="303" spans="1:15" ht="30" hidden="1" customHeight="1" x14ac:dyDescent="0.4">
      <c r="A303" s="107"/>
      <c r="B303" s="15"/>
      <c r="C303" s="204"/>
      <c r="D303" s="202"/>
      <c r="E303" s="203"/>
      <c r="F303" s="202"/>
      <c r="G303" s="99"/>
      <c r="H303" s="100"/>
      <c r="I303" s="106"/>
      <c r="J303" s="105"/>
      <c r="K303" s="16"/>
      <c r="L303" s="16"/>
      <c r="M303" s="101"/>
      <c r="N303" s="16"/>
      <c r="O303" s="16"/>
    </row>
    <row r="304" spans="1:15" ht="30" hidden="1" customHeight="1" x14ac:dyDescent="0.4">
      <c r="A304" s="107"/>
      <c r="B304" s="15"/>
      <c r="C304" s="204"/>
      <c r="D304" s="202"/>
      <c r="E304" s="203"/>
      <c r="F304" s="202"/>
      <c r="G304" s="99"/>
      <c r="H304" s="100"/>
      <c r="I304" s="106"/>
      <c r="J304" s="105"/>
      <c r="K304" s="16"/>
      <c r="L304" s="16"/>
      <c r="M304" s="101"/>
      <c r="N304" s="16"/>
      <c r="O304" s="16"/>
    </row>
    <row r="305" spans="1:15" ht="30" hidden="1" customHeight="1" x14ac:dyDescent="0.4">
      <c r="A305" s="107"/>
      <c r="B305" s="15"/>
      <c r="C305" s="204"/>
      <c r="D305" s="202"/>
      <c r="E305" s="203"/>
      <c r="F305" s="202"/>
      <c r="G305" s="99"/>
      <c r="H305" s="100"/>
      <c r="I305" s="106"/>
      <c r="J305" s="105"/>
      <c r="K305" s="16"/>
      <c r="L305" s="16"/>
      <c r="M305" s="101"/>
      <c r="N305" s="16"/>
      <c r="O305" s="16"/>
    </row>
    <row r="306" spans="1:15" ht="30" hidden="1" customHeight="1" x14ac:dyDescent="0.4">
      <c r="A306" s="107"/>
      <c r="B306" s="15"/>
      <c r="C306" s="204"/>
      <c r="D306" s="202"/>
      <c r="E306" s="203"/>
      <c r="F306" s="202"/>
      <c r="G306" s="99"/>
      <c r="H306" s="100"/>
      <c r="I306" s="106"/>
      <c r="J306" s="105"/>
      <c r="K306" s="16"/>
      <c r="L306" s="16"/>
      <c r="M306" s="101"/>
      <c r="N306" s="16"/>
      <c r="O306" s="16"/>
    </row>
    <row r="307" spans="1:15" ht="30" hidden="1" customHeight="1" x14ac:dyDescent="0.4">
      <c r="A307" s="107"/>
      <c r="B307" s="15"/>
      <c r="C307" s="204"/>
      <c r="D307" s="202"/>
      <c r="E307" s="203"/>
      <c r="F307" s="202"/>
      <c r="G307" s="99"/>
      <c r="H307" s="100"/>
      <c r="I307" s="106"/>
      <c r="J307" s="105"/>
      <c r="K307" s="16"/>
      <c r="L307" s="16"/>
      <c r="M307" s="101"/>
      <c r="N307" s="16"/>
      <c r="O307" s="16"/>
    </row>
    <row r="308" spans="1:15" ht="30" hidden="1" customHeight="1" x14ac:dyDescent="0.4">
      <c r="A308" s="107"/>
      <c r="B308" s="15"/>
      <c r="C308" s="204"/>
      <c r="D308" s="202"/>
      <c r="E308" s="203"/>
      <c r="F308" s="202"/>
      <c r="G308" s="99"/>
      <c r="H308" s="100"/>
      <c r="I308" s="106"/>
      <c r="J308" s="105"/>
      <c r="K308" s="16"/>
      <c r="L308" s="16"/>
      <c r="M308" s="101"/>
      <c r="N308" s="16"/>
      <c r="O308" s="16"/>
    </row>
    <row r="309" spans="1:15" ht="30" hidden="1" customHeight="1" x14ac:dyDescent="0.4">
      <c r="A309" s="107"/>
      <c r="B309" s="15"/>
      <c r="C309" s="204"/>
      <c r="D309" s="202"/>
      <c r="E309" s="203"/>
      <c r="F309" s="202"/>
      <c r="G309" s="99"/>
      <c r="H309" s="100"/>
      <c r="I309" s="106"/>
      <c r="J309" s="105"/>
      <c r="K309" s="16"/>
      <c r="L309" s="16"/>
      <c r="M309" s="101"/>
      <c r="N309" s="16"/>
      <c r="O309" s="16"/>
    </row>
    <row r="310" spans="1:15" ht="30" hidden="1" customHeight="1" x14ac:dyDescent="0.4">
      <c r="A310" s="107"/>
      <c r="B310" s="15"/>
      <c r="C310" s="204"/>
      <c r="D310" s="202"/>
      <c r="E310" s="203"/>
      <c r="F310" s="202"/>
      <c r="G310" s="99"/>
      <c r="H310" s="100"/>
      <c r="I310" s="106"/>
      <c r="J310" s="105"/>
      <c r="K310" s="16"/>
      <c r="L310" s="16"/>
      <c r="M310" s="101"/>
      <c r="N310" s="16"/>
      <c r="O310" s="16"/>
    </row>
    <row r="311" spans="1:15" ht="30" hidden="1" customHeight="1" x14ac:dyDescent="0.4">
      <c r="A311" s="107"/>
      <c r="B311" s="15"/>
      <c r="C311" s="204"/>
      <c r="D311" s="202"/>
      <c r="E311" s="203"/>
      <c r="F311" s="202"/>
      <c r="G311" s="99"/>
      <c r="H311" s="100"/>
      <c r="I311" s="106"/>
      <c r="J311" s="105"/>
      <c r="K311" s="16"/>
      <c r="L311" s="16"/>
      <c r="M311" s="101"/>
      <c r="N311" s="16"/>
      <c r="O311" s="16"/>
    </row>
    <row r="312" spans="1:15" ht="30" hidden="1" customHeight="1" x14ac:dyDescent="0.4">
      <c r="A312" s="107"/>
      <c r="B312" s="15"/>
      <c r="C312" s="204"/>
      <c r="D312" s="202"/>
      <c r="E312" s="203"/>
      <c r="F312" s="202"/>
      <c r="G312" s="99"/>
      <c r="H312" s="100"/>
      <c r="I312" s="106"/>
      <c r="J312" s="105"/>
      <c r="K312" s="16"/>
      <c r="L312" s="16"/>
      <c r="M312" s="101"/>
      <c r="N312" s="16"/>
      <c r="O312" s="16"/>
    </row>
    <row r="313" spans="1:15" ht="30" hidden="1" customHeight="1" x14ac:dyDescent="0.4">
      <c r="A313" s="107"/>
      <c r="B313" s="15"/>
      <c r="C313" s="204"/>
      <c r="D313" s="202"/>
      <c r="E313" s="203"/>
      <c r="F313" s="202"/>
      <c r="G313" s="99"/>
      <c r="H313" s="100"/>
      <c r="I313" s="106"/>
      <c r="J313" s="105"/>
      <c r="K313" s="16"/>
      <c r="L313" s="16"/>
      <c r="M313" s="101"/>
      <c r="N313" s="16"/>
      <c r="O313" s="16"/>
    </row>
    <row r="314" spans="1:15" ht="30" hidden="1" customHeight="1" x14ac:dyDescent="0.4">
      <c r="A314" s="107"/>
      <c r="B314" s="15"/>
      <c r="C314" s="204"/>
      <c r="D314" s="202"/>
      <c r="E314" s="203"/>
      <c r="F314" s="202"/>
      <c r="G314" s="99"/>
      <c r="H314" s="100"/>
      <c r="I314" s="106"/>
      <c r="J314" s="105"/>
      <c r="K314" s="16"/>
      <c r="L314" s="16"/>
      <c r="M314" s="101"/>
      <c r="N314" s="16"/>
      <c r="O314" s="16"/>
    </row>
    <row r="315" spans="1:15" ht="30" hidden="1" customHeight="1" x14ac:dyDescent="0.4">
      <c r="A315" s="107"/>
      <c r="B315" s="15"/>
      <c r="C315" s="204"/>
      <c r="D315" s="202"/>
      <c r="E315" s="203"/>
      <c r="F315" s="202"/>
      <c r="G315" s="99"/>
      <c r="H315" s="100"/>
      <c r="I315" s="106"/>
      <c r="J315" s="105"/>
      <c r="K315" s="16"/>
      <c r="L315" s="16"/>
      <c r="M315" s="101"/>
      <c r="N315" s="16"/>
      <c r="O315" s="16"/>
    </row>
    <row r="316" spans="1:15" ht="30" hidden="1" customHeight="1" x14ac:dyDescent="0.4">
      <c r="A316" s="107"/>
      <c r="B316" s="15"/>
      <c r="C316" s="204"/>
      <c r="D316" s="202"/>
      <c r="E316" s="203"/>
      <c r="F316" s="202"/>
      <c r="G316" s="99"/>
      <c r="H316" s="100"/>
      <c r="I316" s="106"/>
      <c r="J316" s="105"/>
      <c r="K316" s="16"/>
      <c r="L316" s="16"/>
      <c r="M316" s="101"/>
      <c r="N316" s="16"/>
      <c r="O316" s="16"/>
    </row>
    <row r="317" spans="1:15" ht="30" hidden="1" customHeight="1" x14ac:dyDescent="0.4">
      <c r="A317" s="107"/>
      <c r="B317" s="15"/>
      <c r="C317" s="204"/>
      <c r="D317" s="202"/>
      <c r="E317" s="203"/>
      <c r="F317" s="202"/>
      <c r="G317" s="99"/>
      <c r="H317" s="100"/>
      <c r="I317" s="106"/>
      <c r="J317" s="105"/>
      <c r="K317" s="16"/>
      <c r="L317" s="16"/>
      <c r="M317" s="101"/>
      <c r="N317" s="16"/>
      <c r="O317" s="16"/>
    </row>
    <row r="318" spans="1:15" ht="30" hidden="1" customHeight="1" x14ac:dyDescent="0.4">
      <c r="A318" s="107"/>
      <c r="B318" s="15"/>
      <c r="C318" s="204"/>
      <c r="D318" s="202"/>
      <c r="E318" s="203"/>
      <c r="F318" s="202"/>
      <c r="G318" s="99"/>
      <c r="H318" s="100"/>
      <c r="I318" s="106"/>
      <c r="J318" s="105"/>
      <c r="K318" s="16"/>
      <c r="L318" s="16"/>
      <c r="M318" s="101"/>
      <c r="N318" s="16"/>
      <c r="O318" s="16"/>
    </row>
    <row r="319" spans="1:15" ht="30" hidden="1" customHeight="1" x14ac:dyDescent="0.4">
      <c r="A319" s="107"/>
      <c r="B319" s="15"/>
      <c r="C319" s="204"/>
      <c r="D319" s="202"/>
      <c r="E319" s="203"/>
      <c r="F319" s="202"/>
      <c r="G319" s="99"/>
      <c r="H319" s="100"/>
      <c r="I319" s="106"/>
      <c r="J319" s="105"/>
      <c r="K319" s="16"/>
      <c r="L319" s="16"/>
      <c r="M319" s="101"/>
      <c r="N319" s="16"/>
      <c r="O319" s="16"/>
    </row>
    <row r="320" spans="1:15" ht="30" hidden="1" customHeight="1" x14ac:dyDescent="0.4">
      <c r="A320" s="107"/>
      <c r="B320" s="15"/>
      <c r="C320" s="204"/>
      <c r="D320" s="202"/>
      <c r="E320" s="203"/>
      <c r="F320" s="202"/>
      <c r="G320" s="99"/>
      <c r="H320" s="100"/>
      <c r="I320" s="106"/>
      <c r="J320" s="105"/>
      <c r="K320" s="16"/>
      <c r="L320" s="16"/>
      <c r="M320" s="101"/>
      <c r="N320" s="16"/>
      <c r="O320" s="16"/>
    </row>
    <row r="321" spans="1:15" ht="30" hidden="1" customHeight="1" x14ac:dyDescent="0.4">
      <c r="A321" s="107"/>
      <c r="B321" s="15"/>
      <c r="C321" s="204"/>
      <c r="D321" s="202"/>
      <c r="E321" s="203"/>
      <c r="F321" s="202"/>
      <c r="G321" s="99"/>
      <c r="H321" s="100"/>
      <c r="I321" s="106"/>
      <c r="J321" s="105"/>
      <c r="K321" s="16"/>
      <c r="L321" s="16"/>
      <c r="M321" s="101"/>
      <c r="N321" s="16"/>
      <c r="O321" s="16"/>
    </row>
    <row r="322" spans="1:15" ht="30" hidden="1" customHeight="1" x14ac:dyDescent="0.4">
      <c r="A322" s="107"/>
      <c r="B322" s="15"/>
      <c r="C322" s="204"/>
      <c r="D322" s="202"/>
      <c r="E322" s="203"/>
      <c r="F322" s="202"/>
      <c r="G322" s="99"/>
      <c r="H322" s="100"/>
      <c r="I322" s="106"/>
      <c r="J322" s="105"/>
      <c r="K322" s="16"/>
      <c r="L322" s="16"/>
      <c r="M322" s="101"/>
      <c r="N322" s="16"/>
      <c r="O322" s="16"/>
    </row>
    <row r="323" spans="1:15" ht="30" hidden="1" customHeight="1" x14ac:dyDescent="0.4">
      <c r="A323" s="107"/>
      <c r="B323" s="15"/>
      <c r="C323" s="204"/>
      <c r="D323" s="202"/>
      <c r="E323" s="203"/>
      <c r="F323" s="202"/>
      <c r="G323" s="99"/>
      <c r="H323" s="100"/>
      <c r="I323" s="106"/>
      <c r="J323" s="105"/>
      <c r="K323" s="16"/>
      <c r="L323" s="16"/>
      <c r="M323" s="101"/>
      <c r="N323" s="16"/>
      <c r="O323" s="16"/>
    </row>
    <row r="324" spans="1:15" ht="30" hidden="1" customHeight="1" x14ac:dyDescent="0.4">
      <c r="A324" s="107"/>
      <c r="B324" s="15"/>
      <c r="C324" s="204"/>
      <c r="D324" s="202"/>
      <c r="E324" s="203"/>
      <c r="F324" s="202"/>
      <c r="G324" s="99"/>
      <c r="H324" s="100"/>
      <c r="I324" s="106"/>
      <c r="J324" s="105"/>
      <c r="K324" s="16"/>
      <c r="L324" s="16"/>
      <c r="M324" s="101"/>
      <c r="N324" s="16"/>
      <c r="O324" s="16"/>
    </row>
    <row r="325" spans="1:15" ht="30" hidden="1" customHeight="1" x14ac:dyDescent="0.4">
      <c r="A325" s="107"/>
      <c r="B325" s="15"/>
      <c r="C325" s="204"/>
      <c r="D325" s="202"/>
      <c r="E325" s="203"/>
      <c r="F325" s="202"/>
      <c r="G325" s="99"/>
      <c r="H325" s="100"/>
      <c r="I325" s="106"/>
      <c r="J325" s="105"/>
      <c r="K325" s="16"/>
      <c r="L325" s="16"/>
      <c r="M325" s="101"/>
      <c r="N325" s="16"/>
      <c r="O325" s="16"/>
    </row>
    <row r="326" spans="1:15" ht="30" hidden="1" customHeight="1" x14ac:dyDescent="0.4">
      <c r="A326" s="107"/>
      <c r="B326" s="15"/>
      <c r="C326" s="204"/>
      <c r="D326" s="202"/>
      <c r="E326" s="203"/>
      <c r="F326" s="202"/>
      <c r="G326" s="99"/>
      <c r="H326" s="100"/>
      <c r="I326" s="106"/>
      <c r="J326" s="105"/>
      <c r="K326" s="16"/>
      <c r="L326" s="16"/>
      <c r="M326" s="101"/>
      <c r="N326" s="16"/>
      <c r="O326" s="16"/>
    </row>
    <row r="327" spans="1:15" ht="30" hidden="1" customHeight="1" x14ac:dyDescent="0.4">
      <c r="A327" s="107"/>
      <c r="B327" s="15"/>
      <c r="C327" s="204"/>
      <c r="D327" s="202"/>
      <c r="E327" s="203"/>
      <c r="F327" s="202"/>
      <c r="G327" s="99"/>
      <c r="H327" s="100"/>
      <c r="I327" s="106"/>
      <c r="J327" s="105"/>
      <c r="K327" s="16"/>
      <c r="L327" s="16"/>
      <c r="M327" s="101"/>
      <c r="N327" s="16"/>
      <c r="O327" s="16"/>
    </row>
    <row r="328" spans="1:15" ht="30" hidden="1" customHeight="1" x14ac:dyDescent="0.4">
      <c r="A328" s="107"/>
      <c r="B328" s="15"/>
      <c r="C328" s="204"/>
      <c r="D328" s="202"/>
      <c r="E328" s="203"/>
      <c r="F328" s="202"/>
      <c r="G328" s="99"/>
      <c r="H328" s="100"/>
      <c r="I328" s="106"/>
      <c r="J328" s="105"/>
      <c r="K328" s="16"/>
      <c r="L328" s="16"/>
      <c r="M328" s="101"/>
      <c r="N328" s="16"/>
      <c r="O328" s="16"/>
    </row>
    <row r="329" spans="1:15" ht="30" hidden="1" customHeight="1" x14ac:dyDescent="0.4">
      <c r="A329" s="107"/>
      <c r="B329" s="15"/>
      <c r="C329" s="204"/>
      <c r="D329" s="202"/>
      <c r="E329" s="203"/>
      <c r="F329" s="202"/>
      <c r="G329" s="99"/>
      <c r="H329" s="100"/>
      <c r="I329" s="106"/>
      <c r="J329" s="105"/>
      <c r="K329" s="16"/>
      <c r="L329" s="16"/>
      <c r="M329" s="101"/>
      <c r="N329" s="16"/>
      <c r="O329" s="16"/>
    </row>
    <row r="330" spans="1:15" ht="30" hidden="1" customHeight="1" x14ac:dyDescent="0.4">
      <c r="A330" s="107"/>
      <c r="B330" s="15"/>
      <c r="C330" s="204"/>
      <c r="D330" s="202"/>
      <c r="E330" s="203"/>
      <c r="F330" s="202"/>
      <c r="G330" s="99"/>
      <c r="H330" s="100"/>
      <c r="I330" s="106"/>
      <c r="J330" s="105"/>
      <c r="K330" s="16"/>
      <c r="L330" s="16"/>
      <c r="M330" s="101"/>
      <c r="N330" s="16"/>
      <c r="O330" s="16"/>
    </row>
    <row r="331" spans="1:15" ht="30" hidden="1" customHeight="1" x14ac:dyDescent="0.4">
      <c r="A331" s="107"/>
      <c r="B331" s="15"/>
      <c r="C331" s="204"/>
      <c r="D331" s="202"/>
      <c r="E331" s="203"/>
      <c r="F331" s="202"/>
      <c r="G331" s="99"/>
      <c r="H331" s="100"/>
      <c r="I331" s="106"/>
      <c r="J331" s="105"/>
      <c r="K331" s="16"/>
      <c r="L331" s="16"/>
      <c r="M331" s="101"/>
      <c r="N331" s="16"/>
      <c r="O331" s="16"/>
    </row>
    <row r="332" spans="1:15" ht="30" hidden="1" customHeight="1" x14ac:dyDescent="0.4">
      <c r="A332" s="107"/>
      <c r="B332" s="15"/>
      <c r="C332" s="204"/>
      <c r="D332" s="202"/>
      <c r="E332" s="203"/>
      <c r="F332" s="202"/>
      <c r="G332" s="99"/>
      <c r="H332" s="100"/>
      <c r="I332" s="106"/>
      <c r="J332" s="105"/>
      <c r="K332" s="16"/>
      <c r="L332" s="16"/>
      <c r="M332" s="101"/>
      <c r="N332" s="16"/>
      <c r="O332" s="16"/>
    </row>
    <row r="333" spans="1:15" ht="30" hidden="1" customHeight="1" x14ac:dyDescent="0.4">
      <c r="A333" s="107"/>
      <c r="B333" s="15"/>
      <c r="C333" s="204"/>
      <c r="D333" s="202"/>
      <c r="E333" s="203"/>
      <c r="F333" s="202"/>
      <c r="G333" s="99"/>
      <c r="H333" s="100"/>
      <c r="I333" s="106"/>
      <c r="J333" s="105"/>
      <c r="K333" s="16"/>
      <c r="L333" s="16"/>
      <c r="M333" s="101"/>
      <c r="N333" s="16"/>
      <c r="O333" s="16"/>
    </row>
    <row r="334" spans="1:15" ht="30" hidden="1" customHeight="1" x14ac:dyDescent="0.4">
      <c r="A334" s="107"/>
      <c r="B334" s="15"/>
      <c r="C334" s="204"/>
      <c r="D334" s="202"/>
      <c r="E334" s="203"/>
      <c r="F334" s="202"/>
      <c r="G334" s="99"/>
      <c r="H334" s="100"/>
      <c r="I334" s="106"/>
      <c r="J334" s="105"/>
      <c r="K334" s="16"/>
      <c r="L334" s="16"/>
      <c r="M334" s="101"/>
      <c r="N334" s="16"/>
      <c r="O334" s="16"/>
    </row>
    <row r="335" spans="1:15" ht="30" hidden="1" customHeight="1" x14ac:dyDescent="0.4">
      <c r="A335" s="107"/>
      <c r="B335" s="15"/>
      <c r="C335" s="204"/>
      <c r="D335" s="202"/>
      <c r="E335" s="203"/>
      <c r="F335" s="202"/>
      <c r="G335" s="99"/>
      <c r="H335" s="100"/>
      <c r="I335" s="106"/>
      <c r="J335" s="105"/>
      <c r="K335" s="16"/>
      <c r="L335" s="16"/>
      <c r="M335" s="101"/>
      <c r="N335" s="16"/>
      <c r="O335" s="16"/>
    </row>
    <row r="336" spans="1:15" ht="30" hidden="1" customHeight="1" x14ac:dyDescent="0.4">
      <c r="A336" s="107"/>
      <c r="B336" s="15"/>
      <c r="C336" s="204"/>
      <c r="D336" s="202"/>
      <c r="E336" s="203"/>
      <c r="F336" s="202"/>
      <c r="G336" s="99"/>
      <c r="H336" s="100"/>
      <c r="I336" s="106"/>
      <c r="J336" s="105"/>
      <c r="K336" s="16"/>
      <c r="L336" s="16"/>
      <c r="M336" s="101"/>
      <c r="N336" s="16"/>
      <c r="O336" s="16"/>
    </row>
    <row r="337" spans="1:15" ht="30" hidden="1" customHeight="1" x14ac:dyDescent="0.4">
      <c r="A337" s="107"/>
      <c r="B337" s="15"/>
      <c r="C337" s="204"/>
      <c r="D337" s="202"/>
      <c r="E337" s="203"/>
      <c r="F337" s="202"/>
      <c r="G337" s="99"/>
      <c r="H337" s="100"/>
      <c r="I337" s="106"/>
      <c r="J337" s="105"/>
      <c r="K337" s="16"/>
      <c r="L337" s="16"/>
      <c r="M337" s="101"/>
      <c r="N337" s="16"/>
      <c r="O337" s="16"/>
    </row>
    <row r="338" spans="1:15" ht="30" hidden="1" customHeight="1" x14ac:dyDescent="0.4">
      <c r="A338" s="107"/>
      <c r="B338" s="15"/>
      <c r="C338" s="204"/>
      <c r="D338" s="202"/>
      <c r="E338" s="203"/>
      <c r="F338" s="202"/>
      <c r="G338" s="99"/>
      <c r="H338" s="100"/>
      <c r="I338" s="106"/>
      <c r="J338" s="105"/>
      <c r="K338" s="16"/>
      <c r="L338" s="16"/>
      <c r="M338" s="101"/>
      <c r="N338" s="16"/>
      <c r="O338" s="16"/>
    </row>
    <row r="339" spans="1:15" ht="30" hidden="1" customHeight="1" x14ac:dyDescent="0.4">
      <c r="A339" s="107"/>
      <c r="B339" s="15"/>
      <c r="C339" s="204"/>
      <c r="D339" s="202"/>
      <c r="E339" s="203"/>
      <c r="F339" s="202"/>
      <c r="G339" s="99"/>
      <c r="H339" s="100"/>
      <c r="I339" s="106"/>
      <c r="J339" s="105"/>
      <c r="K339" s="16"/>
      <c r="L339" s="16"/>
      <c r="M339" s="101"/>
      <c r="N339" s="16"/>
      <c r="O339" s="16"/>
    </row>
    <row r="340" spans="1:15" ht="30" hidden="1" customHeight="1" x14ac:dyDescent="0.4">
      <c r="A340" s="107"/>
      <c r="B340" s="15"/>
      <c r="C340" s="204"/>
      <c r="D340" s="202"/>
      <c r="E340" s="203"/>
      <c r="F340" s="202"/>
      <c r="G340" s="99"/>
      <c r="H340" s="100"/>
      <c r="I340" s="106"/>
      <c r="J340" s="105"/>
      <c r="K340" s="16"/>
      <c r="L340" s="16"/>
      <c r="M340" s="101"/>
      <c r="N340" s="16"/>
      <c r="O340" s="16"/>
    </row>
    <row r="341" spans="1:15" ht="30" hidden="1" customHeight="1" x14ac:dyDescent="0.4">
      <c r="A341" s="107"/>
      <c r="B341" s="15"/>
      <c r="C341" s="204"/>
      <c r="D341" s="202"/>
      <c r="E341" s="203"/>
      <c r="F341" s="202"/>
      <c r="G341" s="99"/>
      <c r="H341" s="100"/>
      <c r="I341" s="106"/>
      <c r="J341" s="105"/>
      <c r="K341" s="16"/>
      <c r="L341" s="16"/>
      <c r="M341" s="101"/>
      <c r="N341" s="16"/>
      <c r="O341" s="16"/>
    </row>
    <row r="342" spans="1:15" ht="30" hidden="1" customHeight="1" x14ac:dyDescent="0.4">
      <c r="A342" s="107"/>
      <c r="B342" s="15"/>
      <c r="C342" s="204"/>
      <c r="D342" s="202"/>
      <c r="E342" s="203"/>
      <c r="F342" s="202"/>
      <c r="G342" s="99"/>
      <c r="H342" s="100"/>
      <c r="I342" s="106"/>
      <c r="J342" s="105"/>
      <c r="K342" s="16"/>
      <c r="L342" s="16"/>
      <c r="M342" s="101"/>
      <c r="N342" s="16"/>
      <c r="O342" s="16"/>
    </row>
    <row r="343" spans="1:15" ht="30" hidden="1" customHeight="1" x14ac:dyDescent="0.4">
      <c r="A343" s="107"/>
      <c r="B343" s="15"/>
      <c r="C343" s="204"/>
      <c r="D343" s="202"/>
      <c r="E343" s="203"/>
      <c r="F343" s="202"/>
      <c r="G343" s="99"/>
      <c r="H343" s="100"/>
      <c r="I343" s="106"/>
      <c r="J343" s="105"/>
      <c r="K343" s="16"/>
      <c r="L343" s="16"/>
      <c r="M343" s="101"/>
      <c r="N343" s="16"/>
      <c r="O343" s="16"/>
    </row>
    <row r="344" spans="1:15" ht="30" hidden="1" customHeight="1" x14ac:dyDescent="0.4">
      <c r="A344" s="107"/>
      <c r="B344" s="15"/>
      <c r="C344" s="204"/>
      <c r="D344" s="202"/>
      <c r="E344" s="203"/>
      <c r="F344" s="202"/>
      <c r="G344" s="99"/>
      <c r="H344" s="100"/>
      <c r="I344" s="106"/>
      <c r="J344" s="105"/>
      <c r="K344" s="16"/>
      <c r="L344" s="16"/>
      <c r="M344" s="101"/>
      <c r="N344" s="16"/>
      <c r="O344" s="16"/>
    </row>
    <row r="345" spans="1:15" ht="30" hidden="1" customHeight="1" x14ac:dyDescent="0.4">
      <c r="A345" s="107"/>
      <c r="B345" s="15"/>
      <c r="C345" s="204"/>
      <c r="D345" s="202"/>
      <c r="E345" s="203"/>
      <c r="F345" s="202"/>
      <c r="G345" s="99"/>
      <c r="H345" s="100"/>
      <c r="I345" s="106"/>
      <c r="J345" s="105"/>
      <c r="K345" s="16"/>
      <c r="L345" s="16"/>
      <c r="M345" s="101"/>
      <c r="N345" s="16"/>
      <c r="O345" s="16"/>
    </row>
    <row r="346" spans="1:15" ht="30" hidden="1" customHeight="1" x14ac:dyDescent="0.4">
      <c r="A346" s="107"/>
      <c r="B346" s="15"/>
      <c r="C346" s="204"/>
      <c r="D346" s="202"/>
      <c r="E346" s="203"/>
      <c r="F346" s="202"/>
      <c r="G346" s="99"/>
      <c r="H346" s="100"/>
      <c r="I346" s="106"/>
      <c r="J346" s="105"/>
      <c r="K346" s="16"/>
      <c r="L346" s="16"/>
      <c r="M346" s="101"/>
      <c r="N346" s="16"/>
      <c r="O346" s="16"/>
    </row>
    <row r="347" spans="1:15" ht="30" hidden="1" customHeight="1" x14ac:dyDescent="0.4">
      <c r="A347" s="107"/>
      <c r="B347" s="15"/>
      <c r="C347" s="204"/>
      <c r="D347" s="202"/>
      <c r="E347" s="203"/>
      <c r="F347" s="202"/>
      <c r="G347" s="99"/>
      <c r="H347" s="100"/>
      <c r="I347" s="106"/>
      <c r="J347" s="105"/>
      <c r="K347" s="16"/>
      <c r="L347" s="16"/>
      <c r="M347" s="101"/>
      <c r="N347" s="16"/>
      <c r="O347" s="16"/>
    </row>
    <row r="348" spans="1:15" ht="30" hidden="1" customHeight="1" x14ac:dyDescent="0.4">
      <c r="A348" s="107"/>
      <c r="B348" s="15"/>
      <c r="C348" s="204"/>
      <c r="D348" s="202"/>
      <c r="E348" s="203"/>
      <c r="F348" s="202"/>
      <c r="G348" s="99"/>
      <c r="H348" s="100"/>
      <c r="I348" s="106"/>
      <c r="J348" s="105"/>
      <c r="K348" s="16"/>
      <c r="L348" s="16"/>
      <c r="M348" s="101"/>
      <c r="N348" s="16"/>
      <c r="O348" s="16"/>
    </row>
    <row r="349" spans="1:15" ht="30" hidden="1" customHeight="1" x14ac:dyDescent="0.4">
      <c r="A349" s="107"/>
      <c r="B349" s="15"/>
      <c r="C349" s="204"/>
      <c r="D349" s="202"/>
      <c r="E349" s="203"/>
      <c r="F349" s="202"/>
      <c r="G349" s="99"/>
      <c r="H349" s="100"/>
      <c r="I349" s="106"/>
      <c r="J349" s="105"/>
      <c r="K349" s="16"/>
      <c r="L349" s="16"/>
      <c r="M349" s="101"/>
      <c r="N349" s="16"/>
      <c r="O349" s="16"/>
    </row>
    <row r="350" spans="1:15" ht="30" hidden="1" customHeight="1" x14ac:dyDescent="0.4">
      <c r="A350" s="107"/>
      <c r="B350" s="15"/>
      <c r="C350" s="204"/>
      <c r="D350" s="202"/>
      <c r="E350" s="203"/>
      <c r="F350" s="202"/>
      <c r="G350" s="99"/>
      <c r="H350" s="100"/>
      <c r="I350" s="106"/>
      <c r="J350" s="105"/>
      <c r="K350" s="16"/>
      <c r="L350" s="16"/>
      <c r="M350" s="101"/>
      <c r="N350" s="16"/>
      <c r="O350" s="16"/>
    </row>
    <row r="351" spans="1:15" ht="30" hidden="1" customHeight="1" x14ac:dyDescent="0.4">
      <c r="A351" s="107"/>
      <c r="B351" s="15"/>
      <c r="C351" s="204"/>
      <c r="D351" s="202"/>
      <c r="E351" s="203"/>
      <c r="F351" s="202"/>
      <c r="G351" s="99"/>
      <c r="H351" s="100"/>
      <c r="I351" s="106"/>
      <c r="J351" s="105"/>
      <c r="K351" s="16"/>
      <c r="L351" s="16"/>
      <c r="M351" s="101"/>
      <c r="N351" s="16"/>
      <c r="O351" s="16"/>
    </row>
    <row r="352" spans="1:15" ht="30" hidden="1" customHeight="1" x14ac:dyDescent="0.4">
      <c r="A352" s="107"/>
      <c r="B352" s="15"/>
      <c r="C352" s="204"/>
      <c r="D352" s="202"/>
      <c r="E352" s="203"/>
      <c r="F352" s="202"/>
      <c r="G352" s="99"/>
      <c r="H352" s="100"/>
      <c r="I352" s="106"/>
      <c r="J352" s="105"/>
      <c r="K352" s="16"/>
      <c r="L352" s="16"/>
      <c r="M352" s="101"/>
      <c r="N352" s="16"/>
      <c r="O352" s="16"/>
    </row>
    <row r="353" spans="1:15" ht="30" hidden="1" customHeight="1" x14ac:dyDescent="0.4">
      <c r="A353" s="107"/>
      <c r="B353" s="15"/>
      <c r="C353" s="204"/>
      <c r="D353" s="202"/>
      <c r="E353" s="203"/>
      <c r="F353" s="202"/>
      <c r="G353" s="99"/>
      <c r="H353" s="100"/>
      <c r="I353" s="106"/>
      <c r="J353" s="105"/>
      <c r="K353" s="16"/>
      <c r="L353" s="16"/>
      <c r="M353" s="101"/>
      <c r="N353" s="16"/>
      <c r="O353" s="16"/>
    </row>
    <row r="354" spans="1:15" ht="30" hidden="1" customHeight="1" x14ac:dyDescent="0.4">
      <c r="A354" s="107"/>
      <c r="B354" s="15"/>
      <c r="C354" s="204"/>
      <c r="D354" s="202"/>
      <c r="E354" s="203"/>
      <c r="F354" s="202"/>
      <c r="G354" s="99"/>
      <c r="H354" s="100"/>
      <c r="I354" s="106"/>
      <c r="J354" s="105"/>
      <c r="K354" s="16"/>
      <c r="L354" s="16"/>
      <c r="M354" s="101"/>
      <c r="N354" s="16"/>
      <c r="O354" s="16"/>
    </row>
    <row r="355" spans="1:15" ht="30" hidden="1" customHeight="1" x14ac:dyDescent="0.4">
      <c r="A355" s="107"/>
      <c r="B355" s="15"/>
      <c r="C355" s="204"/>
      <c r="D355" s="202"/>
      <c r="E355" s="203"/>
      <c r="F355" s="202"/>
      <c r="G355" s="99"/>
      <c r="H355" s="100"/>
      <c r="I355" s="106"/>
      <c r="J355" s="105"/>
      <c r="K355" s="16"/>
      <c r="L355" s="16"/>
      <c r="M355" s="101"/>
      <c r="N355" s="16"/>
      <c r="O355" s="16"/>
    </row>
    <row r="356" spans="1:15" ht="30" hidden="1" customHeight="1" x14ac:dyDescent="0.4">
      <c r="A356" s="107"/>
      <c r="B356" s="15"/>
      <c r="C356" s="204"/>
      <c r="D356" s="202"/>
      <c r="E356" s="203"/>
      <c r="F356" s="202"/>
      <c r="G356" s="99"/>
      <c r="H356" s="100"/>
      <c r="I356" s="106"/>
      <c r="J356" s="105"/>
      <c r="K356" s="16"/>
      <c r="L356" s="16"/>
      <c r="M356" s="101"/>
      <c r="N356" s="16"/>
      <c r="O356" s="16"/>
    </row>
    <row r="357" spans="1:15" ht="30" hidden="1" customHeight="1" x14ac:dyDescent="0.4">
      <c r="A357" s="107"/>
      <c r="B357" s="15"/>
      <c r="C357" s="204"/>
      <c r="D357" s="202"/>
      <c r="E357" s="203"/>
      <c r="F357" s="202"/>
      <c r="G357" s="99"/>
      <c r="H357" s="100"/>
      <c r="I357" s="106"/>
      <c r="J357" s="105"/>
      <c r="K357" s="16"/>
      <c r="L357" s="16"/>
      <c r="M357" s="101"/>
      <c r="N357" s="16"/>
      <c r="O357" s="16"/>
    </row>
    <row r="358" spans="1:15" ht="30" hidden="1" customHeight="1" x14ac:dyDescent="0.4">
      <c r="A358" s="107"/>
      <c r="B358" s="15"/>
      <c r="C358" s="204"/>
      <c r="D358" s="202"/>
      <c r="E358" s="203"/>
      <c r="F358" s="202"/>
      <c r="G358" s="99"/>
      <c r="H358" s="100"/>
      <c r="I358" s="106"/>
      <c r="J358" s="105"/>
      <c r="K358" s="16"/>
      <c r="L358" s="16"/>
      <c r="M358" s="101"/>
      <c r="N358" s="16"/>
      <c r="O358" s="16"/>
    </row>
    <row r="359" spans="1:15" ht="30" hidden="1" customHeight="1" x14ac:dyDescent="0.4">
      <c r="A359" s="107"/>
      <c r="B359" s="15"/>
      <c r="C359" s="204"/>
      <c r="D359" s="202"/>
      <c r="E359" s="203"/>
      <c r="F359" s="202"/>
      <c r="G359" s="99"/>
      <c r="H359" s="100"/>
      <c r="I359" s="106"/>
      <c r="J359" s="105"/>
      <c r="K359" s="16"/>
      <c r="L359" s="16"/>
      <c r="M359" s="101"/>
      <c r="N359" s="16"/>
      <c r="O359" s="16"/>
    </row>
    <row r="360" spans="1:15" ht="30" hidden="1" customHeight="1" x14ac:dyDescent="0.4">
      <c r="A360" s="107"/>
      <c r="B360" s="15"/>
      <c r="C360" s="204"/>
      <c r="D360" s="202"/>
      <c r="E360" s="203"/>
      <c r="F360" s="202"/>
      <c r="G360" s="99"/>
      <c r="H360" s="100"/>
      <c r="I360" s="106"/>
      <c r="J360" s="105"/>
      <c r="K360" s="16"/>
      <c r="L360" s="16"/>
      <c r="M360" s="101"/>
      <c r="N360" s="16"/>
      <c r="O360" s="16"/>
    </row>
    <row r="361" spans="1:15" ht="30" hidden="1" customHeight="1" x14ac:dyDescent="0.4">
      <c r="A361" s="107"/>
      <c r="B361" s="15"/>
      <c r="C361" s="204"/>
      <c r="D361" s="202"/>
      <c r="E361" s="203"/>
      <c r="F361" s="202"/>
      <c r="G361" s="99"/>
      <c r="H361" s="100"/>
      <c r="I361" s="106"/>
      <c r="J361" s="105"/>
      <c r="K361" s="16"/>
      <c r="L361" s="16"/>
      <c r="M361" s="101"/>
      <c r="N361" s="16"/>
      <c r="O361" s="16"/>
    </row>
    <row r="362" spans="1:15" ht="30" hidden="1" customHeight="1" x14ac:dyDescent="0.4">
      <c r="A362" s="107"/>
      <c r="B362" s="15"/>
      <c r="C362" s="204"/>
      <c r="D362" s="202"/>
      <c r="E362" s="203"/>
      <c r="F362" s="202"/>
      <c r="G362" s="99"/>
      <c r="H362" s="100"/>
      <c r="I362" s="106"/>
      <c r="J362" s="105"/>
      <c r="K362" s="16"/>
      <c r="L362" s="16"/>
      <c r="M362" s="101"/>
      <c r="N362" s="16"/>
      <c r="O362" s="16"/>
    </row>
    <row r="363" spans="1:15" ht="30" hidden="1" customHeight="1" x14ac:dyDescent="0.4">
      <c r="A363" s="107"/>
      <c r="B363" s="15"/>
      <c r="C363" s="204"/>
      <c r="D363" s="202"/>
      <c r="E363" s="203"/>
      <c r="F363" s="202"/>
      <c r="G363" s="99"/>
      <c r="H363" s="100"/>
      <c r="I363" s="106"/>
      <c r="J363" s="105"/>
      <c r="K363" s="16"/>
      <c r="L363" s="16"/>
      <c r="M363" s="101"/>
      <c r="N363" s="16"/>
      <c r="O363" s="16"/>
    </row>
    <row r="364" spans="1:15" ht="30" hidden="1" customHeight="1" x14ac:dyDescent="0.4">
      <c r="A364" s="107"/>
      <c r="B364" s="15"/>
      <c r="C364" s="204"/>
      <c r="D364" s="202"/>
      <c r="E364" s="203"/>
      <c r="F364" s="202"/>
      <c r="G364" s="99"/>
      <c r="H364" s="100"/>
      <c r="I364" s="106"/>
      <c r="J364" s="105"/>
      <c r="K364" s="16"/>
      <c r="L364" s="16"/>
      <c r="M364" s="101"/>
      <c r="N364" s="16"/>
      <c r="O364" s="16"/>
    </row>
    <row r="365" spans="1:15" ht="30" hidden="1" customHeight="1" x14ac:dyDescent="0.4">
      <c r="A365" s="107"/>
      <c r="B365" s="15"/>
      <c r="C365" s="204"/>
      <c r="D365" s="202"/>
      <c r="E365" s="203"/>
      <c r="F365" s="202"/>
      <c r="G365" s="99"/>
      <c r="H365" s="100"/>
      <c r="I365" s="106"/>
      <c r="J365" s="105"/>
      <c r="K365" s="16"/>
      <c r="L365" s="16"/>
      <c r="M365" s="101"/>
      <c r="N365" s="16"/>
      <c r="O365" s="16"/>
    </row>
    <row r="366" spans="1:15" ht="30" hidden="1" customHeight="1" x14ac:dyDescent="0.4">
      <c r="A366" s="107"/>
      <c r="B366" s="15"/>
      <c r="C366" s="204"/>
      <c r="D366" s="202"/>
      <c r="E366" s="203"/>
      <c r="F366" s="202"/>
      <c r="G366" s="99"/>
      <c r="H366" s="100"/>
      <c r="I366" s="106"/>
      <c r="J366" s="105"/>
      <c r="K366" s="16"/>
      <c r="L366" s="16"/>
      <c r="M366" s="101"/>
      <c r="N366" s="16"/>
      <c r="O366" s="16"/>
    </row>
    <row r="367" spans="1:15" ht="30" hidden="1" customHeight="1" x14ac:dyDescent="0.4">
      <c r="A367" s="107"/>
      <c r="B367" s="15"/>
      <c r="C367" s="204"/>
      <c r="D367" s="202"/>
      <c r="E367" s="203"/>
      <c r="F367" s="202"/>
      <c r="G367" s="99"/>
      <c r="H367" s="100"/>
      <c r="I367" s="106"/>
      <c r="J367" s="105"/>
      <c r="K367" s="16"/>
      <c r="L367" s="16"/>
      <c r="M367" s="101"/>
      <c r="N367" s="16"/>
      <c r="O367" s="16"/>
    </row>
    <row r="368" spans="1:15" ht="30" hidden="1" customHeight="1" x14ac:dyDescent="0.4">
      <c r="A368" s="107"/>
      <c r="B368" s="15"/>
      <c r="C368" s="204"/>
      <c r="D368" s="202"/>
      <c r="E368" s="203"/>
      <c r="F368" s="202"/>
      <c r="G368" s="99"/>
      <c r="H368" s="100"/>
      <c r="I368" s="106"/>
      <c r="J368" s="105"/>
      <c r="K368" s="16"/>
      <c r="L368" s="16"/>
      <c r="M368" s="101"/>
      <c r="N368" s="16"/>
      <c r="O368" s="16"/>
    </row>
    <row r="369" spans="1:15" ht="30" hidden="1" customHeight="1" x14ac:dyDescent="0.4">
      <c r="A369" s="107"/>
      <c r="B369" s="15"/>
      <c r="C369" s="204"/>
      <c r="D369" s="202"/>
      <c r="E369" s="203"/>
      <c r="F369" s="202"/>
      <c r="G369" s="99"/>
      <c r="H369" s="100"/>
      <c r="I369" s="106"/>
      <c r="J369" s="105"/>
      <c r="K369" s="16"/>
      <c r="L369" s="16"/>
      <c r="M369" s="101"/>
      <c r="N369" s="16"/>
      <c r="O369" s="16"/>
    </row>
    <row r="370" spans="1:15" ht="30" hidden="1" customHeight="1" x14ac:dyDescent="0.4">
      <c r="A370" s="107"/>
      <c r="B370" s="15"/>
      <c r="C370" s="204"/>
      <c r="D370" s="202"/>
      <c r="E370" s="203"/>
      <c r="F370" s="202"/>
      <c r="G370" s="99"/>
      <c r="H370" s="100"/>
      <c r="I370" s="106"/>
      <c r="J370" s="105"/>
      <c r="K370" s="16"/>
      <c r="L370" s="16"/>
      <c r="M370" s="101"/>
      <c r="N370" s="16"/>
      <c r="O370" s="16"/>
    </row>
    <row r="371" spans="1:15" ht="30" hidden="1" customHeight="1" x14ac:dyDescent="0.4">
      <c r="A371" s="107"/>
      <c r="B371" s="15"/>
      <c r="C371" s="204"/>
      <c r="D371" s="202"/>
      <c r="E371" s="203"/>
      <c r="F371" s="202"/>
      <c r="G371" s="99"/>
      <c r="H371" s="100"/>
      <c r="I371" s="106"/>
      <c r="J371" s="105"/>
      <c r="K371" s="16"/>
      <c r="L371" s="16"/>
      <c r="M371" s="101"/>
      <c r="N371" s="16"/>
      <c r="O371" s="16"/>
    </row>
    <row r="372" spans="1:15" ht="30" hidden="1" customHeight="1" x14ac:dyDescent="0.4">
      <c r="A372" s="107"/>
      <c r="B372" s="15"/>
      <c r="C372" s="204"/>
      <c r="D372" s="202"/>
      <c r="E372" s="203"/>
      <c r="F372" s="202"/>
      <c r="G372" s="99"/>
      <c r="H372" s="100"/>
      <c r="I372" s="106"/>
      <c r="J372" s="105"/>
      <c r="K372" s="16"/>
      <c r="L372" s="16"/>
      <c r="M372" s="101"/>
      <c r="N372" s="16"/>
      <c r="O372" s="16"/>
    </row>
    <row r="373" spans="1:15" ht="30" hidden="1" customHeight="1" x14ac:dyDescent="0.4">
      <c r="A373" s="107"/>
      <c r="B373" s="15"/>
      <c r="C373" s="204"/>
      <c r="D373" s="202"/>
      <c r="E373" s="203"/>
      <c r="F373" s="202"/>
      <c r="G373" s="99"/>
      <c r="H373" s="100"/>
      <c r="I373" s="106"/>
      <c r="J373" s="105"/>
      <c r="K373" s="16"/>
      <c r="L373" s="16"/>
      <c r="M373" s="101"/>
      <c r="N373" s="16"/>
      <c r="O373" s="16"/>
    </row>
    <row r="374" spans="1:15" ht="30" hidden="1" customHeight="1" x14ac:dyDescent="0.4">
      <c r="A374" s="107"/>
      <c r="B374" s="15"/>
      <c r="C374" s="204"/>
      <c r="D374" s="202"/>
      <c r="E374" s="203"/>
      <c r="F374" s="202"/>
      <c r="G374" s="99"/>
      <c r="H374" s="100"/>
      <c r="I374" s="106"/>
      <c r="J374" s="105"/>
      <c r="K374" s="16"/>
      <c r="L374" s="16"/>
      <c r="M374" s="101"/>
      <c r="N374" s="16"/>
      <c r="O374" s="16"/>
    </row>
    <row r="375" spans="1:15" ht="30" hidden="1" customHeight="1" x14ac:dyDescent="0.4">
      <c r="A375" s="107"/>
      <c r="B375" s="15"/>
      <c r="C375" s="204"/>
      <c r="D375" s="202"/>
      <c r="E375" s="203"/>
      <c r="F375" s="202"/>
      <c r="G375" s="99"/>
      <c r="H375" s="100"/>
      <c r="I375" s="106"/>
      <c r="J375" s="105"/>
      <c r="K375" s="16"/>
      <c r="L375" s="16"/>
      <c r="M375" s="101"/>
      <c r="N375" s="16"/>
      <c r="O375" s="16"/>
    </row>
    <row r="376" spans="1:15" ht="30" hidden="1" customHeight="1" x14ac:dyDescent="0.4">
      <c r="A376" s="107"/>
      <c r="B376" s="15"/>
      <c r="C376" s="204"/>
      <c r="D376" s="202"/>
      <c r="E376" s="203"/>
      <c r="F376" s="202"/>
      <c r="G376" s="99"/>
      <c r="H376" s="100"/>
      <c r="I376" s="106"/>
      <c r="J376" s="105"/>
      <c r="K376" s="16"/>
      <c r="L376" s="16"/>
      <c r="M376" s="101"/>
      <c r="N376" s="16"/>
      <c r="O376" s="16"/>
    </row>
    <row r="377" spans="1:15" ht="30" hidden="1" customHeight="1" x14ac:dyDescent="0.4">
      <c r="A377" s="107"/>
      <c r="B377" s="15"/>
      <c r="C377" s="204"/>
      <c r="D377" s="202"/>
      <c r="E377" s="203"/>
      <c r="F377" s="202"/>
      <c r="G377" s="99"/>
      <c r="H377" s="100"/>
      <c r="I377" s="106"/>
      <c r="J377" s="105"/>
      <c r="K377" s="16"/>
      <c r="L377" s="16"/>
      <c r="M377" s="101"/>
      <c r="N377" s="16"/>
      <c r="O377" s="16"/>
    </row>
    <row r="378" spans="1:15" ht="30" hidden="1" customHeight="1" x14ac:dyDescent="0.4">
      <c r="A378" s="107"/>
      <c r="B378" s="15"/>
      <c r="C378" s="204"/>
      <c r="D378" s="202"/>
      <c r="E378" s="203"/>
      <c r="F378" s="202"/>
      <c r="G378" s="99"/>
      <c r="H378" s="100"/>
      <c r="I378" s="106"/>
      <c r="J378" s="105"/>
      <c r="K378" s="16"/>
      <c r="L378" s="16"/>
      <c r="M378" s="101"/>
      <c r="N378" s="16"/>
      <c r="O378" s="16"/>
    </row>
    <row r="379" spans="1:15" ht="30" hidden="1" customHeight="1" x14ac:dyDescent="0.4">
      <c r="A379" s="107"/>
      <c r="B379" s="15"/>
      <c r="C379" s="204"/>
      <c r="D379" s="202"/>
      <c r="E379" s="203"/>
      <c r="F379" s="202"/>
      <c r="G379" s="99"/>
      <c r="H379" s="100"/>
      <c r="I379" s="106"/>
      <c r="J379" s="105"/>
      <c r="K379" s="16"/>
      <c r="L379" s="16"/>
      <c r="M379" s="101"/>
      <c r="N379" s="16"/>
      <c r="O379" s="16"/>
    </row>
    <row r="380" spans="1:15" ht="30" hidden="1" customHeight="1" x14ac:dyDescent="0.4">
      <c r="A380" s="107"/>
      <c r="B380" s="15"/>
      <c r="C380" s="204"/>
      <c r="D380" s="202"/>
      <c r="E380" s="203"/>
      <c r="F380" s="202"/>
      <c r="G380" s="99"/>
      <c r="H380" s="100"/>
      <c r="I380" s="106"/>
      <c r="J380" s="105"/>
      <c r="K380" s="16"/>
      <c r="L380" s="16"/>
      <c r="M380" s="101"/>
      <c r="N380" s="16"/>
      <c r="O380" s="16"/>
    </row>
    <row r="381" spans="1:15" ht="30" hidden="1" customHeight="1" x14ac:dyDescent="0.4">
      <c r="A381" s="107"/>
      <c r="B381" s="15"/>
      <c r="C381" s="204"/>
      <c r="D381" s="202"/>
      <c r="E381" s="203"/>
      <c r="F381" s="202"/>
      <c r="G381" s="99"/>
      <c r="H381" s="100"/>
      <c r="I381" s="106"/>
      <c r="J381" s="105"/>
      <c r="K381" s="16"/>
      <c r="L381" s="16"/>
      <c r="M381" s="101"/>
      <c r="N381" s="16"/>
      <c r="O381" s="16"/>
    </row>
    <row r="382" spans="1:15" ht="30" hidden="1" customHeight="1" x14ac:dyDescent="0.4">
      <c r="A382" s="107"/>
      <c r="B382" s="15"/>
      <c r="C382" s="204"/>
      <c r="D382" s="202"/>
      <c r="E382" s="203"/>
      <c r="F382" s="202"/>
      <c r="G382" s="99"/>
      <c r="H382" s="100"/>
      <c r="I382" s="106"/>
      <c r="J382" s="105"/>
      <c r="K382" s="16"/>
      <c r="L382" s="16"/>
      <c r="M382" s="101"/>
      <c r="N382" s="16"/>
      <c r="O382" s="16"/>
    </row>
    <row r="383" spans="1:15" ht="30" hidden="1" customHeight="1" x14ac:dyDescent="0.4">
      <c r="A383" s="107"/>
      <c r="B383" s="15"/>
      <c r="C383" s="204"/>
      <c r="D383" s="202"/>
      <c r="E383" s="203"/>
      <c r="F383" s="202"/>
      <c r="G383" s="99"/>
      <c r="H383" s="100"/>
      <c r="I383" s="106"/>
      <c r="J383" s="105"/>
      <c r="K383" s="16"/>
      <c r="L383" s="16"/>
      <c r="M383" s="101"/>
      <c r="N383" s="16"/>
      <c r="O383" s="16"/>
    </row>
    <row r="384" spans="1:15" ht="30" hidden="1" customHeight="1" x14ac:dyDescent="0.4">
      <c r="A384" s="107"/>
      <c r="B384" s="15"/>
      <c r="C384" s="204"/>
      <c r="D384" s="202"/>
      <c r="E384" s="203"/>
      <c r="F384" s="202"/>
      <c r="G384" s="99"/>
      <c r="H384" s="100"/>
      <c r="I384" s="106"/>
      <c r="J384" s="105"/>
      <c r="K384" s="16"/>
      <c r="L384" s="16"/>
      <c r="M384" s="101"/>
      <c r="N384" s="16"/>
      <c r="O384" s="16"/>
    </row>
    <row r="385" spans="1:15" ht="30" hidden="1" customHeight="1" x14ac:dyDescent="0.4">
      <c r="A385" s="107"/>
      <c r="B385" s="15"/>
      <c r="C385" s="204"/>
      <c r="D385" s="202"/>
      <c r="E385" s="203"/>
      <c r="F385" s="202"/>
      <c r="G385" s="99"/>
      <c r="H385" s="100"/>
      <c r="I385" s="106"/>
      <c r="J385" s="105"/>
      <c r="K385" s="16"/>
      <c r="L385" s="16"/>
      <c r="M385" s="101"/>
      <c r="N385" s="16"/>
      <c r="O385" s="16"/>
    </row>
    <row r="386" spans="1:15" ht="30" hidden="1" customHeight="1" x14ac:dyDescent="0.4">
      <c r="A386" s="107"/>
      <c r="B386" s="15"/>
      <c r="C386" s="204"/>
      <c r="D386" s="202"/>
      <c r="E386" s="203"/>
      <c r="F386" s="202"/>
      <c r="G386" s="99"/>
      <c r="H386" s="100"/>
      <c r="I386" s="106"/>
      <c r="J386" s="105"/>
      <c r="K386" s="16"/>
      <c r="L386" s="16"/>
      <c r="M386" s="101"/>
      <c r="N386" s="16"/>
      <c r="O386" s="16"/>
    </row>
    <row r="387" spans="1:15" ht="30" hidden="1" customHeight="1" x14ac:dyDescent="0.4">
      <c r="A387" s="107"/>
      <c r="B387" s="15"/>
      <c r="C387" s="204"/>
      <c r="D387" s="202"/>
      <c r="E387" s="203"/>
      <c r="F387" s="202"/>
      <c r="G387" s="99"/>
      <c r="H387" s="100"/>
      <c r="I387" s="106"/>
      <c r="J387" s="105"/>
      <c r="K387" s="16"/>
      <c r="L387" s="16"/>
      <c r="M387" s="101"/>
      <c r="N387" s="16"/>
      <c r="O387" s="16"/>
    </row>
    <row r="388" spans="1:15" ht="30" hidden="1" customHeight="1" x14ac:dyDescent="0.4">
      <c r="A388" s="107"/>
      <c r="B388" s="15"/>
      <c r="C388" s="204"/>
      <c r="D388" s="202"/>
      <c r="E388" s="203"/>
      <c r="F388" s="202"/>
      <c r="G388" s="99"/>
      <c r="H388" s="100"/>
      <c r="I388" s="106"/>
      <c r="J388" s="105"/>
      <c r="K388" s="16"/>
      <c r="L388" s="16"/>
      <c r="M388" s="101"/>
      <c r="N388" s="16"/>
      <c r="O388" s="16"/>
    </row>
    <row r="389" spans="1:15" ht="30" hidden="1" customHeight="1" x14ac:dyDescent="0.4">
      <c r="A389" s="107"/>
      <c r="B389" s="15"/>
      <c r="C389" s="204"/>
      <c r="D389" s="202"/>
      <c r="E389" s="203"/>
      <c r="F389" s="202"/>
      <c r="G389" s="99"/>
      <c r="H389" s="100"/>
      <c r="I389" s="106"/>
      <c r="J389" s="105"/>
      <c r="K389" s="16"/>
      <c r="L389" s="16"/>
      <c r="M389" s="101"/>
      <c r="N389" s="16"/>
      <c r="O389" s="16"/>
    </row>
    <row r="390" spans="1:15" ht="30" hidden="1" customHeight="1" x14ac:dyDescent="0.4">
      <c r="A390" s="107"/>
      <c r="B390" s="15"/>
      <c r="C390" s="204"/>
      <c r="D390" s="202"/>
      <c r="E390" s="203"/>
      <c r="F390" s="202"/>
      <c r="G390" s="99"/>
      <c r="H390" s="100"/>
      <c r="I390" s="106"/>
      <c r="J390" s="105"/>
      <c r="K390" s="16"/>
      <c r="L390" s="16"/>
      <c r="M390" s="101"/>
      <c r="N390" s="16"/>
      <c r="O390" s="16"/>
    </row>
    <row r="391" spans="1:15" ht="30" hidden="1" customHeight="1" x14ac:dyDescent="0.4">
      <c r="A391" s="107"/>
      <c r="B391" s="15"/>
      <c r="C391" s="204"/>
      <c r="D391" s="202"/>
      <c r="E391" s="203"/>
      <c r="F391" s="202"/>
      <c r="G391" s="99"/>
      <c r="H391" s="100"/>
      <c r="I391" s="106"/>
      <c r="J391" s="105"/>
      <c r="K391" s="16"/>
      <c r="L391" s="16"/>
      <c r="M391" s="101"/>
      <c r="N391" s="16"/>
      <c r="O391" s="16"/>
    </row>
    <row r="392" spans="1:15" ht="30" hidden="1" customHeight="1" x14ac:dyDescent="0.4">
      <c r="A392" s="107"/>
      <c r="B392" s="15"/>
      <c r="C392" s="204"/>
      <c r="D392" s="202"/>
      <c r="E392" s="203"/>
      <c r="F392" s="202"/>
      <c r="G392" s="99"/>
      <c r="H392" s="100"/>
      <c r="I392" s="106"/>
      <c r="J392" s="105"/>
      <c r="K392" s="16"/>
      <c r="L392" s="16"/>
      <c r="M392" s="101"/>
      <c r="N392" s="16"/>
      <c r="O392" s="16"/>
    </row>
    <row r="393" spans="1:15" ht="30" hidden="1" customHeight="1" x14ac:dyDescent="0.4">
      <c r="A393" s="107"/>
      <c r="B393" s="15"/>
      <c r="C393" s="204"/>
      <c r="D393" s="202"/>
      <c r="E393" s="203"/>
      <c r="F393" s="202"/>
      <c r="G393" s="99"/>
      <c r="H393" s="100"/>
      <c r="I393" s="106"/>
      <c r="J393" s="105"/>
      <c r="K393" s="16"/>
      <c r="L393" s="16"/>
      <c r="M393" s="101"/>
      <c r="N393" s="16"/>
      <c r="O393" s="16"/>
    </row>
    <row r="394" spans="1:15" ht="30" hidden="1" customHeight="1" x14ac:dyDescent="0.4">
      <c r="A394" s="107"/>
      <c r="B394" s="15"/>
      <c r="C394" s="204"/>
      <c r="D394" s="202"/>
      <c r="E394" s="203"/>
      <c r="F394" s="202"/>
      <c r="G394" s="99"/>
      <c r="H394" s="100"/>
      <c r="I394" s="106"/>
      <c r="J394" s="105"/>
      <c r="K394" s="16"/>
      <c r="L394" s="16"/>
      <c r="M394" s="101"/>
      <c r="N394" s="16"/>
      <c r="O394" s="16"/>
    </row>
    <row r="395" spans="1:15" ht="30" hidden="1" customHeight="1" x14ac:dyDescent="0.4">
      <c r="A395" s="107"/>
      <c r="B395" s="15"/>
      <c r="C395" s="204"/>
      <c r="D395" s="202"/>
      <c r="E395" s="203"/>
      <c r="F395" s="202"/>
      <c r="G395" s="99"/>
      <c r="H395" s="100"/>
      <c r="I395" s="106"/>
      <c r="J395" s="105"/>
      <c r="K395" s="16"/>
      <c r="L395" s="16"/>
      <c r="M395" s="101"/>
      <c r="N395" s="16"/>
      <c r="O395" s="16"/>
    </row>
    <row r="396" spans="1:15" ht="30" hidden="1" customHeight="1" x14ac:dyDescent="0.4">
      <c r="A396" s="107"/>
      <c r="B396" s="15"/>
      <c r="C396" s="204"/>
      <c r="D396" s="202"/>
      <c r="E396" s="203"/>
      <c r="F396" s="202"/>
      <c r="G396" s="99"/>
      <c r="H396" s="100"/>
      <c r="I396" s="106"/>
      <c r="J396" s="105"/>
      <c r="K396" s="16"/>
      <c r="L396" s="16"/>
      <c r="M396" s="101"/>
      <c r="N396" s="16"/>
      <c r="O396" s="16"/>
    </row>
    <row r="397" spans="1:15" ht="30" hidden="1" customHeight="1" x14ac:dyDescent="0.4">
      <c r="A397" s="107"/>
      <c r="B397" s="15"/>
      <c r="C397" s="204"/>
      <c r="D397" s="202"/>
      <c r="E397" s="203"/>
      <c r="F397" s="202"/>
      <c r="G397" s="99"/>
      <c r="H397" s="100"/>
      <c r="I397" s="106"/>
      <c r="J397" s="105"/>
      <c r="K397" s="16"/>
      <c r="L397" s="16"/>
      <c r="M397" s="101"/>
      <c r="N397" s="16"/>
      <c r="O397" s="16"/>
    </row>
    <row r="398" spans="1:15" ht="30" hidden="1" customHeight="1" x14ac:dyDescent="0.4">
      <c r="A398" s="107"/>
      <c r="B398" s="15"/>
      <c r="C398" s="204"/>
      <c r="D398" s="202"/>
      <c r="E398" s="203"/>
      <c r="F398" s="202"/>
      <c r="G398" s="99"/>
      <c r="H398" s="100"/>
      <c r="I398" s="106"/>
      <c r="J398" s="105"/>
      <c r="K398" s="16"/>
      <c r="L398" s="16"/>
      <c r="M398" s="101"/>
      <c r="N398" s="16"/>
      <c r="O398" s="16"/>
    </row>
    <row r="399" spans="1:15" ht="30" hidden="1" customHeight="1" x14ac:dyDescent="0.4">
      <c r="A399" s="107"/>
      <c r="B399" s="15"/>
      <c r="C399" s="204"/>
      <c r="D399" s="202"/>
      <c r="E399" s="203"/>
      <c r="F399" s="202"/>
      <c r="G399" s="99"/>
      <c r="H399" s="100"/>
      <c r="I399" s="106"/>
      <c r="J399" s="105"/>
      <c r="K399" s="16"/>
      <c r="L399" s="16"/>
      <c r="M399" s="101"/>
      <c r="N399" s="16"/>
      <c r="O399" s="16"/>
    </row>
    <row r="400" spans="1:15" ht="30" hidden="1" customHeight="1" x14ac:dyDescent="0.4">
      <c r="A400" s="107"/>
      <c r="B400" s="15"/>
      <c r="C400" s="204"/>
      <c r="D400" s="202"/>
      <c r="E400" s="203"/>
      <c r="F400" s="202"/>
      <c r="G400" s="99"/>
      <c r="H400" s="100"/>
      <c r="I400" s="106"/>
      <c r="J400" s="105"/>
      <c r="K400" s="16"/>
      <c r="L400" s="16"/>
      <c r="M400" s="101"/>
      <c r="N400" s="16"/>
      <c r="O400" s="16"/>
    </row>
    <row r="401" spans="1:15" ht="30" hidden="1" customHeight="1" x14ac:dyDescent="0.4">
      <c r="A401" s="107"/>
      <c r="B401" s="15"/>
      <c r="C401" s="204"/>
      <c r="D401" s="202"/>
      <c r="E401" s="203"/>
      <c r="F401" s="202"/>
      <c r="G401" s="99"/>
      <c r="H401" s="100"/>
      <c r="I401" s="106"/>
      <c r="J401" s="105"/>
      <c r="K401" s="16"/>
      <c r="L401" s="16"/>
      <c r="M401" s="101"/>
      <c r="N401" s="16"/>
      <c r="O401" s="16"/>
    </row>
    <row r="402" spans="1:15" ht="30" hidden="1" customHeight="1" x14ac:dyDescent="0.4">
      <c r="A402" s="107"/>
      <c r="B402" s="15"/>
      <c r="C402" s="204"/>
      <c r="D402" s="202"/>
      <c r="E402" s="203"/>
      <c r="F402" s="202"/>
      <c r="G402" s="99"/>
      <c r="H402" s="100"/>
      <c r="I402" s="106"/>
      <c r="J402" s="105"/>
      <c r="K402" s="16"/>
      <c r="L402" s="16"/>
      <c r="M402" s="101"/>
      <c r="N402" s="16"/>
      <c r="O402" s="16"/>
    </row>
    <row r="403" spans="1:15" ht="30" hidden="1" customHeight="1" x14ac:dyDescent="0.4">
      <c r="A403" s="107"/>
      <c r="B403" s="15"/>
      <c r="C403" s="204"/>
      <c r="D403" s="202"/>
      <c r="E403" s="203"/>
      <c r="F403" s="202"/>
      <c r="G403" s="99"/>
      <c r="H403" s="100"/>
      <c r="I403" s="106"/>
      <c r="J403" s="105"/>
      <c r="K403" s="16"/>
      <c r="L403" s="16"/>
      <c r="M403" s="101"/>
      <c r="N403" s="16"/>
      <c r="O403" s="16"/>
    </row>
    <row r="404" spans="1:15" ht="30" hidden="1" customHeight="1" x14ac:dyDescent="0.4">
      <c r="A404" s="107"/>
      <c r="B404" s="15"/>
      <c r="C404" s="204"/>
      <c r="D404" s="202"/>
      <c r="E404" s="203"/>
      <c r="F404" s="202"/>
      <c r="G404" s="99"/>
      <c r="H404" s="100"/>
      <c r="I404" s="106"/>
      <c r="J404" s="105"/>
      <c r="K404" s="16"/>
      <c r="L404" s="16"/>
      <c r="M404" s="101"/>
      <c r="N404" s="16"/>
      <c r="O404" s="16"/>
    </row>
    <row r="405" spans="1:15" ht="30" hidden="1" customHeight="1" x14ac:dyDescent="0.4">
      <c r="A405" s="107"/>
      <c r="B405" s="15"/>
      <c r="C405" s="204"/>
      <c r="D405" s="202"/>
      <c r="E405" s="203"/>
      <c r="F405" s="202"/>
      <c r="G405" s="99"/>
      <c r="H405" s="100"/>
      <c r="I405" s="106"/>
      <c r="J405" s="105"/>
      <c r="K405" s="16"/>
      <c r="L405" s="16"/>
      <c r="M405" s="101"/>
      <c r="N405" s="16"/>
      <c r="O405" s="16"/>
    </row>
    <row r="406" spans="1:15" ht="30" hidden="1" customHeight="1" x14ac:dyDescent="0.4">
      <c r="A406" s="107"/>
      <c r="B406" s="15"/>
      <c r="C406" s="204"/>
      <c r="D406" s="202"/>
      <c r="E406" s="203"/>
      <c r="F406" s="202"/>
      <c r="G406" s="99"/>
      <c r="H406" s="100"/>
      <c r="I406" s="106"/>
      <c r="J406" s="105"/>
      <c r="K406" s="16"/>
      <c r="L406" s="16"/>
      <c r="M406" s="101"/>
      <c r="N406" s="16"/>
      <c r="O406" s="16"/>
    </row>
    <row r="407" spans="1:15" ht="30" hidden="1" customHeight="1" x14ac:dyDescent="0.4">
      <c r="A407" s="107"/>
      <c r="B407" s="15"/>
      <c r="C407" s="204"/>
      <c r="D407" s="202"/>
      <c r="E407" s="203"/>
      <c r="F407" s="202"/>
      <c r="G407" s="99"/>
      <c r="H407" s="100"/>
      <c r="I407" s="106"/>
      <c r="J407" s="105"/>
      <c r="K407" s="16"/>
      <c r="L407" s="16"/>
      <c r="M407" s="101"/>
      <c r="N407" s="16"/>
      <c r="O407" s="16"/>
    </row>
    <row r="408" spans="1:15" ht="30" hidden="1" customHeight="1" x14ac:dyDescent="0.4">
      <c r="A408" s="107"/>
      <c r="B408" s="15"/>
      <c r="C408" s="204"/>
      <c r="D408" s="202"/>
      <c r="E408" s="203"/>
      <c r="F408" s="202"/>
      <c r="G408" s="99"/>
      <c r="H408" s="100"/>
      <c r="I408" s="106"/>
      <c r="J408" s="105"/>
      <c r="K408" s="16"/>
      <c r="L408" s="16"/>
      <c r="M408" s="101"/>
      <c r="N408" s="16"/>
      <c r="O408" s="16"/>
    </row>
    <row r="409" spans="1:15" ht="30" hidden="1" customHeight="1" x14ac:dyDescent="0.4">
      <c r="A409" s="107"/>
      <c r="B409" s="15"/>
      <c r="C409" s="204"/>
      <c r="D409" s="202"/>
      <c r="E409" s="203"/>
      <c r="F409" s="202"/>
      <c r="G409" s="99"/>
      <c r="H409" s="100"/>
      <c r="I409" s="106"/>
      <c r="J409" s="105"/>
      <c r="K409" s="16"/>
      <c r="L409" s="16"/>
      <c r="M409" s="101"/>
      <c r="N409" s="16"/>
      <c r="O409" s="16"/>
    </row>
    <row r="410" spans="1:15" ht="30" hidden="1" customHeight="1" x14ac:dyDescent="0.4">
      <c r="A410" s="107"/>
      <c r="B410" s="15"/>
      <c r="C410" s="204"/>
      <c r="D410" s="202"/>
      <c r="E410" s="203"/>
      <c r="F410" s="202"/>
      <c r="G410" s="99"/>
      <c r="H410" s="100"/>
      <c r="I410" s="106"/>
      <c r="J410" s="105"/>
      <c r="K410" s="16"/>
      <c r="L410" s="16"/>
      <c r="M410" s="101"/>
      <c r="N410" s="16"/>
      <c r="O410" s="16"/>
    </row>
    <row r="411" spans="1:15" ht="30" hidden="1" customHeight="1" x14ac:dyDescent="0.4">
      <c r="A411" s="107"/>
      <c r="B411" s="15"/>
      <c r="C411" s="204"/>
      <c r="D411" s="202"/>
      <c r="E411" s="203"/>
      <c r="F411" s="202"/>
      <c r="G411" s="99"/>
      <c r="H411" s="100"/>
      <c r="I411" s="106"/>
      <c r="J411" s="105"/>
      <c r="K411" s="16"/>
      <c r="L411" s="16"/>
      <c r="M411" s="101"/>
      <c r="N411" s="16"/>
      <c r="O411" s="16"/>
    </row>
    <row r="412" spans="1:15" ht="30" hidden="1" customHeight="1" x14ac:dyDescent="0.4">
      <c r="A412" s="107"/>
      <c r="B412" s="15"/>
      <c r="C412" s="204"/>
      <c r="D412" s="202"/>
      <c r="E412" s="203"/>
      <c r="F412" s="202"/>
      <c r="G412" s="99"/>
      <c r="H412" s="100"/>
      <c r="I412" s="106"/>
      <c r="J412" s="105"/>
      <c r="K412" s="16"/>
      <c r="L412" s="16"/>
      <c r="M412" s="101"/>
      <c r="N412" s="16"/>
      <c r="O412" s="16"/>
    </row>
    <row r="413" spans="1:15" ht="30" hidden="1" customHeight="1" x14ac:dyDescent="0.4">
      <c r="A413" s="107"/>
      <c r="B413" s="15"/>
      <c r="C413" s="204"/>
      <c r="D413" s="202"/>
      <c r="E413" s="203"/>
      <c r="F413" s="202"/>
      <c r="G413" s="99"/>
      <c r="H413" s="100"/>
      <c r="I413" s="106"/>
      <c r="J413" s="105"/>
      <c r="K413" s="16"/>
      <c r="L413" s="16"/>
      <c r="M413" s="101"/>
      <c r="N413" s="16"/>
      <c r="O413" s="16"/>
    </row>
    <row r="414" spans="1:15" ht="30" hidden="1" customHeight="1" x14ac:dyDescent="0.4">
      <c r="A414" s="107"/>
      <c r="B414" s="15"/>
      <c r="C414" s="204"/>
      <c r="D414" s="202"/>
      <c r="E414" s="203"/>
      <c r="F414" s="202"/>
      <c r="G414" s="99"/>
      <c r="H414" s="100"/>
      <c r="I414" s="106"/>
      <c r="J414" s="105"/>
      <c r="K414" s="16"/>
      <c r="L414" s="16"/>
      <c r="M414" s="101"/>
      <c r="N414" s="16"/>
      <c r="O414" s="16"/>
    </row>
    <row r="415" spans="1:15" ht="30" hidden="1" customHeight="1" x14ac:dyDescent="0.4">
      <c r="A415" s="107"/>
      <c r="B415" s="15"/>
      <c r="C415" s="204"/>
      <c r="D415" s="202"/>
      <c r="E415" s="203"/>
      <c r="F415" s="202"/>
      <c r="G415" s="99"/>
      <c r="H415" s="100"/>
      <c r="I415" s="106"/>
      <c r="J415" s="105"/>
      <c r="K415" s="16"/>
      <c r="L415" s="16"/>
      <c r="M415" s="101"/>
      <c r="N415" s="16"/>
      <c r="O415" s="16"/>
    </row>
    <row r="417" spans="1:15" ht="24" customHeight="1" x14ac:dyDescent="0.4">
      <c r="A417" s="208" t="s">
        <v>545</v>
      </c>
      <c r="B417" s="146"/>
      <c r="C417" s="146"/>
      <c r="D417" s="146"/>
      <c r="E417" s="146"/>
      <c r="F417" s="146"/>
      <c r="G417" s="146"/>
      <c r="H417" s="146"/>
      <c r="I417" s="146"/>
      <c r="J417" s="146"/>
      <c r="K417" s="146"/>
      <c r="L417" s="146"/>
      <c r="M417" s="146"/>
      <c r="N417" s="146"/>
      <c r="O417" s="146"/>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5">
      <formula>AND($C113&lt;&gt;"n.v.",$C113&lt;&gt;"—",E113&lt;&gt;$C113)</formula>
    </cfRule>
    <cfRule type="expression" dxfId="42" priority="26">
      <formula>AND(OR($C113="n.v.",$C113="—"),E113&lt;&gt;"")</formula>
    </cfRule>
  </conditionalFormatting>
  <conditionalFormatting sqref="E216:E415">
    <cfRule type="expression" dxfId="41" priority="31">
      <formula>AND($C216&lt;&gt;"n.v.",$C216&lt;&gt;"—",E216&lt;&gt;$C216)</formula>
    </cfRule>
    <cfRule type="expression" dxfId="40" priority="32">
      <formula>AND(OR($C216="n.v.",$C216="—"),E216&lt;&gt;"")</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7">
      <formula>AND($G113&lt;&gt;"n.v.",$G113&lt;&gt;"—",H113&lt;&gt;$G113)</formula>
    </cfRule>
    <cfRule type="expression" dxfId="32" priority="28">
      <formula>AND(OR($G113="n.v.",$G113="—"),H113&lt;&gt;"")</formula>
    </cfRule>
  </conditionalFormatting>
  <conditionalFormatting sqref="H216:H415">
    <cfRule type="expression" dxfId="31" priority="33">
      <formula>AND($G216&lt;&gt;"n.v.",$G216&lt;&gt;"—",H216&lt;&gt;$G216)</formula>
    </cfRule>
    <cfRule type="expression" dxfId="30" priority="34">
      <formula>AND(OR($G216="n.v.",$G216="—"),H216&lt;&gt;"")</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9">
      <formula>AND($K7&lt;&gt;"n.v.",$K7&lt;&gt;"—",L7&lt;&gt;$K7)</formula>
    </cfRule>
    <cfRule type="expression" dxfId="21" priority="10">
      <formula>AND(OR($K7="n.v.",$K7="—"),L7&lt;&gt;"")</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5">
      <formula>LEFT(W7,12)="Osservazione"</formula>
    </cfRule>
    <cfRule type="expression" dxfId="10" priority="16">
      <formula>LEFT(W7,16)="Radar, in uscita"</formula>
    </cfRule>
  </conditionalFormatting>
  <conditionalFormatting sqref="Y7:Y26">
    <cfRule type="expression" dxfId="9" priority="11">
      <formula>AND($X7&lt;&gt;"n.v.",$X7&lt;&gt;"—",Y7&lt;&gt;$X7)</formula>
    </cfRule>
    <cfRule type="expression" dxfId="8" priority="12">
      <formula>AND(OR($X7="n.v.",$X7="—"),Y7&lt;&gt;"")</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5" t="str">
        <f>"Horizon Scan NFR — Parametri: pesi, soglie, urgenza e anagrafica dei rischi   ·   "&amp;etichettaCiclo</f>
        <v>Horizon Scan NFR — Parametri: pesi, soglie, urgenza e anagrafica dei rischi   ·   Ciclo 2026Q4 · dati al 31/12/2026 · da validare · Uso interno</v>
      </c>
      <c r="B1" s="166"/>
      <c r="C1" s="166"/>
      <c r="D1" s="166"/>
      <c r="E1" s="166"/>
      <c r="F1" s="166"/>
      <c r="G1" s="166"/>
      <c r="H1" s="166"/>
      <c r="I1" s="166"/>
      <c r="J1" s="166"/>
      <c r="K1" s="166"/>
      <c r="L1" s="166"/>
      <c r="M1" s="166"/>
      <c r="N1" s="166"/>
    </row>
    <row r="2" spans="1:15" ht="65.05" customHeight="1" x14ac:dyDescent="0.4">
      <c r="A2" s="198" t="s">
        <v>546</v>
      </c>
      <c r="B2" s="146"/>
      <c r="C2" s="146"/>
      <c r="D2" s="146"/>
      <c r="E2" s="146"/>
      <c r="F2" s="146"/>
      <c r="H2" s="212" t="s">
        <v>547</v>
      </c>
      <c r="I2" s="146"/>
      <c r="J2" s="146"/>
      <c r="K2" s="146"/>
      <c r="L2" s="146"/>
      <c r="M2" s="146"/>
      <c r="N2" s="146"/>
      <c r="O2" s="146"/>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1651</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1651</v>
      </c>
    </row>
    <row r="29" spans="1:15" x14ac:dyDescent="0.4">
      <c r="A29" s="61" t="s">
        <v>639</v>
      </c>
    </row>
    <row r="30" spans="1:15" x14ac:dyDescent="0.4">
      <c r="A30" t="s">
        <v>640</v>
      </c>
      <c r="B30" s="110">
        <v>46307</v>
      </c>
    </row>
    <row r="31" spans="1:15" x14ac:dyDescent="0.4">
      <c r="A31" t="s">
        <v>641</v>
      </c>
      <c r="B31" s="77">
        <f>settimanaCorrente-21</f>
        <v>46286</v>
      </c>
    </row>
    <row r="33" spans="1:2" x14ac:dyDescent="0.4">
      <c r="A33" s="61" t="s">
        <v>642</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da validare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6"/>
      <c r="C71" s="146"/>
    </row>
    <row r="72" spans="1:3" ht="30" customHeight="1" x14ac:dyDescent="0.4">
      <c r="A72" s="146"/>
      <c r="B72" s="146"/>
      <c r="C72" s="146"/>
    </row>
    <row r="73" spans="1:3" ht="30" customHeight="1" x14ac:dyDescent="0.4">
      <c r="A73" s="146"/>
      <c r="B73" s="146"/>
      <c r="C73" s="146"/>
    </row>
    <row r="74" spans="1:3" ht="30" customHeight="1" x14ac:dyDescent="0.4">
      <c r="A74" s="146"/>
      <c r="B74" s="146"/>
      <c r="C74" s="146"/>
    </row>
    <row r="75" spans="1:3" ht="30" customHeight="1" x14ac:dyDescent="0.4">
      <c r="A75" s="146"/>
      <c r="B75" s="146"/>
      <c r="C75" s="146"/>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5" t="str">
        <f>"Horizon Scan NFR — Dizionario dei dati   ·   "&amp;etichettaCiclo</f>
        <v>Horizon Scan NFR — Dizionario dei dati   ·   Ciclo 2026Q4 · dati al 31/12/2026 · da validare · Uso interno</v>
      </c>
      <c r="B1" s="166"/>
      <c r="C1" s="166"/>
      <c r="D1" s="166"/>
      <c r="E1" s="166"/>
      <c r="F1" s="166"/>
      <c r="G1" s="166"/>
    </row>
    <row r="2" spans="1:7" ht="32.049999999999997" customHeight="1" x14ac:dyDescent="0.4">
      <c r="A2" s="188" t="s">
        <v>670</v>
      </c>
      <c r="B2" s="146"/>
      <c r="C2" s="146"/>
      <c r="D2" s="146"/>
      <c r="E2" s="146"/>
      <c r="F2" s="146"/>
      <c r="G2" s="146"/>
    </row>
    <row r="4" spans="1:7" x14ac:dyDescent="0.4">
      <c r="A4" s="113" t="s">
        <v>671</v>
      </c>
      <c r="B4" s="113" t="s">
        <v>672</v>
      </c>
      <c r="C4" s="113" t="s">
        <v>673</v>
      </c>
      <c r="D4" s="113" t="s">
        <v>674</v>
      </c>
      <c r="E4" s="113" t="s">
        <v>675</v>
      </c>
      <c r="F4" s="113" t="s">
        <v>676</v>
      </c>
      <c r="G4" s="113" t="s">
        <v>677</v>
      </c>
    </row>
    <row r="5" spans="1:7" x14ac:dyDescent="0.4">
      <c r="A5" s="213" t="s">
        <v>678</v>
      </c>
      <c r="B5" s="146"/>
      <c r="C5" s="146"/>
      <c r="D5" s="146"/>
      <c r="E5" s="146"/>
      <c r="F5" s="146"/>
      <c r="G5" s="146"/>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6"/>
      <c r="C38" s="146"/>
      <c r="D38" s="146"/>
      <c r="E38" s="146"/>
      <c r="F38" s="146"/>
      <c r="G38" s="146"/>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6"/>
      <c r="C51" s="146"/>
      <c r="D51" s="146"/>
      <c r="E51" s="146"/>
      <c r="F51" s="146"/>
      <c r="G51" s="146"/>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6"/>
      <c r="C72" s="146"/>
      <c r="D72" s="146"/>
      <c r="E72" s="146"/>
      <c r="F72" s="146"/>
      <c r="G72" s="146"/>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6"/>
      <c r="C92" s="146"/>
      <c r="D92" s="146"/>
      <c r="E92" s="146"/>
      <c r="F92" s="146"/>
      <c r="G92" s="146"/>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6"/>
      <c r="C103" s="146"/>
      <c r="D103" s="146"/>
      <c r="E103" s="146"/>
      <c r="F103" s="146"/>
      <c r="G103" s="146"/>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6"/>
      <c r="C110" s="146"/>
      <c r="D110" s="146"/>
      <c r="E110" s="146"/>
      <c r="F110" s="146"/>
      <c r="G110" s="146"/>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6"/>
      <c r="C123" s="146"/>
      <c r="D123" s="146"/>
      <c r="E123" s="146"/>
      <c r="F123" s="146"/>
      <c r="G123" s="146"/>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6"/>
      <c r="C138" s="146"/>
      <c r="D138" s="146"/>
      <c r="E138" s="146"/>
      <c r="F138" s="146"/>
      <c r="G138" s="146"/>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5" t="str">
        <f>"Horizon Scan NFR — RiskRegister — valutazioni dei rischi, una riga per rischio per ciclo   ·   "&amp;etichettaCiclo</f>
        <v>Horizon Scan NFR — RiskRegister — valutazioni dei rischi, una riga per rischio per ciclo   ·   Ciclo 2026Q4 · dati al 31/12/2026 · da validare · Uso interno</v>
      </c>
      <c r="B1" s="166"/>
      <c r="C1" s="166"/>
      <c r="D1" s="166"/>
      <c r="E1" s="166"/>
      <c r="F1" s="166"/>
      <c r="G1" s="166"/>
      <c r="H1" s="166"/>
      <c r="I1" s="166"/>
      <c r="J1" s="166"/>
      <c r="K1" s="166"/>
      <c r="L1" s="166"/>
    </row>
    <row r="2" spans="1:32" ht="126.55" customHeight="1" x14ac:dyDescent="0.4">
      <c r="A2" s="173" t="s">
        <v>1090</v>
      </c>
      <c r="B2" s="146"/>
      <c r="C2" s="146"/>
      <c r="D2" s="146"/>
      <c r="E2" s="146"/>
      <c r="F2" s="146"/>
      <c r="G2" s="146"/>
      <c r="H2" s="146"/>
      <c r="I2" s="146"/>
      <c r="J2" s="146"/>
      <c r="K2" s="146"/>
      <c r="L2" s="146"/>
    </row>
    <row r="3" spans="1:32" x14ac:dyDescent="0.4">
      <c r="A3" s="214" t="s">
        <v>1091</v>
      </c>
      <c r="B3" s="146"/>
      <c r="C3" s="146"/>
      <c r="D3" s="146"/>
      <c r="E3" s="146"/>
      <c r="F3" s="146"/>
      <c r="G3" s="146"/>
      <c r="H3" s="146"/>
      <c r="I3" s="146"/>
      <c r="J3" s="119" t="s">
        <v>1092</v>
      </c>
      <c r="K3" s="214" t="s">
        <v>1091</v>
      </c>
      <c r="L3" s="146"/>
      <c r="M3" s="119" t="s">
        <v>1093</v>
      </c>
      <c r="N3" s="214" t="s">
        <v>1091</v>
      </c>
      <c r="O3" s="146"/>
      <c r="P3" s="146"/>
      <c r="Q3" s="146"/>
      <c r="R3" s="215" t="s">
        <v>1093</v>
      </c>
      <c r="S3" s="146"/>
      <c r="T3" s="119" t="s">
        <v>1092</v>
      </c>
      <c r="U3" s="119" t="s">
        <v>1093</v>
      </c>
      <c r="V3" s="216" t="s">
        <v>1094</v>
      </c>
      <c r="W3" s="146"/>
      <c r="X3" s="146"/>
      <c r="Y3" s="215" t="s">
        <v>1093</v>
      </c>
      <c r="Z3" s="146"/>
      <c r="AA3" s="146"/>
      <c r="AB3" s="146"/>
      <c r="AC3" s="120" t="s">
        <v>1094</v>
      </c>
      <c r="AD3" s="214" t="s">
        <v>1091</v>
      </c>
      <c r="AE3" s="146"/>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1651</v>
      </c>
      <c r="B60" s="123">
        <v>46387</v>
      </c>
      <c r="C60" s="129" t="s">
        <v>554</v>
      </c>
      <c r="D60" s="129" t="s">
        <v>555</v>
      </c>
      <c r="E60" s="129" t="s">
        <v>469</v>
      </c>
      <c r="F60" s="129" t="s">
        <v>556</v>
      </c>
      <c r="G60" s="109">
        <v>4</v>
      </c>
      <c r="H60" s="109">
        <v>5</v>
      </c>
      <c r="I60" s="109">
        <v>5</v>
      </c>
      <c r="J60" s="124">
        <f>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1693</v>
      </c>
      <c r="P60" s="130" t="s">
        <v>1694</v>
      </c>
      <c r="Q60" s="130" t="s">
        <v>1695</v>
      </c>
      <c r="R60" s="130"/>
      <c r="S60" s="129" t="s">
        <v>557</v>
      </c>
      <c r="T60" s="109" t="str">
        <f>A60&amp;"|"&amp;C60</f>
        <v>2026Q4|NFR-01</v>
      </c>
      <c r="U60" s="123">
        <v>46303</v>
      </c>
      <c r="V60" s="129"/>
      <c r="W60" s="129" t="s">
        <v>1654</v>
      </c>
      <c r="X60" s="123"/>
      <c r="Y60" s="129" t="s">
        <v>1651</v>
      </c>
      <c r="Z60" s="129" t="s">
        <v>764</v>
      </c>
      <c r="AA60" s="130" t="s">
        <v>1696</v>
      </c>
      <c r="AB60" s="109"/>
      <c r="AC60" s="129" t="s">
        <v>776</v>
      </c>
      <c r="AD60" s="109"/>
      <c r="AE60" s="130"/>
      <c r="AF60" s="109" t="str">
        <f>IF(AND(A60=cicloCorrente,Z60="Osservazione"),N(J60)*100000+1-ROW()/1000000,"")</f>
        <v/>
      </c>
    </row>
    <row r="61" spans="1:32" ht="218.6" x14ac:dyDescent="0.4">
      <c r="A61" s="129" t="s">
        <v>1651</v>
      </c>
      <c r="B61" s="123">
        <v>46387</v>
      </c>
      <c r="C61" s="129" t="s">
        <v>560</v>
      </c>
      <c r="D61" s="129" t="s">
        <v>561</v>
      </c>
      <c r="E61" s="129" t="s">
        <v>474</v>
      </c>
      <c r="F61" s="129" t="s">
        <v>562</v>
      </c>
      <c r="G61" s="109">
        <v>4</v>
      </c>
      <c r="H61" s="109">
        <v>4</v>
      </c>
      <c r="I61" s="109">
        <v>3</v>
      </c>
      <c r="J61" s="124">
        <f>IF(COUNT(G61,I61,K61)&lt;3,"",ROUND((pesoImpatto*G61+pesoProbabilita*K61+pesoProssimita*I61+IF(ISNUMBER(H61),pesoVelocity*H61,0))/(pesoImpatto+pesoProbabilita+pesoProssimita+IF(ISNUMBER(H61),pesoVelocity,0)),2))</f>
        <v>3.3</v>
      </c>
      <c r="K61" s="109">
        <v>2</v>
      </c>
      <c r="L61" s="109"/>
      <c r="M61" s="129" t="s">
        <v>1127</v>
      </c>
      <c r="N61" s="130" t="s">
        <v>1133</v>
      </c>
      <c r="O61" s="130" t="s">
        <v>1697</v>
      </c>
      <c r="P61" s="130" t="s">
        <v>1130</v>
      </c>
      <c r="Q61" s="130" t="s">
        <v>1544</v>
      </c>
      <c r="R61" s="130"/>
      <c r="S61" s="129" t="s">
        <v>563</v>
      </c>
      <c r="T61" s="109" t="str">
        <f>A61&amp;"|"&amp;C61</f>
        <v>2026Q4|NFR-02</v>
      </c>
      <c r="U61" s="123">
        <v>46303</v>
      </c>
      <c r="V61" s="129"/>
      <c r="W61" s="129" t="s">
        <v>1654</v>
      </c>
      <c r="X61" s="123"/>
      <c r="Y61" s="129" t="s">
        <v>1651</v>
      </c>
      <c r="Z61" s="129" t="s">
        <v>764</v>
      </c>
      <c r="AA61" s="130" t="s">
        <v>1136</v>
      </c>
      <c r="AB61" s="109"/>
      <c r="AC61" s="129" t="s">
        <v>776</v>
      </c>
      <c r="AD61" s="109"/>
      <c r="AE61" s="130"/>
      <c r="AF61" s="109" t="str">
        <f>IF(AND(A61=cicloCorrente,Z61="Osservazione"),N(J61)*100000+1-ROW()/1000000,"")</f>
        <v/>
      </c>
    </row>
    <row r="62" spans="1:32" ht="204" x14ac:dyDescent="0.4">
      <c r="A62" s="129" t="s">
        <v>1651</v>
      </c>
      <c r="B62" s="123">
        <v>46387</v>
      </c>
      <c r="C62" s="129" t="s">
        <v>566</v>
      </c>
      <c r="D62" s="129" t="s">
        <v>567</v>
      </c>
      <c r="E62" s="129" t="s">
        <v>461</v>
      </c>
      <c r="F62" s="129" t="s">
        <v>568</v>
      </c>
      <c r="G62" s="109">
        <v>3</v>
      </c>
      <c r="H62" s="109">
        <v>2</v>
      </c>
      <c r="I62" s="109">
        <v>4</v>
      </c>
      <c r="J62" s="124">
        <f>IF(COUNT(G62,I62,K62)&lt;3,"",ROUND((pesoImpatto*G62+pesoProbabilita*K62+pesoProssimita*I62+IF(ISNUMBER(H62),pesoVelocity*H62,0))/(pesoImpatto+pesoProbabilita+pesoProssimita+IF(ISNUMBER(H62),pesoVelocity,0)),2))</f>
        <v>3</v>
      </c>
      <c r="K62" s="109">
        <v>3</v>
      </c>
      <c r="L62" s="109"/>
      <c r="M62" s="129" t="s">
        <v>1127</v>
      </c>
      <c r="N62" s="130" t="s">
        <v>1137</v>
      </c>
      <c r="O62" s="130" t="s">
        <v>1698</v>
      </c>
      <c r="P62" s="130" t="s">
        <v>1130</v>
      </c>
      <c r="Q62" s="130" t="s">
        <v>1548</v>
      </c>
      <c r="R62" s="130"/>
      <c r="S62" s="129" t="s">
        <v>569</v>
      </c>
      <c r="T62" s="109" t="str">
        <f>A62&amp;"|"&amp;C62</f>
        <v>2026Q4|NFR-03</v>
      </c>
      <c r="U62" s="123">
        <v>46303</v>
      </c>
      <c r="V62" s="129"/>
      <c r="W62" s="129" t="s">
        <v>1654</v>
      </c>
      <c r="X62" s="123"/>
      <c r="Y62" s="129" t="s">
        <v>1651</v>
      </c>
      <c r="Z62" s="129" t="s">
        <v>764</v>
      </c>
      <c r="AA62" s="130" t="s">
        <v>1549</v>
      </c>
      <c r="AB62" s="109"/>
      <c r="AC62" s="129" t="s">
        <v>776</v>
      </c>
      <c r="AD62" s="109"/>
      <c r="AE62" s="130"/>
      <c r="AF62" s="109" t="str">
        <f>IF(AND(A62=cicloCorrente,Z62="Osservazione"),N(J62)*100000+1-ROW()/1000000,"")</f>
        <v/>
      </c>
    </row>
    <row r="63" spans="1:32" ht="204" x14ac:dyDescent="0.4">
      <c r="A63" s="129" t="s">
        <v>1651</v>
      </c>
      <c r="B63" s="123">
        <v>46387</v>
      </c>
      <c r="C63" s="129" t="s">
        <v>572</v>
      </c>
      <c r="D63" s="129" t="s">
        <v>573</v>
      </c>
      <c r="E63" s="129" t="s">
        <v>471</v>
      </c>
      <c r="F63" s="129" t="s">
        <v>574</v>
      </c>
      <c r="G63" s="109">
        <v>3</v>
      </c>
      <c r="H63" s="109">
        <v>2</v>
      </c>
      <c r="I63" s="109">
        <v>3</v>
      </c>
      <c r="J63" s="124">
        <f>IF(COUNT(G63,I63,K63)&lt;3,"",ROUND((pesoImpatto*G63+pesoProbabilita*K63+pesoProssimita*I63+IF(ISNUMBER(H63),pesoVelocity*H63,0))/(pesoImpatto+pesoProbabilita+pesoProssimita+IF(ISNUMBER(H63),pesoVelocity,0)),2))</f>
        <v>2.8</v>
      </c>
      <c r="K63" s="109">
        <v>3</v>
      </c>
      <c r="L63" s="109"/>
      <c r="M63" s="129" t="s">
        <v>1127</v>
      </c>
      <c r="N63" s="130" t="s">
        <v>1141</v>
      </c>
      <c r="O63" s="130" t="s">
        <v>1699</v>
      </c>
      <c r="P63" s="130" t="s">
        <v>1130</v>
      </c>
      <c r="Q63" s="130" t="s">
        <v>1551</v>
      </c>
      <c r="R63" s="130"/>
      <c r="S63" s="129" t="s">
        <v>575</v>
      </c>
      <c r="T63" s="109" t="str">
        <f>A63&amp;"|"&amp;C63</f>
        <v>2026Q4|NFR-04</v>
      </c>
      <c r="U63" s="123">
        <v>46303</v>
      </c>
      <c r="V63" s="129"/>
      <c r="W63" s="129" t="s">
        <v>1654</v>
      </c>
      <c r="X63" s="123"/>
      <c r="Y63" s="129" t="s">
        <v>1651</v>
      </c>
      <c r="Z63" s="129" t="s">
        <v>764</v>
      </c>
      <c r="AA63" s="130" t="s">
        <v>1140</v>
      </c>
      <c r="AB63" s="109"/>
      <c r="AC63" s="129" t="s">
        <v>776</v>
      </c>
      <c r="AD63" s="109"/>
      <c r="AE63" s="130"/>
      <c r="AF63" s="109" t="str">
        <f>IF(AND(A63=cicloCorrente,Z63="Osservazione"),N(J63)*100000+1-ROW()/1000000,"")</f>
        <v/>
      </c>
    </row>
    <row r="64" spans="1:32" ht="204" x14ac:dyDescent="0.4">
      <c r="A64" s="129" t="s">
        <v>1651</v>
      </c>
      <c r="B64" s="123">
        <v>46387</v>
      </c>
      <c r="C64" s="129" t="s">
        <v>576</v>
      </c>
      <c r="D64" s="129" t="s">
        <v>577</v>
      </c>
      <c r="E64" s="129" t="s">
        <v>478</v>
      </c>
      <c r="F64" s="129" t="s">
        <v>578</v>
      </c>
      <c r="G64" s="109">
        <v>3</v>
      </c>
      <c r="H64" s="109">
        <v>3</v>
      </c>
      <c r="I64" s="109">
        <v>3</v>
      </c>
      <c r="J64" s="124">
        <f>IF(COUNT(G64,I64,K64)&lt;3,"",ROUND((pesoImpatto*G64+pesoProbabilita*K64+pesoProssimita*I64+IF(ISNUMBER(H64),pesoVelocity*H64,0))/(pesoImpatto+pesoProbabilita+pesoProssimita+IF(ISNUMBER(H64),pesoVelocity,0)),2))</f>
        <v>3</v>
      </c>
      <c r="K64" s="109">
        <v>3</v>
      </c>
      <c r="L64" s="109"/>
      <c r="M64" s="129" t="s">
        <v>1127</v>
      </c>
      <c r="N64" s="130" t="s">
        <v>1145</v>
      </c>
      <c r="O64" s="130" t="s">
        <v>1700</v>
      </c>
      <c r="P64" s="130" t="s">
        <v>1130</v>
      </c>
      <c r="Q64" s="130" t="s">
        <v>1202</v>
      </c>
      <c r="R64" s="130"/>
      <c r="S64" s="129" t="s">
        <v>579</v>
      </c>
      <c r="T64" s="109" t="str">
        <f>A64&amp;"|"&amp;C64</f>
        <v>2026Q4|NFR-05</v>
      </c>
      <c r="U64" s="123">
        <v>46303</v>
      </c>
      <c r="V64" s="129"/>
      <c r="W64" s="129" t="s">
        <v>1654</v>
      </c>
      <c r="X64" s="123"/>
      <c r="Y64" s="129" t="s">
        <v>1651</v>
      </c>
      <c r="Z64" s="129" t="s">
        <v>764</v>
      </c>
      <c r="AA64" s="130" t="s">
        <v>1140</v>
      </c>
      <c r="AB64" s="109"/>
      <c r="AC64" s="129" t="s">
        <v>776</v>
      </c>
      <c r="AD64" s="109"/>
      <c r="AE64" s="130"/>
      <c r="AF64" s="109" t="str">
        <f>IF(AND(A64=cicloCorrente,Z64="Osservazione"),N(J64)*100000+1-ROW()/1000000,"")</f>
        <v/>
      </c>
    </row>
    <row r="65" spans="1:32" ht="204" x14ac:dyDescent="0.4">
      <c r="A65" s="129" t="s">
        <v>1651</v>
      </c>
      <c r="B65" s="123">
        <v>46387</v>
      </c>
      <c r="C65" s="129" t="s">
        <v>581</v>
      </c>
      <c r="D65" s="129" t="s">
        <v>582</v>
      </c>
      <c r="E65" s="129" t="s">
        <v>469</v>
      </c>
      <c r="F65" s="129" t="s">
        <v>583</v>
      </c>
      <c r="G65" s="109">
        <v>3</v>
      </c>
      <c r="H65" s="109">
        <v>3</v>
      </c>
      <c r="I65" s="109">
        <v>3</v>
      </c>
      <c r="J65" s="124">
        <f>IF(COUNT(G65,I65,K65)&lt;3,"",ROUND((pesoImpatto*G65+pesoProbabilita*K65+pesoProssimita*I65+IF(ISNUMBER(H65),pesoVelocity*H65,0))/(pesoImpatto+pesoProbabilita+pesoProssimita+IF(ISNUMBER(H65),pesoVelocity,0)),2))</f>
        <v>3</v>
      </c>
      <c r="K65" s="109">
        <v>3</v>
      </c>
      <c r="L65" s="109"/>
      <c r="M65" s="129" t="s">
        <v>1127</v>
      </c>
      <c r="N65" s="130" t="s">
        <v>1170</v>
      </c>
      <c r="O65" s="130" t="s">
        <v>1701</v>
      </c>
      <c r="P65" s="130" t="s">
        <v>1130</v>
      </c>
      <c r="Q65" s="130" t="s">
        <v>1554</v>
      </c>
      <c r="R65" s="130"/>
      <c r="S65" s="129" t="s">
        <v>584</v>
      </c>
      <c r="T65" s="109" t="str">
        <f>A65&amp;"|"&amp;C65</f>
        <v>2026Q4|NFR-06</v>
      </c>
      <c r="U65" s="123">
        <v>46303</v>
      </c>
      <c r="V65" s="129"/>
      <c r="W65" s="129" t="s">
        <v>1654</v>
      </c>
      <c r="X65" s="123"/>
      <c r="Y65" s="129" t="s">
        <v>1651</v>
      </c>
      <c r="Z65" s="129" t="s">
        <v>764</v>
      </c>
      <c r="AA65" s="130" t="s">
        <v>1140</v>
      </c>
      <c r="AB65" s="109"/>
      <c r="AC65" s="129" t="s">
        <v>776</v>
      </c>
      <c r="AD65" s="109"/>
      <c r="AE65" s="130"/>
      <c r="AF65" s="109" t="str">
        <f>IF(AND(A65=cicloCorrente,Z65="Osservazione"),N(J65)*100000+1-ROW()/1000000,"")</f>
        <v/>
      </c>
    </row>
    <row r="66" spans="1:32" ht="189.45" x14ac:dyDescent="0.4">
      <c r="A66" s="129" t="s">
        <v>1651</v>
      </c>
      <c r="B66" s="123">
        <v>46387</v>
      </c>
      <c r="C66" s="129" t="s">
        <v>587</v>
      </c>
      <c r="D66" s="129" t="s">
        <v>588</v>
      </c>
      <c r="E66" s="129" t="s">
        <v>474</v>
      </c>
      <c r="F66" s="129" t="s">
        <v>589</v>
      </c>
      <c r="G66" s="109">
        <v>4</v>
      </c>
      <c r="H66" s="109">
        <v>5</v>
      </c>
      <c r="I66" s="109">
        <v>3</v>
      </c>
      <c r="J66" s="124">
        <f>IF(COUNT(G66,I66,K66)&lt;3,"",ROUND((pesoImpatto*G66+pesoProbabilita*K66+pesoProssimita*I66+IF(ISNUMBER(H66),pesoVelocity*H66,0))/(pesoImpatto+pesoProbabilita+pesoProssimita+IF(ISNUMBER(H66),pesoVelocity,0)),2))</f>
        <v>3.75</v>
      </c>
      <c r="K66" s="109">
        <v>3</v>
      </c>
      <c r="L66" s="109"/>
      <c r="M66" s="129" t="s">
        <v>1127</v>
      </c>
      <c r="N66" s="130" t="s">
        <v>1149</v>
      </c>
      <c r="O66" s="130" t="s">
        <v>1702</v>
      </c>
      <c r="P66" s="130" t="s">
        <v>1130</v>
      </c>
      <c r="Q66" s="130" t="s">
        <v>1557</v>
      </c>
      <c r="R66" s="130"/>
      <c r="S66" s="129" t="s">
        <v>563</v>
      </c>
      <c r="T66" s="109" t="str">
        <f>A66&amp;"|"&amp;C66</f>
        <v>2026Q4|NFR-07</v>
      </c>
      <c r="U66" s="123">
        <v>46303</v>
      </c>
      <c r="V66" s="129"/>
      <c r="W66" s="129" t="s">
        <v>1654</v>
      </c>
      <c r="X66" s="123"/>
      <c r="Y66" s="129" t="s">
        <v>1651</v>
      </c>
      <c r="Z66" s="129" t="s">
        <v>764</v>
      </c>
      <c r="AA66" s="130" t="s">
        <v>1152</v>
      </c>
      <c r="AB66" s="109"/>
      <c r="AC66" s="129" t="s">
        <v>776</v>
      </c>
      <c r="AD66" s="109"/>
      <c r="AE66" s="130"/>
      <c r="AF66" s="109" t="str">
        <f>IF(AND(A66=cicloCorrente,Z66="Osservazione"),N(J66)*100000+1-ROW()/1000000,"")</f>
        <v/>
      </c>
    </row>
    <row r="67" spans="1:32" ht="174.9" x14ac:dyDescent="0.4">
      <c r="A67" s="129" t="s">
        <v>1651</v>
      </c>
      <c r="B67" s="123">
        <v>46387</v>
      </c>
      <c r="C67" s="129" t="s">
        <v>591</v>
      </c>
      <c r="D67" s="129" t="s">
        <v>592</v>
      </c>
      <c r="E67" s="129" t="s">
        <v>469</v>
      </c>
      <c r="F67" s="129" t="s">
        <v>593</v>
      </c>
      <c r="G67" s="109">
        <v>3</v>
      </c>
      <c r="H67" s="109">
        <v>3</v>
      </c>
      <c r="I67" s="109">
        <v>3</v>
      </c>
      <c r="J67" s="124">
        <f>IF(COUNT(G67,I67,K67)&lt;3,"",ROUND((pesoImpatto*G67+pesoProbabilita*K67+pesoProssimita*I67+IF(ISNUMBER(H67),pesoVelocity*H67,0))/(pesoImpatto+pesoProbabilita+pesoProssimita+IF(ISNUMBER(H67),pesoVelocity,0)),2))</f>
        <v>2.75</v>
      </c>
      <c r="K67" s="109">
        <v>2</v>
      </c>
      <c r="L67" s="109"/>
      <c r="M67" s="129" t="s">
        <v>1127</v>
      </c>
      <c r="N67" s="130" t="s">
        <v>1153</v>
      </c>
      <c r="O67" s="130" t="s">
        <v>1703</v>
      </c>
      <c r="P67" s="130" t="s">
        <v>1130</v>
      </c>
      <c r="Q67" s="130" t="s">
        <v>1203</v>
      </c>
      <c r="R67" s="130"/>
      <c r="S67" s="129" t="s">
        <v>584</v>
      </c>
      <c r="T67" s="109" t="str">
        <f>A67&amp;"|"&amp;C67</f>
        <v>2026Q4|NFR-08</v>
      </c>
      <c r="U67" s="123">
        <v>46303</v>
      </c>
      <c r="V67" s="129"/>
      <c r="W67" s="129" t="s">
        <v>1654</v>
      </c>
      <c r="X67" s="123"/>
      <c r="Y67" s="129" t="s">
        <v>1651</v>
      </c>
      <c r="Z67" s="129" t="s">
        <v>764</v>
      </c>
      <c r="AA67" s="130" t="s">
        <v>1156</v>
      </c>
      <c r="AB67" s="109"/>
      <c r="AC67" s="129" t="s">
        <v>776</v>
      </c>
      <c r="AD67" s="109"/>
      <c r="AE67" s="130"/>
      <c r="AF67" s="109" t="str">
        <f>IF(AND(A67=cicloCorrente,Z67="Osservazione"),N(J67)*100000+1-ROW()/1000000,"")</f>
        <v/>
      </c>
    </row>
    <row r="68" spans="1:32" ht="189.45" x14ac:dyDescent="0.4">
      <c r="A68" s="129" t="s">
        <v>1651</v>
      </c>
      <c r="B68" s="123">
        <v>46387</v>
      </c>
      <c r="C68" s="129" t="s">
        <v>595</v>
      </c>
      <c r="D68" s="129" t="s">
        <v>596</v>
      </c>
      <c r="E68" s="129" t="s">
        <v>463</v>
      </c>
      <c r="F68" s="129" t="s">
        <v>597</v>
      </c>
      <c r="G68" s="109">
        <v>4</v>
      </c>
      <c r="H68" s="109">
        <v>3</v>
      </c>
      <c r="I68" s="109">
        <v>2</v>
      </c>
      <c r="J68" s="124">
        <f>IF(COUNT(G68,I68,K68)&lt;3,"",ROUND((pesoImpatto*G68+pesoProbabilita*K68+pesoProssimita*I68+IF(ISNUMBER(H68),pesoVelocity*H68,0))/(pesoImpatto+pesoProbabilita+pesoProssimita+IF(ISNUMBER(H68),pesoVelocity,0)),2))</f>
        <v>2.9</v>
      </c>
      <c r="K68" s="109">
        <v>2</v>
      </c>
      <c r="L68" s="109"/>
      <c r="M68" s="129" t="s">
        <v>1127</v>
      </c>
      <c r="N68" s="130" t="s">
        <v>1174</v>
      </c>
      <c r="O68" s="130" t="s">
        <v>1704</v>
      </c>
      <c r="P68" s="130" t="s">
        <v>1130</v>
      </c>
      <c r="Q68" s="130" t="s">
        <v>1560</v>
      </c>
      <c r="R68" s="130"/>
      <c r="S68" s="129" t="s">
        <v>569</v>
      </c>
      <c r="T68" s="109" t="str">
        <f>A68&amp;"|"&amp;C68</f>
        <v>2026Q4|NFR-09</v>
      </c>
      <c r="U68" s="123">
        <v>46303</v>
      </c>
      <c r="V68" s="129"/>
      <c r="W68" s="129" t="s">
        <v>1654</v>
      </c>
      <c r="X68" s="123"/>
      <c r="Y68" s="129" t="s">
        <v>1651</v>
      </c>
      <c r="Z68" s="129" t="s">
        <v>764</v>
      </c>
      <c r="AA68" s="130" t="s">
        <v>1177</v>
      </c>
      <c r="AB68" s="109"/>
      <c r="AC68" s="129" t="s">
        <v>776</v>
      </c>
      <c r="AD68" s="109"/>
      <c r="AE68" s="130"/>
      <c r="AF68" s="109" t="str">
        <f>IF(AND(A68=cicloCorrente,Z68="Osservazione"),N(J68)*100000+1-ROW()/1000000,"")</f>
        <v/>
      </c>
    </row>
    <row r="69" spans="1:32" ht="204" x14ac:dyDescent="0.4">
      <c r="A69" s="129" t="s">
        <v>1651</v>
      </c>
      <c r="B69" s="123">
        <v>46387</v>
      </c>
      <c r="C69" s="129" t="s">
        <v>598</v>
      </c>
      <c r="D69" s="129" t="s">
        <v>599</v>
      </c>
      <c r="E69" s="129" t="s">
        <v>461</v>
      </c>
      <c r="F69" s="129" t="s">
        <v>600</v>
      </c>
      <c r="G69" s="109">
        <v>3</v>
      </c>
      <c r="H69" s="109">
        <v>3</v>
      </c>
      <c r="I69" s="109">
        <v>3</v>
      </c>
      <c r="J69" s="124">
        <f>IF(COUNT(G69,I69,K69)&lt;3,"",ROUND((pesoImpatto*G69+pesoProbabilita*K69+pesoProssimita*I69+IF(ISNUMBER(H69),pesoVelocity*H69,0))/(pesoImpatto+pesoProbabilita+pesoProssimita+IF(ISNUMBER(H69),pesoVelocity,0)),2))</f>
        <v>3</v>
      </c>
      <c r="K69" s="109">
        <v>3</v>
      </c>
      <c r="L69" s="109"/>
      <c r="M69" s="129" t="s">
        <v>1127</v>
      </c>
      <c r="N69" s="130" t="s">
        <v>1178</v>
      </c>
      <c r="O69" s="130" t="s">
        <v>1705</v>
      </c>
      <c r="P69" s="130" t="s">
        <v>1130</v>
      </c>
      <c r="Q69" s="130" t="s">
        <v>1562</v>
      </c>
      <c r="R69" s="130"/>
      <c r="S69" s="129" t="s">
        <v>601</v>
      </c>
      <c r="T69" s="109" t="str">
        <f>A69&amp;"|"&amp;C69</f>
        <v>2026Q4|NFR-10</v>
      </c>
      <c r="U69" s="123">
        <v>46303</v>
      </c>
      <c r="V69" s="129"/>
      <c r="W69" s="129" t="s">
        <v>1654</v>
      </c>
      <c r="X69" s="123"/>
      <c r="Y69" s="129" t="s">
        <v>1651</v>
      </c>
      <c r="Z69" s="129" t="s">
        <v>764</v>
      </c>
      <c r="AA69" s="130" t="s">
        <v>1140</v>
      </c>
      <c r="AB69" s="109"/>
      <c r="AC69" s="129" t="s">
        <v>776</v>
      </c>
      <c r="AD69" s="109"/>
      <c r="AE69" s="130"/>
      <c r="AF69" s="109" t="str">
        <f>IF(AND(A69=cicloCorrente,Z69="Osservazione"),N(J69)*100000+1-ROW()/1000000,"")</f>
        <v/>
      </c>
    </row>
    <row r="70" spans="1:32" ht="218.6" x14ac:dyDescent="0.4">
      <c r="A70" s="129" t="s">
        <v>1651</v>
      </c>
      <c r="B70" s="123">
        <v>46387</v>
      </c>
      <c r="C70" s="129" t="s">
        <v>604</v>
      </c>
      <c r="D70" s="129" t="s">
        <v>605</v>
      </c>
      <c r="E70" s="129" t="s">
        <v>467</v>
      </c>
      <c r="F70" s="129" t="s">
        <v>578</v>
      </c>
      <c r="G70" s="109">
        <v>3</v>
      </c>
      <c r="H70" s="109">
        <v>2</v>
      </c>
      <c r="I70" s="109">
        <v>3</v>
      </c>
      <c r="J70" s="124">
        <f>IF(COUNT(G70,I70,K70)&lt;3,"",ROUND((pesoImpatto*G70+pesoProbabilita*K70+pesoProssimita*I70+IF(ISNUMBER(H70),pesoVelocity*H70,0))/(pesoImpatto+pesoProbabilita+pesoProssimita+IF(ISNUMBER(H70),pesoVelocity,0)),2))</f>
        <v>2.8</v>
      </c>
      <c r="K70" s="109">
        <v>3</v>
      </c>
      <c r="L70" s="109">
        <v>3</v>
      </c>
      <c r="M70" s="129" t="s">
        <v>1127</v>
      </c>
      <c r="N70" s="130" t="s">
        <v>1157</v>
      </c>
      <c r="O70" s="130" t="s">
        <v>1706</v>
      </c>
      <c r="P70" s="130" t="s">
        <v>1130</v>
      </c>
      <c r="Q70" s="130" t="s">
        <v>1564</v>
      </c>
      <c r="R70" s="130"/>
      <c r="S70" s="129" t="s">
        <v>606</v>
      </c>
      <c r="T70" s="109" t="str">
        <f>A70&amp;"|"&amp;C70</f>
        <v>2026Q4|NFR-11</v>
      </c>
      <c r="U70" s="123">
        <v>46303</v>
      </c>
      <c r="V70" s="129"/>
      <c r="W70" s="129" t="s">
        <v>1654</v>
      </c>
      <c r="X70" s="123"/>
      <c r="Y70" s="129" t="s">
        <v>1651</v>
      </c>
      <c r="Z70" s="129" t="s">
        <v>764</v>
      </c>
      <c r="AA70" s="130" t="s">
        <v>1160</v>
      </c>
      <c r="AB70" s="109"/>
      <c r="AC70" s="129" t="s">
        <v>776</v>
      </c>
      <c r="AD70" s="109"/>
      <c r="AE70" s="130"/>
      <c r="AF70" s="109" t="str">
        <f>IF(AND(A70=cicloCorrente,Z70="Osservazione"),N(J70)*100000+1-ROW()/1000000,"")</f>
        <v/>
      </c>
    </row>
    <row r="71" spans="1:32" ht="204" x14ac:dyDescent="0.4">
      <c r="A71" s="129" t="s">
        <v>1651</v>
      </c>
      <c r="B71" s="123">
        <v>46387</v>
      </c>
      <c r="C71" s="129" t="s">
        <v>611</v>
      </c>
      <c r="D71" s="129" t="s">
        <v>612</v>
      </c>
      <c r="E71" s="129" t="s">
        <v>478</v>
      </c>
      <c r="F71" s="129" t="s">
        <v>578</v>
      </c>
      <c r="G71" s="109">
        <v>3</v>
      </c>
      <c r="H71" s="109">
        <v>4</v>
      </c>
      <c r="I71" s="109">
        <v>4</v>
      </c>
      <c r="J71" s="124">
        <f>IF(COUNT(G71,I71,K71)&lt;3,"",ROUND((pesoImpatto*G71+pesoProbabilita*K71+pesoProssimita*I71+IF(ISNUMBER(H71),pesoVelocity*H71,0))/(pesoImpatto+pesoProbabilita+pesoProssimita+IF(ISNUMBER(H71),pesoVelocity,0)),2))</f>
        <v>3.65</v>
      </c>
      <c r="K71" s="109">
        <v>4</v>
      </c>
      <c r="L71" s="109"/>
      <c r="M71" s="129" t="s">
        <v>1127</v>
      </c>
      <c r="N71" s="130" t="s">
        <v>1161</v>
      </c>
      <c r="O71" s="130" t="s">
        <v>1707</v>
      </c>
      <c r="P71" s="130" t="s">
        <v>1130</v>
      </c>
      <c r="Q71" s="130" t="s">
        <v>1566</v>
      </c>
      <c r="R71" s="130"/>
      <c r="S71" s="129" t="s">
        <v>579</v>
      </c>
      <c r="T71" s="109" t="str">
        <f>A71&amp;"|"&amp;C71</f>
        <v>2026Q4|NFR-12</v>
      </c>
      <c r="U71" s="123">
        <v>46303</v>
      </c>
      <c r="V71" s="129"/>
      <c r="W71" s="129" t="s">
        <v>1654</v>
      </c>
      <c r="X71" s="123"/>
      <c r="Y71" s="129" t="s">
        <v>1651</v>
      </c>
      <c r="Z71" s="129" t="s">
        <v>764</v>
      </c>
      <c r="AA71" s="130" t="s">
        <v>1207</v>
      </c>
      <c r="AB71" s="109"/>
      <c r="AC71" s="129" t="s">
        <v>776</v>
      </c>
      <c r="AD71" s="109"/>
      <c r="AE71" s="130"/>
      <c r="AF71" s="109" t="str">
        <f>IF(AND(A71=cicloCorrente,Z71="Osservazione"),N(J71)*100000+1-ROW()/1000000,"")</f>
        <v/>
      </c>
    </row>
    <row r="72" spans="1:32" ht="262.3" x14ac:dyDescent="0.4">
      <c r="A72" s="129" t="s">
        <v>1651</v>
      </c>
      <c r="B72" s="123">
        <v>46387</v>
      </c>
      <c r="C72" s="129" t="s">
        <v>1567</v>
      </c>
      <c r="D72" s="129" t="s">
        <v>1568</v>
      </c>
      <c r="E72" s="129" t="s">
        <v>476</v>
      </c>
      <c r="F72" s="129" t="s">
        <v>1569</v>
      </c>
      <c r="G72" s="109">
        <v>3</v>
      </c>
      <c r="H72" s="109">
        <v>3</v>
      </c>
      <c r="I72" s="109">
        <v>2</v>
      </c>
      <c r="J72" s="124">
        <f>IF(COUNT(G72,I72,K72)&lt;3,"",ROUND((pesoImpatto*G72+pesoProbabilita*K72+pesoProssimita*I72+IF(ISNUMBER(H72),pesoVelocity*H72,0))/(pesoImpatto+pesoProbabilita+pesoProssimita+IF(ISNUMBER(H72),pesoVelocity,0)),2))</f>
        <v>2.8</v>
      </c>
      <c r="K72" s="109">
        <v>3</v>
      </c>
      <c r="L72" s="109"/>
      <c r="M72" s="129" t="s">
        <v>721</v>
      </c>
      <c r="N72" s="130" t="s">
        <v>1708</v>
      </c>
      <c r="O72" s="130" t="s">
        <v>1709</v>
      </c>
      <c r="P72" s="130" t="s">
        <v>1710</v>
      </c>
      <c r="Q72" s="130" t="s">
        <v>1711</v>
      </c>
      <c r="R72" s="130"/>
      <c r="S72" s="129" t="s">
        <v>1573</v>
      </c>
      <c r="T72" s="109" t="str">
        <f>A72&amp;"|"&amp;C72</f>
        <v>2026Q4|NFR-16</v>
      </c>
      <c r="U72" s="123">
        <v>46303</v>
      </c>
      <c r="V72" s="129"/>
      <c r="W72" s="129" t="s">
        <v>1654</v>
      </c>
      <c r="X72" s="123"/>
      <c r="Y72" s="129" t="s">
        <v>1651</v>
      </c>
      <c r="Z72" s="129" t="s">
        <v>764</v>
      </c>
      <c r="AA72" s="130" t="s">
        <v>1144</v>
      </c>
      <c r="AB72" s="129" t="s">
        <v>1712</v>
      </c>
      <c r="AC72" s="129" t="s">
        <v>776</v>
      </c>
      <c r="AD72" s="109"/>
      <c r="AE72" s="130"/>
      <c r="AF72" s="109" t="str">
        <f>IF(AND(A72=cicloCorrente,Z72="Osservazione"),N(J72)*100000+1-ROW()/1000000,"")</f>
        <v/>
      </c>
    </row>
    <row r="73" spans="1:32" ht="189.45" x14ac:dyDescent="0.4">
      <c r="A73" s="129" t="s">
        <v>1651</v>
      </c>
      <c r="B73" s="123">
        <v>46387</v>
      </c>
      <c r="C73" s="129" t="s">
        <v>1190</v>
      </c>
      <c r="D73" s="129" t="s">
        <v>1191</v>
      </c>
      <c r="E73" s="129" t="s">
        <v>467</v>
      </c>
      <c r="F73" s="129" t="s">
        <v>1192</v>
      </c>
      <c r="G73" s="109">
        <v>4</v>
      </c>
      <c r="H73" s="109">
        <v>4</v>
      </c>
      <c r="I73" s="109">
        <v>1</v>
      </c>
      <c r="J73" s="124">
        <f>IF(COUNT(G73,I73,K73)&lt;3,"",ROUND((pesoImpatto*G73+pesoProbabilita*K73+pesoProssimita*I73+IF(ISNUMBER(H73),pesoVelocity*H73,0))/(pesoImpatto+pesoProbabilita+pesoProssimita+IF(ISNUMBER(H73),pesoVelocity,0)),2))</f>
        <v>3.15</v>
      </c>
      <c r="K73" s="109">
        <v>3</v>
      </c>
      <c r="L73" s="109"/>
      <c r="M73" s="129" t="s">
        <v>721</v>
      </c>
      <c r="N73" s="130" t="s">
        <v>1193</v>
      </c>
      <c r="O73" s="130" t="s">
        <v>1713</v>
      </c>
      <c r="P73" s="130" t="s">
        <v>1714</v>
      </c>
      <c r="Q73" s="130" t="s">
        <v>1715</v>
      </c>
      <c r="R73" s="130"/>
      <c r="S73" s="129" t="s">
        <v>1573</v>
      </c>
      <c r="T73" s="109" t="str">
        <f>A73&amp;"|"&amp;C73</f>
        <v>2026Q4|NFR-14</v>
      </c>
      <c r="U73" s="123">
        <v>46303</v>
      </c>
      <c r="V73" s="129"/>
      <c r="W73" s="129" t="s">
        <v>1654</v>
      </c>
      <c r="X73" s="123"/>
      <c r="Y73" s="129" t="s">
        <v>1651</v>
      </c>
      <c r="Z73" s="129" t="s">
        <v>102</v>
      </c>
      <c r="AA73" s="130" t="s">
        <v>1210</v>
      </c>
      <c r="AB73" s="129"/>
      <c r="AC73" s="129" t="s">
        <v>776</v>
      </c>
      <c r="AD73" s="109">
        <v>4</v>
      </c>
      <c r="AE73" s="130" t="s">
        <v>1195</v>
      </c>
      <c r="AF73" s="109">
        <f>IF(AND(A73=cicloCorrente,Z73="Osservazione"),N(J73)*100000+1-ROW()/1000000,"")</f>
        <v>315000.99992700003</v>
      </c>
    </row>
    <row r="74" spans="1:32" ht="145.75" x14ac:dyDescent="0.4">
      <c r="A74" s="129" t="s">
        <v>1651</v>
      </c>
      <c r="B74" s="123">
        <v>46387</v>
      </c>
      <c r="C74" s="129" t="s">
        <v>1182</v>
      </c>
      <c r="D74" s="129" t="s">
        <v>1183</v>
      </c>
      <c r="E74" s="129" t="s">
        <v>469</v>
      </c>
      <c r="F74" s="129" t="s">
        <v>1184</v>
      </c>
      <c r="G74" s="109">
        <v>5</v>
      </c>
      <c r="H74" s="109"/>
      <c r="I74" s="109">
        <v>1</v>
      </c>
      <c r="J74" s="124">
        <f>IF(COUNT(G74,I74,K74)&lt;3,"",ROUND((pesoImpatto*G74+pesoProbabilita*K74+pesoProssimita*I74+IF(ISNUMBER(H74),pesoVelocity*H74,0))/(pesoImpatto+pesoProbabilita+pesoProssimita+IF(ISNUMBER(H74),pesoVelocity,0)),2))</f>
        <v>2.75</v>
      </c>
      <c r="K74" s="109">
        <v>1</v>
      </c>
      <c r="L74" s="109"/>
      <c r="M74" s="129" t="s">
        <v>1127</v>
      </c>
      <c r="N74" s="130" t="s">
        <v>1185</v>
      </c>
      <c r="O74" s="130" t="s">
        <v>1716</v>
      </c>
      <c r="P74" s="130" t="s">
        <v>1130</v>
      </c>
      <c r="Q74" s="130" t="s">
        <v>1717</v>
      </c>
      <c r="R74" s="130"/>
      <c r="S74" s="129" t="s">
        <v>1573</v>
      </c>
      <c r="T74" s="109" t="str">
        <f>A74&amp;"|"&amp;C74</f>
        <v>2026Q4|NFR-13</v>
      </c>
      <c r="U74" s="123">
        <v>46303</v>
      </c>
      <c r="V74" s="129"/>
      <c r="W74" s="129" t="s">
        <v>1654</v>
      </c>
      <c r="X74" s="123"/>
      <c r="Y74" s="129" t="s">
        <v>1651</v>
      </c>
      <c r="Z74" s="129" t="s">
        <v>102</v>
      </c>
      <c r="AA74" s="130" t="s">
        <v>1188</v>
      </c>
      <c r="AB74" s="129"/>
      <c r="AC74" s="129" t="s">
        <v>776</v>
      </c>
      <c r="AD74" s="109">
        <v>8</v>
      </c>
      <c r="AE74" s="130" t="s">
        <v>1189</v>
      </c>
      <c r="AF74" s="109">
        <f>IF(AND(A74=cicloCorrente,Z74="Osservazione"),N(J74)*100000+1-ROW()/1000000,"")</f>
        <v>275000.99992600002</v>
      </c>
    </row>
    <row r="75" spans="1:32" ht="72.900000000000006" x14ac:dyDescent="0.4">
      <c r="A75" s="129" t="s">
        <v>1651</v>
      </c>
      <c r="B75" s="123">
        <v>46387</v>
      </c>
      <c r="C75" s="129" t="s">
        <v>1211</v>
      </c>
      <c r="D75" s="129" t="s">
        <v>1212</v>
      </c>
      <c r="E75" s="129" t="s">
        <v>463</v>
      </c>
      <c r="F75" s="129" t="s">
        <v>600</v>
      </c>
      <c r="G75" s="109">
        <v>3</v>
      </c>
      <c r="H75" s="109"/>
      <c r="I75" s="109">
        <v>2</v>
      </c>
      <c r="J75" s="124">
        <f>IF(COUNT(G75,I75,K75)&lt;3,"",ROUND((pesoImpatto*G75+pesoProbabilita*K75+pesoProssimita*I75+IF(ISNUMBER(H75),pesoVelocity*H75,0))/(pesoImpatto+pesoProbabilita+pesoProssimita+IF(ISNUMBER(H75),pesoVelocity,0)),2))</f>
        <v>2.13</v>
      </c>
      <c r="K75" s="109">
        <v>1</v>
      </c>
      <c r="L75" s="109"/>
      <c r="M75" s="129" t="s">
        <v>1127</v>
      </c>
      <c r="N75" s="130" t="s">
        <v>1213</v>
      </c>
      <c r="O75" s="130" t="s">
        <v>1214</v>
      </c>
      <c r="P75" s="130" t="s">
        <v>1130</v>
      </c>
      <c r="Q75" s="130" t="s">
        <v>1215</v>
      </c>
      <c r="R75" s="130"/>
      <c r="S75" s="129" t="s">
        <v>601</v>
      </c>
      <c r="T75" s="109" t="str">
        <f>A75&amp;"|"&amp;C75</f>
        <v>2026Q4|NFR-15</v>
      </c>
      <c r="U75" s="123">
        <v>46303</v>
      </c>
      <c r="V75" s="129" t="s">
        <v>749</v>
      </c>
      <c r="W75" s="129" t="s">
        <v>753</v>
      </c>
      <c r="X75" s="123">
        <v>46218</v>
      </c>
      <c r="Y75" s="129" t="s">
        <v>608</v>
      </c>
      <c r="Z75" s="129" t="s">
        <v>102</v>
      </c>
      <c r="AA75" s="130" t="s">
        <v>1216</v>
      </c>
      <c r="AB75" s="129"/>
      <c r="AC75" s="129" t="s">
        <v>776</v>
      </c>
      <c r="AD75" s="109">
        <v>4</v>
      </c>
      <c r="AE75" s="130" t="s">
        <v>1217</v>
      </c>
      <c r="AF75" s="109">
        <f>IF(AND(A75=cicloCorrente,Z75="Osservazione"),N(J75)*100000+1-ROW()/1000000,"")</f>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5" t="str">
        <f>"Horizon Scan NFR — Azioni — azioni di mitigazione proposte e loro stato   ·   "&amp;etichettaCiclo</f>
        <v>Horizon Scan NFR — Azioni — azioni di mitigazione proposte e loro stato   ·   Ciclo 2026Q4 · dati al 31/12/2026 · da validare · Uso interno</v>
      </c>
      <c r="B1" s="166"/>
      <c r="C1" s="166"/>
      <c r="D1" s="166"/>
      <c r="E1" s="166"/>
      <c r="F1" s="166"/>
      <c r="G1" s="166"/>
      <c r="H1" s="166"/>
      <c r="I1" s="166"/>
      <c r="J1" s="166"/>
      <c r="K1" s="166"/>
      <c r="L1" s="166"/>
    </row>
    <row r="2" spans="1:12" ht="72.55" customHeight="1" x14ac:dyDescent="0.4">
      <c r="A2" s="173" t="s">
        <v>1218</v>
      </c>
      <c r="B2" s="146"/>
      <c r="C2" s="146"/>
      <c r="D2" s="146"/>
      <c r="E2" s="146"/>
      <c r="F2" s="146"/>
      <c r="G2" s="146"/>
      <c r="H2" s="146"/>
    </row>
    <row r="3" spans="1:12" x14ac:dyDescent="0.4">
      <c r="A3" s="214" t="s">
        <v>1091</v>
      </c>
      <c r="B3" s="146"/>
      <c r="C3" s="119" t="s">
        <v>1093</v>
      </c>
      <c r="D3" s="214" t="s">
        <v>1091</v>
      </c>
      <c r="E3" s="146"/>
      <c r="F3" s="146"/>
      <c r="G3" s="119" t="s">
        <v>1092</v>
      </c>
      <c r="H3" s="118" t="s">
        <v>1091</v>
      </c>
      <c r="I3" s="216" t="s">
        <v>1094</v>
      </c>
      <c r="J3" s="146"/>
      <c r="K3" s="146"/>
      <c r="L3" s="146"/>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1651</v>
      </c>
      <c r="B33" s="129" t="s">
        <v>554</v>
      </c>
      <c r="C33" s="129" t="s">
        <v>1718</v>
      </c>
      <c r="D33" s="130" t="s">
        <v>1719</v>
      </c>
      <c r="E33" s="129" t="s">
        <v>557</v>
      </c>
      <c r="F33" s="129" t="s">
        <v>1245</v>
      </c>
      <c r="G33" s="109">
        <f>IFERROR(VALUE(LEFT(F33,FIND(" ",F33)-1)),"")</f>
        <v>3</v>
      </c>
      <c r="H33" s="130" t="s">
        <v>1720</v>
      </c>
      <c r="I33" s="129" t="s">
        <v>1721</v>
      </c>
      <c r="J33" s="123"/>
      <c r="K33" s="129"/>
      <c r="L33" s="129" t="s">
        <v>1654</v>
      </c>
    </row>
    <row r="34" spans="1:12" ht="87.45" x14ac:dyDescent="0.4">
      <c r="A34" s="129" t="s">
        <v>1651</v>
      </c>
      <c r="B34" s="129" t="s">
        <v>560</v>
      </c>
      <c r="C34" s="129" t="s">
        <v>1722</v>
      </c>
      <c r="D34" s="130" t="s">
        <v>1723</v>
      </c>
      <c r="E34" s="129" t="s">
        <v>563</v>
      </c>
      <c r="F34" s="129" t="s">
        <v>1245</v>
      </c>
      <c r="G34" s="109">
        <f>IFERROR(VALUE(LEFT(F34,FIND(" ",F34)-1)),"")</f>
        <v>3</v>
      </c>
      <c r="H34" s="130" t="s">
        <v>1724</v>
      </c>
      <c r="I34" s="129" t="s">
        <v>1721</v>
      </c>
      <c r="J34" s="123"/>
      <c r="K34" s="129"/>
      <c r="L34" s="129" t="s">
        <v>1654</v>
      </c>
    </row>
    <row r="35" spans="1:12" ht="72.900000000000006" x14ac:dyDescent="0.4">
      <c r="A35" s="129" t="s">
        <v>1651</v>
      </c>
      <c r="B35" s="129" t="s">
        <v>566</v>
      </c>
      <c r="C35" s="129" t="s">
        <v>1725</v>
      </c>
      <c r="D35" s="130" t="s">
        <v>1726</v>
      </c>
      <c r="E35" s="129" t="s">
        <v>569</v>
      </c>
      <c r="F35" s="129" t="s">
        <v>1245</v>
      </c>
      <c r="G35" s="109">
        <f>IFERROR(VALUE(LEFT(F35,FIND(" ",F35)-1)),"")</f>
        <v>3</v>
      </c>
      <c r="H35" s="130" t="s">
        <v>1727</v>
      </c>
      <c r="I35" s="129" t="s">
        <v>1721</v>
      </c>
      <c r="J35" s="123"/>
      <c r="K35" s="129"/>
      <c r="L35" s="129" t="s">
        <v>1654</v>
      </c>
    </row>
    <row r="36" spans="1:12" ht="87.45" x14ac:dyDescent="0.4">
      <c r="A36" s="129" t="s">
        <v>1651</v>
      </c>
      <c r="B36" s="129" t="s">
        <v>572</v>
      </c>
      <c r="C36" s="129" t="s">
        <v>1728</v>
      </c>
      <c r="D36" s="130" t="s">
        <v>1729</v>
      </c>
      <c r="E36" s="129" t="s">
        <v>575</v>
      </c>
      <c r="F36" s="129" t="s">
        <v>797</v>
      </c>
      <c r="G36" s="109">
        <f>IFERROR(VALUE(LEFT(F36,FIND(" ",F36)-1)),"")</f>
        <v>6</v>
      </c>
      <c r="H36" s="130" t="s">
        <v>1730</v>
      </c>
      <c r="I36" s="129" t="s">
        <v>1721</v>
      </c>
      <c r="J36" s="123"/>
      <c r="K36" s="129"/>
      <c r="L36" s="129" t="s">
        <v>1654</v>
      </c>
    </row>
    <row r="37" spans="1:12" ht="87.45" x14ac:dyDescent="0.4">
      <c r="A37" s="129" t="s">
        <v>1651</v>
      </c>
      <c r="B37" s="129" t="s">
        <v>576</v>
      </c>
      <c r="C37" s="129" t="s">
        <v>1731</v>
      </c>
      <c r="D37" s="130" t="s">
        <v>1732</v>
      </c>
      <c r="E37" s="129" t="s">
        <v>579</v>
      </c>
      <c r="F37" s="129" t="s">
        <v>1245</v>
      </c>
      <c r="G37" s="109">
        <f>IFERROR(VALUE(LEFT(F37,FIND(" ",F37)-1)),"")</f>
        <v>3</v>
      </c>
      <c r="H37" s="130" t="s">
        <v>1733</v>
      </c>
      <c r="I37" s="129" t="s">
        <v>1721</v>
      </c>
      <c r="J37" s="123"/>
      <c r="K37" s="129"/>
      <c r="L37" s="129" t="s">
        <v>1654</v>
      </c>
    </row>
    <row r="38" spans="1:12" ht="72.900000000000006" x14ac:dyDescent="0.4">
      <c r="A38" s="129" t="s">
        <v>1651</v>
      </c>
      <c r="B38" s="129" t="s">
        <v>581</v>
      </c>
      <c r="C38" s="129" t="s">
        <v>1734</v>
      </c>
      <c r="D38" s="130" t="s">
        <v>1735</v>
      </c>
      <c r="E38" s="129" t="s">
        <v>1599</v>
      </c>
      <c r="F38" s="129" t="s">
        <v>797</v>
      </c>
      <c r="G38" s="109">
        <f>IFERROR(VALUE(LEFT(F38,FIND(" ",F38)-1)),"")</f>
        <v>6</v>
      </c>
      <c r="H38" s="130" t="s">
        <v>1736</v>
      </c>
      <c r="I38" s="129" t="s">
        <v>1721</v>
      </c>
      <c r="J38" s="123"/>
      <c r="K38" s="129"/>
      <c r="L38" s="129" t="s">
        <v>1654</v>
      </c>
    </row>
    <row r="39" spans="1:12" ht="87.45" x14ac:dyDescent="0.4">
      <c r="A39" s="129" t="s">
        <v>1651</v>
      </c>
      <c r="B39" s="129" t="s">
        <v>587</v>
      </c>
      <c r="C39" s="129" t="s">
        <v>1737</v>
      </c>
      <c r="D39" s="130" t="s">
        <v>1738</v>
      </c>
      <c r="E39" s="129" t="s">
        <v>563</v>
      </c>
      <c r="F39" s="129" t="s">
        <v>797</v>
      </c>
      <c r="G39" s="109">
        <f>IFERROR(VALUE(LEFT(F39,FIND(" ",F39)-1)),"")</f>
        <v>6</v>
      </c>
      <c r="H39" s="130" t="s">
        <v>1739</v>
      </c>
      <c r="I39" s="129" t="s">
        <v>1721</v>
      </c>
      <c r="J39" s="123"/>
      <c r="K39" s="129"/>
      <c r="L39" s="129" t="s">
        <v>1654</v>
      </c>
    </row>
    <row r="40" spans="1:12" ht="72.900000000000006" x14ac:dyDescent="0.4">
      <c r="A40" s="129" t="s">
        <v>1651</v>
      </c>
      <c r="B40" s="129" t="s">
        <v>591</v>
      </c>
      <c r="C40" s="129" t="s">
        <v>1740</v>
      </c>
      <c r="D40" s="130" t="s">
        <v>1741</v>
      </c>
      <c r="E40" s="129" t="s">
        <v>584</v>
      </c>
      <c r="F40" s="129" t="s">
        <v>1245</v>
      </c>
      <c r="G40" s="109">
        <f>IFERROR(VALUE(LEFT(F40,FIND(" ",F40)-1)),"")</f>
        <v>3</v>
      </c>
      <c r="H40" s="130" t="s">
        <v>1742</v>
      </c>
      <c r="I40" s="129" t="s">
        <v>1721</v>
      </c>
      <c r="J40" s="123"/>
      <c r="K40" s="129"/>
      <c r="L40" s="129" t="s">
        <v>1654</v>
      </c>
    </row>
    <row r="41" spans="1:12" ht="87.45" x14ac:dyDescent="0.4">
      <c r="A41" s="129" t="s">
        <v>1651</v>
      </c>
      <c r="B41" s="129" t="s">
        <v>595</v>
      </c>
      <c r="C41" s="129" t="s">
        <v>1743</v>
      </c>
      <c r="D41" s="130" t="s">
        <v>1744</v>
      </c>
      <c r="E41" s="129" t="s">
        <v>569</v>
      </c>
      <c r="F41" s="129" t="s">
        <v>1235</v>
      </c>
      <c r="G41" s="109">
        <f>IFERROR(VALUE(LEFT(F41,FIND(" ",F41)-1)),"")</f>
        <v>12</v>
      </c>
      <c r="H41" s="130" t="s">
        <v>1745</v>
      </c>
      <c r="I41" s="129" t="s">
        <v>1721</v>
      </c>
      <c r="J41" s="123"/>
      <c r="K41" s="129"/>
      <c r="L41" s="129" t="s">
        <v>1654</v>
      </c>
    </row>
    <row r="42" spans="1:12" ht="72.900000000000006" x14ac:dyDescent="0.4">
      <c r="A42" s="129" t="s">
        <v>1651</v>
      </c>
      <c r="B42" s="129" t="s">
        <v>598</v>
      </c>
      <c r="C42" s="129" t="s">
        <v>1746</v>
      </c>
      <c r="D42" s="130" t="s">
        <v>1747</v>
      </c>
      <c r="E42" s="129" t="s">
        <v>601</v>
      </c>
      <c r="F42" s="129" t="s">
        <v>1245</v>
      </c>
      <c r="G42" s="109">
        <f>IFERROR(VALUE(LEFT(F42,FIND(" ",F42)-1)),"")</f>
        <v>3</v>
      </c>
      <c r="H42" s="130" t="s">
        <v>1748</v>
      </c>
      <c r="I42" s="129" t="s">
        <v>1721</v>
      </c>
      <c r="J42" s="123"/>
      <c r="K42" s="129"/>
      <c r="L42" s="129" t="s">
        <v>1654</v>
      </c>
    </row>
    <row r="43" spans="1:12" ht="87.45" x14ac:dyDescent="0.4">
      <c r="A43" s="129" t="s">
        <v>1651</v>
      </c>
      <c r="B43" s="129" t="s">
        <v>604</v>
      </c>
      <c r="C43" s="129" t="s">
        <v>1749</v>
      </c>
      <c r="D43" s="130" t="s">
        <v>1750</v>
      </c>
      <c r="E43" s="129" t="s">
        <v>606</v>
      </c>
      <c r="F43" s="129" t="s">
        <v>1235</v>
      </c>
      <c r="G43" s="109">
        <f>IFERROR(VALUE(LEFT(F43,FIND(" ",F43)-1)),"")</f>
        <v>12</v>
      </c>
      <c r="H43" s="130" t="s">
        <v>1751</v>
      </c>
      <c r="I43" s="129" t="s">
        <v>1721</v>
      </c>
      <c r="J43" s="123"/>
      <c r="K43" s="129"/>
      <c r="L43" s="129" t="s">
        <v>1654</v>
      </c>
    </row>
    <row r="44" spans="1:12" ht="87.45" x14ac:dyDescent="0.4">
      <c r="A44" s="129" t="s">
        <v>1651</v>
      </c>
      <c r="B44" s="129" t="s">
        <v>611</v>
      </c>
      <c r="C44" s="129" t="s">
        <v>1752</v>
      </c>
      <c r="D44" s="130" t="s">
        <v>1753</v>
      </c>
      <c r="E44" s="129" t="s">
        <v>579</v>
      </c>
      <c r="F44" s="129" t="s">
        <v>1245</v>
      </c>
      <c r="G44" s="109">
        <f>IFERROR(VALUE(LEFT(F44,FIND(" ",F44)-1)),"")</f>
        <v>3</v>
      </c>
      <c r="H44" s="130" t="s">
        <v>1754</v>
      </c>
      <c r="I44" s="129" t="s">
        <v>1721</v>
      </c>
      <c r="J44" s="123"/>
      <c r="K44" s="129"/>
      <c r="L44" s="129" t="s">
        <v>1654</v>
      </c>
    </row>
    <row r="45" spans="1:12" ht="72.900000000000006" x14ac:dyDescent="0.4">
      <c r="A45" s="129" t="s">
        <v>1651</v>
      </c>
      <c r="B45" s="129" t="s">
        <v>1567</v>
      </c>
      <c r="C45" s="129" t="s">
        <v>1755</v>
      </c>
      <c r="D45" s="130" t="s">
        <v>1756</v>
      </c>
      <c r="E45" s="129" t="s">
        <v>1599</v>
      </c>
      <c r="F45" s="129" t="s">
        <v>797</v>
      </c>
      <c r="G45" s="109">
        <f>IFERROR(VALUE(LEFT(F45,FIND(" ",F45)-1)),"")</f>
        <v>6</v>
      </c>
      <c r="H45" s="130" t="s">
        <v>1757</v>
      </c>
      <c r="I45" s="129" t="s">
        <v>1721</v>
      </c>
      <c r="J45" s="123"/>
      <c r="K45" s="129"/>
      <c r="L45" s="129" t="s">
        <v>1654</v>
      </c>
    </row>
    <row r="46" spans="1:12" ht="58.3" x14ac:dyDescent="0.4">
      <c r="A46" s="129" t="s">
        <v>1651</v>
      </c>
      <c r="B46" s="129" t="s">
        <v>1567</v>
      </c>
      <c r="C46" s="129" t="s">
        <v>1758</v>
      </c>
      <c r="D46" s="130" t="s">
        <v>1759</v>
      </c>
      <c r="E46" s="129" t="s">
        <v>1587</v>
      </c>
      <c r="F46" s="129" t="s">
        <v>1245</v>
      </c>
      <c r="G46" s="109">
        <f>IFERROR(VALUE(LEFT(F46,FIND(" ",F46)-1)),"")</f>
        <v>3</v>
      </c>
      <c r="H46" s="130" t="s">
        <v>1760</v>
      </c>
      <c r="I46" s="129" t="s">
        <v>1721</v>
      </c>
      <c r="J46" s="123"/>
      <c r="K46" s="129"/>
      <c r="L46" s="129" t="s">
        <v>1654</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5" t="str">
        <f>"Horizon Scan NFR — KRI — storico degli indicatori, una riga per KRI per ciclo   ·   "&amp;etichettaCiclo</f>
        <v>Horizon Scan NFR — KRI — storico degli indicatori, una riga per KRI per ciclo   ·   Ciclo 2026Q4 · dati al 31/12/2026 · da validare · Uso interno</v>
      </c>
      <c r="B1" s="166"/>
      <c r="C1" s="166"/>
      <c r="D1" s="166"/>
      <c r="E1" s="166"/>
      <c r="F1" s="166"/>
      <c r="G1" s="166"/>
      <c r="H1" s="166"/>
      <c r="I1" s="166"/>
      <c r="J1" s="166"/>
      <c r="K1" s="166"/>
      <c r="L1" s="166"/>
    </row>
    <row r="2" spans="1:20" ht="86.05" customHeight="1" x14ac:dyDescent="0.4">
      <c r="A2" s="173" t="s">
        <v>1270</v>
      </c>
      <c r="B2" s="146"/>
      <c r="C2" s="146"/>
      <c r="D2" s="146"/>
      <c r="E2" s="146"/>
      <c r="F2" s="146"/>
      <c r="G2" s="146"/>
      <c r="H2" s="146"/>
      <c r="I2" s="146"/>
    </row>
    <row r="3" spans="1:20" x14ac:dyDescent="0.4">
      <c r="A3" s="118" t="s">
        <v>1091</v>
      </c>
      <c r="B3" s="119" t="s">
        <v>1093</v>
      </c>
      <c r="C3" s="214" t="s">
        <v>1091</v>
      </c>
      <c r="D3" s="146"/>
      <c r="E3" s="146"/>
      <c r="F3" s="146"/>
      <c r="G3" s="146"/>
      <c r="H3" s="146"/>
      <c r="I3" s="146"/>
      <c r="J3" s="146"/>
      <c r="K3" s="119" t="s">
        <v>1093</v>
      </c>
      <c r="L3" s="214" t="s">
        <v>1091</v>
      </c>
      <c r="M3" s="146"/>
      <c r="N3" s="119" t="s">
        <v>1092</v>
      </c>
      <c r="O3" s="215" t="s">
        <v>1093</v>
      </c>
      <c r="P3" s="146"/>
      <c r="Q3" s="214" t="s">
        <v>1091</v>
      </c>
      <c r="R3" s="146"/>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1651</v>
      </c>
      <c r="B97" s="129" t="s">
        <v>437</v>
      </c>
      <c r="C97" s="129" t="s">
        <v>554</v>
      </c>
      <c r="D97" s="130" t="s">
        <v>1290</v>
      </c>
      <c r="E97" s="129" t="s">
        <v>821</v>
      </c>
      <c r="F97" s="129" t="s">
        <v>824</v>
      </c>
      <c r="G97" s="129" t="s">
        <v>827</v>
      </c>
      <c r="H97" s="109">
        <v>3</v>
      </c>
      <c r="I97" s="109">
        <v>6</v>
      </c>
      <c r="J97" s="109">
        <v>6.4</v>
      </c>
      <c r="K97" s="123">
        <v>46387</v>
      </c>
      <c r="L97" s="129" t="s">
        <v>827</v>
      </c>
      <c r="M97" s="130" t="s">
        <v>1652</v>
      </c>
      <c r="N97" s="109" t="str">
        <f>IF(OR(H97="",I97=""),"Soglie da definire",IF(I97&lt;H97,"SOGLIE INVERTITE — correggere",IF(J97="","Non rilevato",IF(J97&gt;=I97,"Rosso",IF(J97&gt;=H97,"Ambra","Verde")))))</f>
        <v>Rosso</v>
      </c>
      <c r="O97" s="129" t="s">
        <v>558</v>
      </c>
      <c r="P97" s="129" t="s">
        <v>617</v>
      </c>
      <c r="Q97" s="129" t="s">
        <v>1651</v>
      </c>
      <c r="R97" s="130" t="s">
        <v>1653</v>
      </c>
      <c r="S97" s="109" t="str">
        <f>A97&amp;"|"&amp;B97</f>
        <v>2026Q4|NFR-01-K1</v>
      </c>
      <c r="T97" s="129" t="s">
        <v>1654</v>
      </c>
    </row>
    <row r="98" spans="1:20" ht="72.900000000000006" x14ac:dyDescent="0.4">
      <c r="A98" s="129" t="s">
        <v>1651</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IF(OR(H98="",I98=""),"Soglie da definire",IF(I98&lt;H98,"SOGLIE INVERTITE — correggere",IF(J98="","Non rilevato",IF(J98&gt;=I98,"Rosso",IF(J98&gt;=H98,"Ambra","Verde")))))</f>
        <v>Verde</v>
      </c>
      <c r="O98" s="129" t="s">
        <v>558</v>
      </c>
      <c r="P98" s="129" t="s">
        <v>617</v>
      </c>
      <c r="Q98" s="129" t="s">
        <v>1651</v>
      </c>
      <c r="R98" s="130" t="s">
        <v>1655</v>
      </c>
      <c r="S98" s="109" t="str">
        <f>A98&amp;"|"&amp;B98</f>
        <v>2026Q4|NFR-01-K3</v>
      </c>
      <c r="T98" s="129" t="s">
        <v>1654</v>
      </c>
    </row>
    <row r="99" spans="1:20" ht="72.900000000000006" x14ac:dyDescent="0.4">
      <c r="A99" s="129" t="s">
        <v>1651</v>
      </c>
      <c r="B99" s="129" t="s">
        <v>1298</v>
      </c>
      <c r="C99" s="129" t="s">
        <v>560</v>
      </c>
      <c r="D99" s="130" t="s">
        <v>1299</v>
      </c>
      <c r="E99" s="129" t="s">
        <v>1294</v>
      </c>
      <c r="F99" s="129" t="s">
        <v>1300</v>
      </c>
      <c r="G99" s="129" t="s">
        <v>1301</v>
      </c>
      <c r="H99" s="109">
        <v>60</v>
      </c>
      <c r="I99" s="109">
        <v>75</v>
      </c>
      <c r="J99" s="109">
        <v>70</v>
      </c>
      <c r="K99" s="123">
        <v>46387</v>
      </c>
      <c r="L99" s="129" t="s">
        <v>1301</v>
      </c>
      <c r="M99" s="130" t="s">
        <v>1656</v>
      </c>
      <c r="N99" s="109" t="str">
        <f>IF(OR(H99="",I99=""),"Soglie da definire",IF(I99&lt;H99,"SOGLIE INVERTITE — correggere",IF(J99="","Non rilevato",IF(J99&gt;=I99,"Rosso",IF(J99&gt;=H99,"Ambra","Verde")))))</f>
        <v>Ambra</v>
      </c>
      <c r="O99" s="129" t="s">
        <v>558</v>
      </c>
      <c r="P99" s="129" t="s">
        <v>617</v>
      </c>
      <c r="Q99" s="129" t="s">
        <v>1651</v>
      </c>
      <c r="R99" s="130" t="s">
        <v>1657</v>
      </c>
      <c r="S99" s="109" t="str">
        <f>A99&amp;"|"&amp;B99</f>
        <v>2026Q4|NFR-02-K1</v>
      </c>
      <c r="T99" s="129" t="s">
        <v>1654</v>
      </c>
    </row>
    <row r="100" spans="1:20" ht="43.75" x14ac:dyDescent="0.4">
      <c r="A100" s="129" t="s">
        <v>1651</v>
      </c>
      <c r="B100" s="129" t="s">
        <v>1308</v>
      </c>
      <c r="C100" s="129" t="s">
        <v>566</v>
      </c>
      <c r="D100" s="130" t="s">
        <v>1309</v>
      </c>
      <c r="E100" s="129" t="s">
        <v>821</v>
      </c>
      <c r="F100" s="129" t="s">
        <v>1310</v>
      </c>
      <c r="G100" s="129" t="s">
        <v>1311</v>
      </c>
      <c r="H100" s="109">
        <v>1.5</v>
      </c>
      <c r="I100" s="109">
        <v>3</v>
      </c>
      <c r="J100" s="109">
        <v>1.7</v>
      </c>
      <c r="K100" s="123">
        <v>46387</v>
      </c>
      <c r="L100" s="129" t="s">
        <v>1311</v>
      </c>
      <c r="M100" s="130" t="s">
        <v>1656</v>
      </c>
      <c r="N100" s="109" t="str">
        <f>IF(OR(H100="",I100=""),"Soglie da definire",IF(I100&lt;H100,"SOGLIE INVERTITE — correggere",IF(J100="","Non rilevato",IF(J100&gt;=I100,"Rosso",IF(J100&gt;=H100,"Ambra","Verde")))))</f>
        <v>Ambra</v>
      </c>
      <c r="O100" s="129" t="s">
        <v>558</v>
      </c>
      <c r="P100" s="129" t="s">
        <v>617</v>
      </c>
      <c r="Q100" s="129" t="s">
        <v>1651</v>
      </c>
      <c r="R100" s="130" t="s">
        <v>1658</v>
      </c>
      <c r="S100" s="109" t="str">
        <f>A100&amp;"|"&amp;B100</f>
        <v>2026Q4|NFR-03-K1</v>
      </c>
      <c r="T100" s="129" t="s">
        <v>1654</v>
      </c>
    </row>
    <row r="101" spans="1:20" ht="58.3" x14ac:dyDescent="0.4">
      <c r="A101" s="129" t="s">
        <v>1651</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1659</v>
      </c>
      <c r="N101" s="109" t="str">
        <f>IF(OR(H101="",I101=""),"Soglie da definire",IF(I101&lt;H101,"SOGLIE INVERTITE — correggere",IF(J101="","Non rilevato",IF(J101&gt;=I101,"Rosso",IF(J101&gt;=H101,"Ambra","Verde")))))</f>
        <v>Ambra</v>
      </c>
      <c r="O101" s="129" t="s">
        <v>558</v>
      </c>
      <c r="P101" s="129" t="s">
        <v>617</v>
      </c>
      <c r="Q101" s="129" t="s">
        <v>1651</v>
      </c>
      <c r="R101" s="130" t="s">
        <v>1660</v>
      </c>
      <c r="S101" s="109" t="str">
        <f>A101&amp;"|"&amp;B101</f>
        <v>2026Q4|NFR-03-K2</v>
      </c>
      <c r="T101" s="129" t="s">
        <v>1654</v>
      </c>
    </row>
    <row r="102" spans="1:20" ht="72.900000000000006" x14ac:dyDescent="0.4">
      <c r="A102" s="129" t="s">
        <v>1651</v>
      </c>
      <c r="B102" s="129" t="s">
        <v>1317</v>
      </c>
      <c r="C102" s="129" t="s">
        <v>572</v>
      </c>
      <c r="D102" s="130" t="s">
        <v>1318</v>
      </c>
      <c r="E102" s="129" t="s">
        <v>1294</v>
      </c>
      <c r="F102" s="129" t="s">
        <v>1305</v>
      </c>
      <c r="G102" s="129" t="s">
        <v>1319</v>
      </c>
      <c r="H102" s="109">
        <v>1</v>
      </c>
      <c r="I102" s="109">
        <v>3</v>
      </c>
      <c r="J102" s="109">
        <v>2</v>
      </c>
      <c r="K102" s="123">
        <v>46387</v>
      </c>
      <c r="L102" s="129" t="s">
        <v>1319</v>
      </c>
      <c r="M102" s="130" t="s">
        <v>1661</v>
      </c>
      <c r="N102" s="109" t="str">
        <f>IF(OR(H102="",I102=""),"Soglie da definire",IF(I102&lt;H102,"SOGLIE INVERTITE — correggere",IF(J102="","Non rilevato",IF(J102&gt;=I102,"Rosso",IF(J102&gt;=H102,"Ambra","Verde")))))</f>
        <v>Ambra</v>
      </c>
      <c r="O102" s="129" t="s">
        <v>558</v>
      </c>
      <c r="P102" s="129" t="s">
        <v>617</v>
      </c>
      <c r="Q102" s="129" t="s">
        <v>1651</v>
      </c>
      <c r="R102" s="130" t="s">
        <v>1662</v>
      </c>
      <c r="S102" s="109" t="str">
        <f>A102&amp;"|"&amp;B102</f>
        <v>2026Q4|NFR-04-K1</v>
      </c>
      <c r="T102" s="129" t="s">
        <v>1654</v>
      </c>
    </row>
    <row r="103" spans="1:20" ht="72.900000000000006" x14ac:dyDescent="0.4">
      <c r="A103" s="129" t="s">
        <v>1651</v>
      </c>
      <c r="B103" s="129" t="s">
        <v>1321</v>
      </c>
      <c r="C103" s="129" t="s">
        <v>572</v>
      </c>
      <c r="D103" s="130" t="s">
        <v>1322</v>
      </c>
      <c r="E103" s="129" t="s">
        <v>821</v>
      </c>
      <c r="F103" s="129" t="s">
        <v>1323</v>
      </c>
      <c r="G103" s="129" t="s">
        <v>1324</v>
      </c>
      <c r="H103" s="109">
        <v>2</v>
      </c>
      <c r="I103" s="109">
        <v>5</v>
      </c>
      <c r="J103" s="109">
        <v>0</v>
      </c>
      <c r="K103" s="123">
        <v>46387</v>
      </c>
      <c r="L103" s="129" t="s">
        <v>1324</v>
      </c>
      <c r="M103" s="130" t="s">
        <v>1663</v>
      </c>
      <c r="N103" s="109" t="str">
        <f>IF(OR(H103="",I103=""),"Soglie da definire",IF(I103&lt;H103,"SOGLIE INVERTITE — correggere",IF(J103="","Non rilevato",IF(J103&gt;=I103,"Rosso",IF(J103&gt;=H103,"Ambra","Verde")))))</f>
        <v>Verde</v>
      </c>
      <c r="O103" s="129" t="s">
        <v>558</v>
      </c>
      <c r="P103" s="129" t="s">
        <v>617</v>
      </c>
      <c r="Q103" s="129" t="s">
        <v>1651</v>
      </c>
      <c r="R103" s="130" t="s">
        <v>1664</v>
      </c>
      <c r="S103" s="109" t="str">
        <f>A103&amp;"|"&amp;B103</f>
        <v>2026Q4|NFR-04-K2</v>
      </c>
      <c r="T103" s="129" t="s">
        <v>1654</v>
      </c>
    </row>
    <row r="104" spans="1:20" ht="58.3" x14ac:dyDescent="0.4">
      <c r="A104" s="129" t="s">
        <v>1651</v>
      </c>
      <c r="B104" s="129" t="s">
        <v>1326</v>
      </c>
      <c r="C104" s="129" t="s">
        <v>576</v>
      </c>
      <c r="D104" s="130" t="s">
        <v>1327</v>
      </c>
      <c r="E104" s="129" t="s">
        <v>821</v>
      </c>
      <c r="F104" s="129" t="s">
        <v>1305</v>
      </c>
      <c r="G104" s="129" t="s">
        <v>1328</v>
      </c>
      <c r="H104" s="109">
        <v>3</v>
      </c>
      <c r="I104" s="109">
        <v>6</v>
      </c>
      <c r="J104" s="109">
        <v>2</v>
      </c>
      <c r="K104" s="123">
        <v>46387</v>
      </c>
      <c r="L104" s="129" t="s">
        <v>1328</v>
      </c>
      <c r="M104" s="130" t="s">
        <v>1665</v>
      </c>
      <c r="N104" s="109" t="str">
        <f>IF(OR(H104="",I104=""),"Soglie da definire",IF(I104&lt;H104,"SOGLIE INVERTITE — correggere",IF(J104="","Non rilevato",IF(J104&gt;=I104,"Rosso",IF(J104&gt;=H104,"Ambra","Verde")))))</f>
        <v>Verde</v>
      </c>
      <c r="O104" s="129" t="s">
        <v>558</v>
      </c>
      <c r="P104" s="129" t="s">
        <v>617</v>
      </c>
      <c r="Q104" s="129" t="s">
        <v>1651</v>
      </c>
      <c r="R104" s="130" t="s">
        <v>1666</v>
      </c>
      <c r="S104" s="109" t="str">
        <f>A104&amp;"|"&amp;B104</f>
        <v>2026Q4|NFR-05-K2</v>
      </c>
      <c r="T104" s="129" t="s">
        <v>1654</v>
      </c>
    </row>
    <row r="105" spans="1:20" ht="72.900000000000006" x14ac:dyDescent="0.4">
      <c r="A105" s="129" t="s">
        <v>1651</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IF(OR(H105="",I105=""),"Soglie da definire",IF(I105&lt;H105,"SOGLIE INVERTITE — correggere",IF(J105="","Non rilevato",IF(J105&gt;=I105,"Rosso",IF(J105&gt;=H105,"Ambra","Verde")))))</f>
        <v>Verde</v>
      </c>
      <c r="O105" s="129" t="s">
        <v>558</v>
      </c>
      <c r="P105" s="129" t="s">
        <v>617</v>
      </c>
      <c r="Q105" s="129" t="s">
        <v>1651</v>
      </c>
      <c r="R105" s="130" t="s">
        <v>1667</v>
      </c>
      <c r="S105" s="109" t="str">
        <f>A105&amp;"|"&amp;B105</f>
        <v>2026Q4|NFR-05-K3</v>
      </c>
      <c r="T105" s="129" t="s">
        <v>1654</v>
      </c>
    </row>
    <row r="106" spans="1:20" ht="72.900000000000006" x14ac:dyDescent="0.4">
      <c r="A106" s="129" t="s">
        <v>1651</v>
      </c>
      <c r="B106" s="129" t="s">
        <v>1366</v>
      </c>
      <c r="C106" s="129" t="s">
        <v>581</v>
      </c>
      <c r="D106" s="130" t="s">
        <v>1367</v>
      </c>
      <c r="E106" s="129" t="s">
        <v>821</v>
      </c>
      <c r="F106" s="129" t="s">
        <v>1342</v>
      </c>
      <c r="G106" s="129" t="s">
        <v>1368</v>
      </c>
      <c r="H106" s="109">
        <v>10</v>
      </c>
      <c r="I106" s="109">
        <v>30</v>
      </c>
      <c r="J106" s="109">
        <v>5</v>
      </c>
      <c r="K106" s="123">
        <v>46387</v>
      </c>
      <c r="L106" s="129" t="s">
        <v>1368</v>
      </c>
      <c r="M106" s="130" t="s">
        <v>1668</v>
      </c>
      <c r="N106" s="109" t="str">
        <f>IF(OR(H106="",I106=""),"Soglie da definire",IF(I106&lt;H106,"SOGLIE INVERTITE — correggere",IF(J106="","Non rilevato",IF(J106&gt;=I106,"Rosso",IF(J106&gt;=H106,"Ambra","Verde")))))</f>
        <v>Verde</v>
      </c>
      <c r="O106" s="129" t="s">
        <v>558</v>
      </c>
      <c r="P106" s="129" t="s">
        <v>614</v>
      </c>
      <c r="Q106" s="129" t="s">
        <v>1651</v>
      </c>
      <c r="R106" s="130" t="s">
        <v>1669</v>
      </c>
      <c r="S106" s="109" t="str">
        <f>A106&amp;"|"&amp;B106</f>
        <v>2026Q4|NFR-06-K1</v>
      </c>
      <c r="T106" s="129" t="s">
        <v>1654</v>
      </c>
    </row>
    <row r="107" spans="1:20" ht="43.75" x14ac:dyDescent="0.4">
      <c r="A107" s="129" t="s">
        <v>1651</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1665</v>
      </c>
      <c r="N107" s="109" t="str">
        <f>IF(OR(H107="",I107=""),"Soglie da definire",IF(I107&lt;H107,"SOGLIE INVERTITE — correggere",IF(J107="","Non rilevato",IF(J107&gt;=I107,"Rosso",IF(J107&gt;=H107,"Ambra","Verde")))))</f>
        <v>Verde</v>
      </c>
      <c r="O107" s="129" t="s">
        <v>558</v>
      </c>
      <c r="P107" s="129" t="s">
        <v>614</v>
      </c>
      <c r="Q107" s="129" t="s">
        <v>1651</v>
      </c>
      <c r="R107" s="130" t="s">
        <v>1670</v>
      </c>
      <c r="S107" s="109" t="str">
        <f>A107&amp;"|"&amp;B107</f>
        <v>2026Q4|NFR-06-K2</v>
      </c>
      <c r="T107" s="129" t="s">
        <v>1654</v>
      </c>
    </row>
    <row r="108" spans="1:20" ht="58.3" x14ac:dyDescent="0.4">
      <c r="A108" s="129" t="s">
        <v>1651</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IF(OR(H108="",I108=""),"Soglie da definire",IF(I108&lt;H108,"SOGLIE INVERTITE — correggere",IF(J108="","Non rilevato",IF(J108&gt;=I108,"Rosso",IF(J108&gt;=H108,"Ambra","Verde")))))</f>
        <v>Ambra</v>
      </c>
      <c r="O108" s="129" t="s">
        <v>558</v>
      </c>
      <c r="P108" s="129" t="s">
        <v>617</v>
      </c>
      <c r="Q108" s="129" t="s">
        <v>1651</v>
      </c>
      <c r="R108" s="130" t="s">
        <v>1671</v>
      </c>
      <c r="S108" s="109" t="str">
        <f>A108&amp;"|"&amp;B108</f>
        <v>2026Q4|NFR-07-K1</v>
      </c>
      <c r="T108" s="129" t="s">
        <v>1654</v>
      </c>
    </row>
    <row r="109" spans="1:20" ht="58.3" x14ac:dyDescent="0.4">
      <c r="A109" s="129" t="s">
        <v>1651</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IF(OR(H109="",I109=""),"Soglie da definire",IF(I109&lt;H109,"SOGLIE INVERTITE — correggere",IF(J109="","Non rilevato",IF(J109&gt;=I109,"Rosso",IF(J109&gt;=H109,"Ambra","Verde")))))</f>
        <v>Verde</v>
      </c>
      <c r="O109" s="129" t="s">
        <v>558</v>
      </c>
      <c r="P109" s="129" t="s">
        <v>617</v>
      </c>
      <c r="Q109" s="129" t="s">
        <v>1651</v>
      </c>
      <c r="R109" s="130" t="s">
        <v>1672</v>
      </c>
      <c r="S109" s="109" t="str">
        <f>A109&amp;"|"&amp;B109</f>
        <v>2026Q4|NFR-07-K2</v>
      </c>
      <c r="T109" s="129" t="s">
        <v>1654</v>
      </c>
    </row>
    <row r="110" spans="1:20" ht="58.3" x14ac:dyDescent="0.4">
      <c r="A110" s="129" t="s">
        <v>1651</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IF(OR(H110="",I110=""),"Soglie da definire",IF(I110&lt;H110,"SOGLIE INVERTITE — correggere",IF(J110="","Non rilevato",IF(J110&gt;=I110,"Rosso",IF(J110&gt;=H110,"Ambra","Verde")))))</f>
        <v>Verde</v>
      </c>
      <c r="O110" s="129" t="s">
        <v>558</v>
      </c>
      <c r="P110" s="129" t="s">
        <v>617</v>
      </c>
      <c r="Q110" s="129" t="s">
        <v>1651</v>
      </c>
      <c r="R110" s="130" t="s">
        <v>1673</v>
      </c>
      <c r="S110" s="109" t="str">
        <f>A110&amp;"|"&amp;B110</f>
        <v>2026Q4|NFR-08-K1</v>
      </c>
      <c r="T110" s="129" t="s">
        <v>1654</v>
      </c>
    </row>
    <row r="111" spans="1:20" ht="43.75" x14ac:dyDescent="0.4">
      <c r="A111" s="129" t="s">
        <v>1651</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IF(OR(H111="",I111=""),"Soglie da definire",IF(I111&lt;H111,"SOGLIE INVERTITE — correggere",IF(J111="","Non rilevato",IF(J111&gt;=I111,"Rosso",IF(J111&gt;=H111,"Ambra","Verde")))))</f>
        <v>Verde</v>
      </c>
      <c r="O111" s="129" t="s">
        <v>558</v>
      </c>
      <c r="P111" s="129" t="s">
        <v>617</v>
      </c>
      <c r="Q111" s="129" t="s">
        <v>1651</v>
      </c>
      <c r="R111" s="130" t="s">
        <v>1674</v>
      </c>
      <c r="S111" s="109" t="str">
        <f>A111&amp;"|"&amp;B111</f>
        <v>2026Q4|NFR-08-K2</v>
      </c>
      <c r="T111" s="129" t="s">
        <v>1654</v>
      </c>
    </row>
    <row r="112" spans="1:20" ht="58.3" x14ac:dyDescent="0.4">
      <c r="A112" s="129" t="s">
        <v>1651</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IF(OR(H112="",I112=""),"Soglie da definire",IF(I112&lt;H112,"SOGLIE INVERTITE — correggere",IF(J112="","Non rilevato",IF(J112&gt;=I112,"Rosso",IF(J112&gt;=H112,"Ambra","Verde")))))</f>
        <v>Ambra</v>
      </c>
      <c r="O112" s="129" t="s">
        <v>558</v>
      </c>
      <c r="P112" s="129" t="s">
        <v>614</v>
      </c>
      <c r="Q112" s="129" t="s">
        <v>1651</v>
      </c>
      <c r="R112" s="130" t="s">
        <v>1675</v>
      </c>
      <c r="S112" s="109" t="str">
        <f>A112&amp;"|"&amp;B112</f>
        <v>2026Q4|NFR-09-K1</v>
      </c>
      <c r="T112" s="129" t="s">
        <v>1654</v>
      </c>
    </row>
    <row r="113" spans="1:20" ht="58.3" x14ac:dyDescent="0.4">
      <c r="A113" s="129" t="s">
        <v>1651</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IF(OR(H113="",I113=""),"Soglie da definire",IF(I113&lt;H113,"SOGLIE INVERTITE — correggere",IF(J113="","Non rilevato",IF(J113&gt;=I113,"Rosso",IF(J113&gt;=H113,"Ambra","Verde")))))</f>
        <v>Ambra</v>
      </c>
      <c r="O113" s="129" t="s">
        <v>558</v>
      </c>
      <c r="P113" s="129" t="s">
        <v>614</v>
      </c>
      <c r="Q113" s="129" t="s">
        <v>1651</v>
      </c>
      <c r="R113" s="130" t="s">
        <v>1676</v>
      </c>
      <c r="S113" s="109" t="str">
        <f>A113&amp;"|"&amp;B113</f>
        <v>2026Q4|NFR-09-K2</v>
      </c>
      <c r="T113" s="129" t="s">
        <v>1654</v>
      </c>
    </row>
    <row r="114" spans="1:20" ht="43.75" x14ac:dyDescent="0.4">
      <c r="A114" s="129" t="s">
        <v>1651</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IF(OR(H114="",I114=""),"Soglie da definire",IF(I114&lt;H114,"SOGLIE INVERTITE — correggere",IF(J114="","Non rilevato",IF(J114&gt;=I114,"Rosso",IF(J114&gt;=H114,"Ambra","Verde")))))</f>
        <v>Ambra</v>
      </c>
      <c r="O114" s="129" t="s">
        <v>558</v>
      </c>
      <c r="P114" s="129" t="s">
        <v>614</v>
      </c>
      <c r="Q114" s="129" t="s">
        <v>1651</v>
      </c>
      <c r="R114" s="130" t="s">
        <v>1677</v>
      </c>
      <c r="S114" s="109" t="str">
        <f>A114&amp;"|"&amp;B114</f>
        <v>2026Q4|NFR-10-K1</v>
      </c>
      <c r="T114" s="129" t="s">
        <v>1654</v>
      </c>
    </row>
    <row r="115" spans="1:20" ht="43.75" x14ac:dyDescent="0.4">
      <c r="A115" s="129" t="s">
        <v>1651</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IF(OR(H115="",I115=""),"Soglie da definire",IF(I115&lt;H115,"SOGLIE INVERTITE — correggere",IF(J115="","Non rilevato",IF(J115&gt;=I115,"Rosso",IF(J115&gt;=H115,"Ambra","Verde")))))</f>
        <v>Ambra</v>
      </c>
      <c r="O115" s="129" t="s">
        <v>558</v>
      </c>
      <c r="P115" s="129" t="s">
        <v>614</v>
      </c>
      <c r="Q115" s="129" t="s">
        <v>1651</v>
      </c>
      <c r="R115" s="130" t="s">
        <v>1678</v>
      </c>
      <c r="S115" s="109" t="str">
        <f>A115&amp;"|"&amp;B115</f>
        <v>2026Q4|NFR-10-K3</v>
      </c>
      <c r="T115" s="129" t="s">
        <v>1654</v>
      </c>
    </row>
    <row r="116" spans="1:20" ht="58.3" x14ac:dyDescent="0.4">
      <c r="A116" s="129" t="s">
        <v>1651</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IF(OR(H116="",I116=""),"Soglie da definire",IF(I116&lt;H116,"SOGLIE INVERTITE — correggere",IF(J116="","Non rilevato",IF(J116&gt;=I116,"Rosso",IF(J116&gt;=H116,"Ambra","Verde")))))</f>
        <v>Ambra</v>
      </c>
      <c r="O116" s="129" t="s">
        <v>558</v>
      </c>
      <c r="P116" s="129" t="s">
        <v>617</v>
      </c>
      <c r="Q116" s="129" t="s">
        <v>1651</v>
      </c>
      <c r="R116" s="130" t="s">
        <v>1679</v>
      </c>
      <c r="S116" s="109" t="str">
        <f>A116&amp;"|"&amp;B116</f>
        <v>2026Q4|NFR-11-K1</v>
      </c>
      <c r="T116" s="129" t="s">
        <v>1654</v>
      </c>
    </row>
    <row r="117" spans="1:20" ht="58.3" x14ac:dyDescent="0.4">
      <c r="A117" s="129" t="s">
        <v>1651</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IF(OR(H117="",I117=""),"Soglie da definire",IF(I117&lt;H117,"SOGLIE INVERTITE — correggere",IF(J117="","Non rilevato",IF(J117&gt;=I117,"Rosso",IF(J117&gt;=H117,"Ambra","Verde")))))</f>
        <v>Rosso</v>
      </c>
      <c r="O117" s="129" t="s">
        <v>558</v>
      </c>
      <c r="P117" s="129" t="s">
        <v>617</v>
      </c>
      <c r="Q117" s="129" t="s">
        <v>1651</v>
      </c>
      <c r="R117" s="130" t="s">
        <v>1680</v>
      </c>
      <c r="S117" s="109" t="str">
        <f>A117&amp;"|"&amp;B117</f>
        <v>2026Q4|NFR-11-K2</v>
      </c>
      <c r="T117" s="129" t="s">
        <v>1654</v>
      </c>
    </row>
    <row r="118" spans="1:20" ht="58.3" x14ac:dyDescent="0.4">
      <c r="A118" s="129" t="s">
        <v>1651</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IF(OR(H118="",I118=""),"Soglie da definire",IF(I118&lt;H118,"SOGLIE INVERTITE — correggere",IF(J118="","Non rilevato",IF(J118&gt;=I118,"Rosso",IF(J118&gt;=H118,"Ambra","Verde")))))</f>
        <v>Verde</v>
      </c>
      <c r="O118" s="129" t="s">
        <v>558</v>
      </c>
      <c r="P118" s="129" t="s">
        <v>617</v>
      </c>
      <c r="Q118" s="129" t="s">
        <v>1651</v>
      </c>
      <c r="R118" s="130" t="s">
        <v>1681</v>
      </c>
      <c r="S118" s="109" t="str">
        <f>A118&amp;"|"&amp;B118</f>
        <v>2026Q4|NFR-12-K1</v>
      </c>
      <c r="T118" s="129" t="s">
        <v>1654</v>
      </c>
    </row>
    <row r="119" spans="1:20" ht="43.75" x14ac:dyDescent="0.4">
      <c r="A119" s="129" t="s">
        <v>1651</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IF(OR(H119="",I119=""),"Soglie da definire",IF(I119&lt;H119,"SOGLIE INVERTITE — correggere",IF(J119="","Non rilevato",IF(J119&gt;=I119,"Rosso",IF(J119&gt;=H119,"Ambra","Verde")))))</f>
        <v>Ambra</v>
      </c>
      <c r="O119" s="129" t="s">
        <v>558</v>
      </c>
      <c r="P119" s="129" t="s">
        <v>617</v>
      </c>
      <c r="Q119" s="129" t="s">
        <v>1651</v>
      </c>
      <c r="R119" s="130" t="s">
        <v>1682</v>
      </c>
      <c r="S119" s="109" t="str">
        <f>A119&amp;"|"&amp;B119</f>
        <v>2026Q4|NFR-12-K3</v>
      </c>
      <c r="T119" s="129" t="s">
        <v>1654</v>
      </c>
    </row>
    <row r="120" spans="1:20" ht="72.900000000000006" x14ac:dyDescent="0.4">
      <c r="A120" s="129" t="s">
        <v>1651</v>
      </c>
      <c r="B120" s="129" t="s">
        <v>1537</v>
      </c>
      <c r="C120" s="129" t="s">
        <v>560</v>
      </c>
      <c r="D120" s="130" t="s">
        <v>1538</v>
      </c>
      <c r="E120" s="129" t="s">
        <v>821</v>
      </c>
      <c r="F120" s="129" t="s">
        <v>1305</v>
      </c>
      <c r="G120" s="129" t="s">
        <v>1539</v>
      </c>
      <c r="H120" s="109">
        <v>1</v>
      </c>
      <c r="I120" s="109">
        <v>3</v>
      </c>
      <c r="J120" s="109">
        <v>0</v>
      </c>
      <c r="K120" s="123">
        <v>46387</v>
      </c>
      <c r="L120" s="129" t="s">
        <v>1512</v>
      </c>
      <c r="M120" s="130" t="s">
        <v>1683</v>
      </c>
      <c r="N120" s="109" t="str">
        <f>IF(OR(H120="",I120=""),"Soglie da definire",IF(I120&lt;H120,"SOGLIE INVERTITE — correggere",IF(J120="","Non rilevato",IF(J120&gt;=I120,"Rosso",IF(J120&gt;=H120,"Ambra","Verde")))))</f>
        <v>Verde</v>
      </c>
      <c r="O120" s="129" t="s">
        <v>558</v>
      </c>
      <c r="P120" s="129" t="s">
        <v>1505</v>
      </c>
      <c r="Q120" s="129" t="s">
        <v>1651</v>
      </c>
      <c r="R120" s="130" t="s">
        <v>1684</v>
      </c>
      <c r="S120" s="109" t="str">
        <f>A120&amp;"|"&amp;B120</f>
        <v>2026Q4|NFR-02-K3</v>
      </c>
      <c r="T120" s="129" t="s">
        <v>1654</v>
      </c>
    </row>
    <row r="121" spans="1:20" ht="43.75" x14ac:dyDescent="0.4">
      <c r="A121" s="129" t="s">
        <v>1651</v>
      </c>
      <c r="B121" s="129" t="s">
        <v>1685</v>
      </c>
      <c r="C121" s="129" t="s">
        <v>1567</v>
      </c>
      <c r="D121" s="130" t="s">
        <v>1686</v>
      </c>
      <c r="E121" s="129" t="s">
        <v>1294</v>
      </c>
      <c r="F121" s="129" t="s">
        <v>1305</v>
      </c>
      <c r="G121" s="129" t="s">
        <v>1687</v>
      </c>
      <c r="H121" s="109">
        <v>3</v>
      </c>
      <c r="I121" s="109">
        <v>6</v>
      </c>
      <c r="J121" s="109"/>
      <c r="K121" s="123"/>
      <c r="L121" s="129"/>
      <c r="M121" s="130"/>
      <c r="N121" s="109" t="str">
        <f>IF(OR(H121="",I121=""),"Soglie da definire",IF(I121&lt;H121,"SOGLIE INVERTITE — correggere",IF(J121="","Non rilevato",IF(J121&gt;=I121,"Rosso",IF(J121&gt;=H121,"Ambra","Verde")))))</f>
        <v>Non rilevato</v>
      </c>
      <c r="O121" s="129" t="s">
        <v>558</v>
      </c>
      <c r="P121" s="129" t="s">
        <v>1651</v>
      </c>
      <c r="Q121" s="129" t="s">
        <v>1651</v>
      </c>
      <c r="R121" s="130" t="s">
        <v>1688</v>
      </c>
      <c r="S121" s="109" t="str">
        <f>A121&amp;"|"&amp;B121</f>
        <v>2026Q4|NFR-16-K1</v>
      </c>
      <c r="T121" s="129" t="s">
        <v>1654</v>
      </c>
    </row>
    <row r="122" spans="1:20" ht="43.75" x14ac:dyDescent="0.4">
      <c r="A122" s="129" t="s">
        <v>1651</v>
      </c>
      <c r="B122" s="129" t="s">
        <v>1689</v>
      </c>
      <c r="C122" s="129" t="s">
        <v>1567</v>
      </c>
      <c r="D122" s="130" t="s">
        <v>1690</v>
      </c>
      <c r="E122" s="129" t="s">
        <v>821</v>
      </c>
      <c r="F122" s="129" t="s">
        <v>1300</v>
      </c>
      <c r="G122" s="129" t="s">
        <v>1691</v>
      </c>
      <c r="H122" s="109">
        <v>8</v>
      </c>
      <c r="I122" s="109">
        <v>12</v>
      </c>
      <c r="J122" s="109"/>
      <c r="K122" s="123"/>
      <c r="L122" s="129"/>
      <c r="M122" s="130"/>
      <c r="N122" s="109" t="str">
        <f>IF(OR(H122="",I122=""),"Soglie da definire",IF(I122&lt;H122,"SOGLIE INVERTITE — correggere",IF(J122="","Non rilevato",IF(J122&gt;=I122,"Rosso",IF(J122&gt;=H122,"Ambra","Verde")))))</f>
        <v>Non rilevato</v>
      </c>
      <c r="O122" s="129" t="s">
        <v>558</v>
      </c>
      <c r="P122" s="129" t="s">
        <v>1651</v>
      </c>
      <c r="Q122" s="129" t="s">
        <v>1651</v>
      </c>
      <c r="R122" s="130" t="s">
        <v>1692</v>
      </c>
      <c r="S122" s="109" t="str">
        <f>A122&amp;"|"&amp;B122</f>
        <v>2026Q4|NFR-16-K2</v>
      </c>
      <c r="T122" s="129" t="s">
        <v>1654</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5" t="str">
        <f>"Horizon Scan NFR — NewsLog — notizie valutate ogni settimana   ·   "&amp;etichettaCiclo</f>
        <v>Horizon Scan NFR — NewsLog — notizie valutate ogni settimana   ·   Ciclo 2026Q4 · dati al 31/12/2026 · da validare · Uso interno</v>
      </c>
      <c r="B1" s="166"/>
      <c r="C1" s="166"/>
      <c r="D1" s="166"/>
      <c r="E1" s="166"/>
      <c r="F1" s="166"/>
      <c r="G1" s="166"/>
      <c r="H1" s="166"/>
      <c r="I1" s="166"/>
      <c r="J1" s="166"/>
      <c r="K1" s="166"/>
      <c r="L1" s="166"/>
    </row>
    <row r="2" spans="1:19" ht="72.55" customHeight="1" x14ac:dyDescent="0.4">
      <c r="A2" s="197" t="s">
        <v>1390</v>
      </c>
      <c r="B2" s="146"/>
      <c r="C2" s="146"/>
      <c r="D2" s="146"/>
      <c r="E2" s="146"/>
      <c r="F2" s="146"/>
      <c r="G2" s="146"/>
      <c r="H2" s="146"/>
      <c r="I2" s="146"/>
    </row>
    <row r="3" spans="1:19" x14ac:dyDescent="0.4">
      <c r="A3" s="126" t="s">
        <v>1391</v>
      </c>
      <c r="B3" s="119" t="s">
        <v>1092</v>
      </c>
      <c r="C3" s="217" t="s">
        <v>1391</v>
      </c>
      <c r="D3" s="146"/>
      <c r="E3" s="146"/>
      <c r="F3" s="146"/>
      <c r="G3" s="146"/>
      <c r="H3" s="146"/>
      <c r="I3" s="146"/>
      <c r="J3" s="146"/>
      <c r="K3" s="146"/>
      <c r="L3" s="146"/>
      <c r="M3" s="146"/>
      <c r="N3" s="146"/>
      <c r="O3" s="146"/>
      <c r="P3" s="146"/>
      <c r="Q3" s="146"/>
      <c r="R3" s="146"/>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5" t="str">
        <f>"Horizon Scan NFR — Sintesi_Cicli — commento di A1 e sintesi di A5, una riga per ciclo   ·   "&amp;etichettaCiclo</f>
        <v>Horizon Scan NFR — Sintesi_Cicli — commento di A1 e sintesi di A5, una riga per ciclo   ·   Ciclo 2026Q4 · dati al 31/12/2026 · da validare · Uso interno</v>
      </c>
      <c r="B1" s="166"/>
      <c r="C1" s="166"/>
      <c r="D1" s="166"/>
      <c r="E1" s="166"/>
      <c r="F1" s="166"/>
      <c r="G1" s="166"/>
      <c r="H1" s="166"/>
      <c r="I1" s="166"/>
      <c r="J1" s="166"/>
    </row>
    <row r="2" spans="1:10" ht="72.55" customHeight="1" x14ac:dyDescent="0.4">
      <c r="A2" s="173" t="s">
        <v>1455</v>
      </c>
      <c r="B2" s="146"/>
      <c r="C2" s="146"/>
      <c r="D2" s="146"/>
    </row>
    <row r="3" spans="1:10" x14ac:dyDescent="0.4">
      <c r="A3" s="214" t="s">
        <v>1091</v>
      </c>
      <c r="B3" s="146"/>
      <c r="C3" s="146"/>
      <c r="D3" s="118" t="s">
        <v>1456</v>
      </c>
      <c r="E3" s="215" t="s">
        <v>1093</v>
      </c>
      <c r="F3" s="146"/>
      <c r="G3" s="146"/>
      <c r="H3" s="146"/>
      <c r="I3" s="146"/>
      <c r="J3" s="146"/>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1651</v>
      </c>
      <c r="B10" s="128">
        <v>46387</v>
      </c>
      <c r="C10" s="130" t="s">
        <v>1761</v>
      </c>
      <c r="D10" s="130" t="s">
        <v>1762</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5" t="str">
        <f>"Horizon Scan NFR — Sintesi_Settimane — sintesi di A3 e flag proposti, una riga per settimana   ·   "&amp;etichettaCiclo</f>
        <v>Horizon Scan NFR — Sintesi_Settimane — sintesi di A3 e flag proposti, una riga per settimana   ·   Ciclo 2026Q4 · dati al 31/12/2026 · da validare · Uso interno</v>
      </c>
      <c r="B1" s="166"/>
      <c r="C1" s="166"/>
      <c r="D1" s="166"/>
      <c r="E1" s="166"/>
      <c r="F1" s="166"/>
    </row>
    <row r="2" spans="1:6" ht="72.55" customHeight="1" x14ac:dyDescent="0.4">
      <c r="A2" s="197" t="s">
        <v>1473</v>
      </c>
      <c r="B2" s="146"/>
      <c r="C2" s="146"/>
      <c r="D2" s="146"/>
      <c r="E2" s="146"/>
    </row>
    <row r="3" spans="1:6" x14ac:dyDescent="0.4">
      <c r="A3" s="126" t="s">
        <v>1391</v>
      </c>
      <c r="B3" s="119" t="s">
        <v>1093</v>
      </c>
      <c r="C3" s="126" t="s">
        <v>1391</v>
      </c>
      <c r="D3" s="215" t="s">
        <v>1093</v>
      </c>
      <c r="E3" s="146"/>
      <c r="F3" s="146"/>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594"/>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5" t="str">
        <f>"Horizon Scan NFR — Storico_Validazioni — proposte degli agenti e decisioni, una riga per oggetto e campo   ·   "&amp;etichettaCiclo</f>
        <v>Horizon Scan NFR — Storico_Validazioni — proposte degli agenti e decisioni, una riga per oggetto e campo   ·   Ciclo 2026Q4 · dati al 31/12/2026 · da validare · Uso interno</v>
      </c>
      <c r="B1" s="166"/>
      <c r="C1" s="166"/>
      <c r="D1" s="166"/>
      <c r="E1" s="166"/>
      <c r="F1" s="166"/>
      <c r="G1" s="166"/>
      <c r="H1" s="166"/>
      <c r="I1" s="166"/>
      <c r="J1" s="166"/>
      <c r="K1" s="166"/>
      <c r="L1" s="166"/>
    </row>
    <row r="2" spans="1:12" ht="72.55" customHeight="1" x14ac:dyDescent="0.4">
      <c r="A2" s="198" t="s">
        <v>1485</v>
      </c>
      <c r="B2" s="146"/>
      <c r="C2" s="146"/>
      <c r="D2" s="146"/>
      <c r="E2" s="146"/>
      <c r="F2" s="146"/>
      <c r="G2" s="146"/>
      <c r="H2" s="146"/>
      <c r="I2" s="146"/>
    </row>
    <row r="3" spans="1:12" x14ac:dyDescent="0.4">
      <c r="A3" s="215" t="s">
        <v>1093</v>
      </c>
      <c r="B3" s="146"/>
      <c r="C3" s="146"/>
      <c r="D3" s="146"/>
      <c r="E3" s="146"/>
      <c r="F3" s="146"/>
      <c r="G3" s="216" t="s">
        <v>1094</v>
      </c>
      <c r="H3" s="146"/>
      <c r="I3" s="146"/>
      <c r="J3" s="146"/>
      <c r="K3" s="146"/>
      <c r="L3" s="146"/>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1651</v>
      </c>
      <c r="B399" s="129" t="s">
        <v>18</v>
      </c>
      <c r="C399" s="129" t="s">
        <v>554</v>
      </c>
      <c r="D399" s="130" t="s">
        <v>555</v>
      </c>
      <c r="E399" s="129" t="s">
        <v>203</v>
      </c>
      <c r="F399" s="129">
        <v>4</v>
      </c>
      <c r="G399" s="129"/>
      <c r="H399" s="129"/>
      <c r="I399" s="125"/>
      <c r="J399" s="129"/>
      <c r="K399" s="123"/>
      <c r="L399" s="129" t="s">
        <v>1763</v>
      </c>
    </row>
    <row r="400" spans="1:12" ht="29.15" x14ac:dyDescent="0.4">
      <c r="A400" s="129" t="s">
        <v>1651</v>
      </c>
      <c r="B400" s="129" t="s">
        <v>18</v>
      </c>
      <c r="C400" s="129" t="s">
        <v>554</v>
      </c>
      <c r="D400" s="130" t="s">
        <v>555</v>
      </c>
      <c r="E400" s="129" t="s">
        <v>300</v>
      </c>
      <c r="F400" s="129">
        <v>5</v>
      </c>
      <c r="G400" s="129"/>
      <c r="H400" s="129"/>
      <c r="I400" s="125"/>
      <c r="J400" s="129"/>
      <c r="K400" s="123"/>
      <c r="L400" s="129" t="s">
        <v>1763</v>
      </c>
    </row>
    <row r="401" spans="1:12" ht="29.15" x14ac:dyDescent="0.4">
      <c r="A401" s="129" t="s">
        <v>1651</v>
      </c>
      <c r="B401" s="129" t="s">
        <v>18</v>
      </c>
      <c r="C401" s="129" t="s">
        <v>554</v>
      </c>
      <c r="D401" s="130" t="s">
        <v>555</v>
      </c>
      <c r="E401" s="129" t="s">
        <v>206</v>
      </c>
      <c r="F401" s="129">
        <v>5</v>
      </c>
      <c r="G401" s="129"/>
      <c r="H401" s="129"/>
      <c r="I401" s="125"/>
      <c r="J401" s="129"/>
      <c r="K401" s="123"/>
      <c r="L401" s="129" t="s">
        <v>1763</v>
      </c>
    </row>
    <row r="402" spans="1:12" ht="29.15" x14ac:dyDescent="0.4">
      <c r="A402" s="129" t="s">
        <v>1651</v>
      </c>
      <c r="B402" s="129" t="s">
        <v>18</v>
      </c>
      <c r="C402" s="129" t="s">
        <v>554</v>
      </c>
      <c r="D402" s="130" t="s">
        <v>555</v>
      </c>
      <c r="E402" s="129" t="s">
        <v>204</v>
      </c>
      <c r="F402" s="129">
        <v>4</v>
      </c>
      <c r="G402" s="129"/>
      <c r="H402" s="129"/>
      <c r="I402" s="125"/>
      <c r="J402" s="129"/>
      <c r="K402" s="123"/>
      <c r="L402" s="129" t="s">
        <v>1763</v>
      </c>
    </row>
    <row r="403" spans="1:12" ht="29.15" x14ac:dyDescent="0.4">
      <c r="A403" s="129" t="s">
        <v>1651</v>
      </c>
      <c r="B403" s="129" t="s">
        <v>18</v>
      </c>
      <c r="C403" s="129" t="s">
        <v>554</v>
      </c>
      <c r="D403" s="130" t="s">
        <v>555</v>
      </c>
      <c r="E403" s="129" t="s">
        <v>551</v>
      </c>
      <c r="F403" s="129"/>
      <c r="G403" s="129"/>
      <c r="H403" s="129"/>
      <c r="I403" s="125"/>
      <c r="J403" s="129"/>
      <c r="K403" s="123"/>
      <c r="L403" s="129" t="s">
        <v>1763</v>
      </c>
    </row>
    <row r="404" spans="1:12" ht="29.15" x14ac:dyDescent="0.4">
      <c r="A404" s="129" t="s">
        <v>1651</v>
      </c>
      <c r="B404" s="129" t="s">
        <v>18</v>
      </c>
      <c r="C404" s="129" t="s">
        <v>554</v>
      </c>
      <c r="D404" s="130" t="s">
        <v>555</v>
      </c>
      <c r="E404" s="129" t="s">
        <v>772</v>
      </c>
      <c r="F404" s="129" t="s">
        <v>776</v>
      </c>
      <c r="G404" s="129"/>
      <c r="H404" s="129"/>
      <c r="I404" s="125"/>
      <c r="J404" s="129"/>
      <c r="K404" s="123"/>
      <c r="L404" s="129" t="s">
        <v>1763</v>
      </c>
    </row>
    <row r="405" spans="1:12" x14ac:dyDescent="0.4">
      <c r="A405" s="129" t="s">
        <v>1651</v>
      </c>
      <c r="B405" s="129" t="s">
        <v>18</v>
      </c>
      <c r="C405" s="129" t="s">
        <v>560</v>
      </c>
      <c r="D405" s="130" t="s">
        <v>561</v>
      </c>
      <c r="E405" s="129" t="s">
        <v>203</v>
      </c>
      <c r="F405" s="129">
        <v>4</v>
      </c>
      <c r="G405" s="129"/>
      <c r="H405" s="129"/>
      <c r="I405" s="125"/>
      <c r="J405" s="129"/>
      <c r="K405" s="123"/>
      <c r="L405" s="129" t="s">
        <v>1763</v>
      </c>
    </row>
    <row r="406" spans="1:12" x14ac:dyDescent="0.4">
      <c r="A406" s="129" t="s">
        <v>1651</v>
      </c>
      <c r="B406" s="129" t="s">
        <v>18</v>
      </c>
      <c r="C406" s="129" t="s">
        <v>560</v>
      </c>
      <c r="D406" s="130" t="s">
        <v>561</v>
      </c>
      <c r="E406" s="129" t="s">
        <v>300</v>
      </c>
      <c r="F406" s="129">
        <v>4</v>
      </c>
      <c r="G406" s="129"/>
      <c r="H406" s="129"/>
      <c r="I406" s="125"/>
      <c r="J406" s="129"/>
      <c r="K406" s="123"/>
      <c r="L406" s="129" t="s">
        <v>1763</v>
      </c>
    </row>
    <row r="407" spans="1:12" x14ac:dyDescent="0.4">
      <c r="A407" s="129" t="s">
        <v>1651</v>
      </c>
      <c r="B407" s="129" t="s">
        <v>18</v>
      </c>
      <c r="C407" s="129" t="s">
        <v>560</v>
      </c>
      <c r="D407" s="130" t="s">
        <v>561</v>
      </c>
      <c r="E407" s="129" t="s">
        <v>206</v>
      </c>
      <c r="F407" s="129">
        <v>3</v>
      </c>
      <c r="G407" s="129"/>
      <c r="H407" s="129"/>
      <c r="I407" s="125"/>
      <c r="J407" s="129"/>
      <c r="K407" s="123"/>
      <c r="L407" s="129" t="s">
        <v>1763</v>
      </c>
    </row>
    <row r="408" spans="1:12" x14ac:dyDescent="0.4">
      <c r="A408" s="129" t="s">
        <v>1651</v>
      </c>
      <c r="B408" s="129" t="s">
        <v>18</v>
      </c>
      <c r="C408" s="129" t="s">
        <v>560</v>
      </c>
      <c r="D408" s="130" t="s">
        <v>561</v>
      </c>
      <c r="E408" s="129" t="s">
        <v>204</v>
      </c>
      <c r="F408" s="129">
        <v>2</v>
      </c>
      <c r="G408" s="129"/>
      <c r="H408" s="129"/>
      <c r="I408" s="125"/>
      <c r="J408" s="129"/>
      <c r="K408" s="123"/>
      <c r="L408" s="129" t="s">
        <v>1763</v>
      </c>
    </row>
    <row r="409" spans="1:12" x14ac:dyDescent="0.4">
      <c r="A409" s="129" t="s">
        <v>1651</v>
      </c>
      <c r="B409" s="129" t="s">
        <v>18</v>
      </c>
      <c r="C409" s="129" t="s">
        <v>560</v>
      </c>
      <c r="D409" s="130" t="s">
        <v>561</v>
      </c>
      <c r="E409" s="129" t="s">
        <v>551</v>
      </c>
      <c r="F409" s="129"/>
      <c r="G409" s="129"/>
      <c r="H409" s="129"/>
      <c r="I409" s="125"/>
      <c r="J409" s="129"/>
      <c r="K409" s="123"/>
      <c r="L409" s="129" t="s">
        <v>1763</v>
      </c>
    </row>
    <row r="410" spans="1:12" x14ac:dyDescent="0.4">
      <c r="A410" s="129" t="s">
        <v>1651</v>
      </c>
      <c r="B410" s="129" t="s">
        <v>18</v>
      </c>
      <c r="C410" s="129" t="s">
        <v>560</v>
      </c>
      <c r="D410" s="130" t="s">
        <v>561</v>
      </c>
      <c r="E410" s="129" t="s">
        <v>772</v>
      </c>
      <c r="F410" s="129" t="s">
        <v>776</v>
      </c>
      <c r="G410" s="129"/>
      <c r="H410" s="129"/>
      <c r="I410" s="125"/>
      <c r="J410" s="129"/>
      <c r="K410" s="123"/>
      <c r="L410" s="129" t="s">
        <v>1763</v>
      </c>
    </row>
    <row r="411" spans="1:12" ht="29.15" x14ac:dyDescent="0.4">
      <c r="A411" s="129" t="s">
        <v>1651</v>
      </c>
      <c r="B411" s="129" t="s">
        <v>18</v>
      </c>
      <c r="C411" s="129" t="s">
        <v>566</v>
      </c>
      <c r="D411" s="130" t="s">
        <v>567</v>
      </c>
      <c r="E411" s="129" t="s">
        <v>203</v>
      </c>
      <c r="F411" s="129">
        <v>3</v>
      </c>
      <c r="G411" s="129"/>
      <c r="H411" s="129"/>
      <c r="I411" s="125"/>
      <c r="J411" s="129"/>
      <c r="K411" s="123"/>
      <c r="L411" s="129" t="s">
        <v>1763</v>
      </c>
    </row>
    <row r="412" spans="1:12" ht="29.15" x14ac:dyDescent="0.4">
      <c r="A412" s="129" t="s">
        <v>1651</v>
      </c>
      <c r="B412" s="129" t="s">
        <v>18</v>
      </c>
      <c r="C412" s="129" t="s">
        <v>566</v>
      </c>
      <c r="D412" s="130" t="s">
        <v>567</v>
      </c>
      <c r="E412" s="129" t="s">
        <v>300</v>
      </c>
      <c r="F412" s="129">
        <v>2</v>
      </c>
      <c r="G412" s="129"/>
      <c r="H412" s="129"/>
      <c r="I412" s="125"/>
      <c r="J412" s="129"/>
      <c r="K412" s="123"/>
      <c r="L412" s="129" t="s">
        <v>1763</v>
      </c>
    </row>
    <row r="413" spans="1:12" ht="29.15" x14ac:dyDescent="0.4">
      <c r="A413" s="129" t="s">
        <v>1651</v>
      </c>
      <c r="B413" s="129" t="s">
        <v>18</v>
      </c>
      <c r="C413" s="129" t="s">
        <v>566</v>
      </c>
      <c r="D413" s="130" t="s">
        <v>567</v>
      </c>
      <c r="E413" s="129" t="s">
        <v>206</v>
      </c>
      <c r="F413" s="129">
        <v>4</v>
      </c>
      <c r="G413" s="129"/>
      <c r="H413" s="129"/>
      <c r="I413" s="125"/>
      <c r="J413" s="129"/>
      <c r="K413" s="123"/>
      <c r="L413" s="129" t="s">
        <v>1763</v>
      </c>
    </row>
    <row r="414" spans="1:12" ht="29.15" x14ac:dyDescent="0.4">
      <c r="A414" s="129" t="s">
        <v>1651</v>
      </c>
      <c r="B414" s="129" t="s">
        <v>18</v>
      </c>
      <c r="C414" s="129" t="s">
        <v>566</v>
      </c>
      <c r="D414" s="130" t="s">
        <v>567</v>
      </c>
      <c r="E414" s="129" t="s">
        <v>204</v>
      </c>
      <c r="F414" s="129">
        <v>3</v>
      </c>
      <c r="G414" s="129"/>
      <c r="H414" s="129"/>
      <c r="I414" s="125"/>
      <c r="J414" s="129"/>
      <c r="K414" s="123"/>
      <c r="L414" s="129" t="s">
        <v>1763</v>
      </c>
    </row>
    <row r="415" spans="1:12" ht="29.15" x14ac:dyDescent="0.4">
      <c r="A415" s="129" t="s">
        <v>1651</v>
      </c>
      <c r="B415" s="129" t="s">
        <v>18</v>
      </c>
      <c r="C415" s="129" t="s">
        <v>566</v>
      </c>
      <c r="D415" s="130" t="s">
        <v>567</v>
      </c>
      <c r="E415" s="129" t="s">
        <v>551</v>
      </c>
      <c r="F415" s="129"/>
      <c r="G415" s="129"/>
      <c r="H415" s="129"/>
      <c r="I415" s="125"/>
      <c r="J415" s="129"/>
      <c r="K415" s="123"/>
      <c r="L415" s="129" t="s">
        <v>1763</v>
      </c>
    </row>
    <row r="416" spans="1:12" ht="29.15" x14ac:dyDescent="0.4">
      <c r="A416" s="129" t="s">
        <v>1651</v>
      </c>
      <c r="B416" s="129" t="s">
        <v>18</v>
      </c>
      <c r="C416" s="129" t="s">
        <v>566</v>
      </c>
      <c r="D416" s="130" t="s">
        <v>567</v>
      </c>
      <c r="E416" s="129" t="s">
        <v>772</v>
      </c>
      <c r="F416" s="129" t="s">
        <v>776</v>
      </c>
      <c r="G416" s="129"/>
      <c r="H416" s="129"/>
      <c r="I416" s="125"/>
      <c r="J416" s="129"/>
      <c r="K416" s="123"/>
      <c r="L416" s="129" t="s">
        <v>1763</v>
      </c>
    </row>
    <row r="417" spans="1:12" x14ac:dyDescent="0.4">
      <c r="A417" s="129" t="s">
        <v>1651</v>
      </c>
      <c r="B417" s="129" t="s">
        <v>18</v>
      </c>
      <c r="C417" s="129" t="s">
        <v>572</v>
      </c>
      <c r="D417" s="130" t="s">
        <v>573</v>
      </c>
      <c r="E417" s="129" t="s">
        <v>203</v>
      </c>
      <c r="F417" s="129">
        <v>3</v>
      </c>
      <c r="G417" s="129"/>
      <c r="H417" s="129"/>
      <c r="I417" s="125"/>
      <c r="J417" s="129"/>
      <c r="K417" s="123"/>
      <c r="L417" s="129" t="s">
        <v>1763</v>
      </c>
    </row>
    <row r="418" spans="1:12" x14ac:dyDescent="0.4">
      <c r="A418" s="129" t="s">
        <v>1651</v>
      </c>
      <c r="B418" s="129" t="s">
        <v>18</v>
      </c>
      <c r="C418" s="129" t="s">
        <v>572</v>
      </c>
      <c r="D418" s="130" t="s">
        <v>573</v>
      </c>
      <c r="E418" s="129" t="s">
        <v>300</v>
      </c>
      <c r="F418" s="129">
        <v>2</v>
      </c>
      <c r="G418" s="129"/>
      <c r="H418" s="129"/>
      <c r="I418" s="125"/>
      <c r="J418" s="129"/>
      <c r="K418" s="123"/>
      <c r="L418" s="129" t="s">
        <v>1763</v>
      </c>
    </row>
    <row r="419" spans="1:12" x14ac:dyDescent="0.4">
      <c r="A419" s="129" t="s">
        <v>1651</v>
      </c>
      <c r="B419" s="129" t="s">
        <v>18</v>
      </c>
      <c r="C419" s="129" t="s">
        <v>572</v>
      </c>
      <c r="D419" s="130" t="s">
        <v>573</v>
      </c>
      <c r="E419" s="129" t="s">
        <v>206</v>
      </c>
      <c r="F419" s="129">
        <v>3</v>
      </c>
      <c r="G419" s="129"/>
      <c r="H419" s="129"/>
      <c r="I419" s="125"/>
      <c r="J419" s="129"/>
      <c r="K419" s="123"/>
      <c r="L419" s="129" t="s">
        <v>1763</v>
      </c>
    </row>
    <row r="420" spans="1:12" x14ac:dyDescent="0.4">
      <c r="A420" s="129" t="s">
        <v>1651</v>
      </c>
      <c r="B420" s="129" t="s">
        <v>18</v>
      </c>
      <c r="C420" s="129" t="s">
        <v>572</v>
      </c>
      <c r="D420" s="130" t="s">
        <v>573</v>
      </c>
      <c r="E420" s="129" t="s">
        <v>204</v>
      </c>
      <c r="F420" s="129">
        <v>3</v>
      </c>
      <c r="G420" s="129"/>
      <c r="H420" s="129"/>
      <c r="I420" s="125"/>
      <c r="J420" s="129"/>
      <c r="K420" s="123"/>
      <c r="L420" s="129" t="s">
        <v>1763</v>
      </c>
    </row>
    <row r="421" spans="1:12" x14ac:dyDescent="0.4">
      <c r="A421" s="129" t="s">
        <v>1651</v>
      </c>
      <c r="B421" s="129" t="s">
        <v>18</v>
      </c>
      <c r="C421" s="129" t="s">
        <v>572</v>
      </c>
      <c r="D421" s="130" t="s">
        <v>573</v>
      </c>
      <c r="E421" s="129" t="s">
        <v>551</v>
      </c>
      <c r="F421" s="129"/>
      <c r="G421" s="129"/>
      <c r="H421" s="129"/>
      <c r="I421" s="125"/>
      <c r="J421" s="129"/>
      <c r="K421" s="123"/>
      <c r="L421" s="129" t="s">
        <v>1763</v>
      </c>
    </row>
    <row r="422" spans="1:12" x14ac:dyDescent="0.4">
      <c r="A422" s="129" t="s">
        <v>1651</v>
      </c>
      <c r="B422" s="129" t="s">
        <v>18</v>
      </c>
      <c r="C422" s="129" t="s">
        <v>572</v>
      </c>
      <c r="D422" s="130" t="s">
        <v>573</v>
      </c>
      <c r="E422" s="129" t="s">
        <v>772</v>
      </c>
      <c r="F422" s="129" t="s">
        <v>776</v>
      </c>
      <c r="G422" s="129"/>
      <c r="H422" s="129"/>
      <c r="I422" s="125"/>
      <c r="J422" s="129"/>
      <c r="K422" s="123"/>
      <c r="L422" s="129" t="s">
        <v>1763</v>
      </c>
    </row>
    <row r="423" spans="1:12" x14ac:dyDescent="0.4">
      <c r="A423" s="129" t="s">
        <v>1651</v>
      </c>
      <c r="B423" s="129" t="s">
        <v>18</v>
      </c>
      <c r="C423" s="129" t="s">
        <v>576</v>
      </c>
      <c r="D423" s="130" t="s">
        <v>577</v>
      </c>
      <c r="E423" s="129" t="s">
        <v>203</v>
      </c>
      <c r="F423" s="129">
        <v>3</v>
      </c>
      <c r="G423" s="129"/>
      <c r="H423" s="129"/>
      <c r="I423" s="125"/>
      <c r="J423" s="129"/>
      <c r="K423" s="123"/>
      <c r="L423" s="129" t="s">
        <v>1763</v>
      </c>
    </row>
    <row r="424" spans="1:12" x14ac:dyDescent="0.4">
      <c r="A424" s="129" t="s">
        <v>1651</v>
      </c>
      <c r="B424" s="129" t="s">
        <v>18</v>
      </c>
      <c r="C424" s="129" t="s">
        <v>576</v>
      </c>
      <c r="D424" s="130" t="s">
        <v>577</v>
      </c>
      <c r="E424" s="129" t="s">
        <v>300</v>
      </c>
      <c r="F424" s="129">
        <v>3</v>
      </c>
      <c r="G424" s="129"/>
      <c r="H424" s="129"/>
      <c r="I424" s="125"/>
      <c r="J424" s="129"/>
      <c r="K424" s="123"/>
      <c r="L424" s="129" t="s">
        <v>1763</v>
      </c>
    </row>
    <row r="425" spans="1:12" x14ac:dyDescent="0.4">
      <c r="A425" s="129" t="s">
        <v>1651</v>
      </c>
      <c r="B425" s="129" t="s">
        <v>18</v>
      </c>
      <c r="C425" s="129" t="s">
        <v>576</v>
      </c>
      <c r="D425" s="130" t="s">
        <v>577</v>
      </c>
      <c r="E425" s="129" t="s">
        <v>206</v>
      </c>
      <c r="F425" s="129">
        <v>3</v>
      </c>
      <c r="G425" s="129"/>
      <c r="H425" s="129"/>
      <c r="I425" s="125"/>
      <c r="J425" s="129"/>
      <c r="K425" s="123"/>
      <c r="L425" s="129" t="s">
        <v>1763</v>
      </c>
    </row>
    <row r="426" spans="1:12" x14ac:dyDescent="0.4">
      <c r="A426" s="129" t="s">
        <v>1651</v>
      </c>
      <c r="B426" s="129" t="s">
        <v>18</v>
      </c>
      <c r="C426" s="129" t="s">
        <v>576</v>
      </c>
      <c r="D426" s="130" t="s">
        <v>577</v>
      </c>
      <c r="E426" s="129" t="s">
        <v>204</v>
      </c>
      <c r="F426" s="129">
        <v>3</v>
      </c>
      <c r="G426" s="129"/>
      <c r="H426" s="129"/>
      <c r="I426" s="125"/>
      <c r="J426" s="129"/>
      <c r="K426" s="123"/>
      <c r="L426" s="129" t="s">
        <v>1763</v>
      </c>
    </row>
    <row r="427" spans="1:12" x14ac:dyDescent="0.4">
      <c r="A427" s="129" t="s">
        <v>1651</v>
      </c>
      <c r="B427" s="129" t="s">
        <v>18</v>
      </c>
      <c r="C427" s="129" t="s">
        <v>576</v>
      </c>
      <c r="D427" s="130" t="s">
        <v>577</v>
      </c>
      <c r="E427" s="129" t="s">
        <v>551</v>
      </c>
      <c r="F427" s="129"/>
      <c r="G427" s="129"/>
      <c r="H427" s="129"/>
      <c r="I427" s="125"/>
      <c r="J427" s="129"/>
      <c r="K427" s="123"/>
      <c r="L427" s="129" t="s">
        <v>1763</v>
      </c>
    </row>
    <row r="428" spans="1:12" x14ac:dyDescent="0.4">
      <c r="A428" s="129" t="s">
        <v>1651</v>
      </c>
      <c r="B428" s="129" t="s">
        <v>18</v>
      </c>
      <c r="C428" s="129" t="s">
        <v>576</v>
      </c>
      <c r="D428" s="130" t="s">
        <v>577</v>
      </c>
      <c r="E428" s="129" t="s">
        <v>772</v>
      </c>
      <c r="F428" s="129" t="s">
        <v>776</v>
      </c>
      <c r="G428" s="129"/>
      <c r="H428" s="129"/>
      <c r="I428" s="125"/>
      <c r="J428" s="129"/>
      <c r="K428" s="123"/>
      <c r="L428" s="129" t="s">
        <v>1763</v>
      </c>
    </row>
    <row r="429" spans="1:12" ht="29.15" x14ac:dyDescent="0.4">
      <c r="A429" s="129" t="s">
        <v>1651</v>
      </c>
      <c r="B429" s="129" t="s">
        <v>18</v>
      </c>
      <c r="C429" s="129" t="s">
        <v>581</v>
      </c>
      <c r="D429" s="130" t="s">
        <v>582</v>
      </c>
      <c r="E429" s="129" t="s">
        <v>203</v>
      </c>
      <c r="F429" s="129">
        <v>3</v>
      </c>
      <c r="G429" s="129"/>
      <c r="H429" s="129"/>
      <c r="I429" s="125"/>
      <c r="J429" s="129"/>
      <c r="K429" s="123"/>
      <c r="L429" s="129" t="s">
        <v>1763</v>
      </c>
    </row>
    <row r="430" spans="1:12" ht="29.15" x14ac:dyDescent="0.4">
      <c r="A430" s="129" t="s">
        <v>1651</v>
      </c>
      <c r="B430" s="129" t="s">
        <v>18</v>
      </c>
      <c r="C430" s="129" t="s">
        <v>581</v>
      </c>
      <c r="D430" s="130" t="s">
        <v>582</v>
      </c>
      <c r="E430" s="129" t="s">
        <v>300</v>
      </c>
      <c r="F430" s="129">
        <v>3</v>
      </c>
      <c r="G430" s="129"/>
      <c r="H430" s="129"/>
      <c r="I430" s="125"/>
      <c r="J430" s="129"/>
      <c r="K430" s="123"/>
      <c r="L430" s="129" t="s">
        <v>1763</v>
      </c>
    </row>
    <row r="431" spans="1:12" ht="29.15" x14ac:dyDescent="0.4">
      <c r="A431" s="129" t="s">
        <v>1651</v>
      </c>
      <c r="B431" s="129" t="s">
        <v>18</v>
      </c>
      <c r="C431" s="129" t="s">
        <v>581</v>
      </c>
      <c r="D431" s="130" t="s">
        <v>582</v>
      </c>
      <c r="E431" s="129" t="s">
        <v>206</v>
      </c>
      <c r="F431" s="129">
        <v>3</v>
      </c>
      <c r="G431" s="129"/>
      <c r="H431" s="129"/>
      <c r="I431" s="125"/>
      <c r="J431" s="129"/>
      <c r="K431" s="123"/>
      <c r="L431" s="129" t="s">
        <v>1763</v>
      </c>
    </row>
    <row r="432" spans="1:12" ht="29.15" x14ac:dyDescent="0.4">
      <c r="A432" s="129" t="s">
        <v>1651</v>
      </c>
      <c r="B432" s="129" t="s">
        <v>18</v>
      </c>
      <c r="C432" s="129" t="s">
        <v>581</v>
      </c>
      <c r="D432" s="130" t="s">
        <v>582</v>
      </c>
      <c r="E432" s="129" t="s">
        <v>204</v>
      </c>
      <c r="F432" s="129">
        <v>3</v>
      </c>
      <c r="G432" s="129"/>
      <c r="H432" s="129"/>
      <c r="I432" s="125"/>
      <c r="J432" s="129"/>
      <c r="K432" s="123"/>
      <c r="L432" s="129" t="s">
        <v>1763</v>
      </c>
    </row>
    <row r="433" spans="1:12" ht="29.15" x14ac:dyDescent="0.4">
      <c r="A433" s="129" t="s">
        <v>1651</v>
      </c>
      <c r="B433" s="129" t="s">
        <v>18</v>
      </c>
      <c r="C433" s="129" t="s">
        <v>581</v>
      </c>
      <c r="D433" s="130" t="s">
        <v>582</v>
      </c>
      <c r="E433" s="129" t="s">
        <v>551</v>
      </c>
      <c r="F433" s="129"/>
      <c r="G433" s="129"/>
      <c r="H433" s="129"/>
      <c r="I433" s="125"/>
      <c r="J433" s="129"/>
      <c r="K433" s="123"/>
      <c r="L433" s="129" t="s">
        <v>1763</v>
      </c>
    </row>
    <row r="434" spans="1:12" ht="29.15" x14ac:dyDescent="0.4">
      <c r="A434" s="129" t="s">
        <v>1651</v>
      </c>
      <c r="B434" s="129" t="s">
        <v>18</v>
      </c>
      <c r="C434" s="129" t="s">
        <v>581</v>
      </c>
      <c r="D434" s="130" t="s">
        <v>582</v>
      </c>
      <c r="E434" s="129" t="s">
        <v>772</v>
      </c>
      <c r="F434" s="129" t="s">
        <v>776</v>
      </c>
      <c r="G434" s="129"/>
      <c r="H434" s="129"/>
      <c r="I434" s="125"/>
      <c r="J434" s="129"/>
      <c r="K434" s="123"/>
      <c r="L434" s="129" t="s">
        <v>1763</v>
      </c>
    </row>
    <row r="435" spans="1:12" ht="29.15" x14ac:dyDescent="0.4">
      <c r="A435" s="129" t="s">
        <v>1651</v>
      </c>
      <c r="B435" s="129" t="s">
        <v>18</v>
      </c>
      <c r="C435" s="129" t="s">
        <v>587</v>
      </c>
      <c r="D435" s="130" t="s">
        <v>588</v>
      </c>
      <c r="E435" s="129" t="s">
        <v>203</v>
      </c>
      <c r="F435" s="129">
        <v>4</v>
      </c>
      <c r="G435" s="129"/>
      <c r="H435" s="129"/>
      <c r="I435" s="125"/>
      <c r="J435" s="129"/>
      <c r="K435" s="123"/>
      <c r="L435" s="129" t="s">
        <v>1763</v>
      </c>
    </row>
    <row r="436" spans="1:12" ht="29.15" x14ac:dyDescent="0.4">
      <c r="A436" s="129" t="s">
        <v>1651</v>
      </c>
      <c r="B436" s="129" t="s">
        <v>18</v>
      </c>
      <c r="C436" s="129" t="s">
        <v>587</v>
      </c>
      <c r="D436" s="130" t="s">
        <v>588</v>
      </c>
      <c r="E436" s="129" t="s">
        <v>300</v>
      </c>
      <c r="F436" s="129">
        <v>5</v>
      </c>
      <c r="G436" s="129"/>
      <c r="H436" s="129"/>
      <c r="I436" s="125"/>
      <c r="J436" s="129"/>
      <c r="K436" s="123"/>
      <c r="L436" s="129" t="s">
        <v>1763</v>
      </c>
    </row>
    <row r="437" spans="1:12" ht="29.15" x14ac:dyDescent="0.4">
      <c r="A437" s="129" t="s">
        <v>1651</v>
      </c>
      <c r="B437" s="129" t="s">
        <v>18</v>
      </c>
      <c r="C437" s="129" t="s">
        <v>587</v>
      </c>
      <c r="D437" s="130" t="s">
        <v>588</v>
      </c>
      <c r="E437" s="129" t="s">
        <v>206</v>
      </c>
      <c r="F437" s="129">
        <v>3</v>
      </c>
      <c r="G437" s="129"/>
      <c r="H437" s="129"/>
      <c r="I437" s="125"/>
      <c r="J437" s="129"/>
      <c r="K437" s="123"/>
      <c r="L437" s="129" t="s">
        <v>1763</v>
      </c>
    </row>
    <row r="438" spans="1:12" ht="29.15" x14ac:dyDescent="0.4">
      <c r="A438" s="129" t="s">
        <v>1651</v>
      </c>
      <c r="B438" s="129" t="s">
        <v>18</v>
      </c>
      <c r="C438" s="129" t="s">
        <v>587</v>
      </c>
      <c r="D438" s="130" t="s">
        <v>588</v>
      </c>
      <c r="E438" s="129" t="s">
        <v>204</v>
      </c>
      <c r="F438" s="129">
        <v>3</v>
      </c>
      <c r="G438" s="129"/>
      <c r="H438" s="129"/>
      <c r="I438" s="125"/>
      <c r="J438" s="129"/>
      <c r="K438" s="123"/>
      <c r="L438" s="129" t="s">
        <v>1763</v>
      </c>
    </row>
    <row r="439" spans="1:12" ht="29.15" x14ac:dyDescent="0.4">
      <c r="A439" s="129" t="s">
        <v>1651</v>
      </c>
      <c r="B439" s="129" t="s">
        <v>18</v>
      </c>
      <c r="C439" s="129" t="s">
        <v>587</v>
      </c>
      <c r="D439" s="130" t="s">
        <v>588</v>
      </c>
      <c r="E439" s="129" t="s">
        <v>551</v>
      </c>
      <c r="F439" s="129"/>
      <c r="G439" s="129"/>
      <c r="H439" s="129"/>
      <c r="I439" s="125"/>
      <c r="J439" s="129"/>
      <c r="K439" s="123"/>
      <c r="L439" s="129" t="s">
        <v>1763</v>
      </c>
    </row>
    <row r="440" spans="1:12" ht="29.15" x14ac:dyDescent="0.4">
      <c r="A440" s="129" t="s">
        <v>1651</v>
      </c>
      <c r="B440" s="129" t="s">
        <v>18</v>
      </c>
      <c r="C440" s="129" t="s">
        <v>587</v>
      </c>
      <c r="D440" s="130" t="s">
        <v>588</v>
      </c>
      <c r="E440" s="129" t="s">
        <v>772</v>
      </c>
      <c r="F440" s="129" t="s">
        <v>776</v>
      </c>
      <c r="G440" s="129"/>
      <c r="H440" s="129"/>
      <c r="I440" s="125"/>
      <c r="J440" s="129"/>
      <c r="K440" s="123"/>
      <c r="L440" s="129" t="s">
        <v>1763</v>
      </c>
    </row>
    <row r="441" spans="1:12" x14ac:dyDescent="0.4">
      <c r="A441" s="129" t="s">
        <v>1651</v>
      </c>
      <c r="B441" s="129" t="s">
        <v>18</v>
      </c>
      <c r="C441" s="129" t="s">
        <v>591</v>
      </c>
      <c r="D441" s="130" t="s">
        <v>592</v>
      </c>
      <c r="E441" s="129" t="s">
        <v>203</v>
      </c>
      <c r="F441" s="129">
        <v>3</v>
      </c>
      <c r="G441" s="129"/>
      <c r="H441" s="129"/>
      <c r="I441" s="125"/>
      <c r="J441" s="129"/>
      <c r="K441" s="123"/>
      <c r="L441" s="129" t="s">
        <v>1763</v>
      </c>
    </row>
    <row r="442" spans="1:12" x14ac:dyDescent="0.4">
      <c r="A442" s="129" t="s">
        <v>1651</v>
      </c>
      <c r="B442" s="129" t="s">
        <v>18</v>
      </c>
      <c r="C442" s="129" t="s">
        <v>591</v>
      </c>
      <c r="D442" s="130" t="s">
        <v>592</v>
      </c>
      <c r="E442" s="129" t="s">
        <v>300</v>
      </c>
      <c r="F442" s="129">
        <v>3</v>
      </c>
      <c r="G442" s="129"/>
      <c r="H442" s="129"/>
      <c r="I442" s="125"/>
      <c r="J442" s="129"/>
      <c r="K442" s="123"/>
      <c r="L442" s="129" t="s">
        <v>1763</v>
      </c>
    </row>
    <row r="443" spans="1:12" x14ac:dyDescent="0.4">
      <c r="A443" s="129" t="s">
        <v>1651</v>
      </c>
      <c r="B443" s="129" t="s">
        <v>18</v>
      </c>
      <c r="C443" s="129" t="s">
        <v>591</v>
      </c>
      <c r="D443" s="130" t="s">
        <v>592</v>
      </c>
      <c r="E443" s="129" t="s">
        <v>206</v>
      </c>
      <c r="F443" s="129">
        <v>3</v>
      </c>
      <c r="G443" s="129"/>
      <c r="H443" s="129"/>
      <c r="I443" s="125"/>
      <c r="J443" s="129"/>
      <c r="K443" s="123"/>
      <c r="L443" s="129" t="s">
        <v>1763</v>
      </c>
    </row>
    <row r="444" spans="1:12" x14ac:dyDescent="0.4">
      <c r="A444" s="129" t="s">
        <v>1651</v>
      </c>
      <c r="B444" s="129" t="s">
        <v>18</v>
      </c>
      <c r="C444" s="129" t="s">
        <v>591</v>
      </c>
      <c r="D444" s="130" t="s">
        <v>592</v>
      </c>
      <c r="E444" s="129" t="s">
        <v>204</v>
      </c>
      <c r="F444" s="129">
        <v>2</v>
      </c>
      <c r="G444" s="129"/>
      <c r="H444" s="129"/>
      <c r="I444" s="125"/>
      <c r="J444" s="129"/>
      <c r="K444" s="123"/>
      <c r="L444" s="129" t="s">
        <v>1763</v>
      </c>
    </row>
    <row r="445" spans="1:12" x14ac:dyDescent="0.4">
      <c r="A445" s="129" t="s">
        <v>1651</v>
      </c>
      <c r="B445" s="129" t="s">
        <v>18</v>
      </c>
      <c r="C445" s="129" t="s">
        <v>591</v>
      </c>
      <c r="D445" s="130" t="s">
        <v>592</v>
      </c>
      <c r="E445" s="129" t="s">
        <v>551</v>
      </c>
      <c r="F445" s="129"/>
      <c r="G445" s="129"/>
      <c r="H445" s="129"/>
      <c r="I445" s="125"/>
      <c r="J445" s="129"/>
      <c r="K445" s="123"/>
      <c r="L445" s="129" t="s">
        <v>1763</v>
      </c>
    </row>
    <row r="446" spans="1:12" x14ac:dyDescent="0.4">
      <c r="A446" s="129" t="s">
        <v>1651</v>
      </c>
      <c r="B446" s="129" t="s">
        <v>18</v>
      </c>
      <c r="C446" s="129" t="s">
        <v>591</v>
      </c>
      <c r="D446" s="130" t="s">
        <v>592</v>
      </c>
      <c r="E446" s="129" t="s">
        <v>772</v>
      </c>
      <c r="F446" s="129" t="s">
        <v>776</v>
      </c>
      <c r="G446" s="129"/>
      <c r="H446" s="129"/>
      <c r="I446" s="125"/>
      <c r="J446" s="129"/>
      <c r="K446" s="123"/>
      <c r="L446" s="129" t="s">
        <v>1763</v>
      </c>
    </row>
    <row r="447" spans="1:12" ht="29.15" x14ac:dyDescent="0.4">
      <c r="A447" s="129" t="s">
        <v>1651</v>
      </c>
      <c r="B447" s="129" t="s">
        <v>18</v>
      </c>
      <c r="C447" s="129" t="s">
        <v>595</v>
      </c>
      <c r="D447" s="130" t="s">
        <v>596</v>
      </c>
      <c r="E447" s="129" t="s">
        <v>203</v>
      </c>
      <c r="F447" s="129">
        <v>4</v>
      </c>
      <c r="G447" s="129"/>
      <c r="H447" s="129"/>
      <c r="I447" s="125"/>
      <c r="J447" s="129"/>
      <c r="K447" s="123"/>
      <c r="L447" s="129" t="s">
        <v>1763</v>
      </c>
    </row>
    <row r="448" spans="1:12" ht="29.15" x14ac:dyDescent="0.4">
      <c r="A448" s="129" t="s">
        <v>1651</v>
      </c>
      <c r="B448" s="129" t="s">
        <v>18</v>
      </c>
      <c r="C448" s="129" t="s">
        <v>595</v>
      </c>
      <c r="D448" s="130" t="s">
        <v>596</v>
      </c>
      <c r="E448" s="129" t="s">
        <v>300</v>
      </c>
      <c r="F448" s="129">
        <v>3</v>
      </c>
      <c r="G448" s="129"/>
      <c r="H448" s="129"/>
      <c r="I448" s="125"/>
      <c r="J448" s="129"/>
      <c r="K448" s="123"/>
      <c r="L448" s="129" t="s">
        <v>1763</v>
      </c>
    </row>
    <row r="449" spans="1:12" ht="29.15" x14ac:dyDescent="0.4">
      <c r="A449" s="129" t="s">
        <v>1651</v>
      </c>
      <c r="B449" s="129" t="s">
        <v>18</v>
      </c>
      <c r="C449" s="129" t="s">
        <v>595</v>
      </c>
      <c r="D449" s="130" t="s">
        <v>596</v>
      </c>
      <c r="E449" s="129" t="s">
        <v>206</v>
      </c>
      <c r="F449" s="129">
        <v>2</v>
      </c>
      <c r="G449" s="129"/>
      <c r="H449" s="129"/>
      <c r="I449" s="125"/>
      <c r="J449" s="129"/>
      <c r="K449" s="123"/>
      <c r="L449" s="129" t="s">
        <v>1763</v>
      </c>
    </row>
    <row r="450" spans="1:12" ht="29.15" x14ac:dyDescent="0.4">
      <c r="A450" s="129" t="s">
        <v>1651</v>
      </c>
      <c r="B450" s="129" t="s">
        <v>18</v>
      </c>
      <c r="C450" s="129" t="s">
        <v>595</v>
      </c>
      <c r="D450" s="130" t="s">
        <v>596</v>
      </c>
      <c r="E450" s="129" t="s">
        <v>204</v>
      </c>
      <c r="F450" s="129">
        <v>2</v>
      </c>
      <c r="G450" s="129"/>
      <c r="H450" s="129"/>
      <c r="I450" s="125"/>
      <c r="J450" s="129"/>
      <c r="K450" s="123"/>
      <c r="L450" s="129" t="s">
        <v>1763</v>
      </c>
    </row>
    <row r="451" spans="1:12" ht="29.15" x14ac:dyDescent="0.4">
      <c r="A451" s="129" t="s">
        <v>1651</v>
      </c>
      <c r="B451" s="129" t="s">
        <v>18</v>
      </c>
      <c r="C451" s="129" t="s">
        <v>595</v>
      </c>
      <c r="D451" s="130" t="s">
        <v>596</v>
      </c>
      <c r="E451" s="129" t="s">
        <v>551</v>
      </c>
      <c r="F451" s="129"/>
      <c r="G451" s="129"/>
      <c r="H451" s="129"/>
      <c r="I451" s="125"/>
      <c r="J451" s="129"/>
      <c r="K451" s="123"/>
      <c r="L451" s="129" t="s">
        <v>1763</v>
      </c>
    </row>
    <row r="452" spans="1:12" ht="29.15" x14ac:dyDescent="0.4">
      <c r="A452" s="129" t="s">
        <v>1651</v>
      </c>
      <c r="B452" s="129" t="s">
        <v>18</v>
      </c>
      <c r="C452" s="129" t="s">
        <v>595</v>
      </c>
      <c r="D452" s="130" t="s">
        <v>596</v>
      </c>
      <c r="E452" s="129" t="s">
        <v>772</v>
      </c>
      <c r="F452" s="129" t="s">
        <v>776</v>
      </c>
      <c r="G452" s="129"/>
      <c r="H452" s="129"/>
      <c r="I452" s="125"/>
      <c r="J452" s="129"/>
      <c r="K452" s="123"/>
      <c r="L452" s="129" t="s">
        <v>1763</v>
      </c>
    </row>
    <row r="453" spans="1:12" ht="29.15" x14ac:dyDescent="0.4">
      <c r="A453" s="129" t="s">
        <v>1651</v>
      </c>
      <c r="B453" s="129" t="s">
        <v>18</v>
      </c>
      <c r="C453" s="129" t="s">
        <v>598</v>
      </c>
      <c r="D453" s="130" t="s">
        <v>599</v>
      </c>
      <c r="E453" s="129" t="s">
        <v>203</v>
      </c>
      <c r="F453" s="129">
        <v>3</v>
      </c>
      <c r="G453" s="129"/>
      <c r="H453" s="129"/>
      <c r="I453" s="125"/>
      <c r="J453" s="129"/>
      <c r="K453" s="123"/>
      <c r="L453" s="129" t="s">
        <v>1763</v>
      </c>
    </row>
    <row r="454" spans="1:12" ht="29.15" x14ac:dyDescent="0.4">
      <c r="A454" s="129" t="s">
        <v>1651</v>
      </c>
      <c r="B454" s="129" t="s">
        <v>18</v>
      </c>
      <c r="C454" s="129" t="s">
        <v>598</v>
      </c>
      <c r="D454" s="130" t="s">
        <v>599</v>
      </c>
      <c r="E454" s="129" t="s">
        <v>300</v>
      </c>
      <c r="F454" s="129">
        <v>3</v>
      </c>
      <c r="G454" s="129"/>
      <c r="H454" s="129"/>
      <c r="I454" s="125"/>
      <c r="J454" s="129"/>
      <c r="K454" s="123"/>
      <c r="L454" s="129" t="s">
        <v>1763</v>
      </c>
    </row>
    <row r="455" spans="1:12" ht="29.15" x14ac:dyDescent="0.4">
      <c r="A455" s="129" t="s">
        <v>1651</v>
      </c>
      <c r="B455" s="129" t="s">
        <v>18</v>
      </c>
      <c r="C455" s="129" t="s">
        <v>598</v>
      </c>
      <c r="D455" s="130" t="s">
        <v>599</v>
      </c>
      <c r="E455" s="129" t="s">
        <v>206</v>
      </c>
      <c r="F455" s="129">
        <v>3</v>
      </c>
      <c r="G455" s="129"/>
      <c r="H455" s="129"/>
      <c r="I455" s="125"/>
      <c r="J455" s="129"/>
      <c r="K455" s="123"/>
      <c r="L455" s="129" t="s">
        <v>1763</v>
      </c>
    </row>
    <row r="456" spans="1:12" ht="29.15" x14ac:dyDescent="0.4">
      <c r="A456" s="129" t="s">
        <v>1651</v>
      </c>
      <c r="B456" s="129" t="s">
        <v>18</v>
      </c>
      <c r="C456" s="129" t="s">
        <v>598</v>
      </c>
      <c r="D456" s="130" t="s">
        <v>599</v>
      </c>
      <c r="E456" s="129" t="s">
        <v>204</v>
      </c>
      <c r="F456" s="129">
        <v>3</v>
      </c>
      <c r="G456" s="129"/>
      <c r="H456" s="129"/>
      <c r="I456" s="125"/>
      <c r="J456" s="129"/>
      <c r="K456" s="123"/>
      <c r="L456" s="129" t="s">
        <v>1763</v>
      </c>
    </row>
    <row r="457" spans="1:12" ht="29.15" x14ac:dyDescent="0.4">
      <c r="A457" s="129" t="s">
        <v>1651</v>
      </c>
      <c r="B457" s="129" t="s">
        <v>18</v>
      </c>
      <c r="C457" s="129" t="s">
        <v>598</v>
      </c>
      <c r="D457" s="130" t="s">
        <v>599</v>
      </c>
      <c r="E457" s="129" t="s">
        <v>551</v>
      </c>
      <c r="F457" s="129"/>
      <c r="G457" s="129"/>
      <c r="H457" s="129"/>
      <c r="I457" s="125"/>
      <c r="J457" s="129"/>
      <c r="K457" s="123"/>
      <c r="L457" s="129" t="s">
        <v>1763</v>
      </c>
    </row>
    <row r="458" spans="1:12" ht="29.15" x14ac:dyDescent="0.4">
      <c r="A458" s="129" t="s">
        <v>1651</v>
      </c>
      <c r="B458" s="129" t="s">
        <v>18</v>
      </c>
      <c r="C458" s="129" t="s">
        <v>598</v>
      </c>
      <c r="D458" s="130" t="s">
        <v>599</v>
      </c>
      <c r="E458" s="129" t="s">
        <v>772</v>
      </c>
      <c r="F458" s="129" t="s">
        <v>776</v>
      </c>
      <c r="G458" s="129"/>
      <c r="H458" s="129"/>
      <c r="I458" s="125"/>
      <c r="J458" s="129"/>
      <c r="K458" s="123"/>
      <c r="L458" s="129" t="s">
        <v>1763</v>
      </c>
    </row>
    <row r="459" spans="1:12" x14ac:dyDescent="0.4">
      <c r="A459" s="129" t="s">
        <v>1651</v>
      </c>
      <c r="B459" s="129" t="s">
        <v>18</v>
      </c>
      <c r="C459" s="129" t="s">
        <v>604</v>
      </c>
      <c r="D459" s="130" t="s">
        <v>605</v>
      </c>
      <c r="E459" s="129" t="s">
        <v>203</v>
      </c>
      <c r="F459" s="129">
        <v>3</v>
      </c>
      <c r="G459" s="129"/>
      <c r="H459" s="129"/>
      <c r="I459" s="125"/>
      <c r="J459" s="129"/>
      <c r="K459" s="123"/>
      <c r="L459" s="129" t="s">
        <v>1763</v>
      </c>
    </row>
    <row r="460" spans="1:12" x14ac:dyDescent="0.4">
      <c r="A460" s="129" t="s">
        <v>1651</v>
      </c>
      <c r="B460" s="129" t="s">
        <v>18</v>
      </c>
      <c r="C460" s="129" t="s">
        <v>604</v>
      </c>
      <c r="D460" s="130" t="s">
        <v>605</v>
      </c>
      <c r="E460" s="129" t="s">
        <v>300</v>
      </c>
      <c r="F460" s="129">
        <v>2</v>
      </c>
      <c r="G460" s="129"/>
      <c r="H460" s="129"/>
      <c r="I460" s="125"/>
      <c r="J460" s="129"/>
      <c r="K460" s="123"/>
      <c r="L460" s="129" t="s">
        <v>1763</v>
      </c>
    </row>
    <row r="461" spans="1:12" x14ac:dyDescent="0.4">
      <c r="A461" s="129" t="s">
        <v>1651</v>
      </c>
      <c r="B461" s="129" t="s">
        <v>18</v>
      </c>
      <c r="C461" s="129" t="s">
        <v>604</v>
      </c>
      <c r="D461" s="130" t="s">
        <v>605</v>
      </c>
      <c r="E461" s="129" t="s">
        <v>206</v>
      </c>
      <c r="F461" s="129">
        <v>3</v>
      </c>
      <c r="G461" s="129"/>
      <c r="H461" s="129"/>
      <c r="I461" s="125"/>
      <c r="J461" s="129"/>
      <c r="K461" s="123"/>
      <c r="L461" s="129" t="s">
        <v>1763</v>
      </c>
    </row>
    <row r="462" spans="1:12" x14ac:dyDescent="0.4">
      <c r="A462" s="129" t="s">
        <v>1651</v>
      </c>
      <c r="B462" s="129" t="s">
        <v>18</v>
      </c>
      <c r="C462" s="129" t="s">
        <v>604</v>
      </c>
      <c r="D462" s="130" t="s">
        <v>605</v>
      </c>
      <c r="E462" s="129" t="s">
        <v>204</v>
      </c>
      <c r="F462" s="129">
        <v>3</v>
      </c>
      <c r="G462" s="129"/>
      <c r="H462" s="129"/>
      <c r="I462" s="125"/>
      <c r="J462" s="129"/>
      <c r="K462" s="123"/>
      <c r="L462" s="129" t="s">
        <v>1763</v>
      </c>
    </row>
    <row r="463" spans="1:12" x14ac:dyDescent="0.4">
      <c r="A463" s="129" t="s">
        <v>1651</v>
      </c>
      <c r="B463" s="129" t="s">
        <v>18</v>
      </c>
      <c r="C463" s="129" t="s">
        <v>604</v>
      </c>
      <c r="D463" s="130" t="s">
        <v>605</v>
      </c>
      <c r="E463" s="129" t="s">
        <v>551</v>
      </c>
      <c r="F463" s="129">
        <v>3</v>
      </c>
      <c r="G463" s="129"/>
      <c r="H463" s="129"/>
      <c r="I463" s="125"/>
      <c r="J463" s="129"/>
      <c r="K463" s="123"/>
      <c r="L463" s="129" t="s">
        <v>1763</v>
      </c>
    </row>
    <row r="464" spans="1:12" x14ac:dyDescent="0.4">
      <c r="A464" s="129" t="s">
        <v>1651</v>
      </c>
      <c r="B464" s="129" t="s">
        <v>18</v>
      </c>
      <c r="C464" s="129" t="s">
        <v>604</v>
      </c>
      <c r="D464" s="130" t="s">
        <v>605</v>
      </c>
      <c r="E464" s="129" t="s">
        <v>772</v>
      </c>
      <c r="F464" s="129" t="s">
        <v>776</v>
      </c>
      <c r="G464" s="129"/>
      <c r="H464" s="129"/>
      <c r="I464" s="125"/>
      <c r="J464" s="129"/>
      <c r="K464" s="123"/>
      <c r="L464" s="129" t="s">
        <v>1763</v>
      </c>
    </row>
    <row r="465" spans="1:12" x14ac:dyDescent="0.4">
      <c r="A465" s="129" t="s">
        <v>1651</v>
      </c>
      <c r="B465" s="129" t="s">
        <v>18</v>
      </c>
      <c r="C465" s="129" t="s">
        <v>611</v>
      </c>
      <c r="D465" s="130" t="s">
        <v>612</v>
      </c>
      <c r="E465" s="129" t="s">
        <v>203</v>
      </c>
      <c r="F465" s="129">
        <v>3</v>
      </c>
      <c r="G465" s="129"/>
      <c r="H465" s="129"/>
      <c r="I465" s="125"/>
      <c r="J465" s="129"/>
      <c r="K465" s="123"/>
      <c r="L465" s="129" t="s">
        <v>1763</v>
      </c>
    </row>
    <row r="466" spans="1:12" x14ac:dyDescent="0.4">
      <c r="A466" s="129" t="s">
        <v>1651</v>
      </c>
      <c r="B466" s="129" t="s">
        <v>18</v>
      </c>
      <c r="C466" s="129" t="s">
        <v>611</v>
      </c>
      <c r="D466" s="130" t="s">
        <v>612</v>
      </c>
      <c r="E466" s="129" t="s">
        <v>300</v>
      </c>
      <c r="F466" s="129">
        <v>4</v>
      </c>
      <c r="G466" s="129"/>
      <c r="H466" s="129"/>
      <c r="I466" s="125"/>
      <c r="J466" s="129"/>
      <c r="K466" s="123"/>
      <c r="L466" s="129" t="s">
        <v>1763</v>
      </c>
    </row>
    <row r="467" spans="1:12" x14ac:dyDescent="0.4">
      <c r="A467" s="129" t="s">
        <v>1651</v>
      </c>
      <c r="B467" s="129" t="s">
        <v>18</v>
      </c>
      <c r="C467" s="129" t="s">
        <v>611</v>
      </c>
      <c r="D467" s="130" t="s">
        <v>612</v>
      </c>
      <c r="E467" s="129" t="s">
        <v>206</v>
      </c>
      <c r="F467" s="129">
        <v>4</v>
      </c>
      <c r="G467" s="129"/>
      <c r="H467" s="129"/>
      <c r="I467" s="125"/>
      <c r="J467" s="129"/>
      <c r="K467" s="123"/>
      <c r="L467" s="129" t="s">
        <v>1763</v>
      </c>
    </row>
    <row r="468" spans="1:12" x14ac:dyDescent="0.4">
      <c r="A468" s="129" t="s">
        <v>1651</v>
      </c>
      <c r="B468" s="129" t="s">
        <v>18</v>
      </c>
      <c r="C468" s="129" t="s">
        <v>611</v>
      </c>
      <c r="D468" s="130" t="s">
        <v>612</v>
      </c>
      <c r="E468" s="129" t="s">
        <v>204</v>
      </c>
      <c r="F468" s="129">
        <v>4</v>
      </c>
      <c r="G468" s="129"/>
      <c r="H468" s="129"/>
      <c r="I468" s="125"/>
      <c r="J468" s="129"/>
      <c r="K468" s="123"/>
      <c r="L468" s="129" t="s">
        <v>1763</v>
      </c>
    </row>
    <row r="469" spans="1:12" x14ac:dyDescent="0.4">
      <c r="A469" s="129" t="s">
        <v>1651</v>
      </c>
      <c r="B469" s="129" t="s">
        <v>18</v>
      </c>
      <c r="C469" s="129" t="s">
        <v>611</v>
      </c>
      <c r="D469" s="130" t="s">
        <v>612</v>
      </c>
      <c r="E469" s="129" t="s">
        <v>551</v>
      </c>
      <c r="F469" s="129"/>
      <c r="G469" s="129"/>
      <c r="H469" s="129"/>
      <c r="I469" s="125"/>
      <c r="J469" s="129"/>
      <c r="K469" s="123"/>
      <c r="L469" s="129" t="s">
        <v>1763</v>
      </c>
    </row>
    <row r="470" spans="1:12" x14ac:dyDescent="0.4">
      <c r="A470" s="129" t="s">
        <v>1651</v>
      </c>
      <c r="B470" s="129" t="s">
        <v>18</v>
      </c>
      <c r="C470" s="129" t="s">
        <v>611</v>
      </c>
      <c r="D470" s="130" t="s">
        <v>612</v>
      </c>
      <c r="E470" s="129" t="s">
        <v>772</v>
      </c>
      <c r="F470" s="129" t="s">
        <v>776</v>
      </c>
      <c r="G470" s="129"/>
      <c r="H470" s="129"/>
      <c r="I470" s="125"/>
      <c r="J470" s="129"/>
      <c r="K470" s="123"/>
      <c r="L470" s="129" t="s">
        <v>1763</v>
      </c>
    </row>
    <row r="471" spans="1:12" x14ac:dyDescent="0.4">
      <c r="A471" s="129" t="s">
        <v>1651</v>
      </c>
      <c r="B471" s="129" t="s">
        <v>18</v>
      </c>
      <c r="C471" s="129" t="s">
        <v>1567</v>
      </c>
      <c r="D471" s="130" t="s">
        <v>1568</v>
      </c>
      <c r="E471" s="129" t="s">
        <v>203</v>
      </c>
      <c r="F471" s="129">
        <v>3</v>
      </c>
      <c r="G471" s="129"/>
      <c r="H471" s="129"/>
      <c r="I471" s="125"/>
      <c r="J471" s="129"/>
      <c r="K471" s="123"/>
      <c r="L471" s="129" t="s">
        <v>1763</v>
      </c>
    </row>
    <row r="472" spans="1:12" x14ac:dyDescent="0.4">
      <c r="A472" s="129" t="s">
        <v>1651</v>
      </c>
      <c r="B472" s="129" t="s">
        <v>18</v>
      </c>
      <c r="C472" s="129" t="s">
        <v>1567</v>
      </c>
      <c r="D472" s="130" t="s">
        <v>1568</v>
      </c>
      <c r="E472" s="129" t="s">
        <v>300</v>
      </c>
      <c r="F472" s="129">
        <v>3</v>
      </c>
      <c r="G472" s="129"/>
      <c r="H472" s="129"/>
      <c r="I472" s="125"/>
      <c r="J472" s="129"/>
      <c r="K472" s="123"/>
      <c r="L472" s="129" t="s">
        <v>1763</v>
      </c>
    </row>
    <row r="473" spans="1:12" x14ac:dyDescent="0.4">
      <c r="A473" s="129" t="s">
        <v>1651</v>
      </c>
      <c r="B473" s="129" t="s">
        <v>18</v>
      </c>
      <c r="C473" s="129" t="s">
        <v>1567</v>
      </c>
      <c r="D473" s="130" t="s">
        <v>1568</v>
      </c>
      <c r="E473" s="129" t="s">
        <v>206</v>
      </c>
      <c r="F473" s="129">
        <v>2</v>
      </c>
      <c r="G473" s="129"/>
      <c r="H473" s="129"/>
      <c r="I473" s="125"/>
      <c r="J473" s="129"/>
      <c r="K473" s="123"/>
      <c r="L473" s="129" t="s">
        <v>1763</v>
      </c>
    </row>
    <row r="474" spans="1:12" x14ac:dyDescent="0.4">
      <c r="A474" s="129" t="s">
        <v>1651</v>
      </c>
      <c r="B474" s="129" t="s">
        <v>18</v>
      </c>
      <c r="C474" s="129" t="s">
        <v>1567</v>
      </c>
      <c r="D474" s="130" t="s">
        <v>1568</v>
      </c>
      <c r="E474" s="129" t="s">
        <v>204</v>
      </c>
      <c r="F474" s="129">
        <v>3</v>
      </c>
      <c r="G474" s="129"/>
      <c r="H474" s="129"/>
      <c r="I474" s="125"/>
      <c r="J474" s="129"/>
      <c r="K474" s="123"/>
      <c r="L474" s="129" t="s">
        <v>1763</v>
      </c>
    </row>
    <row r="475" spans="1:12" x14ac:dyDescent="0.4">
      <c r="A475" s="129" t="s">
        <v>1651</v>
      </c>
      <c r="B475" s="129" t="s">
        <v>18</v>
      </c>
      <c r="C475" s="129" t="s">
        <v>1567</v>
      </c>
      <c r="D475" s="130" t="s">
        <v>1568</v>
      </c>
      <c r="E475" s="129" t="s">
        <v>551</v>
      </c>
      <c r="F475" s="129"/>
      <c r="G475" s="129"/>
      <c r="H475" s="129"/>
      <c r="I475" s="125"/>
      <c r="J475" s="129"/>
      <c r="K475" s="123"/>
      <c r="L475" s="129" t="s">
        <v>1763</v>
      </c>
    </row>
    <row r="476" spans="1:12" x14ac:dyDescent="0.4">
      <c r="A476" s="129" t="s">
        <v>1651</v>
      </c>
      <c r="B476" s="129" t="s">
        <v>18</v>
      </c>
      <c r="C476" s="129" t="s">
        <v>1567</v>
      </c>
      <c r="D476" s="130" t="s">
        <v>1568</v>
      </c>
      <c r="E476" s="129" t="s">
        <v>772</v>
      </c>
      <c r="F476" s="129" t="s">
        <v>776</v>
      </c>
      <c r="G476" s="129"/>
      <c r="H476" s="129"/>
      <c r="I476" s="125"/>
      <c r="J476" s="129"/>
      <c r="K476" s="123"/>
      <c r="L476" s="129" t="s">
        <v>1763</v>
      </c>
    </row>
    <row r="477" spans="1:12" ht="29.15" x14ac:dyDescent="0.4">
      <c r="A477" s="129" t="s">
        <v>1651</v>
      </c>
      <c r="B477" s="129" t="s">
        <v>18</v>
      </c>
      <c r="C477" s="129" t="s">
        <v>1190</v>
      </c>
      <c r="D477" s="130" t="s">
        <v>1191</v>
      </c>
      <c r="E477" s="129" t="s">
        <v>203</v>
      </c>
      <c r="F477" s="129">
        <v>4</v>
      </c>
      <c r="G477" s="129"/>
      <c r="H477" s="129"/>
      <c r="I477" s="125"/>
      <c r="J477" s="129"/>
      <c r="K477" s="123"/>
      <c r="L477" s="129" t="s">
        <v>1763</v>
      </c>
    </row>
    <row r="478" spans="1:12" ht="29.15" x14ac:dyDescent="0.4">
      <c r="A478" s="129" t="s">
        <v>1651</v>
      </c>
      <c r="B478" s="129" t="s">
        <v>18</v>
      </c>
      <c r="C478" s="129" t="s">
        <v>1190</v>
      </c>
      <c r="D478" s="130" t="s">
        <v>1191</v>
      </c>
      <c r="E478" s="129" t="s">
        <v>300</v>
      </c>
      <c r="F478" s="129">
        <v>4</v>
      </c>
      <c r="G478" s="129"/>
      <c r="H478" s="129"/>
      <c r="I478" s="125"/>
      <c r="J478" s="129"/>
      <c r="K478" s="123"/>
      <c r="L478" s="129" t="s">
        <v>1763</v>
      </c>
    </row>
    <row r="479" spans="1:12" ht="29.15" x14ac:dyDescent="0.4">
      <c r="A479" s="129" t="s">
        <v>1651</v>
      </c>
      <c r="B479" s="129" t="s">
        <v>18</v>
      </c>
      <c r="C479" s="129" t="s">
        <v>1190</v>
      </c>
      <c r="D479" s="130" t="s">
        <v>1191</v>
      </c>
      <c r="E479" s="129" t="s">
        <v>206</v>
      </c>
      <c r="F479" s="129">
        <v>1</v>
      </c>
      <c r="G479" s="129"/>
      <c r="H479" s="129"/>
      <c r="I479" s="125"/>
      <c r="J479" s="129"/>
      <c r="K479" s="123"/>
      <c r="L479" s="129" t="s">
        <v>1763</v>
      </c>
    </row>
    <row r="480" spans="1:12" ht="29.15" x14ac:dyDescent="0.4">
      <c r="A480" s="129" t="s">
        <v>1651</v>
      </c>
      <c r="B480" s="129" t="s">
        <v>18</v>
      </c>
      <c r="C480" s="129" t="s">
        <v>1190</v>
      </c>
      <c r="D480" s="130" t="s">
        <v>1191</v>
      </c>
      <c r="E480" s="129" t="s">
        <v>204</v>
      </c>
      <c r="F480" s="129">
        <v>3</v>
      </c>
      <c r="G480" s="129"/>
      <c r="H480" s="129"/>
      <c r="I480" s="125"/>
      <c r="J480" s="129"/>
      <c r="K480" s="123"/>
      <c r="L480" s="129" t="s">
        <v>1763</v>
      </c>
    </row>
    <row r="481" spans="1:12" ht="29.15" x14ac:dyDescent="0.4">
      <c r="A481" s="129" t="s">
        <v>1651</v>
      </c>
      <c r="B481" s="129" t="s">
        <v>18</v>
      </c>
      <c r="C481" s="129" t="s">
        <v>1190</v>
      </c>
      <c r="D481" s="130" t="s">
        <v>1191</v>
      </c>
      <c r="E481" s="129" t="s">
        <v>551</v>
      </c>
      <c r="F481" s="129"/>
      <c r="G481" s="129"/>
      <c r="H481" s="129"/>
      <c r="I481" s="125"/>
      <c r="J481" s="129"/>
      <c r="K481" s="123"/>
      <c r="L481" s="129" t="s">
        <v>1763</v>
      </c>
    </row>
    <row r="482" spans="1:12" ht="29.15" x14ac:dyDescent="0.4">
      <c r="A482" s="129" t="s">
        <v>1651</v>
      </c>
      <c r="B482" s="129" t="s">
        <v>18</v>
      </c>
      <c r="C482" s="129" t="s">
        <v>1190</v>
      </c>
      <c r="D482" s="130" t="s">
        <v>1191</v>
      </c>
      <c r="E482" s="129" t="s">
        <v>772</v>
      </c>
      <c r="F482" s="129" t="s">
        <v>776</v>
      </c>
      <c r="G482" s="129"/>
      <c r="H482" s="129"/>
      <c r="I482" s="125"/>
      <c r="J482" s="129"/>
      <c r="K482" s="123"/>
      <c r="L482" s="129" t="s">
        <v>1763</v>
      </c>
    </row>
    <row r="483" spans="1:12" ht="29.15" x14ac:dyDescent="0.4">
      <c r="A483" s="129" t="s">
        <v>1651</v>
      </c>
      <c r="B483" s="129" t="s">
        <v>18</v>
      </c>
      <c r="C483" s="129" t="s">
        <v>1182</v>
      </c>
      <c r="D483" s="130" t="s">
        <v>1183</v>
      </c>
      <c r="E483" s="129" t="s">
        <v>203</v>
      </c>
      <c r="F483" s="129">
        <v>5</v>
      </c>
      <c r="G483" s="129"/>
      <c r="H483" s="129"/>
      <c r="I483" s="125"/>
      <c r="J483" s="129"/>
      <c r="K483" s="123"/>
      <c r="L483" s="129" t="s">
        <v>1763</v>
      </c>
    </row>
    <row r="484" spans="1:12" ht="29.15" x14ac:dyDescent="0.4">
      <c r="A484" s="129" t="s">
        <v>1651</v>
      </c>
      <c r="B484" s="129" t="s">
        <v>18</v>
      </c>
      <c r="C484" s="129" t="s">
        <v>1182</v>
      </c>
      <c r="D484" s="130" t="s">
        <v>1183</v>
      </c>
      <c r="E484" s="129" t="s">
        <v>300</v>
      </c>
      <c r="F484" s="129"/>
      <c r="G484" s="129"/>
      <c r="H484" s="129"/>
      <c r="I484" s="125"/>
      <c r="J484" s="129"/>
      <c r="K484" s="123"/>
      <c r="L484" s="129" t="s">
        <v>1763</v>
      </c>
    </row>
    <row r="485" spans="1:12" ht="29.15" x14ac:dyDescent="0.4">
      <c r="A485" s="129" t="s">
        <v>1651</v>
      </c>
      <c r="B485" s="129" t="s">
        <v>18</v>
      </c>
      <c r="C485" s="129" t="s">
        <v>1182</v>
      </c>
      <c r="D485" s="130" t="s">
        <v>1183</v>
      </c>
      <c r="E485" s="129" t="s">
        <v>206</v>
      </c>
      <c r="F485" s="129">
        <v>1</v>
      </c>
      <c r="G485" s="129"/>
      <c r="H485" s="129"/>
      <c r="I485" s="125"/>
      <c r="J485" s="129"/>
      <c r="K485" s="123"/>
      <c r="L485" s="129" t="s">
        <v>1763</v>
      </c>
    </row>
    <row r="486" spans="1:12" ht="29.15" x14ac:dyDescent="0.4">
      <c r="A486" s="129" t="s">
        <v>1651</v>
      </c>
      <c r="B486" s="129" t="s">
        <v>18</v>
      </c>
      <c r="C486" s="129" t="s">
        <v>1182</v>
      </c>
      <c r="D486" s="130" t="s">
        <v>1183</v>
      </c>
      <c r="E486" s="129" t="s">
        <v>204</v>
      </c>
      <c r="F486" s="129">
        <v>1</v>
      </c>
      <c r="G486" s="129"/>
      <c r="H486" s="129"/>
      <c r="I486" s="125"/>
      <c r="J486" s="129"/>
      <c r="K486" s="123"/>
      <c r="L486" s="129" t="s">
        <v>1763</v>
      </c>
    </row>
    <row r="487" spans="1:12" ht="29.15" x14ac:dyDescent="0.4">
      <c r="A487" s="129" t="s">
        <v>1651</v>
      </c>
      <c r="B487" s="129" t="s">
        <v>18</v>
      </c>
      <c r="C487" s="129" t="s">
        <v>1182</v>
      </c>
      <c r="D487" s="130" t="s">
        <v>1183</v>
      </c>
      <c r="E487" s="129" t="s">
        <v>551</v>
      </c>
      <c r="F487" s="129"/>
      <c r="G487" s="129"/>
      <c r="H487" s="129"/>
      <c r="I487" s="125"/>
      <c r="J487" s="129"/>
      <c r="K487" s="123"/>
      <c r="L487" s="129" t="s">
        <v>1763</v>
      </c>
    </row>
    <row r="488" spans="1:12" ht="29.15" x14ac:dyDescent="0.4">
      <c r="A488" s="129" t="s">
        <v>1651</v>
      </c>
      <c r="B488" s="129" t="s">
        <v>18</v>
      </c>
      <c r="C488" s="129" t="s">
        <v>1182</v>
      </c>
      <c r="D488" s="130" t="s">
        <v>1183</v>
      </c>
      <c r="E488" s="129" t="s">
        <v>772</v>
      </c>
      <c r="F488" s="129" t="s">
        <v>776</v>
      </c>
      <c r="G488" s="129"/>
      <c r="H488" s="129"/>
      <c r="I488" s="125"/>
      <c r="J488" s="129"/>
      <c r="K488" s="123"/>
      <c r="L488" s="129" t="s">
        <v>1763</v>
      </c>
    </row>
    <row r="489" spans="1:12" x14ac:dyDescent="0.4">
      <c r="A489" s="129" t="s">
        <v>1651</v>
      </c>
      <c r="B489" s="129" t="s">
        <v>124</v>
      </c>
      <c r="C489" s="129" t="s">
        <v>437</v>
      </c>
      <c r="D489" s="130" t="s">
        <v>1290</v>
      </c>
      <c r="E489" s="129" t="s">
        <v>834</v>
      </c>
      <c r="F489" s="129">
        <v>6.4</v>
      </c>
      <c r="G489" s="129"/>
      <c r="H489" s="129"/>
      <c r="I489" s="125"/>
      <c r="J489" s="129"/>
      <c r="K489" s="123"/>
      <c r="L489" s="129" t="s">
        <v>1763</v>
      </c>
    </row>
    <row r="490" spans="1:12" x14ac:dyDescent="0.4">
      <c r="A490" s="129" t="s">
        <v>1651</v>
      </c>
      <c r="B490" s="129" t="s">
        <v>124</v>
      </c>
      <c r="C490" s="129" t="s">
        <v>437</v>
      </c>
      <c r="D490" s="130" t="s">
        <v>1290</v>
      </c>
      <c r="E490" s="129" t="s">
        <v>828</v>
      </c>
      <c r="F490" s="129">
        <v>3</v>
      </c>
      <c r="G490" s="129"/>
      <c r="H490" s="129"/>
      <c r="I490" s="125"/>
      <c r="J490" s="129"/>
      <c r="K490" s="123"/>
      <c r="L490" s="129" t="s">
        <v>1763</v>
      </c>
    </row>
    <row r="491" spans="1:12" x14ac:dyDescent="0.4">
      <c r="A491" s="129" t="s">
        <v>1651</v>
      </c>
      <c r="B491" s="129" t="s">
        <v>124</v>
      </c>
      <c r="C491" s="129" t="s">
        <v>437</v>
      </c>
      <c r="D491" s="130" t="s">
        <v>1290</v>
      </c>
      <c r="E491" s="129" t="s">
        <v>832</v>
      </c>
      <c r="F491" s="129">
        <v>6</v>
      </c>
      <c r="G491" s="129"/>
      <c r="H491" s="129"/>
      <c r="I491" s="125"/>
      <c r="J491" s="129"/>
      <c r="K491" s="123"/>
      <c r="L491" s="129" t="s">
        <v>1763</v>
      </c>
    </row>
    <row r="492" spans="1:12" ht="29.15" x14ac:dyDescent="0.4">
      <c r="A492" s="129" t="s">
        <v>1651</v>
      </c>
      <c r="B492" s="129" t="s">
        <v>124</v>
      </c>
      <c r="C492" s="129" t="s">
        <v>1292</v>
      </c>
      <c r="D492" s="130" t="s">
        <v>1293</v>
      </c>
      <c r="E492" s="129" t="s">
        <v>834</v>
      </c>
      <c r="F492" s="129">
        <v>3.5</v>
      </c>
      <c r="G492" s="129"/>
      <c r="H492" s="129"/>
      <c r="I492" s="125"/>
      <c r="J492" s="129"/>
      <c r="K492" s="123"/>
      <c r="L492" s="129" t="s">
        <v>1763</v>
      </c>
    </row>
    <row r="493" spans="1:12" ht="29.15" x14ac:dyDescent="0.4">
      <c r="A493" s="129" t="s">
        <v>1651</v>
      </c>
      <c r="B493" s="129" t="s">
        <v>124</v>
      </c>
      <c r="C493" s="129" t="s">
        <v>1292</v>
      </c>
      <c r="D493" s="130" t="s">
        <v>1293</v>
      </c>
      <c r="E493" s="129" t="s">
        <v>828</v>
      </c>
      <c r="F493" s="129">
        <v>4</v>
      </c>
      <c r="G493" s="129"/>
      <c r="H493" s="129"/>
      <c r="I493" s="125"/>
      <c r="J493" s="129"/>
      <c r="K493" s="123"/>
      <c r="L493" s="129" t="s">
        <v>1763</v>
      </c>
    </row>
    <row r="494" spans="1:12" ht="29.15" x14ac:dyDescent="0.4">
      <c r="A494" s="129" t="s">
        <v>1651</v>
      </c>
      <c r="B494" s="129" t="s">
        <v>124</v>
      </c>
      <c r="C494" s="129" t="s">
        <v>1292</v>
      </c>
      <c r="D494" s="130" t="s">
        <v>1293</v>
      </c>
      <c r="E494" s="129" t="s">
        <v>832</v>
      </c>
      <c r="F494" s="129">
        <v>12</v>
      </c>
      <c r="G494" s="129"/>
      <c r="H494" s="129"/>
      <c r="I494" s="125"/>
      <c r="J494" s="129"/>
      <c r="K494" s="123"/>
      <c r="L494" s="129" t="s">
        <v>1763</v>
      </c>
    </row>
    <row r="495" spans="1:12" x14ac:dyDescent="0.4">
      <c r="A495" s="129" t="s">
        <v>1651</v>
      </c>
      <c r="B495" s="129" t="s">
        <v>124</v>
      </c>
      <c r="C495" s="129" t="s">
        <v>1298</v>
      </c>
      <c r="D495" s="130" t="s">
        <v>1299</v>
      </c>
      <c r="E495" s="129" t="s">
        <v>834</v>
      </c>
      <c r="F495" s="129">
        <v>70</v>
      </c>
      <c r="G495" s="129"/>
      <c r="H495" s="129"/>
      <c r="I495" s="125"/>
      <c r="J495" s="129"/>
      <c r="K495" s="123"/>
      <c r="L495" s="129" t="s">
        <v>1763</v>
      </c>
    </row>
    <row r="496" spans="1:12" x14ac:dyDescent="0.4">
      <c r="A496" s="129" t="s">
        <v>1651</v>
      </c>
      <c r="B496" s="129" t="s">
        <v>124</v>
      </c>
      <c r="C496" s="129" t="s">
        <v>1298</v>
      </c>
      <c r="D496" s="130" t="s">
        <v>1299</v>
      </c>
      <c r="E496" s="129" t="s">
        <v>828</v>
      </c>
      <c r="F496" s="129">
        <v>60</v>
      </c>
      <c r="G496" s="129"/>
      <c r="H496" s="129"/>
      <c r="I496" s="125"/>
      <c r="J496" s="129"/>
      <c r="K496" s="123"/>
      <c r="L496" s="129" t="s">
        <v>1763</v>
      </c>
    </row>
    <row r="497" spans="1:12" x14ac:dyDescent="0.4">
      <c r="A497" s="129" t="s">
        <v>1651</v>
      </c>
      <c r="B497" s="129" t="s">
        <v>124</v>
      </c>
      <c r="C497" s="129" t="s">
        <v>1298</v>
      </c>
      <c r="D497" s="130" t="s">
        <v>1299</v>
      </c>
      <c r="E497" s="129" t="s">
        <v>832</v>
      </c>
      <c r="F497" s="129">
        <v>75</v>
      </c>
      <c r="G497" s="129"/>
      <c r="H497" s="129"/>
      <c r="I497" s="125"/>
      <c r="J497" s="129"/>
      <c r="K497" s="123"/>
      <c r="L497" s="129" t="s">
        <v>1763</v>
      </c>
    </row>
    <row r="498" spans="1:12" x14ac:dyDescent="0.4">
      <c r="A498" s="129" t="s">
        <v>1651</v>
      </c>
      <c r="B498" s="129" t="s">
        <v>124</v>
      </c>
      <c r="C498" s="129" t="s">
        <v>1308</v>
      </c>
      <c r="D498" s="130" t="s">
        <v>1309</v>
      </c>
      <c r="E498" s="129" t="s">
        <v>834</v>
      </c>
      <c r="F498" s="129">
        <v>1.7</v>
      </c>
      <c r="G498" s="129"/>
      <c r="H498" s="129"/>
      <c r="I498" s="125"/>
      <c r="J498" s="129"/>
      <c r="K498" s="123"/>
      <c r="L498" s="129" t="s">
        <v>1763</v>
      </c>
    </row>
    <row r="499" spans="1:12" x14ac:dyDescent="0.4">
      <c r="A499" s="129" t="s">
        <v>1651</v>
      </c>
      <c r="B499" s="129" t="s">
        <v>124</v>
      </c>
      <c r="C499" s="129" t="s">
        <v>1308</v>
      </c>
      <c r="D499" s="130" t="s">
        <v>1309</v>
      </c>
      <c r="E499" s="129" t="s">
        <v>828</v>
      </c>
      <c r="F499" s="129">
        <v>1.5</v>
      </c>
      <c r="G499" s="129"/>
      <c r="H499" s="129"/>
      <c r="I499" s="125"/>
      <c r="J499" s="129"/>
      <c r="K499" s="123"/>
      <c r="L499" s="129" t="s">
        <v>1763</v>
      </c>
    </row>
    <row r="500" spans="1:12" x14ac:dyDescent="0.4">
      <c r="A500" s="129" t="s">
        <v>1651</v>
      </c>
      <c r="B500" s="129" t="s">
        <v>124</v>
      </c>
      <c r="C500" s="129" t="s">
        <v>1308</v>
      </c>
      <c r="D500" s="130" t="s">
        <v>1309</v>
      </c>
      <c r="E500" s="129" t="s">
        <v>832</v>
      </c>
      <c r="F500" s="129">
        <v>3</v>
      </c>
      <c r="G500" s="129"/>
      <c r="H500" s="129"/>
      <c r="I500" s="125"/>
      <c r="J500" s="129"/>
      <c r="K500" s="123"/>
      <c r="L500" s="129" t="s">
        <v>1763</v>
      </c>
    </row>
    <row r="501" spans="1:12" ht="29.15" x14ac:dyDescent="0.4">
      <c r="A501" s="129" t="s">
        <v>1651</v>
      </c>
      <c r="B501" s="129" t="s">
        <v>124</v>
      </c>
      <c r="C501" s="129" t="s">
        <v>1313</v>
      </c>
      <c r="D501" s="130" t="s">
        <v>1314</v>
      </c>
      <c r="E501" s="129" t="s">
        <v>834</v>
      </c>
      <c r="F501" s="129">
        <v>35</v>
      </c>
      <c r="G501" s="129"/>
      <c r="H501" s="129"/>
      <c r="I501" s="125"/>
      <c r="J501" s="129"/>
      <c r="K501" s="123"/>
      <c r="L501" s="129" t="s">
        <v>1763</v>
      </c>
    </row>
    <row r="502" spans="1:12" ht="29.15" x14ac:dyDescent="0.4">
      <c r="A502" s="129" t="s">
        <v>1651</v>
      </c>
      <c r="B502" s="129" t="s">
        <v>124</v>
      </c>
      <c r="C502" s="129" t="s">
        <v>1313</v>
      </c>
      <c r="D502" s="130" t="s">
        <v>1314</v>
      </c>
      <c r="E502" s="129" t="s">
        <v>828</v>
      </c>
      <c r="F502" s="129">
        <v>20</v>
      </c>
      <c r="G502" s="129"/>
      <c r="H502" s="129"/>
      <c r="I502" s="125"/>
      <c r="J502" s="129"/>
      <c r="K502" s="123"/>
      <c r="L502" s="129" t="s">
        <v>1763</v>
      </c>
    </row>
    <row r="503" spans="1:12" ht="29.15" x14ac:dyDescent="0.4">
      <c r="A503" s="129" t="s">
        <v>1651</v>
      </c>
      <c r="B503" s="129" t="s">
        <v>124</v>
      </c>
      <c r="C503" s="129" t="s">
        <v>1313</v>
      </c>
      <c r="D503" s="130" t="s">
        <v>1314</v>
      </c>
      <c r="E503" s="129" t="s">
        <v>832</v>
      </c>
      <c r="F503" s="129">
        <v>40</v>
      </c>
      <c r="G503" s="129"/>
      <c r="H503" s="129"/>
      <c r="I503" s="125"/>
      <c r="J503" s="129"/>
      <c r="K503" s="123"/>
      <c r="L503" s="129" t="s">
        <v>1763</v>
      </c>
    </row>
    <row r="504" spans="1:12" ht="29.15" x14ac:dyDescent="0.4">
      <c r="A504" s="129" t="s">
        <v>1651</v>
      </c>
      <c r="B504" s="129" t="s">
        <v>124</v>
      </c>
      <c r="C504" s="129" t="s">
        <v>1317</v>
      </c>
      <c r="D504" s="130" t="s">
        <v>1318</v>
      </c>
      <c r="E504" s="129" t="s">
        <v>834</v>
      </c>
      <c r="F504" s="129">
        <v>2</v>
      </c>
      <c r="G504" s="129"/>
      <c r="H504" s="129"/>
      <c r="I504" s="125"/>
      <c r="J504" s="129"/>
      <c r="K504" s="123"/>
      <c r="L504" s="129" t="s">
        <v>1763</v>
      </c>
    </row>
    <row r="505" spans="1:12" ht="29.15" x14ac:dyDescent="0.4">
      <c r="A505" s="129" t="s">
        <v>1651</v>
      </c>
      <c r="B505" s="129" t="s">
        <v>124</v>
      </c>
      <c r="C505" s="129" t="s">
        <v>1317</v>
      </c>
      <c r="D505" s="130" t="s">
        <v>1318</v>
      </c>
      <c r="E505" s="129" t="s">
        <v>828</v>
      </c>
      <c r="F505" s="129">
        <v>1</v>
      </c>
      <c r="G505" s="129"/>
      <c r="H505" s="129"/>
      <c r="I505" s="125"/>
      <c r="J505" s="129"/>
      <c r="K505" s="123"/>
      <c r="L505" s="129" t="s">
        <v>1763</v>
      </c>
    </row>
    <row r="506" spans="1:12" ht="29.15" x14ac:dyDescent="0.4">
      <c r="A506" s="129" t="s">
        <v>1651</v>
      </c>
      <c r="B506" s="129" t="s">
        <v>124</v>
      </c>
      <c r="C506" s="129" t="s">
        <v>1317</v>
      </c>
      <c r="D506" s="130" t="s">
        <v>1318</v>
      </c>
      <c r="E506" s="129" t="s">
        <v>832</v>
      </c>
      <c r="F506" s="129">
        <v>3</v>
      </c>
      <c r="G506" s="129"/>
      <c r="H506" s="129"/>
      <c r="I506" s="125"/>
      <c r="J506" s="129"/>
      <c r="K506" s="123"/>
      <c r="L506" s="129" t="s">
        <v>1763</v>
      </c>
    </row>
    <row r="507" spans="1:12" x14ac:dyDescent="0.4">
      <c r="A507" s="129" t="s">
        <v>1651</v>
      </c>
      <c r="B507" s="129" t="s">
        <v>124</v>
      </c>
      <c r="C507" s="129" t="s">
        <v>1321</v>
      </c>
      <c r="D507" s="130" t="s">
        <v>1322</v>
      </c>
      <c r="E507" s="129" t="s">
        <v>834</v>
      </c>
      <c r="F507" s="129">
        <v>0</v>
      </c>
      <c r="G507" s="129"/>
      <c r="H507" s="129"/>
      <c r="I507" s="125"/>
      <c r="J507" s="129"/>
      <c r="K507" s="123"/>
      <c r="L507" s="129" t="s">
        <v>1763</v>
      </c>
    </row>
    <row r="508" spans="1:12" x14ac:dyDescent="0.4">
      <c r="A508" s="129" t="s">
        <v>1651</v>
      </c>
      <c r="B508" s="129" t="s">
        <v>124</v>
      </c>
      <c r="C508" s="129" t="s">
        <v>1321</v>
      </c>
      <c r="D508" s="130" t="s">
        <v>1322</v>
      </c>
      <c r="E508" s="129" t="s">
        <v>828</v>
      </c>
      <c r="F508" s="129">
        <v>2</v>
      </c>
      <c r="G508" s="129"/>
      <c r="H508" s="129"/>
      <c r="I508" s="125"/>
      <c r="J508" s="129"/>
      <c r="K508" s="123"/>
      <c r="L508" s="129" t="s">
        <v>1763</v>
      </c>
    </row>
    <row r="509" spans="1:12" x14ac:dyDescent="0.4">
      <c r="A509" s="129" t="s">
        <v>1651</v>
      </c>
      <c r="B509" s="129" t="s">
        <v>124</v>
      </c>
      <c r="C509" s="129" t="s">
        <v>1321</v>
      </c>
      <c r="D509" s="130" t="s">
        <v>1322</v>
      </c>
      <c r="E509" s="129" t="s">
        <v>832</v>
      </c>
      <c r="F509" s="129">
        <v>5</v>
      </c>
      <c r="G509" s="129"/>
      <c r="H509" s="129"/>
      <c r="I509" s="125"/>
      <c r="J509" s="129"/>
      <c r="K509" s="123"/>
      <c r="L509" s="129" t="s">
        <v>1763</v>
      </c>
    </row>
    <row r="510" spans="1:12" x14ac:dyDescent="0.4">
      <c r="A510" s="129" t="s">
        <v>1651</v>
      </c>
      <c r="B510" s="129" t="s">
        <v>124</v>
      </c>
      <c r="C510" s="129" t="s">
        <v>1326</v>
      </c>
      <c r="D510" s="130" t="s">
        <v>1327</v>
      </c>
      <c r="E510" s="129" t="s">
        <v>834</v>
      </c>
      <c r="F510" s="129">
        <v>2</v>
      </c>
      <c r="G510" s="129"/>
      <c r="H510" s="129"/>
      <c r="I510" s="125"/>
      <c r="J510" s="129"/>
      <c r="K510" s="123"/>
      <c r="L510" s="129" t="s">
        <v>1763</v>
      </c>
    </row>
    <row r="511" spans="1:12" x14ac:dyDescent="0.4">
      <c r="A511" s="129" t="s">
        <v>1651</v>
      </c>
      <c r="B511" s="129" t="s">
        <v>124</v>
      </c>
      <c r="C511" s="129" t="s">
        <v>1326</v>
      </c>
      <c r="D511" s="130" t="s">
        <v>1327</v>
      </c>
      <c r="E511" s="129" t="s">
        <v>828</v>
      </c>
      <c r="F511" s="129">
        <v>3</v>
      </c>
      <c r="G511" s="129"/>
      <c r="H511" s="129"/>
      <c r="I511" s="125"/>
      <c r="J511" s="129"/>
      <c r="K511" s="123"/>
      <c r="L511" s="129" t="s">
        <v>1763</v>
      </c>
    </row>
    <row r="512" spans="1:12" x14ac:dyDescent="0.4">
      <c r="A512" s="129" t="s">
        <v>1651</v>
      </c>
      <c r="B512" s="129" t="s">
        <v>124</v>
      </c>
      <c r="C512" s="129" t="s">
        <v>1326</v>
      </c>
      <c r="D512" s="130" t="s">
        <v>1327</v>
      </c>
      <c r="E512" s="129" t="s">
        <v>832</v>
      </c>
      <c r="F512" s="129">
        <v>6</v>
      </c>
      <c r="G512" s="129"/>
      <c r="H512" s="129"/>
      <c r="I512" s="125"/>
      <c r="J512" s="129"/>
      <c r="K512" s="123"/>
      <c r="L512" s="129" t="s">
        <v>1763</v>
      </c>
    </row>
    <row r="513" spans="1:12" ht="29.15" x14ac:dyDescent="0.4">
      <c r="A513" s="129" t="s">
        <v>1651</v>
      </c>
      <c r="B513" s="129" t="s">
        <v>124</v>
      </c>
      <c r="C513" s="129" t="s">
        <v>1330</v>
      </c>
      <c r="D513" s="130" t="s">
        <v>1331</v>
      </c>
      <c r="E513" s="129" t="s">
        <v>834</v>
      </c>
      <c r="F513" s="129">
        <v>12</v>
      </c>
      <c r="G513" s="129"/>
      <c r="H513" s="129"/>
      <c r="I513" s="125"/>
      <c r="J513" s="129"/>
      <c r="K513" s="123"/>
      <c r="L513" s="129" t="s">
        <v>1763</v>
      </c>
    </row>
    <row r="514" spans="1:12" ht="29.15" x14ac:dyDescent="0.4">
      <c r="A514" s="129" t="s">
        <v>1651</v>
      </c>
      <c r="B514" s="129" t="s">
        <v>124</v>
      </c>
      <c r="C514" s="129" t="s">
        <v>1330</v>
      </c>
      <c r="D514" s="130" t="s">
        <v>1331</v>
      </c>
      <c r="E514" s="129" t="s">
        <v>828</v>
      </c>
      <c r="F514" s="129">
        <v>30</v>
      </c>
      <c r="G514" s="129"/>
      <c r="H514" s="129"/>
      <c r="I514" s="125"/>
      <c r="J514" s="129"/>
      <c r="K514" s="123"/>
      <c r="L514" s="129" t="s">
        <v>1763</v>
      </c>
    </row>
    <row r="515" spans="1:12" ht="29.15" x14ac:dyDescent="0.4">
      <c r="A515" s="129" t="s">
        <v>1651</v>
      </c>
      <c r="B515" s="129" t="s">
        <v>124</v>
      </c>
      <c r="C515" s="129" t="s">
        <v>1330</v>
      </c>
      <c r="D515" s="130" t="s">
        <v>1331</v>
      </c>
      <c r="E515" s="129" t="s">
        <v>832</v>
      </c>
      <c r="F515" s="129">
        <v>60</v>
      </c>
      <c r="G515" s="129"/>
      <c r="H515" s="129"/>
      <c r="I515" s="125"/>
      <c r="J515" s="129"/>
      <c r="K515" s="123"/>
      <c r="L515" s="129" t="s">
        <v>1763</v>
      </c>
    </row>
    <row r="516" spans="1:12" ht="29.15" x14ac:dyDescent="0.4">
      <c r="A516" s="129" t="s">
        <v>1651</v>
      </c>
      <c r="B516" s="129" t="s">
        <v>124</v>
      </c>
      <c r="C516" s="129" t="s">
        <v>1366</v>
      </c>
      <c r="D516" s="130" t="s">
        <v>1367</v>
      </c>
      <c r="E516" s="129" t="s">
        <v>834</v>
      </c>
      <c r="F516" s="129">
        <v>5</v>
      </c>
      <c r="G516" s="129"/>
      <c r="H516" s="129"/>
      <c r="I516" s="125"/>
      <c r="J516" s="129"/>
      <c r="K516" s="123"/>
      <c r="L516" s="129" t="s">
        <v>1763</v>
      </c>
    </row>
    <row r="517" spans="1:12" ht="29.15" x14ac:dyDescent="0.4">
      <c r="A517" s="129" t="s">
        <v>1651</v>
      </c>
      <c r="B517" s="129" t="s">
        <v>124</v>
      </c>
      <c r="C517" s="129" t="s">
        <v>1366</v>
      </c>
      <c r="D517" s="130" t="s">
        <v>1367</v>
      </c>
      <c r="E517" s="129" t="s">
        <v>828</v>
      </c>
      <c r="F517" s="129">
        <v>10</v>
      </c>
      <c r="G517" s="129"/>
      <c r="H517" s="129"/>
      <c r="I517" s="125"/>
      <c r="J517" s="129"/>
      <c r="K517" s="123"/>
      <c r="L517" s="129" t="s">
        <v>1763</v>
      </c>
    </row>
    <row r="518" spans="1:12" ht="29.15" x14ac:dyDescent="0.4">
      <c r="A518" s="129" t="s">
        <v>1651</v>
      </c>
      <c r="B518" s="129" t="s">
        <v>124</v>
      </c>
      <c r="C518" s="129" t="s">
        <v>1366</v>
      </c>
      <c r="D518" s="130" t="s">
        <v>1367</v>
      </c>
      <c r="E518" s="129" t="s">
        <v>832</v>
      </c>
      <c r="F518" s="129">
        <v>30</v>
      </c>
      <c r="G518" s="129"/>
      <c r="H518" s="129"/>
      <c r="I518" s="125"/>
      <c r="J518" s="129"/>
      <c r="K518" s="123"/>
      <c r="L518" s="129" t="s">
        <v>1763</v>
      </c>
    </row>
    <row r="519" spans="1:12" ht="29.15" x14ac:dyDescent="0.4">
      <c r="A519" s="129" t="s">
        <v>1651</v>
      </c>
      <c r="B519" s="129" t="s">
        <v>124</v>
      </c>
      <c r="C519" s="129" t="s">
        <v>1370</v>
      </c>
      <c r="D519" s="130" t="s">
        <v>1371</v>
      </c>
      <c r="E519" s="129" t="s">
        <v>834</v>
      </c>
      <c r="F519" s="129">
        <v>12</v>
      </c>
      <c r="G519" s="129"/>
      <c r="H519" s="129"/>
      <c r="I519" s="125"/>
      <c r="J519" s="129"/>
      <c r="K519" s="123"/>
      <c r="L519" s="129" t="s">
        <v>1763</v>
      </c>
    </row>
    <row r="520" spans="1:12" ht="29.15" x14ac:dyDescent="0.4">
      <c r="A520" s="129" t="s">
        <v>1651</v>
      </c>
      <c r="B520" s="129" t="s">
        <v>124</v>
      </c>
      <c r="C520" s="129" t="s">
        <v>1370</v>
      </c>
      <c r="D520" s="130" t="s">
        <v>1371</v>
      </c>
      <c r="E520" s="129" t="s">
        <v>828</v>
      </c>
      <c r="F520" s="129">
        <v>20</v>
      </c>
      <c r="G520" s="129"/>
      <c r="H520" s="129"/>
      <c r="I520" s="125"/>
      <c r="J520" s="129"/>
      <c r="K520" s="123"/>
      <c r="L520" s="129" t="s">
        <v>1763</v>
      </c>
    </row>
    <row r="521" spans="1:12" ht="29.15" x14ac:dyDescent="0.4">
      <c r="A521" s="129" t="s">
        <v>1651</v>
      </c>
      <c r="B521" s="129" t="s">
        <v>124</v>
      </c>
      <c r="C521" s="129" t="s">
        <v>1370</v>
      </c>
      <c r="D521" s="130" t="s">
        <v>1371</v>
      </c>
      <c r="E521" s="129" t="s">
        <v>832</v>
      </c>
      <c r="F521" s="129">
        <v>40</v>
      </c>
      <c r="G521" s="129"/>
      <c r="H521" s="129"/>
      <c r="I521" s="125"/>
      <c r="J521" s="129"/>
      <c r="K521" s="123"/>
      <c r="L521" s="129" t="s">
        <v>1763</v>
      </c>
    </row>
    <row r="522" spans="1:12" ht="29.15" x14ac:dyDescent="0.4">
      <c r="A522" s="129" t="s">
        <v>1651</v>
      </c>
      <c r="B522" s="129" t="s">
        <v>124</v>
      </c>
      <c r="C522" s="129" t="s">
        <v>1334</v>
      </c>
      <c r="D522" s="130" t="s">
        <v>1335</v>
      </c>
      <c r="E522" s="129" t="s">
        <v>834</v>
      </c>
      <c r="F522" s="129">
        <v>1</v>
      </c>
      <c r="G522" s="129"/>
      <c r="H522" s="129"/>
      <c r="I522" s="125"/>
      <c r="J522" s="129"/>
      <c r="K522" s="123"/>
      <c r="L522" s="129" t="s">
        <v>1763</v>
      </c>
    </row>
    <row r="523" spans="1:12" ht="29.15" x14ac:dyDescent="0.4">
      <c r="A523" s="129" t="s">
        <v>1651</v>
      </c>
      <c r="B523" s="129" t="s">
        <v>124</v>
      </c>
      <c r="C523" s="129" t="s">
        <v>1334</v>
      </c>
      <c r="D523" s="130" t="s">
        <v>1335</v>
      </c>
      <c r="E523" s="129" t="s">
        <v>828</v>
      </c>
      <c r="F523" s="129">
        <v>1</v>
      </c>
      <c r="G523" s="129"/>
      <c r="H523" s="129"/>
      <c r="I523" s="125"/>
      <c r="J523" s="129"/>
      <c r="K523" s="123"/>
      <c r="L523" s="129" t="s">
        <v>1763</v>
      </c>
    </row>
    <row r="524" spans="1:12" ht="29.15" x14ac:dyDescent="0.4">
      <c r="A524" s="129" t="s">
        <v>1651</v>
      </c>
      <c r="B524" s="129" t="s">
        <v>124</v>
      </c>
      <c r="C524" s="129" t="s">
        <v>1334</v>
      </c>
      <c r="D524" s="130" t="s">
        <v>1335</v>
      </c>
      <c r="E524" s="129" t="s">
        <v>832</v>
      </c>
      <c r="F524" s="129">
        <v>2</v>
      </c>
      <c r="G524" s="129"/>
      <c r="H524" s="129"/>
      <c r="I524" s="125"/>
      <c r="J524" s="129"/>
      <c r="K524" s="123"/>
      <c r="L524" s="129" t="s">
        <v>1763</v>
      </c>
    </row>
    <row r="525" spans="1:12" ht="29.15" x14ac:dyDescent="0.4">
      <c r="A525" s="129" t="s">
        <v>1651</v>
      </c>
      <c r="B525" s="129" t="s">
        <v>124</v>
      </c>
      <c r="C525" s="129" t="s">
        <v>1337</v>
      </c>
      <c r="D525" s="130" t="s">
        <v>1338</v>
      </c>
      <c r="E525" s="129" t="s">
        <v>834</v>
      </c>
      <c r="F525" s="129">
        <v>0.5</v>
      </c>
      <c r="G525" s="129"/>
      <c r="H525" s="129"/>
      <c r="I525" s="125"/>
      <c r="J525" s="129"/>
      <c r="K525" s="123"/>
      <c r="L525" s="129" t="s">
        <v>1763</v>
      </c>
    </row>
    <row r="526" spans="1:12" ht="29.15" x14ac:dyDescent="0.4">
      <c r="A526" s="129" t="s">
        <v>1651</v>
      </c>
      <c r="B526" s="129" t="s">
        <v>124</v>
      </c>
      <c r="C526" s="129" t="s">
        <v>1337</v>
      </c>
      <c r="D526" s="130" t="s">
        <v>1338</v>
      </c>
      <c r="E526" s="129" t="s">
        <v>828</v>
      </c>
      <c r="F526" s="129">
        <v>4</v>
      </c>
      <c r="G526" s="129"/>
      <c r="H526" s="129"/>
      <c r="I526" s="125"/>
      <c r="J526" s="129"/>
      <c r="K526" s="123"/>
      <c r="L526" s="129" t="s">
        <v>1763</v>
      </c>
    </row>
    <row r="527" spans="1:12" ht="29.15" x14ac:dyDescent="0.4">
      <c r="A527" s="129" t="s">
        <v>1651</v>
      </c>
      <c r="B527" s="129" t="s">
        <v>124</v>
      </c>
      <c r="C527" s="129" t="s">
        <v>1337</v>
      </c>
      <c r="D527" s="130" t="s">
        <v>1338</v>
      </c>
      <c r="E527" s="129" t="s">
        <v>832</v>
      </c>
      <c r="F527" s="129">
        <v>12</v>
      </c>
      <c r="G527" s="129"/>
      <c r="H527" s="129"/>
      <c r="I527" s="125"/>
      <c r="J527" s="129"/>
      <c r="K527" s="123"/>
      <c r="L527" s="129" t="s">
        <v>1763</v>
      </c>
    </row>
    <row r="528" spans="1:12" x14ac:dyDescent="0.4">
      <c r="A528" s="129" t="s">
        <v>1651</v>
      </c>
      <c r="B528" s="129" t="s">
        <v>124</v>
      </c>
      <c r="C528" s="129" t="s">
        <v>1340</v>
      </c>
      <c r="D528" s="130" t="s">
        <v>1341</v>
      </c>
      <c r="E528" s="129" t="s">
        <v>834</v>
      </c>
      <c r="F528" s="129">
        <v>19</v>
      </c>
      <c r="G528" s="129"/>
      <c r="H528" s="129"/>
      <c r="I528" s="125"/>
      <c r="J528" s="129"/>
      <c r="K528" s="123"/>
      <c r="L528" s="129" t="s">
        <v>1763</v>
      </c>
    </row>
    <row r="529" spans="1:12" x14ac:dyDescent="0.4">
      <c r="A529" s="129" t="s">
        <v>1651</v>
      </c>
      <c r="B529" s="129" t="s">
        <v>124</v>
      </c>
      <c r="C529" s="129" t="s">
        <v>1340</v>
      </c>
      <c r="D529" s="130" t="s">
        <v>1341</v>
      </c>
      <c r="E529" s="129" t="s">
        <v>828</v>
      </c>
      <c r="F529" s="129">
        <v>20</v>
      </c>
      <c r="G529" s="129"/>
      <c r="H529" s="129"/>
      <c r="I529" s="125"/>
      <c r="J529" s="129"/>
      <c r="K529" s="123"/>
      <c r="L529" s="129" t="s">
        <v>1763</v>
      </c>
    </row>
    <row r="530" spans="1:12" x14ac:dyDescent="0.4">
      <c r="A530" s="129" t="s">
        <v>1651</v>
      </c>
      <c r="B530" s="129" t="s">
        <v>124</v>
      </c>
      <c r="C530" s="129" t="s">
        <v>1340</v>
      </c>
      <c r="D530" s="130" t="s">
        <v>1341</v>
      </c>
      <c r="E530" s="129" t="s">
        <v>832</v>
      </c>
      <c r="F530" s="129">
        <v>50</v>
      </c>
      <c r="G530" s="129"/>
      <c r="H530" s="129"/>
      <c r="I530" s="125"/>
      <c r="J530" s="129"/>
      <c r="K530" s="123"/>
      <c r="L530" s="129" t="s">
        <v>1763</v>
      </c>
    </row>
    <row r="531" spans="1:12" x14ac:dyDescent="0.4">
      <c r="A531" s="129" t="s">
        <v>1651</v>
      </c>
      <c r="B531" s="129" t="s">
        <v>124</v>
      </c>
      <c r="C531" s="129" t="s">
        <v>1345</v>
      </c>
      <c r="D531" s="130" t="s">
        <v>1346</v>
      </c>
      <c r="E531" s="129" t="s">
        <v>834</v>
      </c>
      <c r="F531" s="129">
        <v>4</v>
      </c>
      <c r="G531" s="129"/>
      <c r="H531" s="129"/>
      <c r="I531" s="125"/>
      <c r="J531" s="129"/>
      <c r="K531" s="123"/>
      <c r="L531" s="129" t="s">
        <v>1763</v>
      </c>
    </row>
    <row r="532" spans="1:12" x14ac:dyDescent="0.4">
      <c r="A532" s="129" t="s">
        <v>1651</v>
      </c>
      <c r="B532" s="129" t="s">
        <v>124</v>
      </c>
      <c r="C532" s="129" t="s">
        <v>1345</v>
      </c>
      <c r="D532" s="130" t="s">
        <v>1346</v>
      </c>
      <c r="E532" s="129" t="s">
        <v>828</v>
      </c>
      <c r="F532" s="129">
        <v>5</v>
      </c>
      <c r="G532" s="129"/>
      <c r="H532" s="129"/>
      <c r="I532" s="125"/>
      <c r="J532" s="129"/>
      <c r="K532" s="123"/>
      <c r="L532" s="129" t="s">
        <v>1763</v>
      </c>
    </row>
    <row r="533" spans="1:12" x14ac:dyDescent="0.4">
      <c r="A533" s="129" t="s">
        <v>1651</v>
      </c>
      <c r="B533" s="129" t="s">
        <v>124</v>
      </c>
      <c r="C533" s="129" t="s">
        <v>1345</v>
      </c>
      <c r="D533" s="130" t="s">
        <v>1346</v>
      </c>
      <c r="E533" s="129" t="s">
        <v>832</v>
      </c>
      <c r="F533" s="129">
        <v>15</v>
      </c>
      <c r="G533" s="129"/>
      <c r="H533" s="129"/>
      <c r="I533" s="125"/>
      <c r="J533" s="129"/>
      <c r="K533" s="123"/>
      <c r="L533" s="129" t="s">
        <v>1763</v>
      </c>
    </row>
    <row r="534" spans="1:12" ht="29.15" x14ac:dyDescent="0.4">
      <c r="A534" s="129" t="s">
        <v>1651</v>
      </c>
      <c r="B534" s="129" t="s">
        <v>124</v>
      </c>
      <c r="C534" s="129" t="s">
        <v>1374</v>
      </c>
      <c r="D534" s="130" t="s">
        <v>1375</v>
      </c>
      <c r="E534" s="129" t="s">
        <v>834</v>
      </c>
      <c r="F534" s="129">
        <v>4</v>
      </c>
      <c r="G534" s="129"/>
      <c r="H534" s="129"/>
      <c r="I534" s="125"/>
      <c r="J534" s="129"/>
      <c r="K534" s="123"/>
      <c r="L534" s="129" t="s">
        <v>1763</v>
      </c>
    </row>
    <row r="535" spans="1:12" ht="29.15" x14ac:dyDescent="0.4">
      <c r="A535" s="129" t="s">
        <v>1651</v>
      </c>
      <c r="B535" s="129" t="s">
        <v>124</v>
      </c>
      <c r="C535" s="129" t="s">
        <v>1374</v>
      </c>
      <c r="D535" s="130" t="s">
        <v>1375</v>
      </c>
      <c r="E535" s="129" t="s">
        <v>828</v>
      </c>
      <c r="F535" s="129">
        <v>2</v>
      </c>
      <c r="G535" s="129"/>
      <c r="H535" s="129"/>
      <c r="I535" s="125"/>
      <c r="J535" s="129"/>
      <c r="K535" s="123"/>
      <c r="L535" s="129" t="s">
        <v>1763</v>
      </c>
    </row>
    <row r="536" spans="1:12" ht="29.15" x14ac:dyDescent="0.4">
      <c r="A536" s="129" t="s">
        <v>1651</v>
      </c>
      <c r="B536" s="129" t="s">
        <v>124</v>
      </c>
      <c r="C536" s="129" t="s">
        <v>1374</v>
      </c>
      <c r="D536" s="130" t="s">
        <v>1375</v>
      </c>
      <c r="E536" s="129" t="s">
        <v>832</v>
      </c>
      <c r="F536" s="129">
        <v>5</v>
      </c>
      <c r="G536" s="129"/>
      <c r="H536" s="129"/>
      <c r="I536" s="125"/>
      <c r="J536" s="129"/>
      <c r="K536" s="123"/>
      <c r="L536" s="129" t="s">
        <v>1763</v>
      </c>
    </row>
    <row r="537" spans="1:12" ht="29.15" x14ac:dyDescent="0.4">
      <c r="A537" s="129" t="s">
        <v>1651</v>
      </c>
      <c r="B537" s="129" t="s">
        <v>124</v>
      </c>
      <c r="C537" s="129" t="s">
        <v>1378</v>
      </c>
      <c r="D537" s="130" t="s">
        <v>1379</v>
      </c>
      <c r="E537" s="129" t="s">
        <v>834</v>
      </c>
      <c r="F537" s="129">
        <v>8</v>
      </c>
      <c r="G537" s="129"/>
      <c r="H537" s="129"/>
      <c r="I537" s="125"/>
      <c r="J537" s="129"/>
      <c r="K537" s="123"/>
      <c r="L537" s="129" t="s">
        <v>1763</v>
      </c>
    </row>
    <row r="538" spans="1:12" ht="29.15" x14ac:dyDescent="0.4">
      <c r="A538" s="129" t="s">
        <v>1651</v>
      </c>
      <c r="B538" s="129" t="s">
        <v>124</v>
      </c>
      <c r="C538" s="129" t="s">
        <v>1378</v>
      </c>
      <c r="D538" s="130" t="s">
        <v>1379</v>
      </c>
      <c r="E538" s="129" t="s">
        <v>828</v>
      </c>
      <c r="F538" s="129">
        <v>5</v>
      </c>
      <c r="G538" s="129"/>
      <c r="H538" s="129"/>
      <c r="I538" s="125"/>
      <c r="J538" s="129"/>
      <c r="K538" s="123"/>
      <c r="L538" s="129" t="s">
        <v>1763</v>
      </c>
    </row>
    <row r="539" spans="1:12" ht="29.15" x14ac:dyDescent="0.4">
      <c r="A539" s="129" t="s">
        <v>1651</v>
      </c>
      <c r="B539" s="129" t="s">
        <v>124</v>
      </c>
      <c r="C539" s="129" t="s">
        <v>1378</v>
      </c>
      <c r="D539" s="130" t="s">
        <v>1379</v>
      </c>
      <c r="E539" s="129" t="s">
        <v>832</v>
      </c>
      <c r="F539" s="129">
        <v>15</v>
      </c>
      <c r="G539" s="129"/>
      <c r="H539" s="129"/>
      <c r="I539" s="125"/>
      <c r="J539" s="129"/>
      <c r="K539" s="123"/>
      <c r="L539" s="129" t="s">
        <v>1763</v>
      </c>
    </row>
    <row r="540" spans="1:12" ht="29.15" x14ac:dyDescent="0.4">
      <c r="A540" s="129" t="s">
        <v>1651</v>
      </c>
      <c r="B540" s="129" t="s">
        <v>124</v>
      </c>
      <c r="C540" s="129" t="s">
        <v>1382</v>
      </c>
      <c r="D540" s="130" t="s">
        <v>1383</v>
      </c>
      <c r="E540" s="129" t="s">
        <v>834</v>
      </c>
      <c r="F540" s="129">
        <v>2.2999999999999998</v>
      </c>
      <c r="G540" s="129"/>
      <c r="H540" s="129"/>
      <c r="I540" s="125"/>
      <c r="J540" s="129"/>
      <c r="K540" s="123"/>
      <c r="L540" s="129" t="s">
        <v>1763</v>
      </c>
    </row>
    <row r="541" spans="1:12" ht="29.15" x14ac:dyDescent="0.4">
      <c r="A541" s="129" t="s">
        <v>1651</v>
      </c>
      <c r="B541" s="129" t="s">
        <v>124</v>
      </c>
      <c r="C541" s="129" t="s">
        <v>1382</v>
      </c>
      <c r="D541" s="130" t="s">
        <v>1383</v>
      </c>
      <c r="E541" s="129" t="s">
        <v>828</v>
      </c>
      <c r="F541" s="129">
        <v>2</v>
      </c>
      <c r="G541" s="129"/>
      <c r="H541" s="129"/>
      <c r="I541" s="125"/>
      <c r="J541" s="129"/>
      <c r="K541" s="123"/>
      <c r="L541" s="129" t="s">
        <v>1763</v>
      </c>
    </row>
    <row r="542" spans="1:12" ht="29.15" x14ac:dyDescent="0.4">
      <c r="A542" s="129" t="s">
        <v>1651</v>
      </c>
      <c r="B542" s="129" t="s">
        <v>124</v>
      </c>
      <c r="C542" s="129" t="s">
        <v>1382</v>
      </c>
      <c r="D542" s="130" t="s">
        <v>1383</v>
      </c>
      <c r="E542" s="129" t="s">
        <v>832</v>
      </c>
      <c r="F542" s="129">
        <v>5</v>
      </c>
      <c r="G542" s="129"/>
      <c r="H542" s="129"/>
      <c r="I542" s="125"/>
      <c r="J542" s="129"/>
      <c r="K542" s="123"/>
      <c r="L542" s="129" t="s">
        <v>1763</v>
      </c>
    </row>
    <row r="543" spans="1:12" ht="29.15" x14ac:dyDescent="0.4">
      <c r="A543" s="129" t="s">
        <v>1651</v>
      </c>
      <c r="B543" s="129" t="s">
        <v>124</v>
      </c>
      <c r="C543" s="129" t="s">
        <v>1386</v>
      </c>
      <c r="D543" s="130" t="s">
        <v>1387</v>
      </c>
      <c r="E543" s="129" t="s">
        <v>834</v>
      </c>
      <c r="F543" s="129">
        <v>40</v>
      </c>
      <c r="G543" s="129"/>
      <c r="H543" s="129"/>
      <c r="I543" s="125"/>
      <c r="J543" s="129"/>
      <c r="K543" s="123"/>
      <c r="L543" s="129" t="s">
        <v>1763</v>
      </c>
    </row>
    <row r="544" spans="1:12" ht="29.15" x14ac:dyDescent="0.4">
      <c r="A544" s="129" t="s">
        <v>1651</v>
      </c>
      <c r="B544" s="129" t="s">
        <v>124</v>
      </c>
      <c r="C544" s="129" t="s">
        <v>1386</v>
      </c>
      <c r="D544" s="130" t="s">
        <v>1387</v>
      </c>
      <c r="E544" s="129" t="s">
        <v>828</v>
      </c>
      <c r="F544" s="129">
        <v>20</v>
      </c>
      <c r="G544" s="129"/>
      <c r="H544" s="129"/>
      <c r="I544" s="125"/>
      <c r="J544" s="129"/>
      <c r="K544" s="123"/>
      <c r="L544" s="129" t="s">
        <v>1763</v>
      </c>
    </row>
    <row r="545" spans="1:12" ht="29.15" x14ac:dyDescent="0.4">
      <c r="A545" s="129" t="s">
        <v>1651</v>
      </c>
      <c r="B545" s="129" t="s">
        <v>124</v>
      </c>
      <c r="C545" s="129" t="s">
        <v>1386</v>
      </c>
      <c r="D545" s="130" t="s">
        <v>1387</v>
      </c>
      <c r="E545" s="129" t="s">
        <v>832</v>
      </c>
      <c r="F545" s="129">
        <v>50</v>
      </c>
      <c r="G545" s="129"/>
      <c r="H545" s="129"/>
      <c r="I545" s="125"/>
      <c r="J545" s="129"/>
      <c r="K545" s="123"/>
      <c r="L545" s="129" t="s">
        <v>1763</v>
      </c>
    </row>
    <row r="546" spans="1:12" ht="29.15" x14ac:dyDescent="0.4">
      <c r="A546" s="129" t="s">
        <v>1651</v>
      </c>
      <c r="B546" s="129" t="s">
        <v>124</v>
      </c>
      <c r="C546" s="129" t="s">
        <v>1349</v>
      </c>
      <c r="D546" s="130" t="s">
        <v>1350</v>
      </c>
      <c r="E546" s="129" t="s">
        <v>834</v>
      </c>
      <c r="F546" s="129">
        <v>6</v>
      </c>
      <c r="G546" s="129"/>
      <c r="H546" s="129"/>
      <c r="I546" s="125"/>
      <c r="J546" s="129"/>
      <c r="K546" s="123"/>
      <c r="L546" s="129" t="s">
        <v>1763</v>
      </c>
    </row>
    <row r="547" spans="1:12" ht="29.15" x14ac:dyDescent="0.4">
      <c r="A547" s="129" t="s">
        <v>1651</v>
      </c>
      <c r="B547" s="129" t="s">
        <v>124</v>
      </c>
      <c r="C547" s="129" t="s">
        <v>1349</v>
      </c>
      <c r="D547" s="130" t="s">
        <v>1350</v>
      </c>
      <c r="E547" s="129" t="s">
        <v>828</v>
      </c>
      <c r="F547" s="129">
        <v>3</v>
      </c>
      <c r="G547" s="129"/>
      <c r="H547" s="129"/>
      <c r="I547" s="125"/>
      <c r="J547" s="129"/>
      <c r="K547" s="123"/>
      <c r="L547" s="129" t="s">
        <v>1763</v>
      </c>
    </row>
    <row r="548" spans="1:12" ht="29.15" x14ac:dyDescent="0.4">
      <c r="A548" s="129" t="s">
        <v>1651</v>
      </c>
      <c r="B548" s="129" t="s">
        <v>124</v>
      </c>
      <c r="C548" s="129" t="s">
        <v>1349</v>
      </c>
      <c r="D548" s="130" t="s">
        <v>1350</v>
      </c>
      <c r="E548" s="129" t="s">
        <v>832</v>
      </c>
      <c r="F548" s="129">
        <v>8</v>
      </c>
      <c r="G548" s="129"/>
      <c r="H548" s="129"/>
      <c r="I548" s="125"/>
      <c r="J548" s="129"/>
      <c r="K548" s="123"/>
      <c r="L548" s="129" t="s">
        <v>1763</v>
      </c>
    </row>
    <row r="549" spans="1:12" ht="29.15" x14ac:dyDescent="0.4">
      <c r="A549" s="129" t="s">
        <v>1651</v>
      </c>
      <c r="B549" s="129" t="s">
        <v>124</v>
      </c>
      <c r="C549" s="129" t="s">
        <v>1353</v>
      </c>
      <c r="D549" s="130" t="s">
        <v>1354</v>
      </c>
      <c r="E549" s="129" t="s">
        <v>834</v>
      </c>
      <c r="F549" s="129">
        <v>6</v>
      </c>
      <c r="G549" s="129"/>
      <c r="H549" s="129"/>
      <c r="I549" s="125"/>
      <c r="J549" s="129"/>
      <c r="K549" s="123"/>
      <c r="L549" s="129" t="s">
        <v>1763</v>
      </c>
    </row>
    <row r="550" spans="1:12" ht="29.15" x14ac:dyDescent="0.4">
      <c r="A550" s="129" t="s">
        <v>1651</v>
      </c>
      <c r="B550" s="129" t="s">
        <v>124</v>
      </c>
      <c r="C550" s="129" t="s">
        <v>1353</v>
      </c>
      <c r="D550" s="130" t="s">
        <v>1354</v>
      </c>
      <c r="E550" s="129" t="s">
        <v>828</v>
      </c>
      <c r="F550" s="129">
        <v>2</v>
      </c>
      <c r="G550" s="129"/>
      <c r="H550" s="129"/>
      <c r="I550" s="125"/>
      <c r="J550" s="129"/>
      <c r="K550" s="123"/>
      <c r="L550" s="129" t="s">
        <v>1763</v>
      </c>
    </row>
    <row r="551" spans="1:12" ht="29.15" x14ac:dyDescent="0.4">
      <c r="A551" s="129" t="s">
        <v>1651</v>
      </c>
      <c r="B551" s="129" t="s">
        <v>124</v>
      </c>
      <c r="C551" s="129" t="s">
        <v>1353</v>
      </c>
      <c r="D551" s="130" t="s">
        <v>1354</v>
      </c>
      <c r="E551" s="129" t="s">
        <v>832</v>
      </c>
      <c r="F551" s="129">
        <v>6</v>
      </c>
      <c r="G551" s="129"/>
      <c r="H551" s="129"/>
      <c r="I551" s="125"/>
      <c r="J551" s="129"/>
      <c r="K551" s="123"/>
      <c r="L551" s="129" t="s">
        <v>1763</v>
      </c>
    </row>
    <row r="552" spans="1:12" ht="29.15" x14ac:dyDescent="0.4">
      <c r="A552" s="129" t="s">
        <v>1651</v>
      </c>
      <c r="B552" s="129" t="s">
        <v>124</v>
      </c>
      <c r="C552" s="129" t="s">
        <v>1357</v>
      </c>
      <c r="D552" s="130" t="s">
        <v>1358</v>
      </c>
      <c r="E552" s="129" t="s">
        <v>834</v>
      </c>
      <c r="F552" s="129">
        <v>9</v>
      </c>
      <c r="G552" s="129"/>
      <c r="H552" s="129"/>
      <c r="I552" s="125"/>
      <c r="J552" s="129"/>
      <c r="K552" s="123"/>
      <c r="L552" s="129" t="s">
        <v>1763</v>
      </c>
    </row>
    <row r="553" spans="1:12" ht="29.15" x14ac:dyDescent="0.4">
      <c r="A553" s="129" t="s">
        <v>1651</v>
      </c>
      <c r="B553" s="129" t="s">
        <v>124</v>
      </c>
      <c r="C553" s="129" t="s">
        <v>1357</v>
      </c>
      <c r="D553" s="130" t="s">
        <v>1358</v>
      </c>
      <c r="E553" s="129" t="s">
        <v>828</v>
      </c>
      <c r="F553" s="129">
        <v>10</v>
      </c>
      <c r="G553" s="129"/>
      <c r="H553" s="129"/>
      <c r="I553" s="125"/>
      <c r="J553" s="129"/>
      <c r="K553" s="123"/>
      <c r="L553" s="129" t="s">
        <v>1763</v>
      </c>
    </row>
    <row r="554" spans="1:12" ht="29.15" x14ac:dyDescent="0.4">
      <c r="A554" s="129" t="s">
        <v>1651</v>
      </c>
      <c r="B554" s="129" t="s">
        <v>124</v>
      </c>
      <c r="C554" s="129" t="s">
        <v>1357</v>
      </c>
      <c r="D554" s="130" t="s">
        <v>1358</v>
      </c>
      <c r="E554" s="129" t="s">
        <v>832</v>
      </c>
      <c r="F554" s="129">
        <v>30</v>
      </c>
      <c r="G554" s="129"/>
      <c r="H554" s="129"/>
      <c r="I554" s="125"/>
      <c r="J554" s="129"/>
      <c r="K554" s="123"/>
      <c r="L554" s="129" t="s">
        <v>1763</v>
      </c>
    </row>
    <row r="555" spans="1:12" ht="29.15" x14ac:dyDescent="0.4">
      <c r="A555" s="129" t="s">
        <v>1651</v>
      </c>
      <c r="B555" s="129" t="s">
        <v>124</v>
      </c>
      <c r="C555" s="129" t="s">
        <v>1361</v>
      </c>
      <c r="D555" s="130" t="s">
        <v>1362</v>
      </c>
      <c r="E555" s="129" t="s">
        <v>834</v>
      </c>
      <c r="F555" s="129">
        <v>4</v>
      </c>
      <c r="G555" s="129"/>
      <c r="H555" s="129"/>
      <c r="I555" s="125"/>
      <c r="J555" s="129"/>
      <c r="K555" s="123"/>
      <c r="L555" s="129" t="s">
        <v>1763</v>
      </c>
    </row>
    <row r="556" spans="1:12" ht="29.15" x14ac:dyDescent="0.4">
      <c r="A556" s="129" t="s">
        <v>1651</v>
      </c>
      <c r="B556" s="129" t="s">
        <v>124</v>
      </c>
      <c r="C556" s="129" t="s">
        <v>1361</v>
      </c>
      <c r="D556" s="130" t="s">
        <v>1362</v>
      </c>
      <c r="E556" s="129" t="s">
        <v>828</v>
      </c>
      <c r="F556" s="129">
        <v>4</v>
      </c>
      <c r="G556" s="129"/>
      <c r="H556" s="129"/>
      <c r="I556" s="125"/>
      <c r="J556" s="129"/>
      <c r="K556" s="123"/>
      <c r="L556" s="129" t="s">
        <v>1763</v>
      </c>
    </row>
    <row r="557" spans="1:12" ht="29.15" x14ac:dyDescent="0.4">
      <c r="A557" s="129" t="s">
        <v>1651</v>
      </c>
      <c r="B557" s="129" t="s">
        <v>124</v>
      </c>
      <c r="C557" s="129" t="s">
        <v>1361</v>
      </c>
      <c r="D557" s="130" t="s">
        <v>1362</v>
      </c>
      <c r="E557" s="129" t="s">
        <v>832</v>
      </c>
      <c r="F557" s="129">
        <v>12</v>
      </c>
      <c r="G557" s="129"/>
      <c r="H557" s="129"/>
      <c r="I557" s="125"/>
      <c r="J557" s="129"/>
      <c r="K557" s="123"/>
      <c r="L557" s="129" t="s">
        <v>1763</v>
      </c>
    </row>
    <row r="558" spans="1:12" ht="29.15" x14ac:dyDescent="0.4">
      <c r="A558" s="129" t="s">
        <v>1651</v>
      </c>
      <c r="B558" s="129" t="s">
        <v>124</v>
      </c>
      <c r="C558" s="129" t="s">
        <v>1537</v>
      </c>
      <c r="D558" s="130" t="s">
        <v>1538</v>
      </c>
      <c r="E558" s="129" t="s">
        <v>834</v>
      </c>
      <c r="F558" s="129">
        <v>0</v>
      </c>
      <c r="G558" s="129"/>
      <c r="H558" s="129"/>
      <c r="I558" s="125"/>
      <c r="J558" s="129"/>
      <c r="K558" s="123"/>
      <c r="L558" s="129" t="s">
        <v>1763</v>
      </c>
    </row>
    <row r="559" spans="1:12" ht="29.15" x14ac:dyDescent="0.4">
      <c r="A559" s="129" t="s">
        <v>1651</v>
      </c>
      <c r="B559" s="129" t="s">
        <v>124</v>
      </c>
      <c r="C559" s="129" t="s">
        <v>1537</v>
      </c>
      <c r="D559" s="130" t="s">
        <v>1538</v>
      </c>
      <c r="E559" s="129" t="s">
        <v>828</v>
      </c>
      <c r="F559" s="129">
        <v>1</v>
      </c>
      <c r="G559" s="129"/>
      <c r="H559" s="129"/>
      <c r="I559" s="125"/>
      <c r="J559" s="129"/>
      <c r="K559" s="123"/>
      <c r="L559" s="129" t="s">
        <v>1763</v>
      </c>
    </row>
    <row r="560" spans="1:12" ht="29.15" x14ac:dyDescent="0.4">
      <c r="A560" s="129" t="s">
        <v>1651</v>
      </c>
      <c r="B560" s="129" t="s">
        <v>124</v>
      </c>
      <c r="C560" s="129" t="s">
        <v>1537</v>
      </c>
      <c r="D560" s="130" t="s">
        <v>1538</v>
      </c>
      <c r="E560" s="129" t="s">
        <v>832</v>
      </c>
      <c r="F560" s="129">
        <v>3</v>
      </c>
      <c r="G560" s="129"/>
      <c r="H560" s="129"/>
      <c r="I560" s="125"/>
      <c r="J560" s="129"/>
      <c r="K560" s="123"/>
      <c r="L560" s="129" t="s">
        <v>1763</v>
      </c>
    </row>
    <row r="561" spans="1:12" x14ac:dyDescent="0.4">
      <c r="A561" s="129" t="s">
        <v>1651</v>
      </c>
      <c r="B561" s="129" t="s">
        <v>124</v>
      </c>
      <c r="C561" s="129" t="s">
        <v>1685</v>
      </c>
      <c r="D561" s="130" t="s">
        <v>1686</v>
      </c>
      <c r="E561" s="129" t="s">
        <v>834</v>
      </c>
      <c r="F561" s="129"/>
      <c r="G561" s="129"/>
      <c r="H561" s="129"/>
      <c r="I561" s="125"/>
      <c r="J561" s="129"/>
      <c r="K561" s="123"/>
      <c r="L561" s="129" t="s">
        <v>1763</v>
      </c>
    </row>
    <row r="562" spans="1:12" x14ac:dyDescent="0.4">
      <c r="A562" s="129" t="s">
        <v>1651</v>
      </c>
      <c r="B562" s="129" t="s">
        <v>124</v>
      </c>
      <c r="C562" s="129" t="s">
        <v>1685</v>
      </c>
      <c r="D562" s="130" t="s">
        <v>1686</v>
      </c>
      <c r="E562" s="129" t="s">
        <v>828</v>
      </c>
      <c r="F562" s="129">
        <v>3</v>
      </c>
      <c r="G562" s="129"/>
      <c r="H562" s="129"/>
      <c r="I562" s="125"/>
      <c r="J562" s="129"/>
      <c r="K562" s="123"/>
      <c r="L562" s="129" t="s">
        <v>1763</v>
      </c>
    </row>
    <row r="563" spans="1:12" x14ac:dyDescent="0.4">
      <c r="A563" s="129" t="s">
        <v>1651</v>
      </c>
      <c r="B563" s="129" t="s">
        <v>124</v>
      </c>
      <c r="C563" s="129" t="s">
        <v>1685</v>
      </c>
      <c r="D563" s="130" t="s">
        <v>1686</v>
      </c>
      <c r="E563" s="129" t="s">
        <v>832</v>
      </c>
      <c r="F563" s="129">
        <v>6</v>
      </c>
      <c r="G563" s="129"/>
      <c r="H563" s="129"/>
      <c r="I563" s="125"/>
      <c r="J563" s="129"/>
      <c r="K563" s="123"/>
      <c r="L563" s="129" t="s">
        <v>1763</v>
      </c>
    </row>
    <row r="564" spans="1:12" x14ac:dyDescent="0.4">
      <c r="A564" s="129" t="s">
        <v>1651</v>
      </c>
      <c r="B564" s="129" t="s">
        <v>124</v>
      </c>
      <c r="C564" s="129" t="s">
        <v>1689</v>
      </c>
      <c r="D564" s="130" t="s">
        <v>1690</v>
      </c>
      <c r="E564" s="129" t="s">
        <v>834</v>
      </c>
      <c r="F564" s="129"/>
      <c r="G564" s="129"/>
      <c r="H564" s="129"/>
      <c r="I564" s="125"/>
      <c r="J564" s="129"/>
      <c r="K564" s="123"/>
      <c r="L564" s="129" t="s">
        <v>1763</v>
      </c>
    </row>
    <row r="565" spans="1:12" x14ac:dyDescent="0.4">
      <c r="A565" s="129" t="s">
        <v>1651</v>
      </c>
      <c r="B565" s="129" t="s">
        <v>124</v>
      </c>
      <c r="C565" s="129" t="s">
        <v>1689</v>
      </c>
      <c r="D565" s="130" t="s">
        <v>1690</v>
      </c>
      <c r="E565" s="129" t="s">
        <v>828</v>
      </c>
      <c r="F565" s="129">
        <v>8</v>
      </c>
      <c r="G565" s="129"/>
      <c r="H565" s="129"/>
      <c r="I565" s="125"/>
      <c r="J565" s="129"/>
      <c r="K565" s="123"/>
      <c r="L565" s="129" t="s">
        <v>1763</v>
      </c>
    </row>
    <row r="566" spans="1:12" x14ac:dyDescent="0.4">
      <c r="A566" s="129" t="s">
        <v>1651</v>
      </c>
      <c r="B566" s="129" t="s">
        <v>124</v>
      </c>
      <c r="C566" s="129" t="s">
        <v>1689</v>
      </c>
      <c r="D566" s="130" t="s">
        <v>1690</v>
      </c>
      <c r="E566" s="129" t="s">
        <v>832</v>
      </c>
      <c r="F566" s="129">
        <v>12</v>
      </c>
      <c r="G566" s="129"/>
      <c r="H566" s="129"/>
      <c r="I566" s="125"/>
      <c r="J566" s="129"/>
      <c r="K566" s="123"/>
      <c r="L566" s="129" t="s">
        <v>1763</v>
      </c>
    </row>
    <row r="567" spans="1:12" ht="29.15" x14ac:dyDescent="0.4">
      <c r="A567" s="129" t="s">
        <v>1651</v>
      </c>
      <c r="B567" s="129" t="s">
        <v>493</v>
      </c>
      <c r="C567" s="129" t="s">
        <v>1718</v>
      </c>
      <c r="D567" s="130" t="s">
        <v>1719</v>
      </c>
      <c r="E567" s="129" t="s">
        <v>181</v>
      </c>
      <c r="F567" s="129" t="s">
        <v>557</v>
      </c>
      <c r="G567" s="129"/>
      <c r="H567" s="129"/>
      <c r="I567" s="125"/>
      <c r="J567" s="129"/>
      <c r="K567" s="123"/>
      <c r="L567" s="129" t="s">
        <v>1763</v>
      </c>
    </row>
    <row r="568" spans="1:12" ht="29.15" x14ac:dyDescent="0.4">
      <c r="A568" s="129" t="s">
        <v>1651</v>
      </c>
      <c r="B568" s="129" t="s">
        <v>493</v>
      </c>
      <c r="C568" s="129" t="s">
        <v>1718</v>
      </c>
      <c r="D568" s="130" t="s">
        <v>1719</v>
      </c>
      <c r="E568" s="129" t="s">
        <v>267</v>
      </c>
      <c r="F568" s="129" t="s">
        <v>1245</v>
      </c>
      <c r="G568" s="129"/>
      <c r="H568" s="129"/>
      <c r="I568" s="125"/>
      <c r="J568" s="129"/>
      <c r="K568" s="123"/>
      <c r="L568" s="129" t="s">
        <v>1763</v>
      </c>
    </row>
    <row r="569" spans="1:12" ht="29.15" x14ac:dyDescent="0.4">
      <c r="A569" s="129" t="s">
        <v>1651</v>
      </c>
      <c r="B569" s="129" t="s">
        <v>493</v>
      </c>
      <c r="C569" s="129" t="s">
        <v>1722</v>
      </c>
      <c r="D569" s="130" t="s">
        <v>1723</v>
      </c>
      <c r="E569" s="129" t="s">
        <v>181</v>
      </c>
      <c r="F569" s="129" t="s">
        <v>563</v>
      </c>
      <c r="G569" s="129"/>
      <c r="H569" s="129"/>
      <c r="I569" s="125"/>
      <c r="J569" s="129"/>
      <c r="K569" s="123"/>
      <c r="L569" s="129" t="s">
        <v>1763</v>
      </c>
    </row>
    <row r="570" spans="1:12" ht="29.15" x14ac:dyDescent="0.4">
      <c r="A570" s="129" t="s">
        <v>1651</v>
      </c>
      <c r="B570" s="129" t="s">
        <v>493</v>
      </c>
      <c r="C570" s="129" t="s">
        <v>1722</v>
      </c>
      <c r="D570" s="130" t="s">
        <v>1723</v>
      </c>
      <c r="E570" s="129" t="s">
        <v>267</v>
      </c>
      <c r="F570" s="129" t="s">
        <v>1245</v>
      </c>
      <c r="G570" s="129"/>
      <c r="H570" s="129"/>
      <c r="I570" s="125"/>
      <c r="J570" s="129"/>
      <c r="K570" s="123"/>
      <c r="L570" s="129" t="s">
        <v>1763</v>
      </c>
    </row>
    <row r="571" spans="1:12" ht="29.15" x14ac:dyDescent="0.4">
      <c r="A571" s="129" t="s">
        <v>1651</v>
      </c>
      <c r="B571" s="129" t="s">
        <v>493</v>
      </c>
      <c r="C571" s="129" t="s">
        <v>1725</v>
      </c>
      <c r="D571" s="130" t="s">
        <v>1726</v>
      </c>
      <c r="E571" s="129" t="s">
        <v>181</v>
      </c>
      <c r="F571" s="129" t="s">
        <v>569</v>
      </c>
      <c r="G571" s="129"/>
      <c r="H571" s="129"/>
      <c r="I571" s="125"/>
      <c r="J571" s="129"/>
      <c r="K571" s="123"/>
      <c r="L571" s="129" t="s">
        <v>1763</v>
      </c>
    </row>
    <row r="572" spans="1:12" ht="29.15" x14ac:dyDescent="0.4">
      <c r="A572" s="129" t="s">
        <v>1651</v>
      </c>
      <c r="B572" s="129" t="s">
        <v>493</v>
      </c>
      <c r="C572" s="129" t="s">
        <v>1725</v>
      </c>
      <c r="D572" s="130" t="s">
        <v>1726</v>
      </c>
      <c r="E572" s="129" t="s">
        <v>267</v>
      </c>
      <c r="F572" s="129" t="s">
        <v>1245</v>
      </c>
      <c r="G572" s="129"/>
      <c r="H572" s="129"/>
      <c r="I572" s="125"/>
      <c r="J572" s="129"/>
      <c r="K572" s="123"/>
      <c r="L572" s="129" t="s">
        <v>1763</v>
      </c>
    </row>
    <row r="573" spans="1:12" ht="43.75" x14ac:dyDescent="0.4">
      <c r="A573" s="129" t="s">
        <v>1651</v>
      </c>
      <c r="B573" s="129" t="s">
        <v>493</v>
      </c>
      <c r="C573" s="129" t="s">
        <v>1728</v>
      </c>
      <c r="D573" s="130" t="s">
        <v>1729</v>
      </c>
      <c r="E573" s="129" t="s">
        <v>181</v>
      </c>
      <c r="F573" s="129" t="s">
        <v>575</v>
      </c>
      <c r="G573" s="129"/>
      <c r="H573" s="129"/>
      <c r="I573" s="125"/>
      <c r="J573" s="129"/>
      <c r="K573" s="123"/>
      <c r="L573" s="129" t="s">
        <v>1763</v>
      </c>
    </row>
    <row r="574" spans="1:12" ht="43.75" x14ac:dyDescent="0.4">
      <c r="A574" s="129" t="s">
        <v>1651</v>
      </c>
      <c r="B574" s="129" t="s">
        <v>493</v>
      </c>
      <c r="C574" s="129" t="s">
        <v>1728</v>
      </c>
      <c r="D574" s="130" t="s">
        <v>1729</v>
      </c>
      <c r="E574" s="129" t="s">
        <v>267</v>
      </c>
      <c r="F574" s="129" t="s">
        <v>797</v>
      </c>
      <c r="G574" s="129"/>
      <c r="H574" s="129"/>
      <c r="I574" s="125"/>
      <c r="J574" s="129"/>
      <c r="K574" s="123"/>
      <c r="L574" s="129" t="s">
        <v>1763</v>
      </c>
    </row>
    <row r="575" spans="1:12" ht="43.75" x14ac:dyDescent="0.4">
      <c r="A575" s="129" t="s">
        <v>1651</v>
      </c>
      <c r="B575" s="129" t="s">
        <v>493</v>
      </c>
      <c r="C575" s="129" t="s">
        <v>1731</v>
      </c>
      <c r="D575" s="130" t="s">
        <v>1732</v>
      </c>
      <c r="E575" s="129" t="s">
        <v>181</v>
      </c>
      <c r="F575" s="129" t="s">
        <v>579</v>
      </c>
      <c r="G575" s="129"/>
      <c r="H575" s="129"/>
      <c r="I575" s="125"/>
      <c r="J575" s="129"/>
      <c r="K575" s="123"/>
      <c r="L575" s="129" t="s">
        <v>1763</v>
      </c>
    </row>
    <row r="576" spans="1:12" ht="43.75" x14ac:dyDescent="0.4">
      <c r="A576" s="129" t="s">
        <v>1651</v>
      </c>
      <c r="B576" s="129" t="s">
        <v>493</v>
      </c>
      <c r="C576" s="129" t="s">
        <v>1731</v>
      </c>
      <c r="D576" s="130" t="s">
        <v>1732</v>
      </c>
      <c r="E576" s="129" t="s">
        <v>267</v>
      </c>
      <c r="F576" s="129" t="s">
        <v>1245</v>
      </c>
      <c r="G576" s="129"/>
      <c r="H576" s="129"/>
      <c r="I576" s="125"/>
      <c r="J576" s="129"/>
      <c r="K576" s="123"/>
      <c r="L576" s="129" t="s">
        <v>1763</v>
      </c>
    </row>
    <row r="577" spans="1:12" ht="43.75" x14ac:dyDescent="0.4">
      <c r="A577" s="129" t="s">
        <v>1651</v>
      </c>
      <c r="B577" s="129" t="s">
        <v>493</v>
      </c>
      <c r="C577" s="129" t="s">
        <v>1734</v>
      </c>
      <c r="D577" s="130" t="s">
        <v>1735</v>
      </c>
      <c r="E577" s="129" t="s">
        <v>181</v>
      </c>
      <c r="F577" s="129" t="s">
        <v>1599</v>
      </c>
      <c r="G577" s="129"/>
      <c r="H577" s="129"/>
      <c r="I577" s="125"/>
      <c r="J577" s="129"/>
      <c r="K577" s="123"/>
      <c r="L577" s="129" t="s">
        <v>1763</v>
      </c>
    </row>
    <row r="578" spans="1:12" ht="43.75" x14ac:dyDescent="0.4">
      <c r="A578" s="129" t="s">
        <v>1651</v>
      </c>
      <c r="B578" s="129" t="s">
        <v>493</v>
      </c>
      <c r="C578" s="129" t="s">
        <v>1734</v>
      </c>
      <c r="D578" s="130" t="s">
        <v>1735</v>
      </c>
      <c r="E578" s="129" t="s">
        <v>267</v>
      </c>
      <c r="F578" s="129" t="s">
        <v>797</v>
      </c>
      <c r="G578" s="129"/>
      <c r="H578" s="129"/>
      <c r="I578" s="125"/>
      <c r="J578" s="129"/>
      <c r="K578" s="123"/>
      <c r="L578" s="129" t="s">
        <v>1763</v>
      </c>
    </row>
    <row r="579" spans="1:12" ht="43.75" x14ac:dyDescent="0.4">
      <c r="A579" s="129" t="s">
        <v>1651</v>
      </c>
      <c r="B579" s="129" t="s">
        <v>493</v>
      </c>
      <c r="C579" s="129" t="s">
        <v>1737</v>
      </c>
      <c r="D579" s="130" t="s">
        <v>1738</v>
      </c>
      <c r="E579" s="129" t="s">
        <v>181</v>
      </c>
      <c r="F579" s="129" t="s">
        <v>563</v>
      </c>
      <c r="G579" s="129"/>
      <c r="H579" s="129"/>
      <c r="I579" s="125"/>
      <c r="J579" s="129"/>
      <c r="K579" s="123"/>
      <c r="L579" s="129" t="s">
        <v>1763</v>
      </c>
    </row>
    <row r="580" spans="1:12" ht="43.75" x14ac:dyDescent="0.4">
      <c r="A580" s="129" t="s">
        <v>1651</v>
      </c>
      <c r="B580" s="129" t="s">
        <v>493</v>
      </c>
      <c r="C580" s="129" t="s">
        <v>1737</v>
      </c>
      <c r="D580" s="130" t="s">
        <v>1738</v>
      </c>
      <c r="E580" s="129" t="s">
        <v>267</v>
      </c>
      <c r="F580" s="129" t="s">
        <v>797</v>
      </c>
      <c r="G580" s="129"/>
      <c r="H580" s="129"/>
      <c r="I580" s="125"/>
      <c r="J580" s="129"/>
      <c r="K580" s="123"/>
      <c r="L580" s="129" t="s">
        <v>1763</v>
      </c>
    </row>
    <row r="581" spans="1:12" ht="29.15" x14ac:dyDescent="0.4">
      <c r="A581" s="129" t="s">
        <v>1651</v>
      </c>
      <c r="B581" s="129" t="s">
        <v>493</v>
      </c>
      <c r="C581" s="129" t="s">
        <v>1740</v>
      </c>
      <c r="D581" s="130" t="s">
        <v>1741</v>
      </c>
      <c r="E581" s="129" t="s">
        <v>181</v>
      </c>
      <c r="F581" s="129" t="s">
        <v>584</v>
      </c>
      <c r="G581" s="129"/>
      <c r="H581" s="129"/>
      <c r="I581" s="125"/>
      <c r="J581" s="129"/>
      <c r="K581" s="123"/>
      <c r="L581" s="129" t="s">
        <v>1763</v>
      </c>
    </row>
    <row r="582" spans="1:12" ht="29.15" x14ac:dyDescent="0.4">
      <c r="A582" s="129" t="s">
        <v>1651</v>
      </c>
      <c r="B582" s="129" t="s">
        <v>493</v>
      </c>
      <c r="C582" s="129" t="s">
        <v>1740</v>
      </c>
      <c r="D582" s="130" t="s">
        <v>1741</v>
      </c>
      <c r="E582" s="129" t="s">
        <v>267</v>
      </c>
      <c r="F582" s="129" t="s">
        <v>1245</v>
      </c>
      <c r="G582" s="129"/>
      <c r="H582" s="129"/>
      <c r="I582" s="125"/>
      <c r="J582" s="129"/>
      <c r="K582" s="123"/>
      <c r="L582" s="129" t="s">
        <v>1763</v>
      </c>
    </row>
    <row r="583" spans="1:12" ht="43.75" x14ac:dyDescent="0.4">
      <c r="A583" s="129" t="s">
        <v>1651</v>
      </c>
      <c r="B583" s="129" t="s">
        <v>493</v>
      </c>
      <c r="C583" s="129" t="s">
        <v>1743</v>
      </c>
      <c r="D583" s="130" t="s">
        <v>1744</v>
      </c>
      <c r="E583" s="129" t="s">
        <v>181</v>
      </c>
      <c r="F583" s="129" t="s">
        <v>569</v>
      </c>
      <c r="G583" s="129"/>
      <c r="H583" s="129"/>
      <c r="I583" s="125"/>
      <c r="J583" s="129"/>
      <c r="K583" s="123"/>
      <c r="L583" s="129" t="s">
        <v>1763</v>
      </c>
    </row>
    <row r="584" spans="1:12" ht="43.75" x14ac:dyDescent="0.4">
      <c r="A584" s="129" t="s">
        <v>1651</v>
      </c>
      <c r="B584" s="129" t="s">
        <v>493</v>
      </c>
      <c r="C584" s="129" t="s">
        <v>1743</v>
      </c>
      <c r="D584" s="130" t="s">
        <v>1744</v>
      </c>
      <c r="E584" s="129" t="s">
        <v>267</v>
      </c>
      <c r="F584" s="129" t="s">
        <v>1235</v>
      </c>
      <c r="G584" s="129"/>
      <c r="H584" s="129"/>
      <c r="I584" s="125"/>
      <c r="J584" s="129"/>
      <c r="K584" s="123"/>
      <c r="L584" s="129" t="s">
        <v>1763</v>
      </c>
    </row>
    <row r="585" spans="1:12" ht="43.75" x14ac:dyDescent="0.4">
      <c r="A585" s="129" t="s">
        <v>1651</v>
      </c>
      <c r="B585" s="129" t="s">
        <v>493</v>
      </c>
      <c r="C585" s="129" t="s">
        <v>1746</v>
      </c>
      <c r="D585" s="130" t="s">
        <v>1747</v>
      </c>
      <c r="E585" s="129" t="s">
        <v>181</v>
      </c>
      <c r="F585" s="129" t="s">
        <v>601</v>
      </c>
      <c r="G585" s="129"/>
      <c r="H585" s="129"/>
      <c r="I585" s="125"/>
      <c r="J585" s="129"/>
      <c r="K585" s="123"/>
      <c r="L585" s="129" t="s">
        <v>1763</v>
      </c>
    </row>
    <row r="586" spans="1:12" ht="43.75" x14ac:dyDescent="0.4">
      <c r="A586" s="129" t="s">
        <v>1651</v>
      </c>
      <c r="B586" s="129" t="s">
        <v>493</v>
      </c>
      <c r="C586" s="129" t="s">
        <v>1746</v>
      </c>
      <c r="D586" s="130" t="s">
        <v>1747</v>
      </c>
      <c r="E586" s="129" t="s">
        <v>267</v>
      </c>
      <c r="F586" s="129" t="s">
        <v>1245</v>
      </c>
      <c r="G586" s="129"/>
      <c r="H586" s="129"/>
      <c r="I586" s="125"/>
      <c r="J586" s="129"/>
      <c r="K586" s="123"/>
      <c r="L586" s="129" t="s">
        <v>1763</v>
      </c>
    </row>
    <row r="587" spans="1:12" ht="43.75" x14ac:dyDescent="0.4">
      <c r="A587" s="129" t="s">
        <v>1651</v>
      </c>
      <c r="B587" s="129" t="s">
        <v>493</v>
      </c>
      <c r="C587" s="129" t="s">
        <v>1749</v>
      </c>
      <c r="D587" s="130" t="s">
        <v>1750</v>
      </c>
      <c r="E587" s="129" t="s">
        <v>181</v>
      </c>
      <c r="F587" s="129" t="s">
        <v>606</v>
      </c>
      <c r="G587" s="129"/>
      <c r="H587" s="129"/>
      <c r="I587" s="125"/>
      <c r="J587" s="129"/>
      <c r="K587" s="123"/>
      <c r="L587" s="129" t="s">
        <v>1763</v>
      </c>
    </row>
    <row r="588" spans="1:12" ht="43.75" x14ac:dyDescent="0.4">
      <c r="A588" s="129" t="s">
        <v>1651</v>
      </c>
      <c r="B588" s="129" t="s">
        <v>493</v>
      </c>
      <c r="C588" s="129" t="s">
        <v>1749</v>
      </c>
      <c r="D588" s="130" t="s">
        <v>1750</v>
      </c>
      <c r="E588" s="129" t="s">
        <v>267</v>
      </c>
      <c r="F588" s="129" t="s">
        <v>1235</v>
      </c>
      <c r="G588" s="129"/>
      <c r="H588" s="129"/>
      <c r="I588" s="125"/>
      <c r="J588" s="129"/>
      <c r="K588" s="123"/>
      <c r="L588" s="129" t="s">
        <v>1763</v>
      </c>
    </row>
    <row r="589" spans="1:12" ht="43.75" x14ac:dyDescent="0.4">
      <c r="A589" s="129" t="s">
        <v>1651</v>
      </c>
      <c r="B589" s="129" t="s">
        <v>493</v>
      </c>
      <c r="C589" s="129" t="s">
        <v>1752</v>
      </c>
      <c r="D589" s="130" t="s">
        <v>1753</v>
      </c>
      <c r="E589" s="129" t="s">
        <v>181</v>
      </c>
      <c r="F589" s="129" t="s">
        <v>579</v>
      </c>
      <c r="G589" s="129"/>
      <c r="H589" s="129"/>
      <c r="I589" s="125"/>
      <c r="J589" s="129"/>
      <c r="K589" s="123"/>
      <c r="L589" s="129" t="s">
        <v>1763</v>
      </c>
    </row>
    <row r="590" spans="1:12" ht="43.75" x14ac:dyDescent="0.4">
      <c r="A590" s="129" t="s">
        <v>1651</v>
      </c>
      <c r="B590" s="129" t="s">
        <v>493</v>
      </c>
      <c r="C590" s="129" t="s">
        <v>1752</v>
      </c>
      <c r="D590" s="130" t="s">
        <v>1753</v>
      </c>
      <c r="E590" s="129" t="s">
        <v>267</v>
      </c>
      <c r="F590" s="129" t="s">
        <v>1245</v>
      </c>
      <c r="G590" s="129"/>
      <c r="H590" s="129"/>
      <c r="I590" s="125"/>
      <c r="J590" s="129"/>
      <c r="K590" s="123"/>
      <c r="L590" s="129" t="s">
        <v>1763</v>
      </c>
    </row>
    <row r="591" spans="1:12" ht="29.15" x14ac:dyDescent="0.4">
      <c r="A591" s="129" t="s">
        <v>1651</v>
      </c>
      <c r="B591" s="129" t="s">
        <v>493</v>
      </c>
      <c r="C591" s="129" t="s">
        <v>1755</v>
      </c>
      <c r="D591" s="130" t="s">
        <v>1756</v>
      </c>
      <c r="E591" s="129" t="s">
        <v>181</v>
      </c>
      <c r="F591" s="129" t="s">
        <v>1599</v>
      </c>
      <c r="G591" s="129"/>
      <c r="H591" s="129"/>
      <c r="I591" s="125"/>
      <c r="J591" s="129"/>
      <c r="K591" s="123"/>
      <c r="L591" s="129" t="s">
        <v>1763</v>
      </c>
    </row>
    <row r="592" spans="1:12" ht="29.15" x14ac:dyDescent="0.4">
      <c r="A592" s="129" t="s">
        <v>1651</v>
      </c>
      <c r="B592" s="129" t="s">
        <v>493</v>
      </c>
      <c r="C592" s="129" t="s">
        <v>1755</v>
      </c>
      <c r="D592" s="130" t="s">
        <v>1756</v>
      </c>
      <c r="E592" s="129" t="s">
        <v>267</v>
      </c>
      <c r="F592" s="129" t="s">
        <v>797</v>
      </c>
      <c r="G592" s="129"/>
      <c r="H592" s="129"/>
      <c r="I592" s="125"/>
      <c r="J592" s="129"/>
      <c r="K592" s="123"/>
      <c r="L592" s="129" t="s">
        <v>1763</v>
      </c>
    </row>
    <row r="593" spans="1:12" ht="29.15" x14ac:dyDescent="0.4">
      <c r="A593" s="129" t="s">
        <v>1651</v>
      </c>
      <c r="B593" s="129" t="s">
        <v>493</v>
      </c>
      <c r="C593" s="129" t="s">
        <v>1758</v>
      </c>
      <c r="D593" s="130" t="s">
        <v>1759</v>
      </c>
      <c r="E593" s="129" t="s">
        <v>181</v>
      </c>
      <c r="F593" s="129" t="s">
        <v>1587</v>
      </c>
      <c r="G593" s="129"/>
      <c r="H593" s="129"/>
      <c r="I593" s="125"/>
      <c r="J593" s="129"/>
      <c r="K593" s="123"/>
      <c r="L593" s="129" t="s">
        <v>1763</v>
      </c>
    </row>
    <row r="594" spans="1:12" ht="29.15" x14ac:dyDescent="0.4">
      <c r="A594" s="129" t="s">
        <v>1651</v>
      </c>
      <c r="B594" s="129" t="s">
        <v>493</v>
      </c>
      <c r="C594" s="129" t="s">
        <v>1758</v>
      </c>
      <c r="D594" s="130" t="s">
        <v>1759</v>
      </c>
      <c r="E594" s="129" t="s">
        <v>267</v>
      </c>
      <c r="F594" s="129" t="s">
        <v>1245</v>
      </c>
      <c r="G594" s="129"/>
      <c r="H594" s="129"/>
      <c r="I594" s="125"/>
      <c r="J594" s="129"/>
      <c r="K594" s="123"/>
      <c r="L594" s="129" t="s">
        <v>1763</v>
      </c>
    </row>
  </sheetData>
  <mergeCells count="4">
    <mergeCell ref="A3:F3"/>
    <mergeCell ref="G3:L3"/>
    <mergeCell ref="A2:I2"/>
    <mergeCell ref="A1:L1"/>
  </mergeCells>
  <conditionalFormatting sqref="G6:G20389">
    <cfRule type="expression" dxfId="2" priority="2">
      <formula>G6="Rettificato"</formula>
    </cfRule>
    <cfRule type="expression" dxfId="1" priority="3">
      <formula>G6="Respinto"</formula>
    </cfRule>
  </conditionalFormatting>
  <conditionalFormatting sqref="L6:L20389">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2026-10-08T17:06:09Z</dcterms:modified>
</cp:coreProperties>
</file>