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41B6CEA1-B5CE-434A-8005-30921A19800D}"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Metodologia" sheetId="7" r:id="rId7"/>
    <sheet name="Registro" sheetId="8" r:id="rId8"/>
    <sheet name="Storico" sheetId="9" r:id="rId9"/>
    <sheet name="Indicatori" sheetId="10" r:id="rId10"/>
    <sheet name="Notizie" sheetId="11" r:id="rId11"/>
    <sheet name="Piano_azioni" sheetId="12" r:id="rId12"/>
    <sheet name="Validazione" sheetId="13" r:id="rId13"/>
    <sheet name="Parametri" sheetId="14" r:id="rId14"/>
    <sheet name="Dizionario" sheetId="15" r:id="rId15"/>
    <sheet name="RiskRegister" sheetId="16" r:id="rId16"/>
    <sheet name="Azioni" sheetId="17" r:id="rId17"/>
    <sheet name="KRI" sheetId="18" r:id="rId18"/>
    <sheet name="NewsLog" sheetId="19" r:id="rId19"/>
    <sheet name="Sintesi_Cicli" sheetId="20" r:id="rId20"/>
    <sheet name="Sintesi_Settimane" sheetId="21" r:id="rId21"/>
    <sheet name="Storico_Validazioni" sheetId="22" r:id="rId22"/>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4">Matrice!$A$1:$G$37</definedName>
    <definedName name="_xlnm.Print_Area" localSheetId="6">Metodologia!$A$1:$B$104</definedName>
    <definedName name="_xlnm.Print_Area" localSheetId="13">Parametri!$A$1:$O$63</definedName>
    <definedName name="_xlnm.Print_Area" localSheetId="1">Quadro!$A$1:$O$72</definedName>
    <definedName name="_xlnm.Print_Area" localSheetId="3">Radar_Mosca!$A$1:$L$64</definedName>
    <definedName name="_xlnm.Print_Area" localSheetId="7">Registro!$A$1:$T$30</definedName>
    <definedName name="_xlnm.Print_Area" localSheetId="12">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PianoAzioni">150</definedName>
    <definedName name="cicliTrend">Parametri!$B$20:$B$27</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L1">Parametri!$E$4:$E$10</definedName>
    <definedName name="coperturaAnagrafica">Registro!$D$5</definedName>
    <definedName name="coperturaValutati">Registro!$G$5</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W_Codice_Fonte">NewsLog!$F$6:$F$20000</definedName>
    <definedName name="NW_Data">NewsLog!$A$6:$A$20000</definedName>
    <definedName name="NW_Fonte">NewsLog!$E$6:$E$20000</definedName>
    <definedName name="NW_ID_Notizia">NewsLog!$C$6:$C$20000</definedName>
    <definedName name="NW_Imp_L1_01">NewsLog!$I$6:$I$20000</definedName>
    <definedName name="NW_Imp_L1_02">NewsLog!$J$6:$J$20000</definedName>
    <definedName name="NW_Imp_L1_03">NewsLog!$K$6:$K$20000</definedName>
    <definedName name="NW_Imp_L1_04">NewsLog!$L$6:$L$20000</definedName>
    <definedName name="NW_Imp_L1_05">NewsLog!$M$6:$M$20000</definedName>
    <definedName name="NW_Imp_L1_06">NewsLog!$N$6:$N$20000</definedName>
    <definedName name="NW_Imp_L1_07">NewsLog!$O$6:$O$20000</definedName>
    <definedName name="NW_Rischio_ID">NewsLog!$G$6:$G$20000</definedName>
    <definedName name="NW_Segnale">NewsLog!$H$6:$H$20000</definedName>
    <definedName name="NW_Settimana">NewsLog!$B$6:$B$20000</definedName>
    <definedName name="NW_Sintesi">NewsLog!$P$6:$P$20000</definedName>
    <definedName name="NW_Titolo">NewsLog!$D$6:$D$20000</definedName>
    <definedName name="NW_Validazione">NewsLog!$Q$6:$Q$20000</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Notizie!$A$5:$A$11</definedName>
    <definedName name="presidioStato">Notizie!$F$5:$F$11</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RiskRegister!$L$6:$L$20012</definedName>
    <definedName name="RR_Approvato_Da">RiskRegister!$V$6:$V$20012</definedName>
    <definedName name="RR_Chiave">RiskRegister!$T$6:$T$20012</definedName>
    <definedName name="RR_Ciclo">RiskRegister!$A$6:$A$20012</definedName>
    <definedName name="RR_Data_Riferimento">RiskRegister!$B$6:$B$20012</definedName>
    <definedName name="RR_Data_Scrittura">RiskRegister!$U$6:$U$20012</definedName>
    <definedName name="RR_Data_Validazione">RiskRegister!$X$6:$X$20012</definedName>
    <definedName name="RR_Descrizione">RiskRegister!$N$6:$N$20012</definedName>
    <definedName name="RR_Driver">RiskRegister!$F$6:$F$20012</definedName>
    <definedName name="RR_Esito">RiskRegister!$M$6:$M$20012</definedName>
    <definedName name="RR_Event_Type">RiskRegister!$E$6:$E$20012</definedName>
    <definedName name="RR_Fonti">RiskRegister!$Q$6:$Q$20012</definedName>
    <definedName name="RR_ID_Rischio">RiskRegister!$C$6:$C$20012</definedName>
    <definedName name="RR_Impatto">RiskRegister!$G$6:$G$20012</definedName>
    <definedName name="RR_Nome">RiskRegister!$D$6:$D$20012</definedName>
    <definedName name="RR_Owner">RiskRegister!$S$6:$S$20012</definedName>
    <definedName name="RR_Probabilita">RiskRegister!$K$6:$K$20012</definedName>
    <definedName name="RR_Prossimita">RiskRegister!$I$6:$I$20012</definedName>
    <definedName name="RR_Razionale">RiskRegister!$O$6:$O$20012</definedName>
    <definedName name="RR_Rilievi">RiskRegister!$R$6:$R$20012</definedName>
    <definedName name="RR_Score_Composito">RiskRegister!$J$6:$J$20012</definedName>
    <definedName name="RR_Validazione">RiskRegister!$W$6:$W$20012</definedName>
    <definedName name="RR_Variazioni">RiskRegister!$P$6:$P$20012</definedName>
    <definedName name="RR_Velocity">RiskRegister!$H$6:$H$20012</definedName>
    <definedName name="SE_Data_Scrittura">Sintesi_Settimane!$E$6:$E$20000</definedName>
    <definedName name="SE_Flag_Proposti">Sintesi_Settimane!$D$6:$D$20000</definedName>
    <definedName name="SE_Notizie">Sintesi_Settimane!$B$6:$B$20000</definedName>
    <definedName name="SE_Settimana">Sintesi_Settimane!$A$6:$A$20000</definedName>
    <definedName name="SE_Sintesi_A3">Sintesi_Settimane!$C$6:$C$20000</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ogliaDelta">Parametri!$B$12</definedName>
    <definedName name="sogliaDirezione">Parametri!$B$11</definedName>
    <definedName name="statoCopertura">Registro!$H$5</definedName>
    <definedName name="statoValidazione">Registro!$H$4</definedName>
    <definedName name="_xlnm.Print_Titles" localSheetId="7">Registro!$7:$8</definedName>
    <definedName name="VAL_Campo">Storico_Validazioni!$E$6:$E$20165</definedName>
    <definedName name="VAL_Data_Validazione">Storico_Validazioni!$K$6:$K$20165</definedName>
    <definedName name="VAL_Decisione">Storico_Validazioni!$G$6:$G$20165</definedName>
    <definedName name="VAL_ID">Storico_Validazioni!$C$6:$C$20165</definedName>
    <definedName name="VAL_Motivazione">Storico_Validazioni!$I$6:$I$20165</definedName>
    <definedName name="VAL_Nome">Storico_Validazioni!$D$6:$D$20165</definedName>
    <definedName name="VAL_Oggetto">Storico_Validazioni!$B$6:$B$20165</definedName>
    <definedName name="VAL_Periodo">Storico_Validazioni!$A$6:$A$20165</definedName>
    <definedName name="VAL_Proposta_Agente">Storico_Validazioni!$F$6:$F$20165</definedName>
    <definedName name="VAL_Stato">Storico_Validazioni!$L$6:$L$20165</definedName>
    <definedName name="VAL_Validato_Da">Storico_Validazioni!$J$6:$J$20165</definedName>
    <definedName name="VAL_Valore_Validato">Storico_Validazioni!$H$6:$H$20165</definedName>
    <definedName name="valStato">Validazione!$A$3</definedName>
    <definedName name="versioneTemplate">"2026-10-07"</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G32" i="17" l="1"/>
  <c r="G31" i="17"/>
  <c r="G30" i="17"/>
  <c r="G29" i="17"/>
  <c r="G28" i="17"/>
  <c r="G27" i="17"/>
  <c r="G26" i="17"/>
  <c r="G25" i="17"/>
  <c r="G24" i="17"/>
  <c r="G23" i="17"/>
  <c r="G22" i="17"/>
  <c r="G21" i="17"/>
  <c r="G20" i="17"/>
  <c r="G19" i="17"/>
  <c r="G18" i="17"/>
  <c r="T50" i="16"/>
  <c r="J50" i="16"/>
  <c r="T49" i="16"/>
  <c r="J49" i="16"/>
  <c r="T48" i="16"/>
  <c r="J48" i="16"/>
  <c r="T47" i="16"/>
  <c r="J47" i="16"/>
  <c r="T46" i="16"/>
  <c r="J46" i="16"/>
  <c r="T45" i="16"/>
  <c r="J45" i="16"/>
  <c r="T44" i="16"/>
  <c r="J44" i="16"/>
  <c r="T43" i="16"/>
  <c r="J43" i="16"/>
  <c r="T42" i="16"/>
  <c r="J42" i="16"/>
  <c r="T41" i="16"/>
  <c r="J41" i="16"/>
  <c r="T40" i="16"/>
  <c r="J40" i="16"/>
  <c r="T39" i="16"/>
  <c r="J39" i="16"/>
  <c r="S96" i="18"/>
  <c r="N96" i="18"/>
  <c r="S95" i="18"/>
  <c r="N95" i="18"/>
  <c r="S94" i="18"/>
  <c r="N94" i="18"/>
  <c r="S93" i="18"/>
  <c r="N93" i="18"/>
  <c r="S92" i="18"/>
  <c r="N92" i="18"/>
  <c r="S91" i="18"/>
  <c r="N91" i="18"/>
  <c r="S90" i="18"/>
  <c r="N90" i="18"/>
  <c r="S89" i="18"/>
  <c r="N89" i="18"/>
  <c r="S88" i="18"/>
  <c r="N88" i="18"/>
  <c r="S87" i="18"/>
  <c r="N87" i="18"/>
  <c r="S86" i="18"/>
  <c r="N86" i="18"/>
  <c r="S85" i="18"/>
  <c r="N85" i="18"/>
  <c r="S84" i="18"/>
  <c r="N84" i="18"/>
  <c r="S83" i="18"/>
  <c r="N83" i="18"/>
  <c r="S82" i="18"/>
  <c r="N82" i="18"/>
  <c r="S81" i="18"/>
  <c r="N81" i="18"/>
  <c r="S80" i="18"/>
  <c r="N80" i="18"/>
  <c r="S79" i="18"/>
  <c r="N79" i="18"/>
  <c r="S78" i="18"/>
  <c r="N78" i="18"/>
  <c r="S77" i="18"/>
  <c r="N77" i="18"/>
  <c r="S76" i="18"/>
  <c r="N76" i="18"/>
  <c r="S75" i="18"/>
  <c r="N75" i="18"/>
  <c r="S74" i="18"/>
  <c r="N74" i="18"/>
  <c r="S73" i="18"/>
  <c r="N73" i="18"/>
  <c r="S72" i="18"/>
  <c r="N72" i="18"/>
  <c r="B15" i="19"/>
  <c r="B14" i="19"/>
  <c r="B13" i="19"/>
  <c r="B12" i="19"/>
  <c r="B11" i="19"/>
  <c r="B10" i="19"/>
  <c r="B9" i="19"/>
  <c r="B8" i="19"/>
  <c r="B7" i="19"/>
  <c r="B6" i="19"/>
  <c r="S71" i="18"/>
  <c r="N71" i="18"/>
  <c r="S70" i="18"/>
  <c r="N70" i="18"/>
  <c r="S69" i="18"/>
  <c r="N69" i="18"/>
  <c r="S68" i="18"/>
  <c r="N68" i="18"/>
  <c r="S67" i="18"/>
  <c r="N67" i="18"/>
  <c r="S66" i="18"/>
  <c r="N66" i="18"/>
  <c r="S65" i="18"/>
  <c r="N65" i="18"/>
  <c r="S64" i="18"/>
  <c r="N64" i="18"/>
  <c r="S63" i="18"/>
  <c r="N63" i="18"/>
  <c r="S62" i="18"/>
  <c r="N62" i="18"/>
  <c r="S61" i="18"/>
  <c r="N61" i="18"/>
  <c r="S60" i="18"/>
  <c r="N60" i="18"/>
  <c r="S59" i="18"/>
  <c r="N59" i="18"/>
  <c r="S58" i="18"/>
  <c r="N58" i="18"/>
  <c r="S57" i="18"/>
  <c r="N57" i="18"/>
  <c r="S56" i="18"/>
  <c r="N56" i="18"/>
  <c r="S55" i="18"/>
  <c r="N55" i="18"/>
  <c r="S54" i="18"/>
  <c r="N54" i="18"/>
  <c r="S53" i="18"/>
  <c r="N53" i="18"/>
  <c r="S52" i="18"/>
  <c r="N52" i="18"/>
  <c r="S51" i="18"/>
  <c r="N51" i="18"/>
  <c r="S50" i="18"/>
  <c r="N50" i="18"/>
  <c r="S49" i="18"/>
  <c r="N49" i="18"/>
  <c r="S48" i="18"/>
  <c r="N48" i="18"/>
  <c r="S47" i="18"/>
  <c r="N47" i="18"/>
  <c r="S46" i="18"/>
  <c r="N46" i="18"/>
  <c r="S45" i="18"/>
  <c r="N45" i="18"/>
  <c r="S44" i="18"/>
  <c r="N44" i="18"/>
  <c r="S43" i="18"/>
  <c r="N43" i="18"/>
  <c r="S42" i="18"/>
  <c r="N42" i="18"/>
  <c r="S41" i="18"/>
  <c r="N41" i="18"/>
  <c r="S40" i="18"/>
  <c r="N40" i="18"/>
  <c r="S39" i="18"/>
  <c r="N39" i="18"/>
  <c r="S38" i="18"/>
  <c r="N38" i="18"/>
  <c r="S37" i="18"/>
  <c r="N37" i="18"/>
  <c r="S36" i="18"/>
  <c r="N36" i="18"/>
  <c r="S35" i="18"/>
  <c r="N35" i="18"/>
  <c r="S34" i="18"/>
  <c r="N34" i="18"/>
  <c r="S33" i="18"/>
  <c r="N33" i="18"/>
  <c r="S32" i="18"/>
  <c r="N32" i="18"/>
  <c r="S31" i="18"/>
  <c r="N31" i="18"/>
  <c r="S30" i="18"/>
  <c r="N30" i="18"/>
  <c r="S29" i="18"/>
  <c r="N29" i="18"/>
  <c r="S28" i="18"/>
  <c r="N28" i="18"/>
  <c r="S27" i="18"/>
  <c r="N27" i="18"/>
  <c r="S26" i="18"/>
  <c r="N26" i="18"/>
  <c r="S25" i="18"/>
  <c r="N25" i="18"/>
  <c r="S24" i="18"/>
  <c r="N24" i="18"/>
  <c r="S23" i="18"/>
  <c r="N23" i="18"/>
  <c r="S22" i="18"/>
  <c r="N22" i="18"/>
  <c r="S21" i="18"/>
  <c r="N21" i="18"/>
  <c r="S20" i="18"/>
  <c r="N20" i="18"/>
  <c r="S19" i="18"/>
  <c r="N19" i="18"/>
  <c r="S18" i="18"/>
  <c r="N18" i="18"/>
  <c r="S17" i="18"/>
  <c r="N17" i="18"/>
  <c r="S16" i="18"/>
  <c r="N16" i="18"/>
  <c r="S15" i="18"/>
  <c r="N15" i="18"/>
  <c r="S14" i="18"/>
  <c r="N14" i="18"/>
  <c r="S13" i="18"/>
  <c r="N13" i="18"/>
  <c r="S12" i="18"/>
  <c r="N12" i="18"/>
  <c r="S11" i="18"/>
  <c r="N11" i="18"/>
  <c r="S10" i="18"/>
  <c r="N10" i="18"/>
  <c r="S9" i="18"/>
  <c r="N9" i="18"/>
  <c r="S8" i="18"/>
  <c r="N8" i="18"/>
  <c r="S7" i="18"/>
  <c r="N7" i="18"/>
  <c r="S6" i="18"/>
  <c r="N6" i="18"/>
  <c r="G17" i="17"/>
  <c r="G16" i="17"/>
  <c r="G15" i="17"/>
  <c r="G14" i="17"/>
  <c r="G13" i="17"/>
  <c r="G12" i="17"/>
  <c r="G11" i="17"/>
  <c r="G10" i="17"/>
  <c r="G9" i="17"/>
  <c r="G8" i="17"/>
  <c r="G7" i="17"/>
  <c r="G6" i="17"/>
  <c r="T38" i="16"/>
  <c r="J38" i="16"/>
  <c r="T37" i="16"/>
  <c r="J37" i="16"/>
  <c r="T36" i="16"/>
  <c r="J36" i="16"/>
  <c r="T35" i="16"/>
  <c r="J35" i="16"/>
  <c r="T34" i="16"/>
  <c r="J34" i="16"/>
  <c r="T33" i="16"/>
  <c r="J33" i="16"/>
  <c r="T32" i="16"/>
  <c r="J32" i="16"/>
  <c r="T31" i="16"/>
  <c r="J31" i="16"/>
  <c r="T30" i="16"/>
  <c r="J30" i="16"/>
  <c r="T29" i="16"/>
  <c r="J29" i="16"/>
  <c r="T28" i="16"/>
  <c r="J28" i="16"/>
  <c r="T27" i="16"/>
  <c r="J27" i="16"/>
  <c r="T26" i="16"/>
  <c r="J26" i="16"/>
  <c r="T25" i="16"/>
  <c r="J25" i="16"/>
  <c r="T24" i="16"/>
  <c r="J24" i="16"/>
  <c r="T23" i="16"/>
  <c r="J23" i="16"/>
  <c r="T22" i="16"/>
  <c r="J22" i="16"/>
  <c r="T21" i="16"/>
  <c r="J21" i="16"/>
  <c r="T20" i="16"/>
  <c r="J20" i="16"/>
  <c r="T19" i="16"/>
  <c r="J19" i="16"/>
  <c r="T18" i="16"/>
  <c r="J18" i="16"/>
  <c r="T17" i="16"/>
  <c r="J17" i="16"/>
  <c r="T16" i="16"/>
  <c r="J16" i="16"/>
  <c r="T15" i="16"/>
  <c r="J15" i="16"/>
  <c r="T14" i="16"/>
  <c r="J14" i="16"/>
  <c r="T13" i="16"/>
  <c r="J13" i="16"/>
  <c r="T12" i="16"/>
  <c r="J12" i="16"/>
  <c r="T11" i="16"/>
  <c r="J11" i="16"/>
  <c r="T10" i="16"/>
  <c r="J10" i="16"/>
  <c r="T9" i="16"/>
  <c r="J9" i="16"/>
  <c r="T8" i="16"/>
  <c r="J8" i="16"/>
  <c r="T7" i="16"/>
  <c r="J7" i="16"/>
  <c r="T6" i="16"/>
  <c r="J6" i="16"/>
  <c r="G131" i="15"/>
  <c r="G129" i="15"/>
  <c r="G128" i="15"/>
  <c r="G127" i="15"/>
  <c r="B45" i="14"/>
  <c r="B44" i="14"/>
  <c r="B43" i="14"/>
  <c r="B42" i="14"/>
  <c r="B41" i="14"/>
  <c r="B40" i="14"/>
  <c r="B39" i="14"/>
  <c r="B38" i="14"/>
  <c r="B37" i="14"/>
  <c r="B36" i="14"/>
  <c r="B35" i="14"/>
  <c r="B34" i="14"/>
  <c r="B31" i="14"/>
  <c r="B27" i="14"/>
  <c r="B26" i="14" s="1"/>
  <c r="B25" i="14" s="1"/>
  <c r="B16" i="14"/>
  <c r="B17" i="14" s="1"/>
  <c r="C8" i="14"/>
  <c r="B8" i="14"/>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T18" i="13" s="1"/>
  <c r="S127" i="13"/>
  <c r="S18" i="13" s="1"/>
  <c r="T126" i="13"/>
  <c r="S126" i="13"/>
  <c r="T125" i="13"/>
  <c r="S125" i="13"/>
  <c r="T124" i="13"/>
  <c r="S124" i="13"/>
  <c r="S15" i="13" s="1"/>
  <c r="T123" i="13"/>
  <c r="S123" i="13"/>
  <c r="S14" i="13" s="1"/>
  <c r="T122" i="13"/>
  <c r="S122" i="13"/>
  <c r="S13" i="13" s="1"/>
  <c r="T121" i="13"/>
  <c r="T12" i="13" s="1"/>
  <c r="S121" i="13"/>
  <c r="S12" i="13" s="1"/>
  <c r="T120" i="13"/>
  <c r="S120" i="13"/>
  <c r="T119" i="13"/>
  <c r="S119" i="13"/>
  <c r="T118" i="13"/>
  <c r="S118" i="13"/>
  <c r="S10" i="13" s="1"/>
  <c r="T117" i="13"/>
  <c r="T9" i="13" s="1"/>
  <c r="S117" i="13"/>
  <c r="T116" i="13"/>
  <c r="S116" i="13"/>
  <c r="T115" i="13"/>
  <c r="T8" i="13" s="1"/>
  <c r="S115" i="13"/>
  <c r="S8" i="13" s="1"/>
  <c r="T114" i="13"/>
  <c r="S114" i="13"/>
  <c r="T113" i="13"/>
  <c r="S113" i="13"/>
  <c r="S7" i="13" s="1"/>
  <c r="V26" i="13"/>
  <c r="U26" i="13"/>
  <c r="N26" i="13" s="1"/>
  <c r="T26" i="13"/>
  <c r="S26" i="13"/>
  <c r="O26" i="13" s="1"/>
  <c r="V25" i="13"/>
  <c r="U25" i="13"/>
  <c r="N25" i="13" s="1"/>
  <c r="T25" i="13"/>
  <c r="S25" i="13"/>
  <c r="O25" i="13" s="1"/>
  <c r="V24" i="13"/>
  <c r="U24" i="13"/>
  <c r="N24" i="13" s="1"/>
  <c r="T24" i="13"/>
  <c r="S24" i="13"/>
  <c r="O24" i="13" s="1"/>
  <c r="V23" i="13"/>
  <c r="U23" i="13"/>
  <c r="N23" i="13" s="1"/>
  <c r="T23" i="13"/>
  <c r="S23" i="13"/>
  <c r="O23" i="13" s="1"/>
  <c r="V22" i="13"/>
  <c r="U22" i="13"/>
  <c r="N22" i="13" s="1"/>
  <c r="T22" i="13"/>
  <c r="S22" i="13"/>
  <c r="O22" i="13" s="1"/>
  <c r="V21" i="13"/>
  <c r="U21" i="13"/>
  <c r="N21" i="13" s="1"/>
  <c r="T21" i="13"/>
  <c r="S21" i="13"/>
  <c r="O21" i="13" s="1"/>
  <c r="V20" i="13"/>
  <c r="U20" i="13"/>
  <c r="N20" i="13" s="1"/>
  <c r="T20" i="13"/>
  <c r="S20" i="13"/>
  <c r="O20" i="13" s="1"/>
  <c r="V19" i="13"/>
  <c r="U19" i="13"/>
  <c r="N19" i="13" s="1"/>
  <c r="T19" i="13"/>
  <c r="S19" i="13"/>
  <c r="O19" i="13" s="1"/>
  <c r="V18" i="13"/>
  <c r="U18" i="13"/>
  <c r="V17" i="13"/>
  <c r="U17" i="13"/>
  <c r="T17" i="13"/>
  <c r="S17" i="13"/>
  <c r="V16" i="13"/>
  <c r="U16" i="13"/>
  <c r="N16" i="13" s="1"/>
  <c r="T16" i="13"/>
  <c r="S16" i="13"/>
  <c r="V15" i="13"/>
  <c r="U15" i="13"/>
  <c r="N15" i="13" s="1"/>
  <c r="T15" i="13"/>
  <c r="V14" i="13"/>
  <c r="U14" i="13"/>
  <c r="T14" i="13"/>
  <c r="V13" i="13"/>
  <c r="U13" i="13"/>
  <c r="N13" i="13" s="1"/>
  <c r="T13" i="13"/>
  <c r="V12" i="13"/>
  <c r="U12" i="13"/>
  <c r="V11" i="13"/>
  <c r="U11" i="13"/>
  <c r="T11" i="13"/>
  <c r="S11" i="13"/>
  <c r="V10" i="13"/>
  <c r="U10" i="13"/>
  <c r="T10" i="13"/>
  <c r="V9" i="13"/>
  <c r="U9" i="13"/>
  <c r="N9" i="13" s="1"/>
  <c r="S9" i="13"/>
  <c r="V8" i="13"/>
  <c r="U8" i="13"/>
  <c r="V7" i="13"/>
  <c r="U7" i="13"/>
  <c r="N7" i="13" s="1"/>
  <c r="T7" i="13"/>
  <c r="N155" i="12"/>
  <c r="C155" i="12" s="1"/>
  <c r="N154" i="12"/>
  <c r="B154" i="12" s="1"/>
  <c r="N153" i="12"/>
  <c r="A153" i="12" s="1"/>
  <c r="N152" i="12"/>
  <c r="J152" i="12" s="1"/>
  <c r="N151" i="12"/>
  <c r="F151" i="12" s="1"/>
  <c r="N150" i="12"/>
  <c r="J150" i="12" s="1"/>
  <c r="N149" i="12"/>
  <c r="J149" i="12" s="1"/>
  <c r="N148" i="12"/>
  <c r="H148" i="12" s="1"/>
  <c r="I148" i="12" s="1"/>
  <c r="N147" i="12"/>
  <c r="G147" i="12" s="1"/>
  <c r="N146" i="12"/>
  <c r="F146" i="12" s="1"/>
  <c r="N145" i="12"/>
  <c r="E145" i="12" s="1"/>
  <c r="N144" i="12"/>
  <c r="D144" i="12" s="1"/>
  <c r="N143" i="12"/>
  <c r="C143" i="12" s="1"/>
  <c r="N142" i="12"/>
  <c r="B142" i="12" s="1"/>
  <c r="N141" i="12"/>
  <c r="A141" i="12" s="1"/>
  <c r="N140" i="12"/>
  <c r="J140" i="12" s="1"/>
  <c r="N139" i="12"/>
  <c r="J139" i="12" s="1"/>
  <c r="N138" i="12"/>
  <c r="J138" i="12" s="1"/>
  <c r="N137" i="12"/>
  <c r="J137" i="12" s="1"/>
  <c r="N136" i="12"/>
  <c r="F136" i="12" s="1"/>
  <c r="N135" i="12"/>
  <c r="G135" i="12" s="1"/>
  <c r="N134" i="12"/>
  <c r="F134" i="12" s="1"/>
  <c r="N133" i="12"/>
  <c r="E133" i="12" s="1"/>
  <c r="N132" i="12"/>
  <c r="D132" i="12" s="1"/>
  <c r="N131" i="12"/>
  <c r="C131" i="12" s="1"/>
  <c r="N130" i="12"/>
  <c r="B130" i="12" s="1"/>
  <c r="N129" i="12"/>
  <c r="A129" i="12" s="1"/>
  <c r="N128" i="12"/>
  <c r="J128" i="12" s="1"/>
  <c r="N127" i="12"/>
  <c r="N126" i="12"/>
  <c r="J126" i="12" s="1"/>
  <c r="N125" i="12"/>
  <c r="E125" i="12" s="1"/>
  <c r="N124" i="12"/>
  <c r="F124" i="12" s="1"/>
  <c r="N123" i="12"/>
  <c r="G123" i="12" s="1"/>
  <c r="N122" i="12"/>
  <c r="D122" i="12" s="1"/>
  <c r="N121" i="12"/>
  <c r="E121" i="12" s="1"/>
  <c r="N120" i="12"/>
  <c r="D120" i="12" s="1"/>
  <c r="N119" i="12"/>
  <c r="C119" i="12" s="1"/>
  <c r="N118" i="12"/>
  <c r="B118" i="12" s="1"/>
  <c r="N117" i="12"/>
  <c r="A117" i="12" s="1"/>
  <c r="N116" i="12"/>
  <c r="G116" i="12" s="1"/>
  <c r="N115" i="12"/>
  <c r="J115" i="12" s="1"/>
  <c r="N114" i="12"/>
  <c r="J114" i="12" s="1"/>
  <c r="N113" i="12"/>
  <c r="H113" i="12" s="1"/>
  <c r="I113" i="12" s="1"/>
  <c r="N112" i="12"/>
  <c r="C112" i="12" s="1"/>
  <c r="N111" i="12"/>
  <c r="G111" i="12" s="1"/>
  <c r="N110" i="12"/>
  <c r="A110" i="12" s="1"/>
  <c r="N109" i="12"/>
  <c r="D109" i="12" s="1"/>
  <c r="N108" i="12"/>
  <c r="C108" i="12" s="1"/>
  <c r="N107" i="12"/>
  <c r="C107" i="12" s="1"/>
  <c r="N106" i="12"/>
  <c r="B106" i="12" s="1"/>
  <c r="N105" i="12"/>
  <c r="A105" i="12" s="1"/>
  <c r="N104" i="12"/>
  <c r="J104" i="12" s="1"/>
  <c r="N103" i="12"/>
  <c r="J103" i="12" s="1"/>
  <c r="N102" i="12"/>
  <c r="J102" i="12" s="1"/>
  <c r="N101" i="12"/>
  <c r="G101" i="12" s="1"/>
  <c r="N100" i="12"/>
  <c r="G100" i="12" s="1"/>
  <c r="N99" i="12"/>
  <c r="F99" i="12" s="1"/>
  <c r="N98" i="12"/>
  <c r="A98" i="12" s="1"/>
  <c r="N97" i="12"/>
  <c r="C97" i="12" s="1"/>
  <c r="N96" i="12"/>
  <c r="B96" i="12" s="1"/>
  <c r="N95" i="12"/>
  <c r="C95" i="12" s="1"/>
  <c r="N94" i="12"/>
  <c r="B94" i="12" s="1"/>
  <c r="N93" i="12"/>
  <c r="A93" i="12" s="1"/>
  <c r="N92" i="12"/>
  <c r="G92" i="12" s="1"/>
  <c r="N91" i="12"/>
  <c r="J91" i="12" s="1"/>
  <c r="N90" i="12"/>
  <c r="J90" i="12" s="1"/>
  <c r="N89" i="12"/>
  <c r="D89" i="12" s="1"/>
  <c r="N88" i="12"/>
  <c r="G88" i="12" s="1"/>
  <c r="N87" i="12"/>
  <c r="F87" i="12" s="1"/>
  <c r="N86" i="12"/>
  <c r="A86" i="12" s="1"/>
  <c r="N85" i="12"/>
  <c r="J85" i="12" s="1"/>
  <c r="N84" i="12"/>
  <c r="H84" i="12" s="1"/>
  <c r="N83" i="12"/>
  <c r="C83" i="12" s="1"/>
  <c r="N82" i="12"/>
  <c r="B82" i="12" s="1"/>
  <c r="N81" i="12"/>
  <c r="A81" i="12" s="1"/>
  <c r="N80" i="12"/>
  <c r="G80" i="12" s="1"/>
  <c r="N79" i="12"/>
  <c r="J79" i="12" s="1"/>
  <c r="N78" i="12"/>
  <c r="J78" i="12" s="1"/>
  <c r="N77" i="12"/>
  <c r="D77" i="12" s="1"/>
  <c r="N76" i="12"/>
  <c r="G76" i="12" s="1"/>
  <c r="N75" i="12"/>
  <c r="G75" i="12" s="1"/>
  <c r="N74" i="12"/>
  <c r="A74" i="12" s="1"/>
  <c r="N73" i="12"/>
  <c r="D73" i="12" s="1"/>
  <c r="N72" i="12"/>
  <c r="C72" i="12" s="1"/>
  <c r="N71" i="12"/>
  <c r="C71" i="12" s="1"/>
  <c r="N70" i="12"/>
  <c r="J70" i="12" s="1"/>
  <c r="N69" i="12"/>
  <c r="A69" i="12" s="1"/>
  <c r="N68" i="12"/>
  <c r="G68" i="12" s="1"/>
  <c r="N67" i="12"/>
  <c r="J67" i="12" s="1"/>
  <c r="N66" i="12"/>
  <c r="J66" i="12" s="1"/>
  <c r="N65" i="12"/>
  <c r="H65" i="12" s="1"/>
  <c r="I65" i="12" s="1"/>
  <c r="N64" i="12"/>
  <c r="G64" i="12" s="1"/>
  <c r="N63" i="12"/>
  <c r="H63" i="12" s="1"/>
  <c r="N62" i="12"/>
  <c r="E62" i="12" s="1"/>
  <c r="N61" i="12"/>
  <c r="D61" i="12" s="1"/>
  <c r="N60" i="12"/>
  <c r="C60" i="12" s="1"/>
  <c r="N59" i="12"/>
  <c r="J59" i="12" s="1"/>
  <c r="N58" i="12"/>
  <c r="J58" i="12" s="1"/>
  <c r="N57" i="12"/>
  <c r="J57" i="12" s="1"/>
  <c r="N56" i="12"/>
  <c r="E56" i="12" s="1"/>
  <c r="N55" i="12"/>
  <c r="H55" i="12" s="1"/>
  <c r="N54" i="12"/>
  <c r="J54" i="12" s="1"/>
  <c r="N53" i="12"/>
  <c r="F53" i="12" s="1"/>
  <c r="N52" i="12"/>
  <c r="C52" i="12" s="1"/>
  <c r="N51" i="12"/>
  <c r="N50" i="12"/>
  <c r="H50" i="12" s="1"/>
  <c r="N49" i="12"/>
  <c r="G49" i="12" s="1"/>
  <c r="N48" i="12"/>
  <c r="F48" i="12" s="1"/>
  <c r="N47" i="12"/>
  <c r="E47" i="12" s="1"/>
  <c r="N46" i="12"/>
  <c r="D46" i="12" s="1"/>
  <c r="N45" i="12"/>
  <c r="C45" i="12" s="1"/>
  <c r="N44" i="12"/>
  <c r="B44" i="12" s="1"/>
  <c r="N43" i="12"/>
  <c r="A43" i="12" s="1"/>
  <c r="N42" i="12"/>
  <c r="H42" i="12" s="1"/>
  <c r="I42" i="12" s="1"/>
  <c r="N41" i="12"/>
  <c r="G41" i="12" s="1"/>
  <c r="N40" i="12"/>
  <c r="J40" i="12" s="1"/>
  <c r="N39" i="12"/>
  <c r="N38" i="12"/>
  <c r="H38" i="12" s="1"/>
  <c r="N37" i="12"/>
  <c r="G37" i="12" s="1"/>
  <c r="N36" i="12"/>
  <c r="F36" i="12" s="1"/>
  <c r="N35" i="12"/>
  <c r="E35" i="12" s="1"/>
  <c r="N34" i="12"/>
  <c r="D34" i="12" s="1"/>
  <c r="N33" i="12"/>
  <c r="C33" i="12" s="1"/>
  <c r="N32" i="12"/>
  <c r="B32" i="12" s="1"/>
  <c r="N31" i="12"/>
  <c r="A31" i="12" s="1"/>
  <c r="N30" i="12"/>
  <c r="H30" i="12" s="1"/>
  <c r="N29" i="12"/>
  <c r="F29" i="12" s="1"/>
  <c r="N28" i="12"/>
  <c r="J28" i="12" s="1"/>
  <c r="N27" i="12"/>
  <c r="N26" i="12"/>
  <c r="H26" i="12" s="1"/>
  <c r="N25" i="12"/>
  <c r="G25" i="12" s="1"/>
  <c r="N24" i="12"/>
  <c r="F24" i="12" s="1"/>
  <c r="N23" i="12"/>
  <c r="E23" i="12" s="1"/>
  <c r="N22" i="12"/>
  <c r="D22" i="12" s="1"/>
  <c r="N21" i="12"/>
  <c r="C21" i="12" s="1"/>
  <c r="N20" i="12"/>
  <c r="B20" i="12" s="1"/>
  <c r="N19" i="12"/>
  <c r="A19" i="12" s="1"/>
  <c r="N18" i="12"/>
  <c r="H18" i="12" s="1"/>
  <c r="N17" i="12"/>
  <c r="F17" i="12" s="1"/>
  <c r="N16" i="12"/>
  <c r="J16" i="12" s="1"/>
  <c r="N15" i="12"/>
  <c r="N14" i="12"/>
  <c r="H14" i="12" s="1"/>
  <c r="N13" i="12"/>
  <c r="G13" i="12" s="1"/>
  <c r="N12" i="12"/>
  <c r="F12" i="12" s="1"/>
  <c r="N11" i="12"/>
  <c r="E11" i="12" s="1"/>
  <c r="N10" i="12"/>
  <c r="D10" i="12" s="1"/>
  <c r="N9" i="12"/>
  <c r="C9" i="12" s="1"/>
  <c r="N8" i="12"/>
  <c r="B8" i="12" s="1"/>
  <c r="N7" i="12"/>
  <c r="A7" i="12" s="1"/>
  <c r="N6" i="12"/>
  <c r="H6" i="12" s="1"/>
  <c r="D28" i="11"/>
  <c r="B28" i="11"/>
  <c r="A28" i="11"/>
  <c r="C28" i="11" s="1"/>
  <c r="E28" i="11" s="1"/>
  <c r="A27" i="11"/>
  <c r="D27" i="11" s="1"/>
  <c r="A26" i="11"/>
  <c r="A25" i="11"/>
  <c r="D25" i="11" s="1"/>
  <c r="A24" i="11"/>
  <c r="B24" i="11" s="1"/>
  <c r="A23" i="11"/>
  <c r="C23" i="11" s="1"/>
  <c r="D22" i="11"/>
  <c r="E22" i="11" s="1"/>
  <c r="C22" i="11"/>
  <c r="A22" i="11"/>
  <c r="B22" i="11" s="1"/>
  <c r="A21" i="11"/>
  <c r="B21" i="11" s="1"/>
  <c r="A20" i="11"/>
  <c r="D20" i="11" s="1"/>
  <c r="A19" i="11"/>
  <c r="C19" i="11" s="1"/>
  <c r="B18" i="11"/>
  <c r="A18" i="11"/>
  <c r="D18" i="11" s="1"/>
  <c r="B17" i="11"/>
  <c r="A17" i="11"/>
  <c r="D17" i="11" s="1"/>
  <c r="D13" i="11"/>
  <c r="L11" i="11"/>
  <c r="I11" i="11"/>
  <c r="H11" i="11"/>
  <c r="G11" i="11"/>
  <c r="E11" i="11"/>
  <c r="F11" i="11" s="1"/>
  <c r="J11" i="11" s="1"/>
  <c r="D11" i="11"/>
  <c r="C11" i="11"/>
  <c r="I10" i="11"/>
  <c r="H10" i="11"/>
  <c r="G10" i="11"/>
  <c r="E10" i="11"/>
  <c r="D10" i="11"/>
  <c r="C10" i="11"/>
  <c r="I9" i="11"/>
  <c r="H9" i="11"/>
  <c r="G9" i="11"/>
  <c r="E9" i="11"/>
  <c r="D9" i="11"/>
  <c r="C9" i="11"/>
  <c r="I8" i="11"/>
  <c r="H8" i="11"/>
  <c r="G8" i="11"/>
  <c r="E8" i="11"/>
  <c r="D8" i="11"/>
  <c r="C8" i="11"/>
  <c r="I7" i="11"/>
  <c r="H7" i="11"/>
  <c r="G7" i="11"/>
  <c r="E7" i="11"/>
  <c r="F7" i="11" s="1"/>
  <c r="J7" i="11" s="1"/>
  <c r="D7" i="11"/>
  <c r="C7" i="11"/>
  <c r="I6" i="11"/>
  <c r="H6" i="11"/>
  <c r="G6" i="11"/>
  <c r="E6" i="11"/>
  <c r="D6" i="11"/>
  <c r="C6" i="11"/>
  <c r="L5" i="11"/>
  <c r="I5" i="11"/>
  <c r="H5" i="11"/>
  <c r="G5" i="11"/>
  <c r="E5" i="11"/>
  <c r="D5" i="11"/>
  <c r="C5" i="11"/>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Z66" i="10"/>
  <c r="L66" i="10" s="1"/>
  <c r="AB65" i="10"/>
  <c r="Z65" i="10"/>
  <c r="H65" i="10" s="1"/>
  <c r="AB64" i="10"/>
  <c r="Z64" i="10"/>
  <c r="F64" i="10" s="1"/>
  <c r="AB63" i="10"/>
  <c r="Z63" i="10"/>
  <c r="G63" i="10" s="1"/>
  <c r="AB62" i="10"/>
  <c r="Z62" i="10"/>
  <c r="E62" i="10" s="1"/>
  <c r="AB61" i="10"/>
  <c r="Z61" i="10"/>
  <c r="L61" i="10" s="1"/>
  <c r="AB60" i="10"/>
  <c r="Z60" i="10"/>
  <c r="AB59" i="10"/>
  <c r="Z59" i="10"/>
  <c r="AB58" i="10"/>
  <c r="Z58" i="10"/>
  <c r="F58" i="10" s="1"/>
  <c r="AB57" i="10"/>
  <c r="Z57" i="10"/>
  <c r="L57" i="10" s="1"/>
  <c r="AB56" i="10"/>
  <c r="Z56" i="10"/>
  <c r="E56" i="10" s="1"/>
  <c r="AB55" i="10"/>
  <c r="Z55" i="10"/>
  <c r="F55" i="10" s="1"/>
  <c r="AB54" i="10"/>
  <c r="Z54" i="10"/>
  <c r="L54" i="10" s="1"/>
  <c r="AB53" i="10"/>
  <c r="Z53" i="10"/>
  <c r="D53" i="10" s="1"/>
  <c r="AB52" i="10"/>
  <c r="Z52" i="10"/>
  <c r="F52" i="10" s="1"/>
  <c r="AB51" i="10"/>
  <c r="Z51" i="10"/>
  <c r="H51" i="10" s="1"/>
  <c r="AB50" i="10"/>
  <c r="Z50" i="10"/>
  <c r="H50" i="10" s="1"/>
  <c r="AB49" i="10"/>
  <c r="Z49" i="10"/>
  <c r="L49" i="10" s="1"/>
  <c r="AB48" i="10"/>
  <c r="Z48" i="10"/>
  <c r="B48" i="10" s="1"/>
  <c r="AB47" i="10"/>
  <c r="Z47" i="10"/>
  <c r="D47" i="10" s="1"/>
  <c r="AB46" i="10"/>
  <c r="Z46" i="10"/>
  <c r="F46" i="10" s="1"/>
  <c r="AB45" i="10"/>
  <c r="Z45" i="10"/>
  <c r="H45" i="10" s="1"/>
  <c r="AB44" i="10"/>
  <c r="Z44" i="10"/>
  <c r="B44" i="10" s="1"/>
  <c r="AB43" i="10"/>
  <c r="Z43" i="10"/>
  <c r="L43" i="10" s="1"/>
  <c r="AB42" i="10"/>
  <c r="Z42" i="10"/>
  <c r="B42" i="10" s="1"/>
  <c r="AB41" i="10"/>
  <c r="Z41" i="10"/>
  <c r="H41" i="10" s="1"/>
  <c r="AB40" i="10"/>
  <c r="Z40" i="10"/>
  <c r="F40" i="10" s="1"/>
  <c r="AB39" i="10"/>
  <c r="Z39" i="10"/>
  <c r="H39" i="10" s="1"/>
  <c r="AB38" i="10"/>
  <c r="Z38" i="10"/>
  <c r="C38" i="10" s="1"/>
  <c r="AB37" i="10"/>
  <c r="Z37" i="10"/>
  <c r="L37" i="10" s="1"/>
  <c r="AB36" i="10"/>
  <c r="Z36" i="10"/>
  <c r="AB35" i="10"/>
  <c r="Z35" i="10"/>
  <c r="D35" i="10" s="1"/>
  <c r="AB34" i="10"/>
  <c r="Z34" i="10"/>
  <c r="F34" i="10" s="1"/>
  <c r="AB33" i="10"/>
  <c r="Z33" i="10"/>
  <c r="H33" i="10" s="1"/>
  <c r="AB32" i="10"/>
  <c r="Z32" i="10"/>
  <c r="C32" i="10" s="1"/>
  <c r="AB31" i="10"/>
  <c r="Z31" i="10"/>
  <c r="E31" i="10" s="1"/>
  <c r="AB30" i="10"/>
  <c r="Z30" i="10"/>
  <c r="AB29" i="10"/>
  <c r="Z29" i="10"/>
  <c r="F29" i="10" s="1"/>
  <c r="AB28" i="10"/>
  <c r="Z28" i="10"/>
  <c r="E28" i="10" s="1"/>
  <c r="AB27" i="10"/>
  <c r="Z27" i="10"/>
  <c r="B27" i="10" s="1"/>
  <c r="AB26" i="10"/>
  <c r="Z26" i="10"/>
  <c r="C26" i="10" s="1"/>
  <c r="AB25" i="10"/>
  <c r="Z25" i="10"/>
  <c r="E25" i="10" s="1"/>
  <c r="AB24" i="10"/>
  <c r="Z24" i="10"/>
  <c r="D24" i="10" s="1"/>
  <c r="AB23" i="10"/>
  <c r="Z23" i="10"/>
  <c r="L23" i="10" s="1"/>
  <c r="AB22" i="10"/>
  <c r="Z22" i="10"/>
  <c r="G22" i="10" s="1"/>
  <c r="AB21" i="10"/>
  <c r="Z21" i="10"/>
  <c r="B21" i="10" s="1"/>
  <c r="AB20" i="10"/>
  <c r="Z20" i="10"/>
  <c r="C20" i="10" s="1"/>
  <c r="AB19" i="10"/>
  <c r="Z19" i="10"/>
  <c r="D19" i="10" s="1"/>
  <c r="M19" i="10"/>
  <c r="AB18" i="10"/>
  <c r="Z18" i="10"/>
  <c r="C18" i="10" s="1"/>
  <c r="M18" i="10"/>
  <c r="T18" i="10" s="1"/>
  <c r="AB17" i="10"/>
  <c r="Z17" i="10"/>
  <c r="F17" i="10" s="1"/>
  <c r="AB16" i="10"/>
  <c r="Z16" i="10"/>
  <c r="D16" i="10" s="1"/>
  <c r="AB15" i="10"/>
  <c r="Z15" i="10"/>
  <c r="B15" i="10" s="1"/>
  <c r="AB14" i="10"/>
  <c r="Z14" i="10"/>
  <c r="L14" i="10" s="1"/>
  <c r="AB13" i="10"/>
  <c r="Z13" i="10"/>
  <c r="C13" i="10" s="1"/>
  <c r="AB12" i="10"/>
  <c r="Z12" i="10"/>
  <c r="D12" i="10" s="1"/>
  <c r="Z11" i="10"/>
  <c r="L11" i="10" s="1"/>
  <c r="Z10" i="10"/>
  <c r="C10" i="10" s="1"/>
  <c r="Z9" i="10"/>
  <c r="F9" i="10" s="1"/>
  <c r="Z8" i="10"/>
  <c r="L8" i="10" s="1"/>
  <c r="Z7" i="10"/>
  <c r="AA4" i="10"/>
  <c r="N7" i="10" s="1"/>
  <c r="J4" i="10"/>
  <c r="H4" i="10"/>
  <c r="F4" i="10"/>
  <c r="D4" i="10"/>
  <c r="B4" i="10"/>
  <c r="J4" i="9"/>
  <c r="I4" i="9"/>
  <c r="H4" i="9"/>
  <c r="AA28" i="8"/>
  <c r="AC28" i="8" s="1"/>
  <c r="AI27" i="8"/>
  <c r="AA27" i="8"/>
  <c r="AD27" i="8" s="1"/>
  <c r="AD26" i="8"/>
  <c r="AA26" i="8"/>
  <c r="AA25" i="8"/>
  <c r="A21" i="9" s="1"/>
  <c r="AA24" i="8"/>
  <c r="AI23" i="8"/>
  <c r="AC23" i="8"/>
  <c r="AA23" i="8"/>
  <c r="AK22" i="8"/>
  <c r="AJ22" i="8"/>
  <c r="AI22" i="8"/>
  <c r="AH22" i="8"/>
  <c r="AG22" i="8"/>
  <c r="T18" i="3" s="1"/>
  <c r="AF22" i="8"/>
  <c r="AE22" i="8"/>
  <c r="AA22" i="8"/>
  <c r="AN22" i="8" s="1"/>
  <c r="AK21" i="8"/>
  <c r="AJ21" i="8"/>
  <c r="AI21" i="8"/>
  <c r="AF21" i="8"/>
  <c r="AE21" i="8"/>
  <c r="AA21" i="8"/>
  <c r="AL21" i="8" s="1"/>
  <c r="AA20" i="8"/>
  <c r="J29" i="2" s="1"/>
  <c r="AC19" i="8"/>
  <c r="AA19" i="8"/>
  <c r="AE19" i="8" s="1"/>
  <c r="AA18" i="8"/>
  <c r="A14" i="9" s="1"/>
  <c r="AA17" i="8"/>
  <c r="J26" i="2" s="1"/>
  <c r="AE16" i="8"/>
  <c r="AC16" i="8"/>
  <c r="AA16" i="8"/>
  <c r="AA15" i="8"/>
  <c r="AF15" i="8" s="1"/>
  <c r="AA14" i="8"/>
  <c r="AC13" i="8"/>
  <c r="AA13" i="8"/>
  <c r="AB13" i="8" s="1"/>
  <c r="B9" i="9" s="1"/>
  <c r="AC12" i="8"/>
  <c r="AA12" i="8"/>
  <c r="AJ12" i="8" s="1"/>
  <c r="AA11" i="8"/>
  <c r="AI11" i="8" s="1"/>
  <c r="AA10" i="8"/>
  <c r="AA9" i="8"/>
  <c r="L5" i="5" s="1"/>
  <c r="G5" i="8"/>
  <c r="A5" i="2" s="1"/>
  <c r="D5" i="8"/>
  <c r="G4" i="8"/>
  <c r="D4" i="8"/>
  <c r="M5" i="2" s="1"/>
  <c r="B88" i="7"/>
  <c r="B87" i="7"/>
  <c r="B81" i="7"/>
  <c r="B80" i="7"/>
  <c r="B79" i="7"/>
  <c r="B78" i="7"/>
  <c r="B77" i="7"/>
  <c r="B76" i="7"/>
  <c r="B74" i="7"/>
  <c r="B31" i="7"/>
  <c r="B30" i="7"/>
  <c r="B29" i="7"/>
  <c r="B28" i="7"/>
  <c r="B27" i="7"/>
  <c r="A27" i="6"/>
  <c r="AD22" i="6"/>
  <c r="AD18" i="6"/>
  <c r="AH18" i="6" s="1"/>
  <c r="AD15" i="6"/>
  <c r="AG15" i="6" s="1"/>
  <c r="AD11" i="6"/>
  <c r="AD10" i="6"/>
  <c r="AD7" i="6"/>
  <c r="L24" i="5"/>
  <c r="L23" i="5"/>
  <c r="L9" i="5"/>
  <c r="L8" i="5"/>
  <c r="AD77" i="4"/>
  <c r="AK77" i="4" s="1"/>
  <c r="AD76" i="4"/>
  <c r="AL76" i="4" s="1"/>
  <c r="AL75" i="4"/>
  <c r="AJ75" i="4"/>
  <c r="AI75" i="4"/>
  <c r="AH75" i="4"/>
  <c r="AD75" i="4"/>
  <c r="AF75" i="4" s="1"/>
  <c r="AD74" i="4"/>
  <c r="AF74" i="4" s="1"/>
  <c r="AL73" i="4"/>
  <c r="AK73" i="4"/>
  <c r="AI73" i="4"/>
  <c r="AD73" i="4"/>
  <c r="AH73" i="4" s="1"/>
  <c r="AD72" i="4"/>
  <c r="AH71" i="4"/>
  <c r="AD71" i="4"/>
  <c r="AF71" i="4" s="1"/>
  <c r="AI70" i="4"/>
  <c r="AF70" i="4"/>
  <c r="AE70" i="4"/>
  <c r="AD70" i="4"/>
  <c r="AD69" i="4"/>
  <c r="AD68" i="4"/>
  <c r="AD67" i="4"/>
  <c r="AF67" i="4" s="1"/>
  <c r="AL66" i="4"/>
  <c r="AD66" i="4"/>
  <c r="AE66" i="4" s="1"/>
  <c r="AL65" i="4"/>
  <c r="AK65" i="4"/>
  <c r="AJ65" i="4"/>
  <c r="AI65" i="4"/>
  <c r="AH65" i="4"/>
  <c r="AG65" i="4"/>
  <c r="AD65" i="4"/>
  <c r="AE65" i="4" s="1"/>
  <c r="AJ64" i="4"/>
  <c r="AG64" i="4"/>
  <c r="AD64" i="4"/>
  <c r="AK64" i="4" s="1"/>
  <c r="AD63" i="4"/>
  <c r="AL63" i="4" s="1"/>
  <c r="AF62" i="4"/>
  <c r="AE62" i="4"/>
  <c r="AD62" i="4"/>
  <c r="AD61" i="4"/>
  <c r="AL60" i="4"/>
  <c r="AK60" i="4"/>
  <c r="AJ60" i="4"/>
  <c r="AH60" i="4"/>
  <c r="AG60" i="4"/>
  <c r="AD60" i="4"/>
  <c r="AE60" i="4" s="1"/>
  <c r="AD59" i="4"/>
  <c r="AH59" i="4" s="1"/>
  <c r="AK58" i="4"/>
  <c r="AJ58" i="4"/>
  <c r="AI58" i="4"/>
  <c r="AH58" i="4"/>
  <c r="AG58" i="4"/>
  <c r="AF58" i="4"/>
  <c r="AE58" i="4"/>
  <c r="AD58" i="4"/>
  <c r="AL58" i="4" s="1"/>
  <c r="AD57" i="4"/>
  <c r="AH57" i="4" s="1"/>
  <c r="AD56" i="4"/>
  <c r="AE56" i="4" s="1"/>
  <c r="AL55" i="4"/>
  <c r="AK55" i="4"/>
  <c r="AJ55" i="4"/>
  <c r="AE55" i="4"/>
  <c r="AD55" i="4"/>
  <c r="AD54" i="4"/>
  <c r="AE54" i="4" s="1"/>
  <c r="AD53" i="4"/>
  <c r="AK53" i="4" s="1"/>
  <c r="AK52" i="4"/>
  <c r="AJ52" i="4"/>
  <c r="AD52" i="4"/>
  <c r="AH52" i="4" s="1"/>
  <c r="AD51" i="4"/>
  <c r="AG51" i="4" s="1"/>
  <c r="AK50" i="4"/>
  <c r="AD50" i="4"/>
  <c r="AL50" i="4" s="1"/>
  <c r="AD49" i="4"/>
  <c r="AF49" i="4" s="1"/>
  <c r="AK48" i="4"/>
  <c r="AJ48" i="4"/>
  <c r="AH48" i="4"/>
  <c r="AE48" i="4"/>
  <c r="AD48" i="4"/>
  <c r="AL48" i="4" s="1"/>
  <c r="AD47" i="4"/>
  <c r="AD46" i="4"/>
  <c r="AF46" i="4" s="1"/>
  <c r="AD45" i="4"/>
  <c r="AK45" i="4" s="1"/>
  <c r="AD44" i="4"/>
  <c r="AH44" i="4" s="1"/>
  <c r="AL43" i="4"/>
  <c r="AK43" i="4"/>
  <c r="AJ43" i="4"/>
  <c r="AH43" i="4"/>
  <c r="AE43" i="4"/>
  <c r="AD43" i="4"/>
  <c r="AG43" i="4" s="1"/>
  <c r="AG42" i="4"/>
  <c r="AF42" i="4"/>
  <c r="AD42" i="4"/>
  <c r="AD41" i="4"/>
  <c r="AE41" i="4" s="1"/>
  <c r="AD40" i="4"/>
  <c r="AD39" i="4"/>
  <c r="AG38" i="4"/>
  <c r="AF38" i="4"/>
  <c r="AE38" i="4"/>
  <c r="AD38" i="4"/>
  <c r="AD37" i="4"/>
  <c r="AF37" i="4" s="1"/>
  <c r="AD36" i="4"/>
  <c r="AD35" i="4"/>
  <c r="AK34" i="4"/>
  <c r="AJ34" i="4"/>
  <c r="AI34" i="4"/>
  <c r="AH34" i="4"/>
  <c r="AG34" i="4"/>
  <c r="AF34" i="4"/>
  <c r="AE34" i="4"/>
  <c r="AD34" i="4"/>
  <c r="AL34" i="4" s="1"/>
  <c r="AG33" i="4"/>
  <c r="AD33" i="4"/>
  <c r="AE32" i="4"/>
  <c r="AD32" i="4"/>
  <c r="AL31" i="4"/>
  <c r="AK31" i="4"/>
  <c r="AJ31" i="4"/>
  <c r="AI31" i="4"/>
  <c r="AH31" i="4"/>
  <c r="AG31" i="4"/>
  <c r="AE31" i="4"/>
  <c r="AD31" i="4"/>
  <c r="AF31" i="4" s="1"/>
  <c r="AD30" i="4"/>
  <c r="AF30" i="4" s="1"/>
  <c r="AD29" i="4"/>
  <c r="AH28" i="4"/>
  <c r="AE28" i="4"/>
  <c r="AD28" i="4"/>
  <c r="AL27" i="4"/>
  <c r="AD27" i="4"/>
  <c r="AG26" i="4"/>
  <c r="AF26" i="4"/>
  <c r="AE26" i="4"/>
  <c r="AD26" i="4"/>
  <c r="AJ25" i="4"/>
  <c r="AE25" i="4"/>
  <c r="AD25" i="4"/>
  <c r="AD24" i="4"/>
  <c r="AG24" i="4" s="1"/>
  <c r="A24" i="4"/>
  <c r="DP24" i="2" s="1"/>
  <c r="AL23" i="4"/>
  <c r="AK23" i="4"/>
  <c r="AJ23" i="4"/>
  <c r="AI23" i="4"/>
  <c r="AD23" i="4"/>
  <c r="AE23" i="4" s="1"/>
  <c r="A23" i="4"/>
  <c r="AD22" i="4"/>
  <c r="P22" i="4"/>
  <c r="N22" i="4"/>
  <c r="J22" i="4"/>
  <c r="G22" i="4"/>
  <c r="H22" i="4" s="1"/>
  <c r="A22" i="4"/>
  <c r="CL21" i="4"/>
  <c r="AK21" i="4"/>
  <c r="AJ21" i="4"/>
  <c r="AH21" i="4"/>
  <c r="AG21" i="4"/>
  <c r="AF21" i="4"/>
  <c r="AE21" i="4"/>
  <c r="AD21" i="4"/>
  <c r="T21" i="4"/>
  <c r="P21" i="4"/>
  <c r="O21" i="4"/>
  <c r="N21" i="4"/>
  <c r="J21" i="4"/>
  <c r="I21" i="4"/>
  <c r="G21" i="4"/>
  <c r="H21" i="4" s="1"/>
  <c r="E21" i="4"/>
  <c r="D21" i="4"/>
  <c r="C21" i="4"/>
  <c r="B21" i="4"/>
  <c r="A21" i="4"/>
  <c r="AK20" i="4"/>
  <c r="AH20" i="4"/>
  <c r="AF20" i="4"/>
  <c r="AE20" i="4"/>
  <c r="AD20" i="4"/>
  <c r="A20" i="4"/>
  <c r="DP20" i="2" s="1"/>
  <c r="AI19" i="4"/>
  <c r="AG19" i="4"/>
  <c r="AD19" i="4"/>
  <c r="AK19" i="4" s="1"/>
  <c r="A19" i="4"/>
  <c r="DP19" i="2" s="1"/>
  <c r="AO18" i="4"/>
  <c r="AN18" i="4"/>
  <c r="AL18" i="4"/>
  <c r="AF18" i="4"/>
  <c r="AD18" i="4"/>
  <c r="O18" i="4"/>
  <c r="M18" i="4"/>
  <c r="J18" i="4"/>
  <c r="E18" i="4"/>
  <c r="C18" i="4"/>
  <c r="B18" i="4"/>
  <c r="A18" i="4"/>
  <c r="CL17" i="4"/>
  <c r="AK17" i="4"/>
  <c r="AJ17" i="4"/>
  <c r="AE17" i="4"/>
  <c r="AD17" i="4"/>
  <c r="AL17" i="4" s="1"/>
  <c r="T17" i="4"/>
  <c r="P17" i="4"/>
  <c r="N17" i="4"/>
  <c r="J17" i="4"/>
  <c r="I17" i="4"/>
  <c r="G17" i="4"/>
  <c r="H17" i="4" s="1"/>
  <c r="E17" i="4"/>
  <c r="D17" i="4"/>
  <c r="B17" i="4"/>
  <c r="A17" i="4"/>
  <c r="AO16" i="4"/>
  <c r="AN16" i="4"/>
  <c r="AK16" i="4"/>
  <c r="AJ16" i="4"/>
  <c r="AI16" i="4"/>
  <c r="AH16" i="4"/>
  <c r="AG16" i="4"/>
  <c r="AF16" i="4"/>
  <c r="AE16" i="4"/>
  <c r="AD16" i="4"/>
  <c r="AL16" i="4" s="1"/>
  <c r="A16" i="4"/>
  <c r="AD15" i="4"/>
  <c r="T15" i="4"/>
  <c r="J15" i="4"/>
  <c r="I15" i="4"/>
  <c r="G15" i="4"/>
  <c r="H15" i="4" s="1"/>
  <c r="E15" i="4"/>
  <c r="C15" i="4"/>
  <c r="O15" i="4" s="1"/>
  <c r="A15" i="4"/>
  <c r="D15" i="4" s="1"/>
  <c r="AO14" i="4"/>
  <c r="AN14" i="4"/>
  <c r="AD14" i="4"/>
  <c r="A14" i="4"/>
  <c r="AD13" i="4"/>
  <c r="AL13" i="4" s="1"/>
  <c r="A13" i="4"/>
  <c r="AO12" i="4"/>
  <c r="AN12" i="4"/>
  <c r="AD12" i="4"/>
  <c r="A12" i="4"/>
  <c r="AS11" i="4"/>
  <c r="AR11" i="4"/>
  <c r="AD11" i="4"/>
  <c r="AF11" i="4" s="1"/>
  <c r="A11" i="4"/>
  <c r="T11" i="4" s="1"/>
  <c r="DP11" i="2" s="1"/>
  <c r="AS10" i="4"/>
  <c r="AR10" i="4"/>
  <c r="AO10" i="4"/>
  <c r="AN10" i="4"/>
  <c r="AF10" i="4"/>
  <c r="AE10" i="4"/>
  <c r="AD10" i="4"/>
  <c r="T10" i="4"/>
  <c r="DP10" i="2" s="1"/>
  <c r="J10" i="4"/>
  <c r="C10" i="4"/>
  <c r="O10" i="4" s="1"/>
  <c r="A10" i="4"/>
  <c r="G10" i="4" s="1"/>
  <c r="H10" i="4" s="1"/>
  <c r="AS9" i="4"/>
  <c r="AR9" i="4"/>
  <c r="AD9" i="4"/>
  <c r="A9" i="4"/>
  <c r="T9" i="4" s="1"/>
  <c r="AS8" i="4"/>
  <c r="AR8" i="4"/>
  <c r="AO8" i="4"/>
  <c r="AN8" i="4"/>
  <c r="AD8" i="4"/>
  <c r="A8" i="4"/>
  <c r="J8" i="4" s="1"/>
  <c r="AS7" i="4"/>
  <c r="AR7" i="4"/>
  <c r="AD7" i="4"/>
  <c r="AE7" i="4" s="1"/>
  <c r="T7" i="4"/>
  <c r="J7" i="4"/>
  <c r="I7" i="4"/>
  <c r="E7" i="4"/>
  <c r="A7" i="4"/>
  <c r="B7" i="4" s="1"/>
  <c r="AS6" i="4"/>
  <c r="AR6" i="4"/>
  <c r="AO6" i="4"/>
  <c r="AN6" i="4"/>
  <c r="AL6" i="4"/>
  <c r="AK6" i="4"/>
  <c r="AI6" i="4"/>
  <c r="AG6" i="4"/>
  <c r="AF6" i="4"/>
  <c r="AE6" i="4"/>
  <c r="AD6" i="4"/>
  <c r="A6" i="4"/>
  <c r="AS5" i="4"/>
  <c r="AR5" i="4"/>
  <c r="AI5" i="4"/>
  <c r="AG5" i="4"/>
  <c r="AF5" i="4"/>
  <c r="AE5" i="4"/>
  <c r="AD5" i="4"/>
  <c r="A5" i="4"/>
  <c r="T5" i="4" s="1"/>
  <c r="BH77" i="2"/>
  <c r="BH76" i="2"/>
  <c r="BO75" i="2"/>
  <c r="BN75" i="2"/>
  <c r="BM75" i="2"/>
  <c r="BH75" i="2"/>
  <c r="BP75" i="2" s="1"/>
  <c r="BH74" i="2"/>
  <c r="BP73" i="2"/>
  <c r="BN73" i="2"/>
  <c r="BM73" i="2"/>
  <c r="BL73" i="2"/>
  <c r="BJ73" i="2"/>
  <c r="BH73" i="2"/>
  <c r="BJ72" i="2"/>
  <c r="BI72" i="2"/>
  <c r="BH72" i="2"/>
  <c r="BP71" i="2"/>
  <c r="BM71" i="2"/>
  <c r="BH71" i="2"/>
  <c r="BJ71" i="2" s="1"/>
  <c r="BH70" i="2"/>
  <c r="BH69" i="2"/>
  <c r="BH68" i="2"/>
  <c r="BJ68" i="2" s="1"/>
  <c r="BP67" i="2"/>
  <c r="BO67" i="2"/>
  <c r="BN67" i="2"/>
  <c r="BM67" i="2"/>
  <c r="BK67" i="2"/>
  <c r="BJ67" i="2"/>
  <c r="BI67" i="2"/>
  <c r="BH67" i="2"/>
  <c r="BL67" i="2" s="1"/>
  <c r="BP66" i="2"/>
  <c r="BN66" i="2"/>
  <c r="BM66" i="2"/>
  <c r="BL66" i="2"/>
  <c r="BH66" i="2"/>
  <c r="BI66" i="2" s="1"/>
  <c r="BH65" i="2"/>
  <c r="BK64" i="2"/>
  <c r="BI64" i="2"/>
  <c r="BH64" i="2"/>
  <c r="BP63" i="2"/>
  <c r="BN63" i="2"/>
  <c r="BL63" i="2"/>
  <c r="BI63" i="2"/>
  <c r="BH63" i="2"/>
  <c r="BP62" i="2"/>
  <c r="BN62" i="2"/>
  <c r="BK62" i="2"/>
  <c r="BH62" i="2"/>
  <c r="BL62" i="2" s="1"/>
  <c r="BO61" i="2"/>
  <c r="BN61" i="2"/>
  <c r="BH61" i="2"/>
  <c r="BP61" i="2" s="1"/>
  <c r="BH60" i="2"/>
  <c r="BH59" i="2"/>
  <c r="BJ59" i="2" s="1"/>
  <c r="BJ58" i="2"/>
  <c r="BI58" i="2"/>
  <c r="BH58" i="2"/>
  <c r="BM58" i="2" s="1"/>
  <c r="BP57" i="2"/>
  <c r="BH57" i="2"/>
  <c r="BH56" i="2"/>
  <c r="BP56" i="2" s="1"/>
  <c r="BO55" i="2"/>
  <c r="BM55" i="2"/>
  <c r="BK55" i="2"/>
  <c r="BI55" i="2"/>
  <c r="BH55" i="2"/>
  <c r="BH54" i="2"/>
  <c r="BP54" i="2" s="1"/>
  <c r="BK53" i="2"/>
  <c r="BH53" i="2"/>
  <c r="BH52" i="2"/>
  <c r="BH51" i="2"/>
  <c r="BN51" i="2" s="1"/>
  <c r="BH50" i="2"/>
  <c r="BH49" i="2"/>
  <c r="BM49" i="2" s="1"/>
  <c r="BO48" i="2"/>
  <c r="BM48" i="2"/>
  <c r="BK48" i="2"/>
  <c r="BH48" i="2"/>
  <c r="BP48" i="2" s="1"/>
  <c r="BH47" i="2"/>
  <c r="BP46" i="2"/>
  <c r="BO46" i="2"/>
  <c r="BN46" i="2"/>
  <c r="BL46" i="2"/>
  <c r="BK46" i="2"/>
  <c r="BI46" i="2"/>
  <c r="BH46" i="2"/>
  <c r="BJ46" i="2" s="1"/>
  <c r="BN45" i="2"/>
  <c r="BH45" i="2"/>
  <c r="D45" i="2"/>
  <c r="BH44" i="2"/>
  <c r="D44" i="2"/>
  <c r="BP43" i="2"/>
  <c r="BN43" i="2"/>
  <c r="BM43" i="2"/>
  <c r="BL43" i="2"/>
  <c r="BI43" i="2"/>
  <c r="BH43" i="2"/>
  <c r="BO43" i="2" s="1"/>
  <c r="D43" i="2"/>
  <c r="BO42" i="2"/>
  <c r="BH42" i="2"/>
  <c r="BP42" i="2" s="1"/>
  <c r="BO41" i="2"/>
  <c r="BN41" i="2"/>
  <c r="BH41" i="2"/>
  <c r="BJ41" i="2" s="1"/>
  <c r="T41" i="2"/>
  <c r="T42" i="2" s="1"/>
  <c r="D41" i="2" s="1"/>
  <c r="BJ40" i="2"/>
  <c r="BH40" i="2"/>
  <c r="BP39" i="2"/>
  <c r="BO39" i="2"/>
  <c r="BN39" i="2"/>
  <c r="BM39" i="2"/>
  <c r="BL39" i="2"/>
  <c r="BJ39" i="2"/>
  <c r="BH39" i="2"/>
  <c r="BH38" i="2"/>
  <c r="BH37" i="2"/>
  <c r="BM37" i="2" s="1"/>
  <c r="BH36" i="2"/>
  <c r="BL36" i="2" s="1"/>
  <c r="J36" i="2"/>
  <c r="K36" i="2" s="1"/>
  <c r="BH35" i="2"/>
  <c r="BI35" i="2" s="1"/>
  <c r="BP34" i="2"/>
  <c r="BJ34" i="2"/>
  <c r="BH34" i="2"/>
  <c r="J34" i="2"/>
  <c r="K34" i="2" s="1"/>
  <c r="BH33" i="2"/>
  <c r="BP32" i="2"/>
  <c r="BO32" i="2"/>
  <c r="BN32" i="2"/>
  <c r="BL32" i="2"/>
  <c r="BH32" i="2"/>
  <c r="BM32" i="2" s="1"/>
  <c r="J32" i="2"/>
  <c r="K32" i="2" s="1"/>
  <c r="BP31" i="2"/>
  <c r="BO31" i="2"/>
  <c r="BN31" i="2"/>
  <c r="BM31" i="2"/>
  <c r="BL31" i="2"/>
  <c r="BK31" i="2"/>
  <c r="BJ31" i="2"/>
  <c r="BI31" i="2"/>
  <c r="BH31" i="2"/>
  <c r="J31" i="2"/>
  <c r="K31" i="2" s="1"/>
  <c r="BN30" i="2"/>
  <c r="BM30" i="2"/>
  <c r="BL30" i="2"/>
  <c r="BK30" i="2"/>
  <c r="BJ30" i="2"/>
  <c r="BI30" i="2"/>
  <c r="BH30" i="2"/>
  <c r="BH29" i="2"/>
  <c r="BJ29" i="2" s="1"/>
  <c r="BH28" i="2"/>
  <c r="J28" i="2"/>
  <c r="BM27" i="2"/>
  <c r="BH27" i="2"/>
  <c r="BL26" i="2"/>
  <c r="BK26" i="2"/>
  <c r="BI26" i="2"/>
  <c r="BH26" i="2"/>
  <c r="BP25" i="2"/>
  <c r="BO25" i="2"/>
  <c r="BM25" i="2"/>
  <c r="BL25" i="2"/>
  <c r="BJ25" i="2"/>
  <c r="BH25" i="2"/>
  <c r="BH24" i="2"/>
  <c r="J24" i="2"/>
  <c r="DP23" i="2"/>
  <c r="BH23" i="2"/>
  <c r="BO23" i="2" s="1"/>
  <c r="DP22" i="2"/>
  <c r="BH22" i="2"/>
  <c r="BO22" i="2" s="1"/>
  <c r="J22" i="2"/>
  <c r="DP21" i="2"/>
  <c r="BH21" i="2"/>
  <c r="BH20" i="2"/>
  <c r="BH19" i="2"/>
  <c r="BM19" i="2" s="1"/>
  <c r="DP18" i="2"/>
  <c r="BS18" i="2"/>
  <c r="BR18" i="2"/>
  <c r="BH18" i="2"/>
  <c r="BM18" i="2" s="1"/>
  <c r="DP17" i="2"/>
  <c r="BP17" i="2"/>
  <c r="BN17" i="2"/>
  <c r="BL17" i="2"/>
  <c r="BK17" i="2"/>
  <c r="BJ17" i="2"/>
  <c r="BH17" i="2"/>
  <c r="BS16" i="2"/>
  <c r="BR16" i="2"/>
  <c r="BP16" i="2"/>
  <c r="BM16" i="2"/>
  <c r="BK16" i="2"/>
  <c r="BJ16" i="2"/>
  <c r="BH16" i="2"/>
  <c r="BO15" i="2"/>
  <c r="BN15" i="2"/>
  <c r="BI15" i="2"/>
  <c r="BH15" i="2"/>
  <c r="BP15" i="2" s="1"/>
  <c r="BS14" i="2"/>
  <c r="BR14" i="2"/>
  <c r="BO14" i="2"/>
  <c r="BN14" i="2"/>
  <c r="BM14" i="2"/>
  <c r="BL14" i="2"/>
  <c r="BK14" i="2"/>
  <c r="BJ14" i="2"/>
  <c r="BI14" i="2"/>
  <c r="BH14" i="2"/>
  <c r="BP14" i="2" s="1"/>
  <c r="BJ13" i="2"/>
  <c r="BH13" i="2"/>
  <c r="BS12" i="2"/>
  <c r="BR12" i="2"/>
  <c r="BO12" i="2"/>
  <c r="BN12" i="2"/>
  <c r="BM12" i="2"/>
  <c r="BL12" i="2"/>
  <c r="BJ12" i="2"/>
  <c r="BH12" i="2"/>
  <c r="BP12" i="2" s="1"/>
  <c r="BW11" i="2"/>
  <c r="BV11" i="2"/>
  <c r="BP11" i="2"/>
  <c r="BO11" i="2"/>
  <c r="BN11" i="2"/>
  <c r="BM11" i="2"/>
  <c r="BL11" i="2"/>
  <c r="BI11" i="2"/>
  <c r="BH11" i="2"/>
  <c r="BK11" i="2" s="1"/>
  <c r="BW10" i="2"/>
  <c r="BV10" i="2"/>
  <c r="BS10" i="2"/>
  <c r="BR10" i="2"/>
  <c r="BP10" i="2"/>
  <c r="BO10" i="2"/>
  <c r="BN10" i="2"/>
  <c r="BM10" i="2"/>
  <c r="BL10" i="2"/>
  <c r="BK10" i="2"/>
  <c r="BJ10" i="2"/>
  <c r="BI10" i="2"/>
  <c r="BH10" i="2"/>
  <c r="BW9" i="2"/>
  <c r="BV9" i="2"/>
  <c r="BJ9" i="2"/>
  <c r="BH9" i="2"/>
  <c r="BW8" i="2"/>
  <c r="BV8" i="2"/>
  <c r="BS8" i="2"/>
  <c r="BR8" i="2"/>
  <c r="BH8" i="2"/>
  <c r="BW7" i="2"/>
  <c r="BV7" i="2"/>
  <c r="BH7" i="2"/>
  <c r="BW6" i="2"/>
  <c r="BV6" i="2"/>
  <c r="BS6" i="2"/>
  <c r="BR6" i="2"/>
  <c r="BP6" i="2"/>
  <c r="BM6" i="2"/>
  <c r="BL6" i="2"/>
  <c r="BK6" i="2"/>
  <c r="BH6" i="2"/>
  <c r="J6" i="2"/>
  <c r="G6" i="2"/>
  <c r="BW5" i="2"/>
  <c r="BV5" i="2"/>
  <c r="BH5" i="2"/>
  <c r="BN5" i="2" s="1"/>
  <c r="J5" i="2"/>
  <c r="G5" i="2"/>
  <c r="BK18" i="2" l="1"/>
  <c r="BO37" i="2"/>
  <c r="BL68" i="2"/>
  <c r="CL7" i="4"/>
  <c r="DP7" i="2"/>
  <c r="AL42" i="4"/>
  <c r="AI42" i="4"/>
  <c r="AK42" i="4"/>
  <c r="AJ42" i="4"/>
  <c r="AE44" i="4"/>
  <c r="AE67" i="4"/>
  <c r="AF77" i="4"/>
  <c r="BO38" i="2"/>
  <c r="BP38" i="2"/>
  <c r="BM38" i="2"/>
  <c r="BN38" i="2"/>
  <c r="BJ38" i="2"/>
  <c r="AJ5" i="4"/>
  <c r="AH5" i="4"/>
  <c r="AK5" i="4"/>
  <c r="AL5" i="4"/>
  <c r="AE42" i="4"/>
  <c r="BO18" i="2"/>
  <c r="BL18" i="2"/>
  <c r="BP22" i="2"/>
  <c r="BN22" i="2"/>
  <c r="BL22" i="2"/>
  <c r="BM22" i="2"/>
  <c r="BJ22" i="2"/>
  <c r="BK22" i="2"/>
  <c r="BI22" i="2"/>
  <c r="AF9" i="4"/>
  <c r="AK9" i="4"/>
  <c r="AG9" i="4"/>
  <c r="AI67" i="4"/>
  <c r="AJ67" i="4"/>
  <c r="AI77" i="4"/>
  <c r="AH77" i="4"/>
  <c r="AG77" i="4"/>
  <c r="BP52" i="2"/>
  <c r="BN52" i="2"/>
  <c r="BK52" i="2"/>
  <c r="BP70" i="2"/>
  <c r="BM70" i="2"/>
  <c r="B14" i="4"/>
  <c r="E14" i="4"/>
  <c r="I14" i="4"/>
  <c r="G14" i="4"/>
  <c r="H14" i="4" s="1"/>
  <c r="AH36" i="4"/>
  <c r="AG36" i="4"/>
  <c r="AE36" i="4"/>
  <c r="AJ36" i="4"/>
  <c r="AL36" i="4"/>
  <c r="AK36" i="4"/>
  <c r="AG67" i="4"/>
  <c r="AL77" i="4"/>
  <c r="BN44" i="2"/>
  <c r="BL44" i="2"/>
  <c r="AE22" i="4"/>
  <c r="AL22" i="4"/>
  <c r="AG22" i="4"/>
  <c r="AL26" i="4"/>
  <c r="AJ26" i="4"/>
  <c r="AH26" i="4"/>
  <c r="AK26" i="4"/>
  <c r="AI26" i="4"/>
  <c r="AH42" i="4"/>
  <c r="AL11" i="4"/>
  <c r="AI11" i="4"/>
  <c r="AK11" i="4"/>
  <c r="AH30" i="4"/>
  <c r="AG30" i="4"/>
  <c r="AK30" i="4"/>
  <c r="AK28" i="8"/>
  <c r="AJ28" i="8"/>
  <c r="AD24" i="6"/>
  <c r="AF24" i="6" s="1"/>
  <c r="AI28" i="8"/>
  <c r="AN28" i="8"/>
  <c r="J37" i="2"/>
  <c r="K37" i="2" s="1"/>
  <c r="AH28" i="8"/>
  <c r="AL28" i="8"/>
  <c r="A24" i="9"/>
  <c r="AG28" i="8"/>
  <c r="T24" i="3" s="1"/>
  <c r="AF28" i="8"/>
  <c r="AD28" i="8"/>
  <c r="AE28" i="8"/>
  <c r="BI52" i="2"/>
  <c r="BJ56" i="2"/>
  <c r="BI61" i="2"/>
  <c r="BL70" i="2"/>
  <c r="AE11" i="4"/>
  <c r="D14" i="4"/>
  <c r="AE30" i="4"/>
  <c r="AB28" i="8"/>
  <c r="B24" i="9" s="1"/>
  <c r="BK42" i="2"/>
  <c r="BI44" i="2"/>
  <c r="BM47" i="2"/>
  <c r="BN47" i="2"/>
  <c r="BI47" i="2"/>
  <c r="BP47" i="2"/>
  <c r="BO47" i="2"/>
  <c r="BK47" i="2"/>
  <c r="BM52" i="2"/>
  <c r="BL56" i="2"/>
  <c r="BK61" i="2"/>
  <c r="BN74" i="2"/>
  <c r="BP74" i="2"/>
  <c r="BM74" i="2"/>
  <c r="BO74" i="2"/>
  <c r="BI74" i="2"/>
  <c r="BK74" i="2"/>
  <c r="BJ74" i="2"/>
  <c r="BI13" i="2"/>
  <c r="BO13" i="2"/>
  <c r="BP13" i="2"/>
  <c r="BM13" i="2"/>
  <c r="BM24" i="2"/>
  <c r="BP24" i="2"/>
  <c r="BK24" i="2"/>
  <c r="BJ35" i="2"/>
  <c r="BL42" i="2"/>
  <c r="BJ44" i="2"/>
  <c r="BO52" i="2"/>
  <c r="BM61" i="2"/>
  <c r="BP64" i="2"/>
  <c r="BL64" i="2"/>
  <c r="BJ64" i="2"/>
  <c r="BO64" i="2"/>
  <c r="BM64" i="2"/>
  <c r="AG11" i="4"/>
  <c r="AL70" i="4"/>
  <c r="AJ70" i="4"/>
  <c r="AN23" i="8"/>
  <c r="A19" i="9"/>
  <c r="AH23" i="8"/>
  <c r="AG23" i="8"/>
  <c r="T19" i="3" s="1"/>
  <c r="AD23" i="8"/>
  <c r="AD19" i="6"/>
  <c r="AF19" i="6" s="1"/>
  <c r="BP53" i="2"/>
  <c r="BL53" i="2"/>
  <c r="AK10" i="4"/>
  <c r="AG10" i="4"/>
  <c r="AI10" i="4"/>
  <c r="AH10" i="4"/>
  <c r="AB16" i="8"/>
  <c r="B12" i="9" s="1"/>
  <c r="J25" i="2"/>
  <c r="L12" i="5"/>
  <c r="BO9" i="2"/>
  <c r="BM9" i="2"/>
  <c r="BL9" i="2"/>
  <c r="BL58" i="2"/>
  <c r="BP58" i="2"/>
  <c r="BO58" i="2"/>
  <c r="BN58" i="2"/>
  <c r="BP72" i="2"/>
  <c r="BO72" i="2"/>
  <c r="BN72" i="2"/>
  <c r="BK72" i="2"/>
  <c r="BM72" i="2"/>
  <c r="BL72" i="2"/>
  <c r="AH62" i="4"/>
  <c r="AJ62" i="4"/>
  <c r="AI62" i="4"/>
  <c r="AG62" i="4"/>
  <c r="AK62" i="4"/>
  <c r="AL62" i="4"/>
  <c r="L20" i="5"/>
  <c r="J33" i="2"/>
  <c r="K33" i="2" s="1"/>
  <c r="BO28" i="2"/>
  <c r="BM28" i="2"/>
  <c r="BK28" i="2"/>
  <c r="BN37" i="2"/>
  <c r="BL37" i="2"/>
  <c r="BJ37" i="2"/>
  <c r="BI28" i="2"/>
  <c r="BI37" i="2"/>
  <c r="BL49" i="2"/>
  <c r="BK49" i="2"/>
  <c r="BI49" i="2"/>
  <c r="BO49" i="2"/>
  <c r="BN49" i="2"/>
  <c r="BM76" i="2"/>
  <c r="BK76" i="2"/>
  <c r="BP76" i="2"/>
  <c r="BO76" i="2"/>
  <c r="BJ76" i="2"/>
  <c r="BN76" i="2"/>
  <c r="BL76" i="2"/>
  <c r="B20" i="4"/>
  <c r="P20" i="4"/>
  <c r="D20" i="4"/>
  <c r="O20" i="4"/>
  <c r="I20" i="4"/>
  <c r="G20" i="4"/>
  <c r="H20" i="4" s="1"/>
  <c r="AH40" i="4"/>
  <c r="AL40" i="4"/>
  <c r="AK40" i="4"/>
  <c r="AJ40" i="4"/>
  <c r="A13" i="9"/>
  <c r="L13" i="5"/>
  <c r="BJ28" i="2"/>
  <c r="BK37" i="2"/>
  <c r="BJ49" i="2"/>
  <c r="BK58" i="2"/>
  <c r="BN68" i="2"/>
  <c r="BK68" i="2"/>
  <c r="BI76" i="2"/>
  <c r="AE40" i="4"/>
  <c r="L6" i="5"/>
  <c r="J19" i="2"/>
  <c r="AJ17" i="8"/>
  <c r="AK17" i="8" s="1"/>
  <c r="BJ6" i="2"/>
  <c r="BO6" i="2"/>
  <c r="BO17" i="2"/>
  <c r="BI17" i="2"/>
  <c r="BO26" i="2"/>
  <c r="BP26" i="2"/>
  <c r="BM26" i="2"/>
  <c r="AE24" i="4"/>
  <c r="AF45" i="4"/>
  <c r="AE50" i="4"/>
  <c r="AH53" i="4"/>
  <c r="AF57" i="4"/>
  <c r="AE59" i="4"/>
  <c r="AC25" i="8"/>
  <c r="S18" i="10"/>
  <c r="BN8" i="2"/>
  <c r="BO8" i="2"/>
  <c r="BL8" i="2"/>
  <c r="BK36" i="2"/>
  <c r="BK57" i="2"/>
  <c r="BN57" i="2"/>
  <c r="BL57" i="2"/>
  <c r="E16" i="4"/>
  <c r="J16" i="4"/>
  <c r="D16" i="4"/>
  <c r="F16" i="4" s="1"/>
  <c r="AF50" i="4"/>
  <c r="AG57" i="4"/>
  <c r="AL68" i="4"/>
  <c r="AH68" i="4"/>
  <c r="AG68" i="4"/>
  <c r="AF68" i="4"/>
  <c r="AD25" i="8"/>
  <c r="G16" i="4"/>
  <c r="H16" i="4" s="1"/>
  <c r="AE68" i="4"/>
  <c r="AF25" i="8"/>
  <c r="N19" i="10"/>
  <c r="P19" i="10"/>
  <c r="T19" i="10"/>
  <c r="S19" i="10"/>
  <c r="BN6" i="2"/>
  <c r="BM8" i="2"/>
  <c r="DP15" i="2"/>
  <c r="BM17" i="2"/>
  <c r="BN26" i="2"/>
  <c r="J30" i="2"/>
  <c r="K30" i="2" s="1"/>
  <c r="BO36" i="2"/>
  <c r="BI48" i="2"/>
  <c r="BL51" i="2"/>
  <c r="BP55" i="2"/>
  <c r="BL55" i="2"/>
  <c r="BJ55" i="2"/>
  <c r="BM57" i="2"/>
  <c r="BN59" i="2"/>
  <c r="BK73" i="2"/>
  <c r="BI73" i="2"/>
  <c r="BI75" i="2"/>
  <c r="AJ6" i="4"/>
  <c r="AH6" i="4"/>
  <c r="AL20" i="4"/>
  <c r="AI20" i="4"/>
  <c r="AK38" i="4"/>
  <c r="AI38" i="4"/>
  <c r="AH38" i="4"/>
  <c r="AI50" i="4"/>
  <c r="AF55" i="4"/>
  <c r="AI55" i="4"/>
  <c r="AH55" i="4"/>
  <c r="AG55" i="4"/>
  <c r="AE64" i="4"/>
  <c r="AJ68" i="4"/>
  <c r="AF73" i="4"/>
  <c r="AG76" i="4"/>
  <c r="L17" i="5"/>
  <c r="L10" i="5"/>
  <c r="J23" i="2"/>
  <c r="AC21" i="8"/>
  <c r="L22" i="5"/>
  <c r="AJ26" i="8"/>
  <c r="J35" i="2"/>
  <c r="K35" i="2" s="1"/>
  <c r="O19" i="10"/>
  <c r="AL24" i="4"/>
  <c r="AJ24" i="4"/>
  <c r="AJ45" i="4"/>
  <c r="AH45" i="4"/>
  <c r="AG45" i="4"/>
  <c r="AK57" i="4"/>
  <c r="AJ57" i="4"/>
  <c r="BI57" i="2"/>
  <c r="BN71" i="2"/>
  <c r="BO71" i="2"/>
  <c r="BL71" i="2"/>
  <c r="AG14" i="4"/>
  <c r="AI14" i="4"/>
  <c r="AH24" i="4"/>
  <c r="AG50" i="4"/>
  <c r="BJ8" i="2"/>
  <c r="BN29" i="2"/>
  <c r="BL41" i="2"/>
  <c r="BK41" i="2"/>
  <c r="BI41" i="2"/>
  <c r="BJ57" i="2"/>
  <c r="BK59" i="2"/>
  <c r="BK66" i="2"/>
  <c r="BO66" i="2"/>
  <c r="BI71" i="2"/>
  <c r="G7" i="4"/>
  <c r="H7" i="4" s="1"/>
  <c r="D7" i="4"/>
  <c r="T8" i="4"/>
  <c r="T16" i="4"/>
  <c r="CL16" i="4" s="1"/>
  <c r="AH23" i="4"/>
  <c r="AF23" i="4"/>
  <c r="AK24" i="4"/>
  <c r="AJ41" i="4"/>
  <c r="AH41" i="4"/>
  <c r="AG41" i="4"/>
  <c r="AH50" i="4"/>
  <c r="AH66" i="4"/>
  <c r="AK66" i="4"/>
  <c r="AJ66" i="4"/>
  <c r="AI66" i="4"/>
  <c r="AI68" i="4"/>
  <c r="AJ25" i="8"/>
  <c r="BP8" i="2"/>
  <c r="J20" i="2"/>
  <c r="BN25" i="2"/>
  <c r="BK25" i="2"/>
  <c r="BI25" i="2"/>
  <c r="J27" i="2"/>
  <c r="BO30" i="2"/>
  <c r="BP30" i="2"/>
  <c r="BK39" i="2"/>
  <c r="BI39" i="2"/>
  <c r="BM41" i="2"/>
  <c r="BJ48" i="2"/>
  <c r="BO57" i="2"/>
  <c r="BJ66" i="2"/>
  <c r="BK71" i="2"/>
  <c r="BK75" i="2"/>
  <c r="C7" i="4"/>
  <c r="O7" i="4" s="1"/>
  <c r="P18" i="4"/>
  <c r="N18" i="4"/>
  <c r="CL18" i="4"/>
  <c r="M22" i="4"/>
  <c r="I22" i="4"/>
  <c r="AG23" i="4"/>
  <c r="AK41" i="4"/>
  <c r="AJ50" i="4"/>
  <c r="AF64" i="4"/>
  <c r="AF66" i="4"/>
  <c r="AK68" i="4"/>
  <c r="AD21" i="8"/>
  <c r="Q19" i="10"/>
  <c r="B24" i="14"/>
  <c r="M17" i="10"/>
  <c r="C21" i="11"/>
  <c r="E21" i="11" s="1"/>
  <c r="O8" i="13"/>
  <c r="L18" i="5"/>
  <c r="AD23" i="6"/>
  <c r="AF23" i="6" s="1"/>
  <c r="C17" i="11"/>
  <c r="E17" i="11" s="1"/>
  <c r="D21" i="11"/>
  <c r="AG17" i="8"/>
  <c r="AL17" i="8" s="1"/>
  <c r="A18" i="9"/>
  <c r="BK12" i="2"/>
  <c r="BL15" i="2"/>
  <c r="BK43" i="2"/>
  <c r="I10" i="4"/>
  <c r="AG17" i="4"/>
  <c r="AF65" i="4"/>
  <c r="AC22" i="8"/>
  <c r="N8" i="13"/>
  <c r="N12" i="13"/>
  <c r="AI16" i="8"/>
  <c r="O14" i="13"/>
  <c r="B20" i="11"/>
  <c r="D23" i="11"/>
  <c r="C20" i="11"/>
  <c r="E20" i="11" s="1"/>
  <c r="D24" i="11"/>
  <c r="N18" i="13"/>
  <c r="F8" i="11"/>
  <c r="J8" i="11" s="1"/>
  <c r="F10" i="11"/>
  <c r="J10" i="11" s="1"/>
  <c r="AG16" i="8"/>
  <c r="T12" i="3" s="1"/>
  <c r="R19" i="10"/>
  <c r="H19" i="9"/>
  <c r="O18" i="10"/>
  <c r="N18" i="10"/>
  <c r="R18" i="10"/>
  <c r="O17" i="10"/>
  <c r="O7" i="13"/>
  <c r="O17" i="13"/>
  <c r="O10" i="13"/>
  <c r="O11" i="13"/>
  <c r="O9" i="13"/>
  <c r="O18" i="13"/>
  <c r="O15" i="13"/>
  <c r="N17" i="13"/>
  <c r="O16" i="13"/>
  <c r="N14" i="13"/>
  <c r="O13" i="13"/>
  <c r="O12" i="13"/>
  <c r="N11" i="13"/>
  <c r="N10" i="13"/>
  <c r="M6" i="2"/>
  <c r="G96" i="12"/>
  <c r="B60" i="12"/>
  <c r="D18" i="12"/>
  <c r="A61" i="12"/>
  <c r="G87" i="12"/>
  <c r="B34" i="12"/>
  <c r="B35" i="12"/>
  <c r="G35" i="12"/>
  <c r="C22" i="12"/>
  <c r="B45" i="12"/>
  <c r="G34" i="12"/>
  <c r="F33" i="12"/>
  <c r="J22" i="12"/>
  <c r="A29" i="12"/>
  <c r="G33" i="12"/>
  <c r="E38" i="12"/>
  <c r="G45" i="12"/>
  <c r="B73" i="12"/>
  <c r="E89" i="12"/>
  <c r="H96" i="12"/>
  <c r="I96" i="12" s="1"/>
  <c r="D29" i="12"/>
  <c r="J38" i="12"/>
  <c r="H73" i="12"/>
  <c r="I73" i="12" s="1"/>
  <c r="D108" i="12"/>
  <c r="B18" i="12"/>
  <c r="J24" i="12"/>
  <c r="J29" i="12"/>
  <c r="E34" i="12"/>
  <c r="D68" i="12"/>
  <c r="F109" i="12"/>
  <c r="F18" i="12"/>
  <c r="D25" i="12"/>
  <c r="H34" i="12"/>
  <c r="I34" i="12" s="1"/>
  <c r="H41" i="12"/>
  <c r="I41" i="12" s="1"/>
  <c r="G110" i="12"/>
  <c r="E29" i="12"/>
  <c r="J42" i="12"/>
  <c r="D71" i="12"/>
  <c r="A33" i="12"/>
  <c r="A96" i="12"/>
  <c r="B28" i="12"/>
  <c r="B33" i="12"/>
  <c r="D72" i="12"/>
  <c r="A80" i="12"/>
  <c r="E88" i="12"/>
  <c r="D96" i="12"/>
  <c r="J18" i="12"/>
  <c r="H28" i="12"/>
  <c r="E33" i="12"/>
  <c r="E64" i="12"/>
  <c r="H72" i="12"/>
  <c r="I72" i="12" s="1"/>
  <c r="H80" i="12"/>
  <c r="I80" i="12" s="1"/>
  <c r="H88" i="12"/>
  <c r="I88" i="12" s="1"/>
  <c r="F96" i="12"/>
  <c r="K17" i="4"/>
  <c r="Q17" i="4" s="1"/>
  <c r="J34" i="12"/>
  <c r="C46" i="12"/>
  <c r="E52" i="12"/>
  <c r="H56" i="12"/>
  <c r="I56" i="12" s="1"/>
  <c r="C61" i="12"/>
  <c r="H64" i="12"/>
  <c r="I64" i="12" s="1"/>
  <c r="H68" i="12"/>
  <c r="I68" i="12" s="1"/>
  <c r="G84" i="12"/>
  <c r="F98" i="12"/>
  <c r="B110" i="12"/>
  <c r="H116" i="12"/>
  <c r="I116" i="12" s="1"/>
  <c r="F122" i="12"/>
  <c r="H46" i="12"/>
  <c r="I46" i="12" s="1"/>
  <c r="H52" i="12"/>
  <c r="I52" i="12" s="1"/>
  <c r="J56" i="12"/>
  <c r="E61" i="12"/>
  <c r="J64" i="12"/>
  <c r="C73" i="12"/>
  <c r="J84" i="12"/>
  <c r="E110" i="12"/>
  <c r="B62" i="12"/>
  <c r="A65" i="12"/>
  <c r="E100" i="12"/>
  <c r="A108" i="12"/>
  <c r="H124" i="12"/>
  <c r="I124" i="12" s="1"/>
  <c r="F133" i="12"/>
  <c r="J26" i="12"/>
  <c r="D62" i="12"/>
  <c r="E65" i="12"/>
  <c r="C86" i="12"/>
  <c r="D13" i="12"/>
  <c r="C19" i="12"/>
  <c r="D49" i="12"/>
  <c r="E55" i="12"/>
  <c r="C59" i="12"/>
  <c r="F62" i="12"/>
  <c r="F65" i="12"/>
  <c r="G71" i="12"/>
  <c r="J80" i="12"/>
  <c r="D86" i="12"/>
  <c r="F89" i="12"/>
  <c r="F101" i="12"/>
  <c r="E108" i="12"/>
  <c r="F125" i="12"/>
  <c r="C146" i="12"/>
  <c r="B6" i="12"/>
  <c r="J19" i="12"/>
  <c r="F26" i="12"/>
  <c r="J30" i="12"/>
  <c r="A34" i="12"/>
  <c r="D37" i="12"/>
  <c r="J55" i="12"/>
  <c r="J62" i="12"/>
  <c r="G65" i="12"/>
  <c r="F86" i="12"/>
  <c r="H101" i="12"/>
  <c r="I101" i="12" s="1"/>
  <c r="H108" i="12"/>
  <c r="I108" i="12" s="1"/>
  <c r="G113" i="12"/>
  <c r="A120" i="12"/>
  <c r="J125" i="12"/>
  <c r="G146" i="12"/>
  <c r="E50" i="12"/>
  <c r="J65" i="12"/>
  <c r="A72" i="12"/>
  <c r="A77" i="12"/>
  <c r="H86" i="12"/>
  <c r="I86" i="12" s="1"/>
  <c r="B97" i="12"/>
  <c r="J101" i="12"/>
  <c r="J113" i="12"/>
  <c r="C31" i="12"/>
  <c r="A56" i="12"/>
  <c r="G77" i="12"/>
  <c r="F97" i="12"/>
  <c r="B109" i="12"/>
  <c r="A121" i="12"/>
  <c r="J31" i="12"/>
  <c r="F34" i="12"/>
  <c r="F38" i="12"/>
  <c r="F45" i="12"/>
  <c r="D56" i="12"/>
  <c r="D64" i="12"/>
  <c r="E72" i="12"/>
  <c r="J77" i="12"/>
  <c r="D83" i="12"/>
  <c r="J86" i="12"/>
  <c r="H97" i="12"/>
  <c r="I97" i="12" s="1"/>
  <c r="E109" i="12"/>
  <c r="B121" i="12"/>
  <c r="E14" i="12"/>
  <c r="A52" i="12"/>
  <c r="F56" i="12"/>
  <c r="C7" i="12"/>
  <c r="D52" i="12"/>
  <c r="G56" i="12"/>
  <c r="B61" i="12"/>
  <c r="F64" i="12"/>
  <c r="G78" i="12"/>
  <c r="C84" i="12"/>
  <c r="C98" i="12"/>
  <c r="D116" i="12"/>
  <c r="B122" i="12"/>
  <c r="H74" i="12"/>
  <c r="I74" i="12" s="1"/>
  <c r="F85" i="12"/>
  <c r="E144" i="12"/>
  <c r="E149" i="12"/>
  <c r="C41" i="12"/>
  <c r="G53" i="12"/>
  <c r="C67" i="12"/>
  <c r="J7" i="12"/>
  <c r="F10" i="12"/>
  <c r="A17" i="12"/>
  <c r="A22" i="12"/>
  <c r="C24" i="12"/>
  <c r="D28" i="12"/>
  <c r="D41" i="12"/>
  <c r="F46" i="12"/>
  <c r="F52" i="12"/>
  <c r="H53" i="12"/>
  <c r="I53" i="12" s="1"/>
  <c r="F61" i="12"/>
  <c r="G67" i="12"/>
  <c r="E73" i="12"/>
  <c r="E77" i="12"/>
  <c r="D84" i="12"/>
  <c r="H85" i="12"/>
  <c r="I85" i="12" s="1"/>
  <c r="G89" i="12"/>
  <c r="J93" i="12"/>
  <c r="D98" i="12"/>
  <c r="H100" i="12"/>
  <c r="I100" i="12" s="1"/>
  <c r="J105" i="12"/>
  <c r="D112" i="12"/>
  <c r="C122" i="12"/>
  <c r="H128" i="12"/>
  <c r="I128" i="12" s="1"/>
  <c r="A133" i="12"/>
  <c r="G139" i="12"/>
  <c r="F144" i="12"/>
  <c r="B146" i="12"/>
  <c r="F149" i="12"/>
  <c r="J153" i="12"/>
  <c r="E10" i="12"/>
  <c r="G10" i="12"/>
  <c r="B17" i="12"/>
  <c r="B22" i="12"/>
  <c r="H24" i="12"/>
  <c r="G28" i="12"/>
  <c r="B30" i="12"/>
  <c r="H33" i="12"/>
  <c r="I33" i="12" s="1"/>
  <c r="E41" i="12"/>
  <c r="A45" i="12"/>
  <c r="G46" i="12"/>
  <c r="G52" i="12"/>
  <c r="J53" i="12"/>
  <c r="A60" i="12"/>
  <c r="H67" i="12"/>
  <c r="I67" i="12" s="1"/>
  <c r="F73" i="12"/>
  <c r="J74" i="12"/>
  <c r="F77" i="12"/>
  <c r="E84" i="12"/>
  <c r="D87" i="12"/>
  <c r="H89" i="12"/>
  <c r="I89" i="12" s="1"/>
  <c r="A97" i="12"/>
  <c r="E98" i="12"/>
  <c r="E112" i="12"/>
  <c r="G114" i="12"/>
  <c r="E122" i="12"/>
  <c r="J124" i="12"/>
  <c r="B133" i="12"/>
  <c r="D136" i="12"/>
  <c r="H139" i="12"/>
  <c r="I139" i="12" s="1"/>
  <c r="G144" i="12"/>
  <c r="F112" i="12"/>
  <c r="E136" i="12"/>
  <c r="H144" i="12"/>
  <c r="I144" i="12" s="1"/>
  <c r="B40" i="12"/>
  <c r="J41" i="12"/>
  <c r="E45" i="12"/>
  <c r="J46" i="12"/>
  <c r="F50" i="12"/>
  <c r="J52" i="12"/>
  <c r="D60" i="12"/>
  <c r="C62" i="12"/>
  <c r="A68" i="12"/>
  <c r="D75" i="12"/>
  <c r="H77" i="12"/>
  <c r="I77" i="12" s="1"/>
  <c r="B86" i="12"/>
  <c r="H87" i="12"/>
  <c r="I87" i="12" s="1"/>
  <c r="J89" i="12"/>
  <c r="D95" i="12"/>
  <c r="D97" i="12"/>
  <c r="G98" i="12"/>
  <c r="E101" i="12"/>
  <c r="C110" i="12"/>
  <c r="G112" i="12"/>
  <c r="H115" i="12"/>
  <c r="I115" i="12" s="1"/>
  <c r="E120" i="12"/>
  <c r="G122" i="12"/>
  <c r="J129" i="12"/>
  <c r="G133" i="12"/>
  <c r="G136" i="12"/>
  <c r="H140" i="12"/>
  <c r="I140" i="12" s="1"/>
  <c r="J144" i="12"/>
  <c r="H146" i="12"/>
  <c r="I146" i="12" s="1"/>
  <c r="G150" i="12"/>
  <c r="J14" i="12"/>
  <c r="E17" i="12"/>
  <c r="J50" i="12"/>
  <c r="C55" i="12"/>
  <c r="A57" i="12"/>
  <c r="E60" i="12"/>
  <c r="H75" i="12"/>
  <c r="I75" i="12" s="1"/>
  <c r="J81" i="12"/>
  <c r="E97" i="12"/>
  <c r="H98" i="12"/>
  <c r="I98" i="12" s="1"/>
  <c r="D110" i="12"/>
  <c r="H112" i="12"/>
  <c r="I112" i="12" s="1"/>
  <c r="H120" i="12"/>
  <c r="I120" i="12" s="1"/>
  <c r="H122" i="12"/>
  <c r="I122" i="12" s="1"/>
  <c r="J133" i="12"/>
  <c r="H136" i="12"/>
  <c r="I136" i="12" s="1"/>
  <c r="A9" i="12"/>
  <c r="J10" i="12"/>
  <c r="F14" i="12"/>
  <c r="D17" i="12"/>
  <c r="E22" i="12"/>
  <c r="E9" i="12"/>
  <c r="F22" i="12"/>
  <c r="C36" i="12"/>
  <c r="C40" i="12"/>
  <c r="K21" i="4"/>
  <c r="X21" i="4" s="1"/>
  <c r="G9" i="12"/>
  <c r="B11" i="12"/>
  <c r="G22" i="12"/>
  <c r="A53" i="12"/>
  <c r="E57" i="12"/>
  <c r="H60" i="12"/>
  <c r="I60" i="12" s="1"/>
  <c r="B74" i="12"/>
  <c r="I84" i="12"/>
  <c r="J122" i="12"/>
  <c r="A145" i="12"/>
  <c r="J146" i="12"/>
  <c r="G151" i="12"/>
  <c r="H10" i="12"/>
  <c r="C17" i="12"/>
  <c r="G17" i="12"/>
  <c r="B29" i="12"/>
  <c r="H36" i="12"/>
  <c r="I36" i="12" s="1"/>
  <c r="D40" i="12"/>
  <c r="B42" i="12"/>
  <c r="B47" i="12"/>
  <c r="H9" i="12"/>
  <c r="G11" i="12"/>
  <c r="H17" i="12"/>
  <c r="A21" i="12"/>
  <c r="H22" i="12"/>
  <c r="E26" i="12"/>
  <c r="C29" i="12"/>
  <c r="C34" i="12"/>
  <c r="J36" i="12"/>
  <c r="G40" i="12"/>
  <c r="F42" i="12"/>
  <c r="H45" i="12"/>
  <c r="I45" i="12" s="1"/>
  <c r="G47" i="12"/>
  <c r="B53" i="12"/>
  <c r="H57" i="12"/>
  <c r="I57" i="12" s="1"/>
  <c r="J60" i="12"/>
  <c r="G62" i="12"/>
  <c r="J68" i="12"/>
  <c r="C74" i="12"/>
  <c r="E76" i="12"/>
  <c r="A85" i="12"/>
  <c r="E86" i="12"/>
  <c r="F88" i="12"/>
  <c r="C96" i="12"/>
  <c r="G97" i="12"/>
  <c r="J98" i="12"/>
  <c r="F110" i="12"/>
  <c r="J112" i="12"/>
  <c r="B134" i="12"/>
  <c r="J136" i="12"/>
  <c r="J141" i="12"/>
  <c r="B145" i="12"/>
  <c r="H151" i="12"/>
  <c r="I151" i="12" s="1"/>
  <c r="H40" i="12"/>
  <c r="I40" i="12" s="1"/>
  <c r="C53" i="12"/>
  <c r="D74" i="12"/>
  <c r="F76" i="12"/>
  <c r="B85" i="12"/>
  <c r="A92" i="12"/>
  <c r="A132" i="12"/>
  <c r="C134" i="12"/>
  <c r="F145" i="12"/>
  <c r="J151" i="12"/>
  <c r="A10" i="12"/>
  <c r="C12" i="12"/>
  <c r="D16" i="12"/>
  <c r="C48" i="12"/>
  <c r="B52" i="12"/>
  <c r="D53" i="12"/>
  <c r="I55" i="12"/>
  <c r="B58" i="12"/>
  <c r="B69" i="12"/>
  <c r="E74" i="12"/>
  <c r="H76" i="12"/>
  <c r="I76" i="12" s="1"/>
  <c r="C85" i="12"/>
  <c r="G86" i="12"/>
  <c r="H92" i="12"/>
  <c r="I92" i="12" s="1"/>
  <c r="E96" i="12"/>
  <c r="G99" i="12"/>
  <c r="H110" i="12"/>
  <c r="I110" i="12" s="1"/>
  <c r="E113" i="12"/>
  <c r="J116" i="12"/>
  <c r="F121" i="12"/>
  <c r="D124" i="12"/>
  <c r="G127" i="12"/>
  <c r="E132" i="12"/>
  <c r="G134" i="12"/>
  <c r="F137" i="12"/>
  <c r="G145" i="12"/>
  <c r="D148" i="12"/>
  <c r="B16" i="12"/>
  <c r="J17" i="12"/>
  <c r="E21" i="12"/>
  <c r="K22" i="4"/>
  <c r="X22" i="4" s="1"/>
  <c r="J6" i="12"/>
  <c r="B10" i="12"/>
  <c r="H12" i="12"/>
  <c r="G16" i="12"/>
  <c r="H21" i="12"/>
  <c r="B23" i="12"/>
  <c r="G29" i="12"/>
  <c r="A41" i="12"/>
  <c r="C43" i="12"/>
  <c r="A46" i="12"/>
  <c r="H48" i="12"/>
  <c r="I48" i="12" s="1"/>
  <c r="E53" i="12"/>
  <c r="E69" i="12"/>
  <c r="A73" i="12"/>
  <c r="F74" i="12"/>
  <c r="H79" i="12"/>
  <c r="I79" i="12" s="1"/>
  <c r="A84" i="12"/>
  <c r="D85" i="12"/>
  <c r="H99" i="12"/>
  <c r="I99" i="12" s="1"/>
  <c r="A109" i="12"/>
  <c r="J110" i="12"/>
  <c r="F113" i="12"/>
  <c r="G121" i="12"/>
  <c r="E124" i="12"/>
  <c r="H127" i="12"/>
  <c r="I127" i="12" s="1"/>
  <c r="F132" i="12"/>
  <c r="H134" i="12"/>
  <c r="I134" i="12" s="1"/>
  <c r="H145" i="12"/>
  <c r="I145" i="12" s="1"/>
  <c r="E148" i="12"/>
  <c r="H152" i="12"/>
  <c r="I152" i="12" s="1"/>
  <c r="G21" i="12"/>
  <c r="C10" i="12"/>
  <c r="J12" i="12"/>
  <c r="H16" i="12"/>
  <c r="G23" i="12"/>
  <c r="H29" i="12"/>
  <c r="B41" i="12"/>
  <c r="J43" i="12"/>
  <c r="B46" i="12"/>
  <c r="J48" i="12"/>
  <c r="J69" i="12"/>
  <c r="G74" i="12"/>
  <c r="B84" i="12"/>
  <c r="E85" i="12"/>
  <c r="J92" i="12"/>
  <c r="B98" i="12"/>
  <c r="J117" i="12"/>
  <c r="G124" i="12"/>
  <c r="J127" i="12"/>
  <c r="H132" i="12"/>
  <c r="I132" i="12" s="1"/>
  <c r="J134" i="12"/>
  <c r="A144" i="12"/>
  <c r="M19" i="5"/>
  <c r="AN19" i="5" s="1"/>
  <c r="M17" i="5"/>
  <c r="AL17" i="5" s="1"/>
  <c r="AI9" i="8"/>
  <c r="I14" i="9"/>
  <c r="M24" i="5"/>
  <c r="AD24" i="5" s="1"/>
  <c r="F7" i="4"/>
  <c r="F15" i="4"/>
  <c r="F17" i="4"/>
  <c r="M21" i="5"/>
  <c r="Y21" i="5" s="1"/>
  <c r="F21" i="4"/>
  <c r="F14" i="4"/>
  <c r="I16" i="4"/>
  <c r="AD16" i="6"/>
  <c r="AI16" i="6" s="1"/>
  <c r="AJ16" i="6" s="1"/>
  <c r="DP16" i="2"/>
  <c r="B16" i="4"/>
  <c r="K15" i="4"/>
  <c r="L15" i="4" s="1"/>
  <c r="CL15" i="4"/>
  <c r="B15" i="4"/>
  <c r="C14" i="4"/>
  <c r="O14" i="4" s="1"/>
  <c r="J14" i="4"/>
  <c r="K14" i="4" s="1"/>
  <c r="Y14" i="4" s="1"/>
  <c r="L14" i="5"/>
  <c r="AB18" i="8"/>
  <c r="B14" i="9" s="1"/>
  <c r="T14" i="4"/>
  <c r="DP14" i="2" s="1"/>
  <c r="AC18" i="8"/>
  <c r="AD18" i="8"/>
  <c r="AD14" i="6"/>
  <c r="AH14" i="6" s="1"/>
  <c r="AF18" i="8"/>
  <c r="AG18" i="8"/>
  <c r="AH17" i="8"/>
  <c r="AI17" i="8"/>
  <c r="AB17" i="8"/>
  <c r="B13" i="9" s="1"/>
  <c r="AC17" i="8"/>
  <c r="AD17" i="8"/>
  <c r="T13" i="3"/>
  <c r="AE17" i="8"/>
  <c r="AJ16" i="8"/>
  <c r="AK16" i="8" s="1"/>
  <c r="AL16" i="8"/>
  <c r="K25" i="2"/>
  <c r="AD12" i="6"/>
  <c r="AH12" i="6" s="1"/>
  <c r="A12" i="9"/>
  <c r="B11" i="4"/>
  <c r="C11" i="4"/>
  <c r="L11" i="5"/>
  <c r="D11" i="4"/>
  <c r="E11" i="4"/>
  <c r="J11" i="4"/>
  <c r="K10" i="4"/>
  <c r="V10" i="4" s="1"/>
  <c r="B10" i="4"/>
  <c r="D10" i="4"/>
  <c r="E10" i="4"/>
  <c r="AH14" i="8"/>
  <c r="AD13" i="8"/>
  <c r="M9" i="5" s="1"/>
  <c r="AH9" i="5" s="1"/>
  <c r="AF13" i="8"/>
  <c r="AG13" i="8"/>
  <c r="T9" i="3" s="1"/>
  <c r="D9" i="4"/>
  <c r="G9" i="4"/>
  <c r="H9" i="4" s="1"/>
  <c r="I9" i="4"/>
  <c r="DP9" i="2"/>
  <c r="J9" i="4"/>
  <c r="B9" i="4"/>
  <c r="C9" i="4"/>
  <c r="O9" i="4" s="1"/>
  <c r="E9" i="4"/>
  <c r="A9" i="9"/>
  <c r="K22" i="2"/>
  <c r="B8" i="4"/>
  <c r="C8" i="4"/>
  <c r="O8" i="4" s="1"/>
  <c r="AD8" i="6"/>
  <c r="AB12" i="8"/>
  <c r="B8" i="9" s="1"/>
  <c r="J21" i="2"/>
  <c r="E8" i="4"/>
  <c r="AD12" i="8"/>
  <c r="M8" i="5" s="1"/>
  <c r="AH8" i="5" s="1"/>
  <c r="AE12" i="8"/>
  <c r="AF12" i="8"/>
  <c r="D8" i="4"/>
  <c r="G8" i="4"/>
  <c r="H8" i="4" s="1"/>
  <c r="K8" i="4" s="1"/>
  <c r="U8" i="4" s="1"/>
  <c r="DP8" i="2"/>
  <c r="I8" i="4"/>
  <c r="AG12" i="8"/>
  <c r="T8" i="3" s="1"/>
  <c r="AI12" i="8"/>
  <c r="AJ11" i="8"/>
  <c r="L7" i="5"/>
  <c r="K7" i="4"/>
  <c r="AG11" i="8"/>
  <c r="B6" i="4"/>
  <c r="T6" i="4"/>
  <c r="CL6" i="4" s="1"/>
  <c r="G6" i="4"/>
  <c r="H6" i="4" s="1"/>
  <c r="A6" i="2"/>
  <c r="AE10" i="8"/>
  <c r="AF10" i="8"/>
  <c r="AG10" i="8"/>
  <c r="T6" i="3" s="1"/>
  <c r="AH10" i="8"/>
  <c r="AI10" i="8"/>
  <c r="F6" i="11"/>
  <c r="J6" i="11" s="1"/>
  <c r="F5" i="11"/>
  <c r="J5" i="11" s="1"/>
  <c r="F9" i="11"/>
  <c r="J9" i="11" s="1"/>
  <c r="AG23" i="6"/>
  <c r="AH15" i="6"/>
  <c r="AH23" i="6"/>
  <c r="DP5" i="2"/>
  <c r="H5" i="8"/>
  <c r="J5" i="4"/>
  <c r="AI12" i="6"/>
  <c r="AJ12" i="6" s="1"/>
  <c r="AH16" i="6"/>
  <c r="AE24" i="6"/>
  <c r="AD9" i="8"/>
  <c r="AE9" i="8"/>
  <c r="A5" i="9"/>
  <c r="D5" i="4"/>
  <c r="AF15" i="6"/>
  <c r="G5" i="4"/>
  <c r="H5" i="4" s="1"/>
  <c r="J18" i="2"/>
  <c r="AG9" i="8"/>
  <c r="E5" i="4"/>
  <c r="AC9" i="8"/>
  <c r="AF9" i="8"/>
  <c r="AH9" i="8"/>
  <c r="H9" i="10"/>
  <c r="D44" i="10"/>
  <c r="A49" i="10"/>
  <c r="J49" i="10" s="1"/>
  <c r="L9" i="10"/>
  <c r="A40" i="10"/>
  <c r="J40" i="10" s="1"/>
  <c r="C45" i="10"/>
  <c r="A58" i="10"/>
  <c r="J58" i="10" s="1"/>
  <c r="B58" i="10"/>
  <c r="C58" i="10"/>
  <c r="H58" i="10"/>
  <c r="H53" i="10"/>
  <c r="C61" i="10"/>
  <c r="B8" i="10"/>
  <c r="H8" i="10"/>
  <c r="I53" i="10"/>
  <c r="C9" i="10"/>
  <c r="G43" i="10"/>
  <c r="E58" i="10"/>
  <c r="A62" i="10"/>
  <c r="J62" i="10" s="1"/>
  <c r="I9" i="10"/>
  <c r="I40" i="10"/>
  <c r="C62" i="10"/>
  <c r="A44" i="10"/>
  <c r="J44" i="10" s="1"/>
  <c r="A46" i="10"/>
  <c r="J46" i="10" s="1"/>
  <c r="H62" i="10"/>
  <c r="I10" i="10"/>
  <c r="A15" i="10"/>
  <c r="J15" i="10" s="1"/>
  <c r="E44" i="10"/>
  <c r="L10" i="10"/>
  <c r="D15" i="10"/>
  <c r="F44" i="10"/>
  <c r="H47" i="10"/>
  <c r="B63" i="10"/>
  <c r="G15" i="10"/>
  <c r="G42" i="10"/>
  <c r="H44" i="10"/>
  <c r="I47" i="10"/>
  <c r="C52" i="10"/>
  <c r="D63" i="10"/>
  <c r="G11" i="10"/>
  <c r="H15" i="10"/>
  <c r="H42" i="10"/>
  <c r="I44" i="10"/>
  <c r="E63" i="10"/>
  <c r="L15" i="10"/>
  <c r="I42" i="10"/>
  <c r="L44" i="10"/>
  <c r="A61" i="10"/>
  <c r="J61" i="10" s="1"/>
  <c r="L63" i="10"/>
  <c r="A16" i="10"/>
  <c r="J16" i="10" s="1"/>
  <c r="G32" i="10"/>
  <c r="F39" i="10"/>
  <c r="C50" i="10"/>
  <c r="H32" i="10"/>
  <c r="L16" i="10"/>
  <c r="B22" i="10"/>
  <c r="L32" i="10"/>
  <c r="A47" i="10"/>
  <c r="J47" i="10" s="1"/>
  <c r="B53" i="10"/>
  <c r="I56" i="10"/>
  <c r="G62" i="10"/>
  <c r="B65" i="10"/>
  <c r="D22" i="10"/>
  <c r="C51" i="10"/>
  <c r="D9" i="10"/>
  <c r="H11" i="10"/>
  <c r="A31" i="10"/>
  <c r="J31" i="10" s="1"/>
  <c r="E22" i="10"/>
  <c r="A37" i="10"/>
  <c r="J37" i="10" s="1"/>
  <c r="G9" i="10"/>
  <c r="I11" i="10"/>
  <c r="H22" i="10"/>
  <c r="B31" i="10"/>
  <c r="C37" i="10"/>
  <c r="I45" i="10"/>
  <c r="A57" i="10"/>
  <c r="J57" i="10" s="1"/>
  <c r="A66" i="10"/>
  <c r="J66" i="10" s="1"/>
  <c r="I31" i="10"/>
  <c r="D37" i="10"/>
  <c r="A52" i="10"/>
  <c r="J52" i="10" s="1"/>
  <c r="D57" i="10"/>
  <c r="L31" i="10"/>
  <c r="H37" i="10"/>
  <c r="B52" i="10"/>
  <c r="C54" i="10"/>
  <c r="A35" i="10"/>
  <c r="J35" i="10" s="1"/>
  <c r="A42" i="10"/>
  <c r="J42" i="10" s="1"/>
  <c r="H46" i="10"/>
  <c r="D52" i="10"/>
  <c r="G10" i="10"/>
  <c r="A24" i="10"/>
  <c r="J24" i="10" s="1"/>
  <c r="C29" i="10"/>
  <c r="E32" i="10"/>
  <c r="B35" i="10"/>
  <c r="D42" i="10"/>
  <c r="I46" i="10"/>
  <c r="E52" i="10"/>
  <c r="B55" i="10"/>
  <c r="A8" i="10"/>
  <c r="J8" i="10" s="1"/>
  <c r="H10" i="10"/>
  <c r="A21" i="10"/>
  <c r="J21" i="10" s="1"/>
  <c r="I24" i="10"/>
  <c r="H29" i="10"/>
  <c r="F32" i="10"/>
  <c r="E35" i="10"/>
  <c r="L46" i="10"/>
  <c r="H52" i="10"/>
  <c r="I55" i="10"/>
  <c r="E26" i="10"/>
  <c r="E27" i="10"/>
  <c r="H21" i="10"/>
  <c r="D10" i="10"/>
  <c r="D11" i="10"/>
  <c r="F12" i="10"/>
  <c r="H13" i="10"/>
  <c r="B14" i="10"/>
  <c r="G34" i="10"/>
  <c r="G35" i="10"/>
  <c r="C46" i="10"/>
  <c r="C47" i="10"/>
  <c r="E51" i="10"/>
  <c r="B23" i="10"/>
  <c r="D25" i="10"/>
  <c r="H26" i="10"/>
  <c r="H27" i="10"/>
  <c r="A9" i="10"/>
  <c r="J9" i="10" s="1"/>
  <c r="F10" i="10"/>
  <c r="F11" i="10"/>
  <c r="I12" i="10"/>
  <c r="L13" i="10"/>
  <c r="A17" i="10"/>
  <c r="J17" i="10" s="1"/>
  <c r="L20" i="10"/>
  <c r="L21" i="10"/>
  <c r="C23" i="10"/>
  <c r="G25" i="10"/>
  <c r="I26" i="10"/>
  <c r="I27" i="10"/>
  <c r="A32" i="10"/>
  <c r="J32" i="10" s="1"/>
  <c r="E33" i="10"/>
  <c r="I34" i="10"/>
  <c r="I35" i="10"/>
  <c r="B43" i="10"/>
  <c r="E46" i="10"/>
  <c r="F47" i="10"/>
  <c r="D49" i="10"/>
  <c r="L52" i="10"/>
  <c r="H54" i="10"/>
  <c r="A56" i="10"/>
  <c r="J56" i="10" s="1"/>
  <c r="I57" i="10"/>
  <c r="E61" i="10"/>
  <c r="L62" i="10"/>
  <c r="D64" i="10"/>
  <c r="F65" i="10"/>
  <c r="H23" i="10"/>
  <c r="H25" i="10"/>
  <c r="B32" i="10"/>
  <c r="G33" i="10"/>
  <c r="A39" i="10"/>
  <c r="J39" i="10" s="1"/>
  <c r="E43" i="10"/>
  <c r="G46" i="10"/>
  <c r="G47" i="10"/>
  <c r="L51" i="10"/>
  <c r="B56" i="10"/>
  <c r="L58" i="10"/>
  <c r="F61" i="10"/>
  <c r="E64" i="10"/>
  <c r="I65" i="10"/>
  <c r="C17" i="10"/>
  <c r="I25" i="10"/>
  <c r="L26" i="10"/>
  <c r="L27" i="10"/>
  <c r="I33" i="10"/>
  <c r="L34" i="10"/>
  <c r="B39" i="10"/>
  <c r="C56" i="10"/>
  <c r="H61" i="10"/>
  <c r="G64" i="10"/>
  <c r="L65" i="10"/>
  <c r="L25" i="10"/>
  <c r="C39" i="10"/>
  <c r="E45" i="10"/>
  <c r="D56" i="10"/>
  <c r="I61" i="10"/>
  <c r="H64" i="10"/>
  <c r="D39" i="10"/>
  <c r="G45" i="10"/>
  <c r="E53" i="10"/>
  <c r="A55" i="10"/>
  <c r="J55" i="10" s="1"/>
  <c r="H56" i="10"/>
  <c r="I64" i="10"/>
  <c r="D17" i="10"/>
  <c r="A27" i="10"/>
  <c r="J27" i="10" s="1"/>
  <c r="B28" i="10"/>
  <c r="A34" i="10"/>
  <c r="J34" i="10" s="1"/>
  <c r="A12" i="10"/>
  <c r="J12" i="10" s="1"/>
  <c r="G17" i="10"/>
  <c r="E18" i="10"/>
  <c r="H19" i="10"/>
  <c r="E20" i="10"/>
  <c r="E21" i="10"/>
  <c r="F22" i="10"/>
  <c r="A26" i="10"/>
  <c r="J26" i="10" s="1"/>
  <c r="C27" i="10"/>
  <c r="F28" i="10"/>
  <c r="D31" i="10"/>
  <c r="I32" i="10"/>
  <c r="B34" i="10"/>
  <c r="C48" i="10"/>
  <c r="A51" i="10"/>
  <c r="J51" i="10" s="1"/>
  <c r="D55" i="10"/>
  <c r="E17" i="10"/>
  <c r="C19" i="10"/>
  <c r="A20" i="10"/>
  <c r="J20" i="10" s="1"/>
  <c r="C21" i="10"/>
  <c r="N6" i="10"/>
  <c r="A11" i="10"/>
  <c r="J11" i="10" s="1"/>
  <c r="B12" i="10"/>
  <c r="D13" i="10"/>
  <c r="H17" i="10"/>
  <c r="H18" i="10"/>
  <c r="F20" i="10"/>
  <c r="F21" i="10"/>
  <c r="B26" i="10"/>
  <c r="D27" i="10"/>
  <c r="H28" i="10"/>
  <c r="G31" i="10"/>
  <c r="C34" i="10"/>
  <c r="C35" i="10"/>
  <c r="L39" i="10"/>
  <c r="F48" i="10"/>
  <c r="B51" i="10"/>
  <c r="H55" i="10"/>
  <c r="D58" i="10"/>
  <c r="B62" i="10"/>
  <c r="L64" i="10"/>
  <c r="A10" i="10"/>
  <c r="J10" i="10" s="1"/>
  <c r="B11" i="10"/>
  <c r="C12" i="10"/>
  <c r="E13" i="10"/>
  <c r="I17" i="10"/>
  <c r="I18" i="10"/>
  <c r="G20" i="10"/>
  <c r="G21" i="10"/>
  <c r="L17" i="10"/>
  <c r="H20" i="10"/>
  <c r="E34" i="10"/>
  <c r="F35" i="10"/>
  <c r="L42" i="10"/>
  <c r="B46" i="10"/>
  <c r="B47" i="10"/>
  <c r="D51" i="10"/>
  <c r="G52" i="10"/>
  <c r="A54" i="10"/>
  <c r="J54" i="10" s="1"/>
  <c r="B57" i="10"/>
  <c r="G58" i="10"/>
  <c r="B61" i="10"/>
  <c r="A64" i="10"/>
  <c r="J64" i="10" s="1"/>
  <c r="B10" i="10"/>
  <c r="C11" i="10"/>
  <c r="E12" i="10"/>
  <c r="G13" i="10"/>
  <c r="I20" i="10"/>
  <c r="I21" i="10"/>
  <c r="B64" i="10"/>
  <c r="B17" i="10"/>
  <c r="B20" i="10"/>
  <c r="D21" i="10"/>
  <c r="D34" i="10"/>
  <c r="A25" i="10"/>
  <c r="J25" i="10" s="1"/>
  <c r="F26" i="10"/>
  <c r="F27" i="10"/>
  <c r="B25" i="10"/>
  <c r="G26" i="10"/>
  <c r="G27" i="10"/>
  <c r="E10" i="10"/>
  <c r="E11" i="10"/>
  <c r="G12" i="10"/>
  <c r="I13" i="10"/>
  <c r="C33" i="10"/>
  <c r="H34" i="10"/>
  <c r="H35" i="10"/>
  <c r="D46" i="10"/>
  <c r="E47" i="10"/>
  <c r="C49" i="10"/>
  <c r="F51" i="10"/>
  <c r="I52" i="10"/>
  <c r="E54" i="10"/>
  <c r="E57" i="10"/>
  <c r="I58" i="10"/>
  <c r="D61" i="10"/>
  <c r="I62" i="10"/>
  <c r="C64" i="10"/>
  <c r="C65" i="10"/>
  <c r="BJ33" i="2"/>
  <c r="BM33" i="2"/>
  <c r="BL33" i="2"/>
  <c r="BI33" i="2"/>
  <c r="BP33" i="2"/>
  <c r="BO33" i="2"/>
  <c r="BN33" i="2"/>
  <c r="BK33" i="2"/>
  <c r="BL5" i="2"/>
  <c r="BO5" i="2"/>
  <c r="BP5" i="2"/>
  <c r="BM5" i="2"/>
  <c r="BJ5" i="2"/>
  <c r="BI5" i="2"/>
  <c r="BO50" i="2"/>
  <c r="BI50" i="2"/>
  <c r="BP50" i="2"/>
  <c r="BM50" i="2"/>
  <c r="BN50" i="2"/>
  <c r="BL50" i="2"/>
  <c r="BK50" i="2"/>
  <c r="BJ50" i="2"/>
  <c r="BK5" i="2"/>
  <c r="BJ20" i="2"/>
  <c r="BO20" i="2"/>
  <c r="BN20" i="2"/>
  <c r="BL20" i="2"/>
  <c r="BK20" i="2"/>
  <c r="BP20" i="2"/>
  <c r="BM20" i="2"/>
  <c r="BI20" i="2"/>
  <c r="BO65" i="2"/>
  <c r="BN65" i="2"/>
  <c r="BM65" i="2"/>
  <c r="BK65" i="2"/>
  <c r="BI65" i="2"/>
  <c r="BP65" i="2"/>
  <c r="BJ65" i="2"/>
  <c r="BL65" i="2"/>
  <c r="BK7" i="2"/>
  <c r="BP7" i="2"/>
  <c r="BO7" i="2"/>
  <c r="BL7" i="2"/>
  <c r="BN7" i="2"/>
  <c r="BM7" i="2"/>
  <c r="BI7" i="2"/>
  <c r="BJ7" i="2"/>
  <c r="BK77" i="2"/>
  <c r="BJ77" i="2"/>
  <c r="BO77" i="2"/>
  <c r="BP77" i="2"/>
  <c r="BN77" i="2"/>
  <c r="BM77" i="2"/>
  <c r="BL77" i="2"/>
  <c r="BI77" i="2"/>
  <c r="BM21" i="2"/>
  <c r="BL21" i="2"/>
  <c r="BJ21" i="2"/>
  <c r="BP19" i="2"/>
  <c r="BP21" i="2"/>
  <c r="BK13" i="2"/>
  <c r="BJ15" i="2"/>
  <c r="BK40" i="2"/>
  <c r="BP40" i="2"/>
  <c r="BN40" i="2"/>
  <c r="BM40" i="2"/>
  <c r="BL40" i="2"/>
  <c r="BI9" i="2"/>
  <c r="BL13" i="2"/>
  <c r="BK15" i="2"/>
  <c r="BI40" i="2"/>
  <c r="BK9" i="2"/>
  <c r="BN13" i="2"/>
  <c r="BM15" i="2"/>
  <c r="BL35" i="2"/>
  <c r="BP35" i="2"/>
  <c r="BN35" i="2"/>
  <c r="BK35" i="2"/>
  <c r="BO35" i="2"/>
  <c r="BM35" i="2"/>
  <c r="BO40" i="2"/>
  <c r="BN9" i="2"/>
  <c r="BK19" i="2"/>
  <c r="BI21" i="2"/>
  <c r="BP23" i="2"/>
  <c r="BN23" i="2"/>
  <c r="BM23" i="2"/>
  <c r="BL23" i="2"/>
  <c r="BK60" i="2"/>
  <c r="BP60" i="2"/>
  <c r="BO60" i="2"/>
  <c r="BM60" i="2"/>
  <c r="BJ60" i="2"/>
  <c r="BN60" i="2"/>
  <c r="BL60" i="2"/>
  <c r="BI8" i="2"/>
  <c r="BP9" i="2"/>
  <c r="BK21" i="2"/>
  <c r="BI23" i="2"/>
  <c r="BP27" i="2"/>
  <c r="BO27" i="2"/>
  <c r="BN27" i="2"/>
  <c r="BL27" i="2"/>
  <c r="BJ27" i="2"/>
  <c r="BK54" i="2"/>
  <c r="BJ54" i="2"/>
  <c r="BO54" i="2"/>
  <c r="BN54" i="2"/>
  <c r="BM54" i="2"/>
  <c r="BI60" i="2"/>
  <c r="BN70" i="2"/>
  <c r="BJ70" i="2"/>
  <c r="BO70" i="2"/>
  <c r="BI19" i="2"/>
  <c r="BL19" i="2"/>
  <c r="BJ19" i="2"/>
  <c r="BL16" i="2"/>
  <c r="BO16" i="2"/>
  <c r="BN16" i="2"/>
  <c r="BP18" i="2"/>
  <c r="BN18" i="2"/>
  <c r="BI18" i="2"/>
  <c r="BN19" i="2"/>
  <c r="BN21" i="2"/>
  <c r="BJ23" i="2"/>
  <c r="BI27" i="2"/>
  <c r="BO29" i="2"/>
  <c r="BM29" i="2"/>
  <c r="BP29" i="2"/>
  <c r="BL29" i="2"/>
  <c r="BK29" i="2"/>
  <c r="BM36" i="2"/>
  <c r="BP36" i="2"/>
  <c r="BN36" i="2"/>
  <c r="BI36" i="2"/>
  <c r="BI45" i="2"/>
  <c r="BO45" i="2"/>
  <c r="BM45" i="2"/>
  <c r="BP45" i="2"/>
  <c r="BL45" i="2"/>
  <c r="BK45" i="2"/>
  <c r="BK51" i="2"/>
  <c r="BP51" i="2"/>
  <c r="BO51" i="2"/>
  <c r="BM51" i="2"/>
  <c r="BJ51" i="2"/>
  <c r="BI54" i="2"/>
  <c r="BI70" i="2"/>
  <c r="BI6" i="2"/>
  <c r="BK8" i="2"/>
  <c r="BJ11" i="2"/>
  <c r="BI12" i="2"/>
  <c r="BI16" i="2"/>
  <c r="BJ18" i="2"/>
  <c r="BO19" i="2"/>
  <c r="BO21" i="2"/>
  <c r="BK23" i="2"/>
  <c r="BK27" i="2"/>
  <c r="BI29" i="2"/>
  <c r="BJ36" i="2"/>
  <c r="BL38" i="2"/>
  <c r="BK38" i="2"/>
  <c r="BI38" i="2"/>
  <c r="BJ45" i="2"/>
  <c r="BI51" i="2"/>
  <c r="BL54" i="2"/>
  <c r="BK70" i="2"/>
  <c r="D42" i="2"/>
  <c r="BJ24" i="2"/>
  <c r="BO24" i="2"/>
  <c r="BN24" i="2"/>
  <c r="BL24" i="2"/>
  <c r="BI24" i="2"/>
  <c r="BP28" i="2"/>
  <c r="BN28" i="2"/>
  <c r="BL28" i="2"/>
  <c r="BI32" i="2"/>
  <c r="BK32" i="2"/>
  <c r="BJ32" i="2"/>
  <c r="BM42" i="2"/>
  <c r="BJ42" i="2"/>
  <c r="BI42" i="2"/>
  <c r="BO53" i="2"/>
  <c r="BM53" i="2"/>
  <c r="BJ53" i="2"/>
  <c r="BI53" i="2"/>
  <c r="BO59" i="2"/>
  <c r="BI59" i="2"/>
  <c r="BP59" i="2"/>
  <c r="BM59" i="2"/>
  <c r="BK63" i="2"/>
  <c r="BJ63" i="2"/>
  <c r="BO63" i="2"/>
  <c r="BK69" i="2"/>
  <c r="BP69" i="2"/>
  <c r="BO69" i="2"/>
  <c r="BM69" i="2"/>
  <c r="BJ69" i="2"/>
  <c r="BK34" i="2"/>
  <c r="BO34" i="2"/>
  <c r="BN34" i="2"/>
  <c r="BL34" i="2"/>
  <c r="BI34" i="2"/>
  <c r="BI69" i="2"/>
  <c r="BN42" i="2"/>
  <c r="BP44" i="2"/>
  <c r="BO44" i="2"/>
  <c r="BM44" i="2"/>
  <c r="BK44" i="2"/>
  <c r="BN53" i="2"/>
  <c r="BL59" i="2"/>
  <c r="BM63" i="2"/>
  <c r="BL69" i="2"/>
  <c r="BM34" i="2"/>
  <c r="BO56" i="2"/>
  <c r="BN56" i="2"/>
  <c r="BM56" i="2"/>
  <c r="BK56" i="2"/>
  <c r="BI56" i="2"/>
  <c r="BO62" i="2"/>
  <c r="BM62" i="2"/>
  <c r="BJ62" i="2"/>
  <c r="BI62" i="2"/>
  <c r="BO68" i="2"/>
  <c r="BI68" i="2"/>
  <c r="BP68" i="2"/>
  <c r="BM68" i="2"/>
  <c r="BN69" i="2"/>
  <c r="AL8" i="4"/>
  <c r="AE8" i="4"/>
  <c r="AK8" i="4"/>
  <c r="AJ8" i="4"/>
  <c r="AI8" i="4"/>
  <c r="AF8" i="4"/>
  <c r="BP37" i="2"/>
  <c r="BP41" i="2"/>
  <c r="BL48" i="2"/>
  <c r="BP49" i="2"/>
  <c r="E6" i="4"/>
  <c r="C6" i="4"/>
  <c r="O6" i="4" s="1"/>
  <c r="D6" i="4"/>
  <c r="AL7" i="4"/>
  <c r="AF7" i="4"/>
  <c r="AK7" i="4"/>
  <c r="AJ7" i="4"/>
  <c r="AG8" i="4"/>
  <c r="AJ12" i="4"/>
  <c r="AH12" i="4"/>
  <c r="AF12" i="4"/>
  <c r="AL12" i="4"/>
  <c r="AK12" i="4"/>
  <c r="AI12" i="4"/>
  <c r="AG12" i="4"/>
  <c r="AE12" i="4"/>
  <c r="AH8" i="4"/>
  <c r="BJ26" i="2"/>
  <c r="BJ43" i="2"/>
  <c r="BJ47" i="2"/>
  <c r="BN48" i="2"/>
  <c r="BJ52" i="2"/>
  <c r="BN55" i="2"/>
  <c r="BJ61" i="2"/>
  <c r="BN64" i="2"/>
  <c r="BO73" i="2"/>
  <c r="BJ75" i="2"/>
  <c r="AG7" i="4"/>
  <c r="AH7" i="4"/>
  <c r="BL47" i="2"/>
  <c r="BL52" i="2"/>
  <c r="BL61" i="2"/>
  <c r="BL75" i="2"/>
  <c r="I6" i="4"/>
  <c r="AI7" i="4"/>
  <c r="J6" i="4"/>
  <c r="I13" i="4"/>
  <c r="E13" i="4"/>
  <c r="J13" i="4"/>
  <c r="G13" i="4"/>
  <c r="H13" i="4" s="1"/>
  <c r="D13" i="4"/>
  <c r="C13" i="4"/>
  <c r="M13" i="4" s="1"/>
  <c r="T13" i="4"/>
  <c r="DP13" i="2" s="1"/>
  <c r="B13" i="4"/>
  <c r="BM46" i="2"/>
  <c r="BL74" i="2"/>
  <c r="I5" i="4"/>
  <c r="C5" i="4"/>
  <c r="CL5" i="4"/>
  <c r="B5" i="4"/>
  <c r="AL33" i="4"/>
  <c r="AI33" i="4"/>
  <c r="AK33" i="4"/>
  <c r="AJ33" i="4"/>
  <c r="AH33" i="4"/>
  <c r="AF33" i="4"/>
  <c r="AE33" i="4"/>
  <c r="M11" i="4"/>
  <c r="CL19" i="4"/>
  <c r="I19" i="4"/>
  <c r="J19" i="4"/>
  <c r="T19" i="4"/>
  <c r="E19" i="4"/>
  <c r="N19" i="4"/>
  <c r="M19" i="4"/>
  <c r="G19" i="4"/>
  <c r="H19" i="4" s="1"/>
  <c r="C19" i="4"/>
  <c r="B19" i="4"/>
  <c r="AI7" i="6"/>
  <c r="AJ7" i="6" s="1"/>
  <c r="AH7" i="6"/>
  <c r="AG7" i="6"/>
  <c r="AE7" i="6"/>
  <c r="AF7" i="6"/>
  <c r="D19" i="4"/>
  <c r="AF39" i="4"/>
  <c r="AJ39" i="4"/>
  <c r="AI39" i="4"/>
  <c r="AG39" i="4"/>
  <c r="AL39" i="4"/>
  <c r="AK39" i="4"/>
  <c r="AH39" i="4"/>
  <c r="AE39" i="4"/>
  <c r="O19" i="4"/>
  <c r="AI28" i="4"/>
  <c r="AF28" i="4"/>
  <c r="AL28" i="4"/>
  <c r="AK28" i="4"/>
  <c r="AJ28" i="4"/>
  <c r="AG28" i="4"/>
  <c r="AL46" i="4"/>
  <c r="AJ46" i="4"/>
  <c r="AK46" i="4"/>
  <c r="AH46" i="4"/>
  <c r="AG46" i="4"/>
  <c r="AE46" i="4"/>
  <c r="AI46" i="4"/>
  <c r="I12" i="4"/>
  <c r="C12" i="4"/>
  <c r="M12" i="4" s="1"/>
  <c r="J12" i="4"/>
  <c r="P19" i="4"/>
  <c r="E23" i="4"/>
  <c r="N23" i="4"/>
  <c r="B23" i="4"/>
  <c r="CL23" i="4"/>
  <c r="J23" i="4"/>
  <c r="I23" i="4"/>
  <c r="G23" i="4"/>
  <c r="H23" i="4" s="1"/>
  <c r="P23" i="4"/>
  <c r="O23" i="4"/>
  <c r="M23" i="4"/>
  <c r="D23" i="4"/>
  <c r="AL9" i="4"/>
  <c r="AJ9" i="4"/>
  <c r="B12" i="4"/>
  <c r="AL15" i="4"/>
  <c r="AJ15" i="4"/>
  <c r="AI15" i="4"/>
  <c r="AH15" i="4"/>
  <c r="AF15" i="4"/>
  <c r="C23" i="4"/>
  <c r="G24" i="4"/>
  <c r="H24" i="4" s="1"/>
  <c r="P24" i="4"/>
  <c r="D24" i="4"/>
  <c r="T24" i="4"/>
  <c r="M24" i="4"/>
  <c r="J24" i="4"/>
  <c r="E24" i="4"/>
  <c r="C24" i="4"/>
  <c r="B24" i="4"/>
  <c r="CL24" i="4"/>
  <c r="N24" i="4"/>
  <c r="AF47" i="4"/>
  <c r="AK47" i="4"/>
  <c r="AL47" i="4"/>
  <c r="AJ47" i="4"/>
  <c r="AI47" i="4"/>
  <c r="AG47" i="4"/>
  <c r="AE47" i="4"/>
  <c r="AI10" i="6"/>
  <c r="AJ10" i="6" s="1"/>
  <c r="AF10" i="6"/>
  <c r="AE10" i="6"/>
  <c r="AG10" i="6"/>
  <c r="AH10" i="6"/>
  <c r="AE9" i="4"/>
  <c r="D12" i="4"/>
  <c r="T12" i="4"/>
  <c r="DP12" i="2" s="1"/>
  <c r="AJ13" i="4"/>
  <c r="AH13" i="4"/>
  <c r="AI13" i="4"/>
  <c r="AE15" i="4"/>
  <c r="I24" i="4"/>
  <c r="AL29" i="4"/>
  <c r="AI29" i="4"/>
  <c r="AE29" i="4"/>
  <c r="AG29" i="4"/>
  <c r="AF29" i="4"/>
  <c r="AK29" i="4"/>
  <c r="AJ29" i="4"/>
  <c r="AH29" i="4"/>
  <c r="AH47" i="4"/>
  <c r="AK63" i="4"/>
  <c r="AH63" i="4"/>
  <c r="AE63" i="4"/>
  <c r="AJ63" i="4"/>
  <c r="AI63" i="4"/>
  <c r="AF63" i="4"/>
  <c r="AG63" i="4"/>
  <c r="AF72" i="4"/>
  <c r="AK72" i="4"/>
  <c r="AJ72" i="4"/>
  <c r="AH72" i="4"/>
  <c r="AL72" i="4"/>
  <c r="AI72" i="4"/>
  <c r="AG72" i="4"/>
  <c r="AE72" i="4"/>
  <c r="E12" i="4"/>
  <c r="AE13" i="4"/>
  <c r="AG15" i="4"/>
  <c r="AE69" i="4"/>
  <c r="AG69" i="4"/>
  <c r="AJ69" i="4"/>
  <c r="AF69" i="4"/>
  <c r="AL69" i="4"/>
  <c r="AI69" i="4"/>
  <c r="AH69" i="4"/>
  <c r="AJ22" i="6"/>
  <c r="AG22" i="6"/>
  <c r="AI22" i="6"/>
  <c r="AF22" i="6"/>
  <c r="AH22" i="6"/>
  <c r="AE22" i="6"/>
  <c r="AF13" i="4"/>
  <c r="AK15" i="4"/>
  <c r="T23" i="4"/>
  <c r="O24" i="4"/>
  <c r="AE61" i="4"/>
  <c r="AJ61" i="4"/>
  <c r="AF61" i="4"/>
  <c r="AL61" i="4"/>
  <c r="AI61" i="4"/>
  <c r="AK61" i="4"/>
  <c r="AG61" i="4"/>
  <c r="AK69" i="4"/>
  <c r="AH9" i="4"/>
  <c r="G12" i="4"/>
  <c r="H12" i="4" s="1"/>
  <c r="AG13" i="4"/>
  <c r="AL14" i="4"/>
  <c r="AJ14" i="4"/>
  <c r="AK14" i="4"/>
  <c r="AH14" i="4"/>
  <c r="AE14" i="4"/>
  <c r="AI32" i="4"/>
  <c r="AF32" i="4"/>
  <c r="AG32" i="4"/>
  <c r="AL32" i="4"/>
  <c r="AK32" i="4"/>
  <c r="AH32" i="4"/>
  <c r="AJ32" i="4"/>
  <c r="AF35" i="4"/>
  <c r="AI35" i="4"/>
  <c r="AK35" i="4"/>
  <c r="AL35" i="4"/>
  <c r="AJ35" i="4"/>
  <c r="AH35" i="4"/>
  <c r="AG35" i="4"/>
  <c r="AE35" i="4"/>
  <c r="AH61" i="4"/>
  <c r="AI9" i="4"/>
  <c r="AK13" i="4"/>
  <c r="AF14" i="4"/>
  <c r="AF59" i="4"/>
  <c r="AI59" i="4"/>
  <c r="AK59" i="4"/>
  <c r="AL59" i="4"/>
  <c r="AJ59" i="4"/>
  <c r="AG59" i="4"/>
  <c r="AK22" i="4"/>
  <c r="AI22" i="4"/>
  <c r="AH22" i="4"/>
  <c r="AF22" i="4"/>
  <c r="AI44" i="4"/>
  <c r="AF44" i="4"/>
  <c r="AK44" i="4"/>
  <c r="AJ44" i="4"/>
  <c r="AG44" i="4"/>
  <c r="AL53" i="4"/>
  <c r="AI53" i="4"/>
  <c r="AE53" i="4"/>
  <c r="AJ53" i="4"/>
  <c r="AG53" i="4"/>
  <c r="AF53" i="4"/>
  <c r="AK71" i="4"/>
  <c r="AL71" i="4"/>
  <c r="AJ71" i="4"/>
  <c r="AG71" i="4"/>
  <c r="AE71" i="4"/>
  <c r="AI76" i="4"/>
  <c r="AF76" i="4"/>
  <c r="AJ76" i="4"/>
  <c r="AK76" i="4"/>
  <c r="AH76" i="4"/>
  <c r="AE76" i="4"/>
  <c r="AL49" i="4"/>
  <c r="AI49" i="4"/>
  <c r="AK49" i="4"/>
  <c r="AH49" i="4"/>
  <c r="G11" i="4"/>
  <c r="H11" i="4" s="1"/>
  <c r="AH18" i="4"/>
  <c r="AE18" i="4"/>
  <c r="AK18" i="4"/>
  <c r="AJ18" i="4"/>
  <c r="AG18" i="4"/>
  <c r="T20" i="4"/>
  <c r="N20" i="4"/>
  <c r="M20" i="4"/>
  <c r="J20" i="4"/>
  <c r="K20" i="4" s="1"/>
  <c r="AA20" i="4" s="1"/>
  <c r="AJ22" i="4"/>
  <c r="AL44" i="4"/>
  <c r="AE49" i="4"/>
  <c r="AF51" i="4"/>
  <c r="AI51" i="4"/>
  <c r="AL51" i="4"/>
  <c r="AJ51" i="4"/>
  <c r="AH51" i="4"/>
  <c r="AE51" i="4"/>
  <c r="AL54" i="4"/>
  <c r="AJ54" i="4"/>
  <c r="AI54" i="4"/>
  <c r="AI71" i="4"/>
  <c r="AH74" i="4"/>
  <c r="AK74" i="4"/>
  <c r="AL74" i="4"/>
  <c r="AI74" i="4"/>
  <c r="AG74" i="4"/>
  <c r="AE74" i="4"/>
  <c r="AI17" i="5"/>
  <c r="W17" i="5"/>
  <c r="AJ17" i="5"/>
  <c r="V17" i="5"/>
  <c r="AQ17" i="5"/>
  <c r="AC17" i="5"/>
  <c r="N17" i="5"/>
  <c r="P17" i="5" s="1"/>
  <c r="AB17" i="5"/>
  <c r="AP17" i="5"/>
  <c r="AA17" i="5"/>
  <c r="AN17" i="5"/>
  <c r="Y17" i="5"/>
  <c r="X17" i="5"/>
  <c r="AM17" i="5"/>
  <c r="S17" i="5"/>
  <c r="AO17" i="5"/>
  <c r="AH17" i="5"/>
  <c r="AG17" i="5"/>
  <c r="AF17" i="5"/>
  <c r="AE17" i="5"/>
  <c r="Z17" i="5"/>
  <c r="AF17" i="4"/>
  <c r="AI18" i="4"/>
  <c r="C20" i="4"/>
  <c r="AL25" i="4"/>
  <c r="AI25" i="4"/>
  <c r="AK25" i="4"/>
  <c r="AH25" i="4"/>
  <c r="AL37" i="4"/>
  <c r="AI37" i="4"/>
  <c r="AE37" i="4"/>
  <c r="AK37" i="4"/>
  <c r="AH37" i="4"/>
  <c r="AG49" i="4"/>
  <c r="AK51" i="4"/>
  <c r="AF54" i="4"/>
  <c r="AI56" i="4"/>
  <c r="AF56" i="4"/>
  <c r="AG56" i="4"/>
  <c r="AL56" i="4"/>
  <c r="AK56" i="4"/>
  <c r="AH56" i="4"/>
  <c r="AJ74" i="4"/>
  <c r="AG11" i="6"/>
  <c r="AE11" i="6"/>
  <c r="AI11" i="6"/>
  <c r="AJ11" i="6" s="1"/>
  <c r="AH11" i="6"/>
  <c r="AF11" i="6"/>
  <c r="AF27" i="4"/>
  <c r="AI27" i="4"/>
  <c r="AJ27" i="4"/>
  <c r="AH27" i="4"/>
  <c r="AE27" i="4"/>
  <c r="AJ49" i="4"/>
  <c r="AI52" i="4"/>
  <c r="AF52" i="4"/>
  <c r="AL52" i="4"/>
  <c r="AG54" i="4"/>
  <c r="T17" i="5"/>
  <c r="AG8" i="6"/>
  <c r="AH8" i="6"/>
  <c r="AI8" i="6"/>
  <c r="AJ8" i="6" s="1"/>
  <c r="AE8" i="6"/>
  <c r="AH17" i="4"/>
  <c r="AH19" i="4"/>
  <c r="AE19" i="4"/>
  <c r="AL19" i="4"/>
  <c r="AJ19" i="4"/>
  <c r="E20" i="4"/>
  <c r="F20" i="4" s="1"/>
  <c r="CL20" i="4"/>
  <c r="O22" i="4"/>
  <c r="C22" i="4"/>
  <c r="T22" i="4"/>
  <c r="E22" i="4"/>
  <c r="B22" i="4"/>
  <c r="AF25" i="4"/>
  <c r="AG27" i="4"/>
  <c r="AG37" i="4"/>
  <c r="AE52" i="4"/>
  <c r="AH54" i="4"/>
  <c r="AJ56" i="4"/>
  <c r="U17" i="5"/>
  <c r="AF8" i="6"/>
  <c r="AI17" i="4"/>
  <c r="I18" i="4"/>
  <c r="G18" i="4"/>
  <c r="H18" i="4" s="1"/>
  <c r="K18" i="4" s="1"/>
  <c r="T18" i="4"/>
  <c r="D18" i="4"/>
  <c r="F18" i="4" s="1"/>
  <c r="AF19" i="4"/>
  <c r="D22" i="4"/>
  <c r="CL22" i="4"/>
  <c r="AG25" i="4"/>
  <c r="AK27" i="4"/>
  <c r="AL30" i="4"/>
  <c r="AJ30" i="4"/>
  <c r="AI30" i="4"/>
  <c r="AJ37" i="4"/>
  <c r="AG52" i="4"/>
  <c r="AK54" i="4"/>
  <c r="AL57" i="4"/>
  <c r="AI57" i="4"/>
  <c r="AE57" i="4"/>
  <c r="AD17" i="5"/>
  <c r="CL10" i="4"/>
  <c r="AL10" i="4"/>
  <c r="AJ10" i="4"/>
  <c r="CL11" i="4"/>
  <c r="I11" i="4"/>
  <c r="O11" i="4"/>
  <c r="AJ11" i="4"/>
  <c r="AH11" i="4"/>
  <c r="AJ20" i="4"/>
  <c r="AG20" i="4"/>
  <c r="AI40" i="4"/>
  <c r="AF40" i="4"/>
  <c r="AG40" i="4"/>
  <c r="AK17" i="5"/>
  <c r="M7" i="4"/>
  <c r="M8" i="4"/>
  <c r="CL8" i="4"/>
  <c r="CL9" i="4"/>
  <c r="CL14" i="4"/>
  <c r="M17" i="4"/>
  <c r="AL41" i="4"/>
  <c r="AI41" i="4"/>
  <c r="M9" i="4"/>
  <c r="M10" i="4"/>
  <c r="M14" i="4"/>
  <c r="M15" i="4"/>
  <c r="C16" i="4"/>
  <c r="O16" i="4" s="1"/>
  <c r="C17" i="4"/>
  <c r="O17" i="4"/>
  <c r="AL21" i="4"/>
  <c r="AI21" i="4"/>
  <c r="AI36" i="4"/>
  <c r="AF36" i="4"/>
  <c r="AF41" i="4"/>
  <c r="AI48" i="4"/>
  <c r="AF48" i="4"/>
  <c r="AG48" i="4"/>
  <c r="AI60" i="4"/>
  <c r="AF60" i="4"/>
  <c r="AK67" i="4"/>
  <c r="AL67" i="4"/>
  <c r="AH67" i="4"/>
  <c r="AF24" i="4"/>
  <c r="AI24" i="4"/>
  <c r="AL38" i="4"/>
  <c r="AJ38" i="4"/>
  <c r="AF43" i="4"/>
  <c r="AI43" i="4"/>
  <c r="AL45" i="4"/>
  <c r="AI45" i="4"/>
  <c r="AE45" i="4"/>
  <c r="AL64" i="4"/>
  <c r="AI64" i="4"/>
  <c r="AH64" i="4"/>
  <c r="AK75" i="4"/>
  <c r="AE75" i="4"/>
  <c r="AG75" i="4"/>
  <c r="AG18" i="6"/>
  <c r="AJ18" i="6"/>
  <c r="AI18" i="6"/>
  <c r="AF18" i="6"/>
  <c r="AE18" i="6"/>
  <c r="AC20" i="8"/>
  <c r="AJ20" i="8"/>
  <c r="AI20" i="8"/>
  <c r="AH20" i="8"/>
  <c r="AG20" i="8"/>
  <c r="T16" i="3" s="1"/>
  <c r="AE20" i="8"/>
  <c r="AD20" i="8"/>
  <c r="A16" i="9"/>
  <c r="AF20" i="8"/>
  <c r="AB20" i="8"/>
  <c r="L16" i="5"/>
  <c r="J13" i="9"/>
  <c r="H13" i="9"/>
  <c r="I13" i="9"/>
  <c r="AJ19" i="6"/>
  <c r="AE19" i="6"/>
  <c r="AH19" i="6"/>
  <c r="AG19" i="6"/>
  <c r="AE73" i="4"/>
  <c r="AJ73" i="4"/>
  <c r="AG73" i="4"/>
  <c r="AG16" i="6"/>
  <c r="AF16" i="6"/>
  <c r="AE16" i="6"/>
  <c r="AI19" i="6"/>
  <c r="B57" i="14"/>
  <c r="H4" i="8"/>
  <c r="AH70" i="4"/>
  <c r="AK70" i="4"/>
  <c r="AG70" i="4"/>
  <c r="AE77" i="4"/>
  <c r="AJ77" i="4"/>
  <c r="AJ19" i="8"/>
  <c r="AK19" i="8"/>
  <c r="AD19" i="8"/>
  <c r="M15" i="5" s="1"/>
  <c r="A15" i="9"/>
  <c r="AI19" i="8"/>
  <c r="AG19" i="8"/>
  <c r="T15" i="3" s="1"/>
  <c r="AF19" i="8"/>
  <c r="AH19" i="8"/>
  <c r="L15" i="5"/>
  <c r="AB19" i="8"/>
  <c r="B15" i="9" s="1"/>
  <c r="J9" i="9"/>
  <c r="I9" i="9"/>
  <c r="H9" i="9"/>
  <c r="AH24" i="8"/>
  <c r="AK24" i="8"/>
  <c r="AE24" i="8"/>
  <c r="AN24" i="8"/>
  <c r="A20" i="9"/>
  <c r="AL24" i="8"/>
  <c r="AI24" i="8"/>
  <c r="AG24" i="8"/>
  <c r="T20" i="3" s="1"/>
  <c r="AF24" i="8"/>
  <c r="AC24" i="8"/>
  <c r="AB24" i="8"/>
  <c r="B20" i="9" s="1"/>
  <c r="H18" i="9"/>
  <c r="I18" i="9"/>
  <c r="J18" i="9"/>
  <c r="AG24" i="6"/>
  <c r="AI24" i="6"/>
  <c r="AJ24" i="6"/>
  <c r="AD24" i="8"/>
  <c r="AJ24" i="8"/>
  <c r="AJ23" i="6"/>
  <c r="AI23" i="6"/>
  <c r="AF11" i="8"/>
  <c r="A7" i="9"/>
  <c r="AH11" i="8"/>
  <c r="AD11" i="8"/>
  <c r="AC11" i="8"/>
  <c r="AB11" i="8"/>
  <c r="B7" i="9" s="1"/>
  <c r="AI26" i="8"/>
  <c r="AE26" i="8"/>
  <c r="AN26" i="8"/>
  <c r="A22" i="9"/>
  <c r="AL26" i="8"/>
  <c r="AK26" i="8"/>
  <c r="AH26" i="8"/>
  <c r="AG26" i="8"/>
  <c r="T22" i="3" s="1"/>
  <c r="AF26" i="8"/>
  <c r="AC26" i="8"/>
  <c r="M22" i="5" s="1"/>
  <c r="AB26" i="8"/>
  <c r="B22" i="9" s="1"/>
  <c r="M21" i="4"/>
  <c r="AG66" i="4"/>
  <c r="AE15" i="6"/>
  <c r="AE23" i="6"/>
  <c r="AH24" i="6"/>
  <c r="AE11" i="8"/>
  <c r="I7" i="10"/>
  <c r="D7" i="10"/>
  <c r="B7" i="10"/>
  <c r="H7" i="10"/>
  <c r="G7" i="10"/>
  <c r="F7" i="10"/>
  <c r="C7" i="10"/>
  <c r="A7" i="10"/>
  <c r="J7" i="10" s="1"/>
  <c r="L7" i="10"/>
  <c r="E7" i="10"/>
  <c r="AJ14" i="8"/>
  <c r="AK14" i="8" s="1"/>
  <c r="AC14" i="8"/>
  <c r="A10" i="9"/>
  <c r="AI14" i="8"/>
  <c r="AG14" i="8"/>
  <c r="T10" i="3" s="1"/>
  <c r="AF14" i="8"/>
  <c r="AE14" i="8"/>
  <c r="AB14" i="8"/>
  <c r="J21" i="9"/>
  <c r="H21" i="9"/>
  <c r="I21" i="9"/>
  <c r="H24" i="9"/>
  <c r="J24" i="9"/>
  <c r="AI15" i="6"/>
  <c r="AJ15" i="6" s="1"/>
  <c r="AD20" i="6"/>
  <c r="AK11" i="8"/>
  <c r="AD14" i="8"/>
  <c r="AK27" i="8"/>
  <c r="AJ27" i="8"/>
  <c r="AH27" i="8"/>
  <c r="AN27" i="8"/>
  <c r="AL27" i="8"/>
  <c r="A23" i="9"/>
  <c r="AG27" i="8"/>
  <c r="T23" i="3" s="1"/>
  <c r="AF27" i="8"/>
  <c r="AE27" i="8"/>
  <c r="AC27" i="8"/>
  <c r="M23" i="5" s="1"/>
  <c r="AB27" i="8"/>
  <c r="B23" i="9" s="1"/>
  <c r="I24" i="9"/>
  <c r="N5" i="10"/>
  <c r="AB15" i="8"/>
  <c r="B11" i="9" s="1"/>
  <c r="AC15" i="8"/>
  <c r="AJ15" i="8"/>
  <c r="AK15" i="8" s="1"/>
  <c r="AI15" i="8"/>
  <c r="AH15" i="8"/>
  <c r="AG15" i="8"/>
  <c r="AE15" i="8"/>
  <c r="A11" i="9"/>
  <c r="AD15" i="8"/>
  <c r="H14" i="9"/>
  <c r="J14" i="9"/>
  <c r="H12" i="9"/>
  <c r="J12" i="9"/>
  <c r="I12" i="9"/>
  <c r="AG25" i="8"/>
  <c r="T21" i="3" s="1"/>
  <c r="AD21" i="6"/>
  <c r="AE25" i="8"/>
  <c r="AB25" i="8"/>
  <c r="B21" i="9" s="1"/>
  <c r="L21" i="5"/>
  <c r="AN25" i="8"/>
  <c r="AL25" i="8"/>
  <c r="AK25" i="8"/>
  <c r="AI25" i="8"/>
  <c r="AH25" i="8"/>
  <c r="I19" i="9"/>
  <c r="J19" i="9"/>
  <c r="N10" i="10"/>
  <c r="N8" i="10"/>
  <c r="N9" i="10"/>
  <c r="AD10" i="8"/>
  <c r="AB10" i="8"/>
  <c r="B6" i="9" s="1"/>
  <c r="AJ10" i="8"/>
  <c r="AK10" i="8" s="1"/>
  <c r="AD6" i="6"/>
  <c r="AK12" i="8"/>
  <c r="AI13" i="8"/>
  <c r="AI18" i="8"/>
  <c r="AL22" i="8"/>
  <c r="AJ23" i="8"/>
  <c r="E8" i="10"/>
  <c r="AG12" i="6"/>
  <c r="AE12" i="6"/>
  <c r="AC10" i="8"/>
  <c r="AD16" i="8"/>
  <c r="M12" i="5" s="1"/>
  <c r="AH16" i="8"/>
  <c r="AF16" i="8"/>
  <c r="AN21" i="8"/>
  <c r="AB21" i="8"/>
  <c r="B17" i="9" s="1"/>
  <c r="AD17" i="6"/>
  <c r="AH21" i="8"/>
  <c r="A17" i="9"/>
  <c r="AG21" i="8"/>
  <c r="T17" i="3" s="1"/>
  <c r="AL23" i="8"/>
  <c r="A6" i="9"/>
  <c r="F8" i="10"/>
  <c r="A14" i="10"/>
  <c r="J14" i="10" s="1"/>
  <c r="A8" i="9"/>
  <c r="AH12" i="8"/>
  <c r="AD22" i="8"/>
  <c r="M18" i="5" s="1"/>
  <c r="AB22" i="8"/>
  <c r="B18" i="9" s="1"/>
  <c r="I8" i="10"/>
  <c r="E14" i="10"/>
  <c r="F14" i="10"/>
  <c r="AF23" i="8"/>
  <c r="L19" i="5"/>
  <c r="AE23" i="8"/>
  <c r="AK23" i="8"/>
  <c r="AJ13" i="8"/>
  <c r="AK13" i="8" s="1"/>
  <c r="AD9" i="6"/>
  <c r="AE13" i="8"/>
  <c r="AH13" i="8"/>
  <c r="AH18" i="8"/>
  <c r="AE18" i="8"/>
  <c r="AJ18" i="8"/>
  <c r="AK18" i="8" s="1"/>
  <c r="AB23" i="8"/>
  <c r="B19" i="9" s="1"/>
  <c r="G8" i="10"/>
  <c r="C8" i="10"/>
  <c r="D8" i="10"/>
  <c r="C14" i="10"/>
  <c r="D14" i="10"/>
  <c r="I14" i="10"/>
  <c r="H14" i="10"/>
  <c r="G14" i="10"/>
  <c r="G30" i="10"/>
  <c r="E30" i="10"/>
  <c r="C30" i="10"/>
  <c r="L30" i="10"/>
  <c r="H30" i="10"/>
  <c r="B30" i="10"/>
  <c r="I30" i="10"/>
  <c r="D30" i="10"/>
  <c r="A30" i="10"/>
  <c r="J30" i="10" s="1"/>
  <c r="B36" i="10"/>
  <c r="I36" i="10"/>
  <c r="H36" i="10"/>
  <c r="G36" i="10"/>
  <c r="D36" i="10"/>
  <c r="A36" i="10"/>
  <c r="J36" i="10" s="1"/>
  <c r="L36" i="10"/>
  <c r="F36" i="10"/>
  <c r="E36" i="10"/>
  <c r="C36" i="10"/>
  <c r="G16" i="10"/>
  <c r="H16" i="10"/>
  <c r="C16" i="10"/>
  <c r="B16" i="10"/>
  <c r="AB9" i="8"/>
  <c r="B5" i="9" s="1"/>
  <c r="AD5" i="6"/>
  <c r="AJ9" i="8"/>
  <c r="AK9" i="8" s="1"/>
  <c r="AF17" i="8"/>
  <c r="AD13" i="6"/>
  <c r="E16" i="10"/>
  <c r="L12" i="10"/>
  <c r="H12" i="10"/>
  <c r="F16" i="10"/>
  <c r="I16" i="10"/>
  <c r="L18" i="10"/>
  <c r="F18" i="10"/>
  <c r="B18" i="10"/>
  <c r="A18" i="10"/>
  <c r="J18" i="10" s="1"/>
  <c r="D18" i="10"/>
  <c r="A19" i="10"/>
  <c r="J19" i="10" s="1"/>
  <c r="B19" i="10"/>
  <c r="L19" i="10"/>
  <c r="I19" i="10"/>
  <c r="F19" i="10"/>
  <c r="E19" i="10"/>
  <c r="E9" i="10"/>
  <c r="B9" i="10"/>
  <c r="G18" i="10"/>
  <c r="G19" i="10"/>
  <c r="F30" i="10"/>
  <c r="D41" i="10"/>
  <c r="F41" i="10"/>
  <c r="E41" i="10"/>
  <c r="C41" i="10"/>
  <c r="B41" i="10"/>
  <c r="A41" i="10"/>
  <c r="J41" i="10" s="1"/>
  <c r="L41" i="10"/>
  <c r="I41" i="10"/>
  <c r="G41" i="10"/>
  <c r="I23" i="10"/>
  <c r="G23" i="10"/>
  <c r="A23" i="10"/>
  <c r="J23" i="10" s="1"/>
  <c r="D23" i="10"/>
  <c r="I28" i="10"/>
  <c r="G28" i="10"/>
  <c r="D28" i="10"/>
  <c r="L28" i="10"/>
  <c r="B38" i="10"/>
  <c r="S17" i="10"/>
  <c r="I22" i="10"/>
  <c r="L22" i="10"/>
  <c r="C22" i="10"/>
  <c r="C24" i="10"/>
  <c r="D29" i="10"/>
  <c r="E15" i="10"/>
  <c r="F15" i="10"/>
  <c r="C15" i="10"/>
  <c r="T17" i="10"/>
  <c r="H38" i="10"/>
  <c r="G38" i="10"/>
  <c r="F38" i="10"/>
  <c r="E38" i="10"/>
  <c r="D38" i="10"/>
  <c r="A38" i="10"/>
  <c r="J38" i="10" s="1"/>
  <c r="L38" i="10"/>
  <c r="I38" i="10"/>
  <c r="A28" i="10"/>
  <c r="J28" i="10" s="1"/>
  <c r="A13" i="10"/>
  <c r="J13" i="10" s="1"/>
  <c r="B13" i="10"/>
  <c r="F13" i="10"/>
  <c r="I15" i="10"/>
  <c r="P18" i="10"/>
  <c r="A22" i="10"/>
  <c r="J22" i="10" s="1"/>
  <c r="K22" i="10" s="1"/>
  <c r="E23" i="10"/>
  <c r="I29" i="10"/>
  <c r="G29" i="10"/>
  <c r="E29" i="10"/>
  <c r="B29" i="10"/>
  <c r="L29" i="10"/>
  <c r="A29" i="10"/>
  <c r="J29" i="10" s="1"/>
  <c r="Q18" i="10"/>
  <c r="F23" i="10"/>
  <c r="G24" i="10"/>
  <c r="E24" i="10"/>
  <c r="L24" i="10"/>
  <c r="H24" i="10"/>
  <c r="B24" i="10"/>
  <c r="F24" i="10"/>
  <c r="C28" i="10"/>
  <c r="D59" i="10"/>
  <c r="E59" i="10"/>
  <c r="C59" i="10"/>
  <c r="B59" i="10"/>
  <c r="A59" i="10"/>
  <c r="J59" i="10" s="1"/>
  <c r="L59" i="10"/>
  <c r="I59" i="10"/>
  <c r="H59" i="10"/>
  <c r="G59" i="10"/>
  <c r="F59" i="10"/>
  <c r="B60" i="10"/>
  <c r="I60" i="10"/>
  <c r="E60" i="10"/>
  <c r="D60" i="10"/>
  <c r="C60" i="10"/>
  <c r="A60" i="10"/>
  <c r="J60" i="10" s="1"/>
  <c r="L60" i="10"/>
  <c r="H60" i="10"/>
  <c r="G60" i="10"/>
  <c r="F60" i="10"/>
  <c r="D20" i="10"/>
  <c r="F25" i="10"/>
  <c r="D26" i="10"/>
  <c r="F31" i="10"/>
  <c r="D32" i="10"/>
  <c r="B33" i="10"/>
  <c r="I39" i="10"/>
  <c r="H40" i="10"/>
  <c r="F42" i="10"/>
  <c r="D43" i="10"/>
  <c r="C44" i="10"/>
  <c r="B45" i="10"/>
  <c r="L48" i="10"/>
  <c r="I50" i="10"/>
  <c r="I51" i="10"/>
  <c r="G53" i="10"/>
  <c r="G54" i="10"/>
  <c r="G56" i="10"/>
  <c r="K56" i="10" s="1"/>
  <c r="G57" i="10"/>
  <c r="F62" i="10"/>
  <c r="E23" i="11"/>
  <c r="H31" i="10"/>
  <c r="D33" i="10"/>
  <c r="F43" i="10"/>
  <c r="D45" i="10"/>
  <c r="A48" i="10"/>
  <c r="J48" i="10" s="1"/>
  <c r="L50" i="10"/>
  <c r="B66" i="10"/>
  <c r="I66" i="10"/>
  <c r="C66" i="10"/>
  <c r="F33" i="10"/>
  <c r="B37" i="10"/>
  <c r="L40" i="10"/>
  <c r="H43" i="10"/>
  <c r="G44" i="10"/>
  <c r="F45" i="10"/>
  <c r="D48" i="10"/>
  <c r="B49" i="10"/>
  <c r="A50" i="10"/>
  <c r="J50" i="10" s="1"/>
  <c r="L53" i="10"/>
  <c r="L56" i="10"/>
  <c r="H63" i="10"/>
  <c r="C63" i="10"/>
  <c r="I63" i="10"/>
  <c r="D65" i="10"/>
  <c r="E65" i="10"/>
  <c r="I43" i="10"/>
  <c r="E48" i="10"/>
  <c r="B50" i="10"/>
  <c r="B54" i="10"/>
  <c r="I54" i="10"/>
  <c r="L55" i="10"/>
  <c r="G55" i="10"/>
  <c r="H57" i="10"/>
  <c r="C57" i="10"/>
  <c r="D26" i="11"/>
  <c r="C26" i="11"/>
  <c r="B26" i="11"/>
  <c r="E37" i="10"/>
  <c r="B40" i="10"/>
  <c r="G48" i="10"/>
  <c r="E49" i="10"/>
  <c r="D50" i="10"/>
  <c r="A53" i="10"/>
  <c r="J53" i="10" s="1"/>
  <c r="A63" i="10"/>
  <c r="J63" i="10" s="1"/>
  <c r="K63" i="10" s="1"/>
  <c r="A65" i="10"/>
  <c r="J65" i="10" s="1"/>
  <c r="D66" i="10"/>
  <c r="F37" i="10"/>
  <c r="C40" i="10"/>
  <c r="H48" i="10"/>
  <c r="F49" i="10"/>
  <c r="E50" i="10"/>
  <c r="E66" i="10"/>
  <c r="C25" i="10"/>
  <c r="C31" i="10"/>
  <c r="L33" i="10"/>
  <c r="G37" i="10"/>
  <c r="E39" i="10"/>
  <c r="D40" i="10"/>
  <c r="C42" i="10"/>
  <c r="A43" i="10"/>
  <c r="J43" i="10" s="1"/>
  <c r="L45" i="10"/>
  <c r="I48" i="10"/>
  <c r="G49" i="10"/>
  <c r="K49" i="10" s="1"/>
  <c r="F50" i="10"/>
  <c r="C53" i="10"/>
  <c r="D54" i="10"/>
  <c r="C55" i="10"/>
  <c r="F66" i="10"/>
  <c r="E40" i="10"/>
  <c r="H49" i="10"/>
  <c r="G50" i="10"/>
  <c r="G66" i="10"/>
  <c r="A33" i="10"/>
  <c r="J33" i="10" s="1"/>
  <c r="L35" i="10"/>
  <c r="I37" i="10"/>
  <c r="G39" i="10"/>
  <c r="G40" i="10"/>
  <c r="E42" i="10"/>
  <c r="C43" i="10"/>
  <c r="A45" i="10"/>
  <c r="J45" i="10" s="1"/>
  <c r="L47" i="10"/>
  <c r="I49" i="10"/>
  <c r="G51" i="10"/>
  <c r="F53" i="10"/>
  <c r="F54" i="10"/>
  <c r="E55" i="10"/>
  <c r="F56" i="10"/>
  <c r="F57" i="10"/>
  <c r="D62" i="10"/>
  <c r="F63" i="10"/>
  <c r="G65" i="10"/>
  <c r="H66" i="10"/>
  <c r="D19" i="11"/>
  <c r="E19" i="11" s="1"/>
  <c r="C24" i="11"/>
  <c r="E24" i="11" s="1"/>
  <c r="A6" i="12"/>
  <c r="B7" i="12"/>
  <c r="C8" i="12"/>
  <c r="D9" i="12"/>
  <c r="F11" i="12"/>
  <c r="G12" i="12"/>
  <c r="H13" i="12"/>
  <c r="I13" i="12" s="1"/>
  <c r="J15" i="12"/>
  <c r="A18" i="12"/>
  <c r="B19" i="12"/>
  <c r="C20" i="12"/>
  <c r="D21" i="12"/>
  <c r="F23" i="12"/>
  <c r="G24" i="12"/>
  <c r="H25" i="12"/>
  <c r="I25" i="12" s="1"/>
  <c r="J27" i="12"/>
  <c r="A30" i="12"/>
  <c r="B31" i="12"/>
  <c r="C32" i="12"/>
  <c r="D33" i="12"/>
  <c r="F35" i="12"/>
  <c r="G36" i="12"/>
  <c r="H37" i="12"/>
  <c r="I37" i="12" s="1"/>
  <c r="I38" i="12"/>
  <c r="J39" i="12"/>
  <c r="A42" i="12"/>
  <c r="B43" i="12"/>
  <c r="C44" i="12"/>
  <c r="D45" i="12"/>
  <c r="E46" i="12"/>
  <c r="F47" i="12"/>
  <c r="G48" i="12"/>
  <c r="H49" i="12"/>
  <c r="I49" i="12" s="1"/>
  <c r="I50" i="12"/>
  <c r="J51" i="12"/>
  <c r="B54" i="12"/>
  <c r="G55" i="12"/>
  <c r="H58" i="12"/>
  <c r="I58" i="12" s="1"/>
  <c r="D8" i="12"/>
  <c r="D20" i="12"/>
  <c r="D32" i="12"/>
  <c r="D44" i="12"/>
  <c r="D54" i="12"/>
  <c r="F63" i="12"/>
  <c r="B63" i="12"/>
  <c r="A63" i="12"/>
  <c r="J63" i="12"/>
  <c r="I63" i="12"/>
  <c r="B27" i="11"/>
  <c r="C6" i="12"/>
  <c r="D7" i="12"/>
  <c r="E8" i="12"/>
  <c r="F9" i="12"/>
  <c r="H11" i="12"/>
  <c r="J13" i="12"/>
  <c r="A16" i="12"/>
  <c r="C18" i="12"/>
  <c r="D19" i="12"/>
  <c r="E20" i="12"/>
  <c r="F21" i="12"/>
  <c r="H23" i="12"/>
  <c r="J25" i="12"/>
  <c r="A28" i="12"/>
  <c r="C30" i="12"/>
  <c r="D31" i="12"/>
  <c r="E32" i="12"/>
  <c r="H35" i="12"/>
  <c r="I35" i="12" s="1"/>
  <c r="J37" i="12"/>
  <c r="A40" i="12"/>
  <c r="C42" i="12"/>
  <c r="D43" i="12"/>
  <c r="E44" i="12"/>
  <c r="H47" i="12"/>
  <c r="I47" i="12" s="1"/>
  <c r="J49" i="12"/>
  <c r="E54" i="12"/>
  <c r="B57" i="12"/>
  <c r="C70" i="12"/>
  <c r="C27" i="11"/>
  <c r="E27" i="11" s="1"/>
  <c r="D6" i="12"/>
  <c r="E7" i="12"/>
  <c r="F8" i="12"/>
  <c r="A15" i="12"/>
  <c r="E19" i="12"/>
  <c r="F20" i="12"/>
  <c r="A27" i="12"/>
  <c r="D30" i="12"/>
  <c r="E31" i="12"/>
  <c r="F32" i="12"/>
  <c r="A39" i="12"/>
  <c r="D42" i="12"/>
  <c r="E43" i="12"/>
  <c r="F44" i="12"/>
  <c r="A51" i="12"/>
  <c r="F54" i="12"/>
  <c r="A58" i="12"/>
  <c r="G58" i="12"/>
  <c r="E58" i="12"/>
  <c r="D58" i="12"/>
  <c r="F70" i="12"/>
  <c r="B25" i="11"/>
  <c r="E6" i="12"/>
  <c r="F7" i="12"/>
  <c r="G8" i="12"/>
  <c r="J11" i="12"/>
  <c r="A14" i="12"/>
  <c r="B15" i="12"/>
  <c r="C16" i="12"/>
  <c r="E18" i="12"/>
  <c r="F19" i="12"/>
  <c r="G20" i="12"/>
  <c r="J23" i="12"/>
  <c r="A26" i="12"/>
  <c r="B27" i="12"/>
  <c r="C28" i="12"/>
  <c r="E30" i="12"/>
  <c r="F31" i="12"/>
  <c r="G32" i="12"/>
  <c r="J35" i="12"/>
  <c r="A38" i="12"/>
  <c r="B39" i="12"/>
  <c r="E42" i="12"/>
  <c r="F43" i="12"/>
  <c r="G44" i="12"/>
  <c r="J47" i="12"/>
  <c r="A50" i="12"/>
  <c r="B51" i="12"/>
  <c r="G54" i="12"/>
  <c r="D55" i="12"/>
  <c r="B55" i="12"/>
  <c r="A55" i="12"/>
  <c r="G57" i="12"/>
  <c r="A59" i="12"/>
  <c r="B66" i="12"/>
  <c r="C25" i="11"/>
  <c r="E25" i="11" s="1"/>
  <c r="F6" i="12"/>
  <c r="G7" i="12"/>
  <c r="H8" i="12"/>
  <c r="A13" i="12"/>
  <c r="B14" i="12"/>
  <c r="C15" i="12"/>
  <c r="G19" i="12"/>
  <c r="H20" i="12"/>
  <c r="A25" i="12"/>
  <c r="B26" i="12"/>
  <c r="C27" i="12"/>
  <c r="F30" i="12"/>
  <c r="G31" i="12"/>
  <c r="H32" i="12"/>
  <c r="I32" i="12" s="1"/>
  <c r="A37" i="12"/>
  <c r="B38" i="12"/>
  <c r="C39" i="12"/>
  <c r="G43" i="12"/>
  <c r="H44" i="12"/>
  <c r="I44" i="12" s="1"/>
  <c r="A49" i="12"/>
  <c r="B50" i="12"/>
  <c r="C51" i="12"/>
  <c r="H54" i="12"/>
  <c r="I54" i="12" s="1"/>
  <c r="F66" i="12"/>
  <c r="B70" i="12"/>
  <c r="A70" i="12"/>
  <c r="H70" i="12"/>
  <c r="I70" i="12" s="1"/>
  <c r="G70" i="12"/>
  <c r="E70" i="12"/>
  <c r="D70" i="12"/>
  <c r="G61" i="10"/>
  <c r="C18" i="11"/>
  <c r="E18" i="11" s="1"/>
  <c r="B23" i="11"/>
  <c r="G6" i="12"/>
  <c r="I6" i="12" s="1"/>
  <c r="H7" i="12"/>
  <c r="J9" i="12"/>
  <c r="A12" i="12"/>
  <c r="B13" i="12"/>
  <c r="C14" i="12"/>
  <c r="D15" i="12"/>
  <c r="E16" i="12"/>
  <c r="G18" i="12"/>
  <c r="I18" i="12" s="1"/>
  <c r="H19" i="12"/>
  <c r="J21" i="12"/>
  <c r="A24" i="12"/>
  <c r="B25" i="12"/>
  <c r="C26" i="12"/>
  <c r="D27" i="12"/>
  <c r="E28" i="12"/>
  <c r="G30" i="12"/>
  <c r="I30" i="12" s="1"/>
  <c r="H31" i="12"/>
  <c r="J33" i="12"/>
  <c r="A36" i="12"/>
  <c r="B37" i="12"/>
  <c r="C38" i="12"/>
  <c r="D39" i="12"/>
  <c r="E40" i="12"/>
  <c r="F41" i="12"/>
  <c r="G42" i="12"/>
  <c r="H43" i="12"/>
  <c r="I43" i="12" s="1"/>
  <c r="J45" i="12"/>
  <c r="A48" i="12"/>
  <c r="B49" i="12"/>
  <c r="C50" i="12"/>
  <c r="D51" i="12"/>
  <c r="D59" i="12"/>
  <c r="G66" i="12"/>
  <c r="J8" i="12"/>
  <c r="A11" i="12"/>
  <c r="B12" i="12"/>
  <c r="C13" i="12"/>
  <c r="D14" i="12"/>
  <c r="E15" i="12"/>
  <c r="F16" i="12"/>
  <c r="J20" i="12"/>
  <c r="A23" i="12"/>
  <c r="B24" i="12"/>
  <c r="C25" i="12"/>
  <c r="D26" i="12"/>
  <c r="E27" i="12"/>
  <c r="F28" i="12"/>
  <c r="J32" i="12"/>
  <c r="A35" i="12"/>
  <c r="B36" i="12"/>
  <c r="C37" i="12"/>
  <c r="D38" i="12"/>
  <c r="E39" i="12"/>
  <c r="F40" i="12"/>
  <c r="J44" i="12"/>
  <c r="A47" i="12"/>
  <c r="B48" i="12"/>
  <c r="C49" i="12"/>
  <c r="D50" i="12"/>
  <c r="E51" i="12"/>
  <c r="G59" i="12"/>
  <c r="H66" i="12"/>
  <c r="I66" i="12" s="1"/>
  <c r="F15" i="12"/>
  <c r="F27" i="12"/>
  <c r="F39" i="12"/>
  <c r="F51" i="12"/>
  <c r="C54" i="12"/>
  <c r="A54" i="12"/>
  <c r="F57" i="12"/>
  <c r="D57" i="12"/>
  <c r="C57" i="12"/>
  <c r="C63" i="12"/>
  <c r="C11" i="12"/>
  <c r="D12" i="12"/>
  <c r="E13" i="12"/>
  <c r="G15" i="12"/>
  <c r="C23" i="12"/>
  <c r="D24" i="12"/>
  <c r="E25" i="12"/>
  <c r="G27" i="12"/>
  <c r="C35" i="12"/>
  <c r="D36" i="12"/>
  <c r="E37" i="12"/>
  <c r="G39" i="12"/>
  <c r="C47" i="12"/>
  <c r="D48" i="12"/>
  <c r="E49" i="12"/>
  <c r="G51" i="12"/>
  <c r="D63" i="12"/>
  <c r="E66" i="12"/>
  <c r="D66" i="12"/>
  <c r="C66" i="12"/>
  <c r="A66" i="12"/>
  <c r="B19" i="11"/>
  <c r="A8" i="12"/>
  <c r="B9" i="12"/>
  <c r="D11" i="12"/>
  <c r="E12" i="12"/>
  <c r="F13" i="12"/>
  <c r="G14" i="12"/>
  <c r="I14" i="12" s="1"/>
  <c r="H15" i="12"/>
  <c r="A20" i="12"/>
  <c r="B21" i="12"/>
  <c r="D23" i="12"/>
  <c r="E24" i="12"/>
  <c r="F25" i="12"/>
  <c r="G26" i="12"/>
  <c r="I26" i="12" s="1"/>
  <c r="H27" i="12"/>
  <c r="A32" i="12"/>
  <c r="D35" i="12"/>
  <c r="E36" i="12"/>
  <c r="F37" i="12"/>
  <c r="G38" i="12"/>
  <c r="H39" i="12"/>
  <c r="I39" i="12" s="1"/>
  <c r="A44" i="12"/>
  <c r="D47" i="12"/>
  <c r="E48" i="12"/>
  <c r="F49" i="12"/>
  <c r="G50" i="12"/>
  <c r="H51" i="12"/>
  <c r="I51" i="12" s="1"/>
  <c r="C58" i="12"/>
  <c r="B59" i="12"/>
  <c r="H59" i="12"/>
  <c r="I59" i="12" s="1"/>
  <c r="F59" i="12"/>
  <c r="E59" i="12"/>
  <c r="E63" i="12"/>
  <c r="F55" i="12"/>
  <c r="F58" i="12"/>
  <c r="G63" i="12"/>
  <c r="B81" i="12"/>
  <c r="C82" i="12"/>
  <c r="B93" i="12"/>
  <c r="C94" i="12"/>
  <c r="A104" i="12"/>
  <c r="B105" i="12"/>
  <c r="C106" i="12"/>
  <c r="D107" i="12"/>
  <c r="H111" i="12"/>
  <c r="I111" i="12" s="1"/>
  <c r="A116" i="12"/>
  <c r="B117" i="12"/>
  <c r="C118" i="12"/>
  <c r="D119" i="12"/>
  <c r="H123" i="12"/>
  <c r="I123" i="12" s="1"/>
  <c r="A128" i="12"/>
  <c r="B129" i="12"/>
  <c r="C130" i="12"/>
  <c r="D131" i="12"/>
  <c r="H135" i="12"/>
  <c r="I135" i="12" s="1"/>
  <c r="A140" i="12"/>
  <c r="B141" i="12"/>
  <c r="C142" i="12"/>
  <c r="D143" i="12"/>
  <c r="H147" i="12"/>
  <c r="I147" i="12" s="1"/>
  <c r="A152" i="12"/>
  <c r="B153" i="12"/>
  <c r="C154" i="12"/>
  <c r="D155" i="12"/>
  <c r="B56" i="12"/>
  <c r="F60" i="12"/>
  <c r="G61" i="12"/>
  <c r="H62" i="12"/>
  <c r="I62" i="12" s="1"/>
  <c r="A67" i="12"/>
  <c r="B68" i="12"/>
  <c r="C69" i="12"/>
  <c r="E71" i="12"/>
  <c r="F72" i="12"/>
  <c r="G73" i="12"/>
  <c r="J76" i="12"/>
  <c r="A79" i="12"/>
  <c r="B80" i="12"/>
  <c r="C81" i="12"/>
  <c r="D82" i="12"/>
  <c r="E83" i="12"/>
  <c r="F84" i="12"/>
  <c r="G85" i="12"/>
  <c r="J88" i="12"/>
  <c r="A91" i="12"/>
  <c r="B92" i="12"/>
  <c r="C93" i="12"/>
  <c r="D94" i="12"/>
  <c r="E95" i="12"/>
  <c r="J100" i="12"/>
  <c r="A103" i="12"/>
  <c r="B104" i="12"/>
  <c r="C105" i="12"/>
  <c r="D106" i="12"/>
  <c r="E107" i="12"/>
  <c r="F108" i="12"/>
  <c r="G109" i="12"/>
  <c r="A115" i="12"/>
  <c r="B116" i="12"/>
  <c r="C117" i="12"/>
  <c r="D118" i="12"/>
  <c r="E119" i="12"/>
  <c r="F120" i="12"/>
  <c r="A127" i="12"/>
  <c r="B128" i="12"/>
  <c r="C129" i="12"/>
  <c r="D130" i="12"/>
  <c r="E131" i="12"/>
  <c r="A139" i="12"/>
  <c r="B140" i="12"/>
  <c r="C141" i="12"/>
  <c r="D142" i="12"/>
  <c r="E143" i="12"/>
  <c r="J148" i="12"/>
  <c r="A151" i="12"/>
  <c r="B152" i="12"/>
  <c r="C153" i="12"/>
  <c r="D154" i="12"/>
  <c r="E155" i="12"/>
  <c r="C56" i="12"/>
  <c r="G60" i="12"/>
  <c r="H61" i="12"/>
  <c r="I61" i="12" s="1"/>
  <c r="B67" i="12"/>
  <c r="C68" i="12"/>
  <c r="D69" i="12"/>
  <c r="F71" i="12"/>
  <c r="G72" i="12"/>
  <c r="J75" i="12"/>
  <c r="A78" i="12"/>
  <c r="B79" i="12"/>
  <c r="C80" i="12"/>
  <c r="D81" i="12"/>
  <c r="E82" i="12"/>
  <c r="F83" i="12"/>
  <c r="J87" i="12"/>
  <c r="A90" i="12"/>
  <c r="B91" i="12"/>
  <c r="C92" i="12"/>
  <c r="D93" i="12"/>
  <c r="E94" i="12"/>
  <c r="F95" i="12"/>
  <c r="J99" i="12"/>
  <c r="A102" i="12"/>
  <c r="B103" i="12"/>
  <c r="C104" i="12"/>
  <c r="D105" i="12"/>
  <c r="E106" i="12"/>
  <c r="F107" i="12"/>
  <c r="G108" i="12"/>
  <c r="H109" i="12"/>
  <c r="I109" i="12" s="1"/>
  <c r="J111" i="12"/>
  <c r="A114" i="12"/>
  <c r="B115" i="12"/>
  <c r="C116" i="12"/>
  <c r="D117" i="12"/>
  <c r="E118" i="12"/>
  <c r="F119" i="12"/>
  <c r="G120" i="12"/>
  <c r="H121" i="12"/>
  <c r="I121" i="12" s="1"/>
  <c r="J123" i="12"/>
  <c r="A126" i="12"/>
  <c r="B127" i="12"/>
  <c r="C128" i="12"/>
  <c r="D129" i="12"/>
  <c r="E130" i="12"/>
  <c r="F131" i="12"/>
  <c r="G132" i="12"/>
  <c r="H133" i="12"/>
  <c r="I133" i="12" s="1"/>
  <c r="J135" i="12"/>
  <c r="A138" i="12"/>
  <c r="B139" i="12"/>
  <c r="C140" i="12"/>
  <c r="D141" i="12"/>
  <c r="E142" i="12"/>
  <c r="F143" i="12"/>
  <c r="J147" i="12"/>
  <c r="A150" i="12"/>
  <c r="B151" i="12"/>
  <c r="C152" i="12"/>
  <c r="D153" i="12"/>
  <c r="E154" i="12"/>
  <c r="F155" i="12"/>
  <c r="B78" i="12"/>
  <c r="C79" i="12"/>
  <c r="D80" i="12"/>
  <c r="E81" i="12"/>
  <c r="F82" i="12"/>
  <c r="G83" i="12"/>
  <c r="A89" i="12"/>
  <c r="B90" i="12"/>
  <c r="C91" i="12"/>
  <c r="D92" i="12"/>
  <c r="E93" i="12"/>
  <c r="F94" i="12"/>
  <c r="G95" i="12"/>
  <c r="A101" i="12"/>
  <c r="B102" i="12"/>
  <c r="C103" i="12"/>
  <c r="D104" i="12"/>
  <c r="E105" i="12"/>
  <c r="F106" i="12"/>
  <c r="G107" i="12"/>
  <c r="A113" i="12"/>
  <c r="B114" i="12"/>
  <c r="C115" i="12"/>
  <c r="E117" i="12"/>
  <c r="F118" i="12"/>
  <c r="G119" i="12"/>
  <c r="A125" i="12"/>
  <c r="B126" i="12"/>
  <c r="C127" i="12"/>
  <c r="D128" i="12"/>
  <c r="E129" i="12"/>
  <c r="F130" i="12"/>
  <c r="G131" i="12"/>
  <c r="A137" i="12"/>
  <c r="B138" i="12"/>
  <c r="C139" i="12"/>
  <c r="D140" i="12"/>
  <c r="E141" i="12"/>
  <c r="F142" i="12"/>
  <c r="G143" i="12"/>
  <c r="A149" i="12"/>
  <c r="B150" i="12"/>
  <c r="C151" i="12"/>
  <c r="D152" i="12"/>
  <c r="E153" i="12"/>
  <c r="F154" i="12"/>
  <c r="G155" i="12"/>
  <c r="J61" i="12"/>
  <c r="A64" i="12"/>
  <c r="B65" i="12"/>
  <c r="D67" i="12"/>
  <c r="E68" i="12"/>
  <c r="F69" i="12"/>
  <c r="H71" i="12"/>
  <c r="I71" i="12" s="1"/>
  <c r="J73" i="12"/>
  <c r="A76" i="12"/>
  <c r="B77" i="12"/>
  <c r="C78" i="12"/>
  <c r="D79" i="12"/>
  <c r="E80" i="12"/>
  <c r="F81" i="12"/>
  <c r="G82" i="12"/>
  <c r="H83" i="12"/>
  <c r="I83" i="12" s="1"/>
  <c r="A88" i="12"/>
  <c r="B89" i="12"/>
  <c r="C90" i="12"/>
  <c r="D91" i="12"/>
  <c r="E92" i="12"/>
  <c r="F93" i="12"/>
  <c r="G94" i="12"/>
  <c r="H95" i="12"/>
  <c r="I95" i="12" s="1"/>
  <c r="J97" i="12"/>
  <c r="A100" i="12"/>
  <c r="B101" i="12"/>
  <c r="C102" i="12"/>
  <c r="D103" i="12"/>
  <c r="E104" i="12"/>
  <c r="F105" i="12"/>
  <c r="G106" i="12"/>
  <c r="H107" i="12"/>
  <c r="I107" i="12" s="1"/>
  <c r="J109" i="12"/>
  <c r="A112" i="12"/>
  <c r="B113" i="12"/>
  <c r="C114" i="12"/>
  <c r="D115" i="12"/>
  <c r="E116" i="12"/>
  <c r="F117" i="12"/>
  <c r="G118" i="12"/>
  <c r="H119" i="12"/>
  <c r="I119" i="12" s="1"/>
  <c r="J121" i="12"/>
  <c r="A124" i="12"/>
  <c r="B125" i="12"/>
  <c r="C126" i="12"/>
  <c r="D127" i="12"/>
  <c r="E128" i="12"/>
  <c r="F129" i="12"/>
  <c r="G130" i="12"/>
  <c r="H131" i="12"/>
  <c r="I131" i="12" s="1"/>
  <c r="A136" i="12"/>
  <c r="B137" i="12"/>
  <c r="C138" i="12"/>
  <c r="D139" i="12"/>
  <c r="E140" i="12"/>
  <c r="F141" i="12"/>
  <c r="G142" i="12"/>
  <c r="H143" i="12"/>
  <c r="I143" i="12" s="1"/>
  <c r="J145" i="12"/>
  <c r="A148" i="12"/>
  <c r="B149" i="12"/>
  <c r="C150" i="12"/>
  <c r="D151" i="12"/>
  <c r="E152" i="12"/>
  <c r="F153" i="12"/>
  <c r="G154" i="12"/>
  <c r="H155" i="12"/>
  <c r="I155" i="12" s="1"/>
  <c r="B64" i="12"/>
  <c r="C65" i="12"/>
  <c r="E67" i="12"/>
  <c r="F68" i="12"/>
  <c r="G69" i="12"/>
  <c r="J72" i="12"/>
  <c r="A75" i="12"/>
  <c r="B76" i="12"/>
  <c r="C77" i="12"/>
  <c r="D78" i="12"/>
  <c r="E79" i="12"/>
  <c r="F80" i="12"/>
  <c r="G81" i="12"/>
  <c r="H82" i="12"/>
  <c r="I82" i="12" s="1"/>
  <c r="A87" i="12"/>
  <c r="B88" i="12"/>
  <c r="C89" i="12"/>
  <c r="D90" i="12"/>
  <c r="E91" i="12"/>
  <c r="F92" i="12"/>
  <c r="G93" i="12"/>
  <c r="H94" i="12"/>
  <c r="I94" i="12" s="1"/>
  <c r="J96" i="12"/>
  <c r="A99" i="12"/>
  <c r="B100" i="12"/>
  <c r="C101" i="12"/>
  <c r="D102" i="12"/>
  <c r="E103" i="12"/>
  <c r="F104" i="12"/>
  <c r="G105" i="12"/>
  <c r="H106" i="12"/>
  <c r="I106" i="12" s="1"/>
  <c r="J108" i="12"/>
  <c r="A111" i="12"/>
  <c r="B112" i="12"/>
  <c r="C113" i="12"/>
  <c r="D114" i="12"/>
  <c r="E115" i="12"/>
  <c r="F116" i="12"/>
  <c r="G117" i="12"/>
  <c r="H118" i="12"/>
  <c r="I118" i="12" s="1"/>
  <c r="J120" i="12"/>
  <c r="A123" i="12"/>
  <c r="B124" i="12"/>
  <c r="C125" i="12"/>
  <c r="D126" i="12"/>
  <c r="E127" i="12"/>
  <c r="F128" i="12"/>
  <c r="G129" i="12"/>
  <c r="H130" i="12"/>
  <c r="I130" i="12" s="1"/>
  <c r="J132" i="12"/>
  <c r="A135" i="12"/>
  <c r="B136" i="12"/>
  <c r="C137" i="12"/>
  <c r="D138" i="12"/>
  <c r="E139" i="12"/>
  <c r="F140" i="12"/>
  <c r="G141" i="12"/>
  <c r="H142" i="12"/>
  <c r="I142" i="12" s="1"/>
  <c r="A147" i="12"/>
  <c r="B148" i="12"/>
  <c r="C149" i="12"/>
  <c r="D150" i="12"/>
  <c r="E151" i="12"/>
  <c r="F152" i="12"/>
  <c r="G153" i="12"/>
  <c r="H154" i="12"/>
  <c r="I154" i="12" s="1"/>
  <c r="A62" i="12"/>
  <c r="C64" i="12"/>
  <c r="D65" i="12"/>
  <c r="F67" i="12"/>
  <c r="H69" i="12"/>
  <c r="I69" i="12" s="1"/>
  <c r="J71" i="12"/>
  <c r="B75" i="12"/>
  <c r="C76" i="12"/>
  <c r="E78" i="12"/>
  <c r="F79" i="12"/>
  <c r="H81" i="12"/>
  <c r="I81" i="12" s="1"/>
  <c r="J83" i="12"/>
  <c r="B87" i="12"/>
  <c r="C88" i="12"/>
  <c r="E90" i="12"/>
  <c r="F91" i="12"/>
  <c r="H93" i="12"/>
  <c r="I93" i="12" s="1"/>
  <c r="J95" i="12"/>
  <c r="B99" i="12"/>
  <c r="C100" i="12"/>
  <c r="D101" i="12"/>
  <c r="E102" i="12"/>
  <c r="F103" i="12"/>
  <c r="G104" i="12"/>
  <c r="H105" i="12"/>
  <c r="I105" i="12" s="1"/>
  <c r="J107" i="12"/>
  <c r="B111" i="12"/>
  <c r="D113" i="12"/>
  <c r="E114" i="12"/>
  <c r="F115" i="12"/>
  <c r="H117" i="12"/>
  <c r="I117" i="12" s="1"/>
  <c r="J119" i="12"/>
  <c r="A122" i="12"/>
  <c r="B123" i="12"/>
  <c r="C124" i="12"/>
  <c r="D125" i="12"/>
  <c r="E126" i="12"/>
  <c r="F127" i="12"/>
  <c r="G128" i="12"/>
  <c r="H129" i="12"/>
  <c r="I129" i="12" s="1"/>
  <c r="J131" i="12"/>
  <c r="A134" i="12"/>
  <c r="B135" i="12"/>
  <c r="C136" i="12"/>
  <c r="D137" i="12"/>
  <c r="E138" i="12"/>
  <c r="F139" i="12"/>
  <c r="G140" i="12"/>
  <c r="H141" i="12"/>
  <c r="I141" i="12" s="1"/>
  <c r="J143" i="12"/>
  <c r="A146" i="12"/>
  <c r="B147" i="12"/>
  <c r="C148" i="12"/>
  <c r="D149" i="12"/>
  <c r="E150" i="12"/>
  <c r="G152" i="12"/>
  <c r="H153" i="12"/>
  <c r="I153" i="12" s="1"/>
  <c r="J155" i="12"/>
  <c r="C75" i="12"/>
  <c r="D76" i="12"/>
  <c r="F78" i="12"/>
  <c r="G79" i="12"/>
  <c r="J82" i="12"/>
  <c r="C87" i="12"/>
  <c r="D88" i="12"/>
  <c r="F90" i="12"/>
  <c r="G91" i="12"/>
  <c r="J94" i="12"/>
  <c r="C99" i="12"/>
  <c r="D100" i="12"/>
  <c r="F102" i="12"/>
  <c r="G103" i="12"/>
  <c r="H104" i="12"/>
  <c r="I104" i="12" s="1"/>
  <c r="J106" i="12"/>
  <c r="C111" i="12"/>
  <c r="F114" i="12"/>
  <c r="G115" i="12"/>
  <c r="J118" i="12"/>
  <c r="C123" i="12"/>
  <c r="F126" i="12"/>
  <c r="J130" i="12"/>
  <c r="C135" i="12"/>
  <c r="E137" i="12"/>
  <c r="F138" i="12"/>
  <c r="J142" i="12"/>
  <c r="C147" i="12"/>
  <c r="F150" i="12"/>
  <c r="J154" i="12"/>
  <c r="G90" i="12"/>
  <c r="H91" i="12"/>
  <c r="I91" i="12" s="1"/>
  <c r="D99" i="12"/>
  <c r="G102" i="12"/>
  <c r="H103" i="12"/>
  <c r="I103" i="12" s="1"/>
  <c r="D111" i="12"/>
  <c r="D123" i="12"/>
  <c r="G126" i="12"/>
  <c r="D135" i="12"/>
  <c r="G138" i="12"/>
  <c r="D147" i="12"/>
  <c r="A71" i="12"/>
  <c r="B72" i="12"/>
  <c r="E75" i="12"/>
  <c r="H78" i="12"/>
  <c r="I78" i="12" s="1"/>
  <c r="A83" i="12"/>
  <c r="E87" i="12"/>
  <c r="H90" i="12"/>
  <c r="I90" i="12" s="1"/>
  <c r="A95" i="12"/>
  <c r="E99" i="12"/>
  <c r="F100" i="12"/>
  <c r="H102" i="12"/>
  <c r="I102" i="12" s="1"/>
  <c r="A107" i="12"/>
  <c r="B108" i="12"/>
  <c r="C109" i="12"/>
  <c r="E111" i="12"/>
  <c r="H114" i="12"/>
  <c r="I114" i="12" s="1"/>
  <c r="A119" i="12"/>
  <c r="B120" i="12"/>
  <c r="C121" i="12"/>
  <c r="E123" i="12"/>
  <c r="G125" i="12"/>
  <c r="H126" i="12"/>
  <c r="I126" i="12" s="1"/>
  <c r="A131" i="12"/>
  <c r="B132" i="12"/>
  <c r="C133" i="12"/>
  <c r="D134" i="12"/>
  <c r="E135" i="12"/>
  <c r="G137" i="12"/>
  <c r="H138" i="12"/>
  <c r="I138" i="12" s="1"/>
  <c r="A143" i="12"/>
  <c r="B144" i="12"/>
  <c r="C145" i="12"/>
  <c r="D146" i="12"/>
  <c r="E147" i="12"/>
  <c r="F148" i="12"/>
  <c r="G149" i="12"/>
  <c r="H150" i="12"/>
  <c r="I150" i="12" s="1"/>
  <c r="A155" i="12"/>
  <c r="B71" i="12"/>
  <c r="F75" i="12"/>
  <c r="A82" i="12"/>
  <c r="B83" i="12"/>
  <c r="A94" i="12"/>
  <c r="B95" i="12"/>
  <c r="A106" i="12"/>
  <c r="B107" i="12"/>
  <c r="F111" i="12"/>
  <c r="A118" i="12"/>
  <c r="B119" i="12"/>
  <c r="C120" i="12"/>
  <c r="D121" i="12"/>
  <c r="F123" i="12"/>
  <c r="H125" i="12"/>
  <c r="I125" i="12" s="1"/>
  <c r="A130" i="12"/>
  <c r="B131" i="12"/>
  <c r="C132" i="12"/>
  <c r="D133" i="12"/>
  <c r="E134" i="12"/>
  <c r="F135" i="12"/>
  <c r="H137" i="12"/>
  <c r="I137" i="12" s="1"/>
  <c r="A142" i="12"/>
  <c r="B143" i="12"/>
  <c r="C144" i="12"/>
  <c r="D145" i="12"/>
  <c r="E146" i="12"/>
  <c r="F147" i="12"/>
  <c r="G148" i="12"/>
  <c r="H149" i="12"/>
  <c r="I149" i="12" s="1"/>
  <c r="A154" i="12"/>
  <c r="B155" i="12"/>
  <c r="K21" i="2" l="1"/>
  <c r="K26" i="2"/>
  <c r="P17" i="10"/>
  <c r="R17" i="10"/>
  <c r="Q17" i="10"/>
  <c r="N17" i="10"/>
  <c r="B23" i="14"/>
  <c r="M16" i="10"/>
  <c r="G4" i="9"/>
  <c r="E26" i="11"/>
  <c r="K16" i="4"/>
  <c r="I31" i="12"/>
  <c r="I29" i="12"/>
  <c r="I28" i="12"/>
  <c r="I27" i="12"/>
  <c r="I24" i="12"/>
  <c r="I23" i="12"/>
  <c r="Q22" i="4"/>
  <c r="S22" i="4" s="1"/>
  <c r="L22" i="4"/>
  <c r="AA22" i="4"/>
  <c r="T22" i="2" s="1"/>
  <c r="Y17" i="4"/>
  <c r="I19" i="12"/>
  <c r="V22" i="4"/>
  <c r="L17" i="4"/>
  <c r="I22" i="12"/>
  <c r="U22" i="4"/>
  <c r="U17" i="4"/>
  <c r="X17" i="4"/>
  <c r="W17" i="4"/>
  <c r="AA17" i="4"/>
  <c r="AB17" i="4" s="1"/>
  <c r="Z17" i="4"/>
  <c r="I21" i="12"/>
  <c r="Y22" i="4"/>
  <c r="V17" i="4"/>
  <c r="Y21" i="4"/>
  <c r="Z21" i="4"/>
  <c r="I20" i="12"/>
  <c r="AA21" i="4"/>
  <c r="T21" i="2" s="1"/>
  <c r="W22" i="4"/>
  <c r="V21" i="4"/>
  <c r="I12" i="12"/>
  <c r="I10" i="12"/>
  <c r="I15" i="12"/>
  <c r="I8" i="12"/>
  <c r="Z22" i="4"/>
  <c r="K23" i="4"/>
  <c r="Z23" i="4" s="1"/>
  <c r="L21" i="4"/>
  <c r="Q21" i="4"/>
  <c r="S21" i="4" s="1"/>
  <c r="U21" i="4"/>
  <c r="I11" i="12"/>
  <c r="W21" i="4"/>
  <c r="I16" i="12"/>
  <c r="I7" i="12"/>
  <c r="I17" i="12"/>
  <c r="I9" i="12"/>
  <c r="AK24" i="5"/>
  <c r="AB24" i="5"/>
  <c r="AJ24" i="5"/>
  <c r="AH24" i="5"/>
  <c r="N24" i="5"/>
  <c r="P24" i="5" s="1"/>
  <c r="AN24" i="5"/>
  <c r="AJ21" i="5"/>
  <c r="AO24" i="5"/>
  <c r="AM24" i="5"/>
  <c r="U24" i="5"/>
  <c r="AL24" i="5"/>
  <c r="AP24" i="5"/>
  <c r="AA24" i="5"/>
  <c r="W24" i="5"/>
  <c r="AQ24" i="5"/>
  <c r="AE24" i="5"/>
  <c r="AO21" i="5"/>
  <c r="X24" i="5"/>
  <c r="O24" i="5"/>
  <c r="AB21" i="5"/>
  <c r="AC24" i="5"/>
  <c r="AF24" i="5"/>
  <c r="V21" i="5"/>
  <c r="AM21" i="5"/>
  <c r="V24" i="5"/>
  <c r="AG24" i="5"/>
  <c r="Y24" i="5"/>
  <c r="AI24" i="5"/>
  <c r="Z24" i="5"/>
  <c r="S24" i="5"/>
  <c r="T24" i="5"/>
  <c r="O17" i="5"/>
  <c r="AM19" i="5"/>
  <c r="AG19" i="5"/>
  <c r="T19" i="5"/>
  <c r="AQ19" i="5"/>
  <c r="N19" i="5"/>
  <c r="P19" i="5" s="1"/>
  <c r="V19" i="5"/>
  <c r="W19" i="5"/>
  <c r="AI19" i="5"/>
  <c r="Z19" i="5"/>
  <c r="AA19" i="5"/>
  <c r="U19" i="5"/>
  <c r="AJ19" i="5"/>
  <c r="AB19" i="5"/>
  <c r="AP19" i="5"/>
  <c r="O19" i="5"/>
  <c r="X19" i="5"/>
  <c r="S19" i="5"/>
  <c r="AD19" i="5"/>
  <c r="AE19" i="5"/>
  <c r="AL19" i="5"/>
  <c r="AH19" i="5"/>
  <c r="AC19" i="5"/>
  <c r="AO19" i="5"/>
  <c r="Y19" i="5"/>
  <c r="AF19" i="5"/>
  <c r="AK19" i="5"/>
  <c r="W21" i="5"/>
  <c r="AL19" i="8"/>
  <c r="N21" i="5"/>
  <c r="P21" i="5" s="1"/>
  <c r="AI21" i="5"/>
  <c r="AN21" i="5"/>
  <c r="AA21" i="5"/>
  <c r="AH21" i="5"/>
  <c r="AE21" i="5"/>
  <c r="AQ21" i="5"/>
  <c r="Y10" i="4"/>
  <c r="AL12" i="8"/>
  <c r="AD21" i="5"/>
  <c r="X21" i="5"/>
  <c r="AD8" i="5"/>
  <c r="AC21" i="5"/>
  <c r="Z21" i="5"/>
  <c r="AQ8" i="5"/>
  <c r="AP21" i="5"/>
  <c r="X7" i="4"/>
  <c r="F8" i="4"/>
  <c r="X8" i="4" s="1"/>
  <c r="W8" i="5"/>
  <c r="L10" i="4"/>
  <c r="U10" i="4"/>
  <c r="AA8" i="5"/>
  <c r="U21" i="5"/>
  <c r="Q15" i="4"/>
  <c r="AG8" i="5"/>
  <c r="AI8" i="5"/>
  <c r="AF21" i="5"/>
  <c r="T21" i="5"/>
  <c r="S21" i="5"/>
  <c r="AG21" i="5"/>
  <c r="AK21" i="5"/>
  <c r="O21" i="5"/>
  <c r="AL21" i="5"/>
  <c r="AN8" i="5"/>
  <c r="Z10" i="4"/>
  <c r="Q10" i="4"/>
  <c r="M14" i="5"/>
  <c r="AJ14" i="5" s="1"/>
  <c r="N8" i="5"/>
  <c r="P8" i="5" s="1"/>
  <c r="M13" i="5"/>
  <c r="AN13" i="5" s="1"/>
  <c r="X9" i="5"/>
  <c r="AK9" i="5"/>
  <c r="AA9" i="5"/>
  <c r="AD9" i="5"/>
  <c r="AQ9" i="5"/>
  <c r="AO9" i="5"/>
  <c r="S9" i="5"/>
  <c r="U9" i="5"/>
  <c r="AF9" i="5"/>
  <c r="T9" i="5"/>
  <c r="Z20" i="4"/>
  <c r="U20" i="4"/>
  <c r="AJ9" i="5"/>
  <c r="AB9" i="5"/>
  <c r="AG9" i="5"/>
  <c r="W9" i="5"/>
  <c r="AI9" i="5"/>
  <c r="Y15" i="4"/>
  <c r="F5" i="4"/>
  <c r="V15" i="4"/>
  <c r="X15" i="4"/>
  <c r="Z15" i="4"/>
  <c r="W15" i="4"/>
  <c r="N9" i="5"/>
  <c r="P9" i="5" s="1"/>
  <c r="AN9" i="5"/>
  <c r="F13" i="4"/>
  <c r="U15" i="4"/>
  <c r="F24" i="4"/>
  <c r="Q7" i="4"/>
  <c r="Y7" i="4"/>
  <c r="M7" i="5"/>
  <c r="AL7" i="5" s="1"/>
  <c r="AL14" i="8"/>
  <c r="K9" i="4"/>
  <c r="Y9" i="4" s="1"/>
  <c r="K6" i="4"/>
  <c r="V6" i="4" s="1"/>
  <c r="O8" i="5"/>
  <c r="AE8" i="5" s="1"/>
  <c r="M16" i="4"/>
  <c r="V16" i="4"/>
  <c r="Q16" i="4"/>
  <c r="L16" i="4"/>
  <c r="Z16" i="4"/>
  <c r="X16" i="4"/>
  <c r="U16" i="4"/>
  <c r="Y16" i="4"/>
  <c r="W16" i="4"/>
  <c r="M16" i="5"/>
  <c r="V16" i="5" s="1"/>
  <c r="AG14" i="6"/>
  <c r="AL18" i="8"/>
  <c r="T14" i="3"/>
  <c r="AE14" i="6"/>
  <c r="AJ8" i="5"/>
  <c r="AF14" i="6"/>
  <c r="AI14" i="6"/>
  <c r="AJ14" i="6" s="1"/>
  <c r="K27" i="2"/>
  <c r="V9" i="5"/>
  <c r="AM9" i="5"/>
  <c r="AC8" i="5"/>
  <c r="Y8" i="5"/>
  <c r="N14" i="4"/>
  <c r="P14" i="4" s="1"/>
  <c r="Y9" i="5"/>
  <c r="AF12" i="6"/>
  <c r="K11" i="4"/>
  <c r="Y11" i="4" s="1"/>
  <c r="AP9" i="5"/>
  <c r="F11" i="4"/>
  <c r="AK8" i="5"/>
  <c r="AC9" i="5"/>
  <c r="F10" i="4"/>
  <c r="X10" i="4" s="1"/>
  <c r="Z9" i="5"/>
  <c r="F9" i="4"/>
  <c r="AF8" i="5"/>
  <c r="AL9" i="5"/>
  <c r="S8" i="5"/>
  <c r="O9" i="5"/>
  <c r="AE9" i="5" s="1"/>
  <c r="Z8" i="5"/>
  <c r="AL13" i="8"/>
  <c r="W8" i="4"/>
  <c r="Y8" i="4"/>
  <c r="V8" i="4"/>
  <c r="Q8" i="4"/>
  <c r="L8" i="4"/>
  <c r="Z8" i="4"/>
  <c r="X8" i="5"/>
  <c r="V8" i="5"/>
  <c r="AO8" i="5"/>
  <c r="T8" i="5"/>
  <c r="AP8" i="5"/>
  <c r="U8" i="5"/>
  <c r="AM8" i="5"/>
  <c r="AB8" i="5"/>
  <c r="AL8" i="5"/>
  <c r="Z7" i="4"/>
  <c r="U7" i="4"/>
  <c r="V7" i="4"/>
  <c r="W7" i="4"/>
  <c r="L7" i="4"/>
  <c r="AL11" i="8"/>
  <c r="T7" i="3"/>
  <c r="N6" i="4"/>
  <c r="M6" i="4"/>
  <c r="DP6" i="2"/>
  <c r="M6" i="5"/>
  <c r="AH6" i="5" s="1"/>
  <c r="AL10" i="8"/>
  <c r="P6" i="4"/>
  <c r="AL9" i="8"/>
  <c r="T5" i="3"/>
  <c r="J5" i="9"/>
  <c r="I5" i="9"/>
  <c r="H5" i="9"/>
  <c r="M5" i="5"/>
  <c r="N9" i="4"/>
  <c r="P9" i="4" s="1"/>
  <c r="K5" i="4"/>
  <c r="Y5" i="4" s="1"/>
  <c r="K12" i="10"/>
  <c r="K37" i="10"/>
  <c r="K39" i="10"/>
  <c r="K15" i="10"/>
  <c r="K66" i="10"/>
  <c r="K43" i="10"/>
  <c r="K40" i="10"/>
  <c r="K45" i="10"/>
  <c r="K44" i="10"/>
  <c r="K52" i="10"/>
  <c r="K60" i="10"/>
  <c r="K55" i="10"/>
  <c r="K21" i="10"/>
  <c r="K33" i="10"/>
  <c r="K16" i="10"/>
  <c r="K54" i="10"/>
  <c r="K11" i="10"/>
  <c r="K10" i="10"/>
  <c r="K61" i="10"/>
  <c r="K42" i="10"/>
  <c r="K31" i="10"/>
  <c r="K32" i="10"/>
  <c r="K58" i="10"/>
  <c r="K62" i="10"/>
  <c r="K35" i="10"/>
  <c r="K13" i="10"/>
  <c r="K8" i="10"/>
  <c r="K46" i="10"/>
  <c r="K51" i="10"/>
  <c r="K24" i="10"/>
  <c r="K9" i="10"/>
  <c r="K47" i="10"/>
  <c r="K59" i="10"/>
  <c r="K57" i="10"/>
  <c r="K26" i="10"/>
  <c r="K64" i="10"/>
  <c r="K34" i="10"/>
  <c r="K50" i="10"/>
  <c r="K17" i="10"/>
  <c r="K20" i="10"/>
  <c r="K25" i="10"/>
  <c r="K29" i="10"/>
  <c r="K27" i="10"/>
  <c r="K48" i="10"/>
  <c r="W14" i="4"/>
  <c r="AB20" i="4"/>
  <c r="T20" i="2"/>
  <c r="K12" i="4"/>
  <c r="K28" i="10"/>
  <c r="W10" i="4"/>
  <c r="Q18" i="4"/>
  <c r="W18" i="4"/>
  <c r="L18" i="4"/>
  <c r="Z18" i="4"/>
  <c r="AA18" i="4"/>
  <c r="Y18" i="4"/>
  <c r="X18" i="4"/>
  <c r="H23" i="9"/>
  <c r="I23" i="9"/>
  <c r="G23" i="9"/>
  <c r="J23" i="9"/>
  <c r="V18" i="4"/>
  <c r="V20" i="4"/>
  <c r="Q20" i="4"/>
  <c r="L20" i="4"/>
  <c r="X20" i="4"/>
  <c r="W20" i="4"/>
  <c r="N12" i="4"/>
  <c r="S17" i="4"/>
  <c r="R17" i="4"/>
  <c r="N11" i="4"/>
  <c r="P11" i="4" s="1"/>
  <c r="AG15" i="5"/>
  <c r="U15" i="5"/>
  <c r="AN15" i="5"/>
  <c r="AA15" i="5"/>
  <c r="AP15" i="5"/>
  <c r="AB15" i="5"/>
  <c r="AJ15" i="5"/>
  <c r="T15" i="5"/>
  <c r="AI15" i="5"/>
  <c r="S15" i="5"/>
  <c r="AF15" i="5"/>
  <c r="AH15" i="5"/>
  <c r="AC15" i="5"/>
  <c r="AM15" i="5"/>
  <c r="N15" i="5"/>
  <c r="P15" i="5" s="1"/>
  <c r="AD15" i="5"/>
  <c r="Z15" i="5"/>
  <c r="Y15" i="5"/>
  <c r="W15" i="5"/>
  <c r="AQ15" i="5"/>
  <c r="AL15" i="5"/>
  <c r="AK15" i="5"/>
  <c r="V15" i="5"/>
  <c r="AO15" i="5"/>
  <c r="X15" i="5"/>
  <c r="O15" i="5"/>
  <c r="AE15" i="5" s="1"/>
  <c r="AF5" i="6"/>
  <c r="AH5" i="6"/>
  <c r="AG5" i="6"/>
  <c r="AE5" i="6"/>
  <c r="AI5" i="6"/>
  <c r="B16" i="9"/>
  <c r="K29" i="2"/>
  <c r="AL20" i="8"/>
  <c r="U18" i="4"/>
  <c r="K24" i="4"/>
  <c r="CL13" i="4"/>
  <c r="K18" i="2"/>
  <c r="H8" i="9"/>
  <c r="J8" i="9"/>
  <c r="I8" i="9"/>
  <c r="G8" i="9"/>
  <c r="AI17" i="6"/>
  <c r="AH17" i="6"/>
  <c r="AG17" i="6"/>
  <c r="AE17" i="6"/>
  <c r="AJ17" i="6"/>
  <c r="AF17" i="6"/>
  <c r="K65" i="10"/>
  <c r="K19" i="10"/>
  <c r="AG9" i="6"/>
  <c r="AH9" i="6"/>
  <c r="AI9" i="6"/>
  <c r="AJ9" i="6" s="1"/>
  <c r="AE9" i="6"/>
  <c r="AF9" i="6"/>
  <c r="AP12" i="5"/>
  <c r="AD12" i="5"/>
  <c r="AO12" i="5"/>
  <c r="AB12" i="5"/>
  <c r="N12" i="5"/>
  <c r="P12" i="5" s="1"/>
  <c r="AI12" i="5"/>
  <c r="U12" i="5"/>
  <c r="AH12" i="5"/>
  <c r="T12" i="5"/>
  <c r="AF12" i="5"/>
  <c r="X12" i="5"/>
  <c r="AM12" i="5"/>
  <c r="S12" i="5"/>
  <c r="AG12" i="5"/>
  <c r="AA12" i="5"/>
  <c r="Z12" i="5"/>
  <c r="Y12" i="5"/>
  <c r="W12" i="5"/>
  <c r="AQ12" i="5"/>
  <c r="O12" i="5"/>
  <c r="AJ12" i="5" s="1"/>
  <c r="AN12" i="5"/>
  <c r="AL12" i="5"/>
  <c r="AK12" i="5"/>
  <c r="AE12" i="5"/>
  <c r="AC12" i="5"/>
  <c r="V12" i="5"/>
  <c r="AH6" i="6"/>
  <c r="AG6" i="6"/>
  <c r="AE6" i="6"/>
  <c r="AF6" i="6"/>
  <c r="AI6" i="6"/>
  <c r="AJ6" i="6" s="1"/>
  <c r="AF21" i="6"/>
  <c r="AJ21" i="6"/>
  <c r="AH21" i="6"/>
  <c r="AG21" i="6"/>
  <c r="AE21" i="6"/>
  <c r="AI21" i="6"/>
  <c r="H20" i="9"/>
  <c r="J20" i="9"/>
  <c r="I20" i="9"/>
  <c r="G20" i="9"/>
  <c r="K13" i="4"/>
  <c r="H22" i="9"/>
  <c r="J22" i="9"/>
  <c r="I22" i="9"/>
  <c r="G22" i="9"/>
  <c r="K38" i="10"/>
  <c r="K23" i="10"/>
  <c r="M11" i="5"/>
  <c r="M10" i="5"/>
  <c r="K7" i="10"/>
  <c r="M20" i="5"/>
  <c r="A1" i="22"/>
  <c r="A1" i="21"/>
  <c r="A1" i="19"/>
  <c r="A1" i="20"/>
  <c r="A1" i="18"/>
  <c r="A1" i="17"/>
  <c r="A1" i="15"/>
  <c r="A1" i="13"/>
  <c r="A1" i="14"/>
  <c r="A1" i="16"/>
  <c r="A1" i="12"/>
  <c r="A1" i="11"/>
  <c r="A1" i="10"/>
  <c r="A1" i="9"/>
  <c r="A1" i="8"/>
  <c r="A1" i="7"/>
  <c r="A1" i="5"/>
  <c r="A1" i="6"/>
  <c r="A1" i="2"/>
  <c r="A1" i="1"/>
  <c r="A1" i="3"/>
  <c r="A1" i="4"/>
  <c r="N16" i="4"/>
  <c r="P16" i="4" s="1"/>
  <c r="F23" i="4"/>
  <c r="F19" i="4"/>
  <c r="K19" i="2"/>
  <c r="J15" i="9"/>
  <c r="I15" i="9"/>
  <c r="H15" i="9"/>
  <c r="G15" i="9"/>
  <c r="AE13" i="6"/>
  <c r="AH13" i="6"/>
  <c r="AG13" i="6"/>
  <c r="AI13" i="6"/>
  <c r="AJ13" i="6" s="1"/>
  <c r="AF13" i="6"/>
  <c r="B10" i="9"/>
  <c r="K23" i="2"/>
  <c r="K53" i="10"/>
  <c r="K41" i="10"/>
  <c r="K18" i="10"/>
  <c r="K36" i="10"/>
  <c r="K30" i="10"/>
  <c r="K14" i="10"/>
  <c r="H6" i="9"/>
  <c r="I6" i="9"/>
  <c r="G6" i="9"/>
  <c r="J6" i="9"/>
  <c r="J11" i="9"/>
  <c r="I11" i="9"/>
  <c r="H11" i="9"/>
  <c r="G11" i="9"/>
  <c r="AK20" i="8"/>
  <c r="F22" i="4"/>
  <c r="CL12" i="4"/>
  <c r="N5" i="4"/>
  <c r="N13" i="4"/>
  <c r="AO23" i="5"/>
  <c r="AC23" i="5"/>
  <c r="AI23" i="5"/>
  <c r="V23" i="5"/>
  <c r="AG23" i="5"/>
  <c r="S23" i="5"/>
  <c r="AK23" i="5"/>
  <c r="U23" i="5"/>
  <c r="AJ23" i="5"/>
  <c r="T23" i="5"/>
  <c r="AF23" i="5"/>
  <c r="O23" i="5"/>
  <c r="AP23" i="5"/>
  <c r="W23" i="5"/>
  <c r="AL23" i="5"/>
  <c r="AB23" i="5"/>
  <c r="Y23" i="5"/>
  <c r="X23" i="5"/>
  <c r="AQ23" i="5"/>
  <c r="N23" i="5"/>
  <c r="P23" i="5" s="1"/>
  <c r="AM23" i="5"/>
  <c r="AE23" i="5"/>
  <c r="AD23" i="5"/>
  <c r="AA23" i="5"/>
  <c r="Z23" i="5"/>
  <c r="AN23" i="5"/>
  <c r="AH23" i="5"/>
  <c r="G10" i="9"/>
  <c r="I10" i="9"/>
  <c r="J10" i="9"/>
  <c r="H10" i="9"/>
  <c r="AN22" i="5"/>
  <c r="AB22" i="5"/>
  <c r="O22" i="5"/>
  <c r="AE22" i="5"/>
  <c r="AM22" i="5"/>
  <c r="Y22" i="5"/>
  <c r="AO22" i="5"/>
  <c r="X22" i="5"/>
  <c r="AL22" i="5"/>
  <c r="W22" i="5"/>
  <c r="AJ22" i="5"/>
  <c r="U22" i="5"/>
  <c r="AH22" i="5"/>
  <c r="AD22" i="5"/>
  <c r="AP22" i="5"/>
  <c r="N22" i="5"/>
  <c r="P22" i="5" s="1"/>
  <c r="AG22" i="5"/>
  <c r="AF22" i="5"/>
  <c r="AC22" i="5"/>
  <c r="AA22" i="5"/>
  <c r="V22" i="5"/>
  <c r="S22" i="5"/>
  <c r="AQ22" i="5"/>
  <c r="AI22" i="5"/>
  <c r="AK22" i="5"/>
  <c r="Z22" i="5"/>
  <c r="T22" i="5"/>
  <c r="J16" i="9"/>
  <c r="I16" i="9"/>
  <c r="H16" i="9"/>
  <c r="G16" i="9"/>
  <c r="F12" i="4"/>
  <c r="O13" i="4"/>
  <c r="F6" i="4"/>
  <c r="K24" i="2"/>
  <c r="AJ18" i="5"/>
  <c r="X18" i="5"/>
  <c r="AN18" i="5"/>
  <c r="AA18" i="5"/>
  <c r="AK18" i="5"/>
  <c r="V18" i="5"/>
  <c r="AO18" i="5"/>
  <c r="Y18" i="5"/>
  <c r="AM18" i="5"/>
  <c r="W18" i="5"/>
  <c r="AI18" i="5"/>
  <c r="T18" i="5"/>
  <c r="AE18" i="5"/>
  <c r="AB18" i="5"/>
  <c r="AF18" i="5"/>
  <c r="Z18" i="5"/>
  <c r="U18" i="5"/>
  <c r="S18" i="5"/>
  <c r="AP18" i="5"/>
  <c r="O18" i="5"/>
  <c r="AQ18" i="5"/>
  <c r="AL18" i="5"/>
  <c r="AH18" i="5"/>
  <c r="AG18" i="5"/>
  <c r="AC18" i="5"/>
  <c r="AD18" i="5"/>
  <c r="N18" i="5"/>
  <c r="P18" i="5" s="1"/>
  <c r="AL15" i="8"/>
  <c r="T11" i="3"/>
  <c r="AG20" i="6"/>
  <c r="AJ20" i="6"/>
  <c r="AI20" i="6"/>
  <c r="AH20" i="6"/>
  <c r="AF20" i="6"/>
  <c r="AE20" i="6"/>
  <c r="N15" i="4"/>
  <c r="P15" i="4" s="1"/>
  <c r="N10" i="4"/>
  <c r="P10" i="4" s="1"/>
  <c r="N7" i="4"/>
  <c r="P7" i="4" s="1"/>
  <c r="N8" i="4"/>
  <c r="P8" i="4" s="1"/>
  <c r="K28" i="2"/>
  <c r="K20" i="2"/>
  <c r="J17" i="9"/>
  <c r="I17" i="9"/>
  <c r="H17" i="9"/>
  <c r="G17" i="9"/>
  <c r="Y20" i="4"/>
  <c r="V14" i="4"/>
  <c r="U14" i="4"/>
  <c r="L14" i="4"/>
  <c r="Z14" i="4"/>
  <c r="X14" i="4"/>
  <c r="Q14" i="4"/>
  <c r="O12" i="4"/>
  <c r="K19" i="4"/>
  <c r="O5" i="4"/>
  <c r="H7" i="9"/>
  <c r="I7" i="9"/>
  <c r="G7" i="9"/>
  <c r="J7" i="9"/>
  <c r="M5" i="4"/>
  <c r="G21" i="9" l="1"/>
  <c r="G19" i="9"/>
  <c r="G14" i="9"/>
  <c r="G12" i="9"/>
  <c r="G5" i="9"/>
  <c r="G18" i="9"/>
  <c r="G24" i="9"/>
  <c r="G13" i="9"/>
  <c r="P16" i="10"/>
  <c r="O16" i="10"/>
  <c r="S16" i="10"/>
  <c r="T16" i="10"/>
  <c r="Q16" i="10"/>
  <c r="R16" i="10"/>
  <c r="N16" i="10"/>
  <c r="B22" i="14"/>
  <c r="M15" i="10"/>
  <c r="F4" i="9"/>
  <c r="G9" i="9"/>
  <c r="R22" i="4"/>
  <c r="CK22" i="4" s="1"/>
  <c r="AB22" i="4"/>
  <c r="T17" i="2"/>
  <c r="AB21" i="4"/>
  <c r="Y23" i="4"/>
  <c r="AA23" i="4"/>
  <c r="AB23" i="4" s="1"/>
  <c r="V23" i="4"/>
  <c r="R21" i="4"/>
  <c r="CK21" i="4" s="1"/>
  <c r="U23" i="4"/>
  <c r="L23" i="4"/>
  <c r="Q23" i="4"/>
  <c r="R23" i="4" s="1"/>
  <c r="X23" i="4"/>
  <c r="W23" i="4"/>
  <c r="AM16" i="5"/>
  <c r="T16" i="5"/>
  <c r="U7" i="5"/>
  <c r="N7" i="5"/>
  <c r="P7" i="5" s="1"/>
  <c r="S7" i="5"/>
  <c r="AH7" i="5"/>
  <c r="V7" i="5"/>
  <c r="AP7" i="5"/>
  <c r="AA7" i="5"/>
  <c r="AI7" i="5"/>
  <c r="AJ7" i="5"/>
  <c r="AN16" i="5"/>
  <c r="AH16" i="5"/>
  <c r="AF7" i="5"/>
  <c r="AG16" i="5"/>
  <c r="T7" i="5"/>
  <c r="Z7" i="5"/>
  <c r="AO7" i="5"/>
  <c r="U11" i="4"/>
  <c r="Z6" i="5"/>
  <c r="AN6" i="5"/>
  <c r="U6" i="5"/>
  <c r="AG6" i="5"/>
  <c r="Y6" i="5"/>
  <c r="AA6" i="5"/>
  <c r="AB7" i="5"/>
  <c r="AM7" i="5"/>
  <c r="AO13" i="5"/>
  <c r="AH13" i="5"/>
  <c r="AL13" i="5"/>
  <c r="AE6" i="5"/>
  <c r="U6" i="4"/>
  <c r="AM13" i="5"/>
  <c r="AF6" i="5"/>
  <c r="S6" i="5"/>
  <c r="AF13" i="5"/>
  <c r="Z11" i="4"/>
  <c r="V11" i="4"/>
  <c r="AD13" i="5"/>
  <c r="AP13" i="5"/>
  <c r="AJ13" i="5"/>
  <c r="AE13" i="5"/>
  <c r="O13" i="5"/>
  <c r="AK13" i="5" s="1"/>
  <c r="Y13" i="5"/>
  <c r="AB13" i="5"/>
  <c r="AQ13" i="5"/>
  <c r="AA13" i="5"/>
  <c r="AI13" i="5"/>
  <c r="V13" i="5"/>
  <c r="Z13" i="5"/>
  <c r="AM24" i="8"/>
  <c r="K24" i="8" s="1"/>
  <c r="Z9" i="4"/>
  <c r="L9" i="4"/>
  <c r="W11" i="4"/>
  <c r="X9" i="4"/>
  <c r="U9" i="4"/>
  <c r="Q6" i="4"/>
  <c r="S6" i="4" s="1"/>
  <c r="Q9" i="4"/>
  <c r="S9" i="4" s="1"/>
  <c r="W9" i="4"/>
  <c r="V9" i="4"/>
  <c r="AB16" i="5"/>
  <c r="N16" i="5"/>
  <c r="P16" i="5" s="1"/>
  <c r="AO16" i="5"/>
  <c r="AD16" i="5"/>
  <c r="AL6" i="5"/>
  <c r="AI16" i="5"/>
  <c r="Y16" i="5"/>
  <c r="AL16" i="5"/>
  <c r="S16" i="5"/>
  <c r="O16" i="5"/>
  <c r="Z16" i="5" s="1"/>
  <c r="AP16" i="5"/>
  <c r="AF16" i="5"/>
  <c r="U16" i="5"/>
  <c r="AC6" i="5"/>
  <c r="W6" i="5"/>
  <c r="X16" i="5"/>
  <c r="AJ16" i="5"/>
  <c r="AM6" i="5"/>
  <c r="U13" i="5"/>
  <c r="AC13" i="5"/>
  <c r="W13" i="5"/>
  <c r="S13" i="5"/>
  <c r="AG13" i="5"/>
  <c r="X13" i="5"/>
  <c r="T13" i="5"/>
  <c r="N13" i="5"/>
  <c r="P13" i="5" s="1"/>
  <c r="AQ16" i="5"/>
  <c r="W16" i="5"/>
  <c r="AA16" i="5"/>
  <c r="AE16" i="5"/>
  <c r="AP6" i="5"/>
  <c r="AC16" i="5"/>
  <c r="AK16" i="5"/>
  <c r="AQ6" i="5"/>
  <c r="W14" i="5"/>
  <c r="AD14" i="5"/>
  <c r="AH14" i="5"/>
  <c r="N14" i="5"/>
  <c r="P14" i="5" s="1"/>
  <c r="AA14" i="5"/>
  <c r="U14" i="5"/>
  <c r="Z14" i="5"/>
  <c r="AI14" i="5"/>
  <c r="AG14" i="5"/>
  <c r="AC14" i="5"/>
  <c r="AO14" i="5"/>
  <c r="AQ14" i="5"/>
  <c r="AN14" i="5"/>
  <c r="T14" i="5"/>
  <c r="X14" i="5"/>
  <c r="O14" i="5"/>
  <c r="AE14" i="5" s="1"/>
  <c r="V14" i="5"/>
  <c r="AF14" i="5"/>
  <c r="AL14" i="5"/>
  <c r="Y14" i="5"/>
  <c r="AB14" i="5"/>
  <c r="AM14" i="5"/>
  <c r="AP14" i="5"/>
  <c r="S14" i="5"/>
  <c r="AK14" i="5"/>
  <c r="L11" i="4"/>
  <c r="Q11" i="4"/>
  <c r="S11" i="4" s="1"/>
  <c r="X11" i="4"/>
  <c r="AA15" i="4"/>
  <c r="AB15" i="4" s="1"/>
  <c r="AB6" i="5"/>
  <c r="AO6" i="5"/>
  <c r="AD6" i="5"/>
  <c r="T6" i="5"/>
  <c r="Z5" i="4"/>
  <c r="N6" i="5"/>
  <c r="P6" i="5" s="1"/>
  <c r="X6" i="5"/>
  <c r="AM14" i="8"/>
  <c r="R14" i="8" s="1"/>
  <c r="AM19" i="8"/>
  <c r="D19" i="8" s="1"/>
  <c r="AJ6" i="5"/>
  <c r="O6" i="5"/>
  <c r="AK6" i="5" s="1"/>
  <c r="AI6" i="5"/>
  <c r="V6" i="5"/>
  <c r="Z6" i="4"/>
  <c r="AA16" i="4"/>
  <c r="AB16" i="4" s="1"/>
  <c r="L6" i="4"/>
  <c r="AQ7" i="5"/>
  <c r="X7" i="5"/>
  <c r="U5" i="3"/>
  <c r="C5" i="3" s="1"/>
  <c r="AC7" i="5"/>
  <c r="AK7" i="5"/>
  <c r="AM15" i="8"/>
  <c r="C15" i="8" s="1"/>
  <c r="R16" i="4"/>
  <c r="CK16" i="4" s="1"/>
  <c r="AG7" i="5"/>
  <c r="AN7" i="5"/>
  <c r="AA14" i="4"/>
  <c r="AN18" i="8" s="1"/>
  <c r="AD7" i="5"/>
  <c r="O7" i="5"/>
  <c r="AE7" i="5" s="1"/>
  <c r="W7" i="5"/>
  <c r="AA10" i="4"/>
  <c r="AB10" i="4" s="1"/>
  <c r="Y6" i="4"/>
  <c r="W6" i="4"/>
  <c r="Y7" i="5"/>
  <c r="AM18" i="8"/>
  <c r="M18" i="8" s="1"/>
  <c r="AM28" i="8"/>
  <c r="L28" i="8" s="1"/>
  <c r="P13" i="4"/>
  <c r="AA8" i="4"/>
  <c r="AB8" i="4" s="1"/>
  <c r="AA7" i="4"/>
  <c r="AB7" i="4" s="1"/>
  <c r="U8" i="3"/>
  <c r="J8" i="3" s="1"/>
  <c r="P5" i="4"/>
  <c r="U20" i="3"/>
  <c r="Z20" i="3" s="1"/>
  <c r="U18" i="3"/>
  <c r="V18" i="3" s="1"/>
  <c r="U13" i="3"/>
  <c r="I13" i="3" s="1"/>
  <c r="AD13" i="3" s="1"/>
  <c r="U23" i="3"/>
  <c r="AA23" i="3" s="1"/>
  <c r="U15" i="3"/>
  <c r="Y15" i="3" s="1"/>
  <c r="U21" i="3"/>
  <c r="J21" i="3" s="1"/>
  <c r="U9" i="3"/>
  <c r="D9" i="3" s="1"/>
  <c r="V5" i="4"/>
  <c r="U5" i="4"/>
  <c r="L5" i="4"/>
  <c r="W5" i="4"/>
  <c r="P12" i="4"/>
  <c r="Q5" i="4"/>
  <c r="AO5" i="5"/>
  <c r="AF5" i="5"/>
  <c r="AE5" i="5"/>
  <c r="U5" i="5"/>
  <c r="AM5" i="5"/>
  <c r="N5" i="5"/>
  <c r="P5" i="5" s="1"/>
  <c r="AB5" i="5"/>
  <c r="Y5" i="5"/>
  <c r="AH5" i="5"/>
  <c r="AL5" i="5"/>
  <c r="AJ5" i="5"/>
  <c r="X5" i="5"/>
  <c r="AP5" i="5"/>
  <c r="V5" i="5"/>
  <c r="AN5" i="5"/>
  <c r="O5" i="5"/>
  <c r="AA5" i="5" s="1"/>
  <c r="AK5" i="5"/>
  <c r="S5" i="5"/>
  <c r="Z5" i="5"/>
  <c r="AI5" i="5"/>
  <c r="AG5" i="5"/>
  <c r="W5" i="5"/>
  <c r="AD5" i="5"/>
  <c r="T5" i="5"/>
  <c r="AQ5" i="5"/>
  <c r="AC5" i="5"/>
  <c r="X5" i="4"/>
  <c r="S10" i="4"/>
  <c r="R10" i="4"/>
  <c r="S15" i="4"/>
  <c r="R15" i="4"/>
  <c r="S7" i="4"/>
  <c r="R7" i="4"/>
  <c r="R8" i="4"/>
  <c r="S8" i="4"/>
  <c r="U24" i="3"/>
  <c r="AM13" i="8"/>
  <c r="AL20" i="5"/>
  <c r="Z20" i="5"/>
  <c r="AI20" i="5"/>
  <c r="V20" i="5"/>
  <c r="AM20" i="5"/>
  <c r="X20" i="5"/>
  <c r="AF20" i="5"/>
  <c r="AE20" i="5"/>
  <c r="O20" i="5"/>
  <c r="AC20" i="5"/>
  <c r="AP20" i="5"/>
  <c r="U20" i="5"/>
  <c r="AK20" i="5"/>
  <c r="AH20" i="5"/>
  <c r="AB20" i="5"/>
  <c r="AA20" i="5"/>
  <c r="Y20" i="5"/>
  <c r="W20" i="5"/>
  <c r="AQ20" i="5"/>
  <c r="S20" i="5"/>
  <c r="T20" i="5"/>
  <c r="N20" i="5"/>
  <c r="P20" i="5" s="1"/>
  <c r="AO20" i="5"/>
  <c r="AJ20" i="5"/>
  <c r="AN20" i="5"/>
  <c r="AG20" i="5"/>
  <c r="AD20" i="5"/>
  <c r="L24" i="4"/>
  <c r="Q24" i="4"/>
  <c r="AA24" i="4"/>
  <c r="Y24" i="4"/>
  <c r="Z24" i="4"/>
  <c r="X24" i="4"/>
  <c r="U24" i="4"/>
  <c r="W24" i="4"/>
  <c r="V24" i="4"/>
  <c r="AM12" i="8"/>
  <c r="U19" i="3"/>
  <c r="AM20" i="8"/>
  <c r="AM23" i="8"/>
  <c r="AM9" i="8"/>
  <c r="AN10" i="5"/>
  <c r="AB10" i="5"/>
  <c r="O10" i="5"/>
  <c r="AE10" i="5" s="1"/>
  <c r="AP10" i="5"/>
  <c r="AC10" i="5"/>
  <c r="N10" i="5"/>
  <c r="P10" i="5" s="1"/>
  <c r="AO10" i="5"/>
  <c r="AA10" i="5"/>
  <c r="AL10" i="5"/>
  <c r="Y10" i="5"/>
  <c r="AF10" i="5"/>
  <c r="Z10" i="5"/>
  <c r="W10" i="5"/>
  <c r="V10" i="5"/>
  <c r="AQ10" i="5"/>
  <c r="U10" i="5"/>
  <c r="AM10" i="5"/>
  <c r="T10" i="5"/>
  <c r="AJ10" i="5"/>
  <c r="S10" i="5"/>
  <c r="AK10" i="5"/>
  <c r="AI10" i="5"/>
  <c r="AG10" i="5"/>
  <c r="AD10" i="5"/>
  <c r="X10" i="5"/>
  <c r="AH10" i="5"/>
  <c r="U6" i="3"/>
  <c r="AB18" i="4"/>
  <c r="T18" i="2"/>
  <c r="Q12" i="4"/>
  <c r="L12" i="4"/>
  <c r="Z12" i="4"/>
  <c r="V12" i="4"/>
  <c r="W12" i="4"/>
  <c r="U12" i="4"/>
  <c r="Y12" i="4"/>
  <c r="X12" i="4"/>
  <c r="U10" i="3"/>
  <c r="AK11" i="5"/>
  <c r="AG11" i="5"/>
  <c r="U11" i="5"/>
  <c r="AL11" i="5"/>
  <c r="X11" i="5"/>
  <c r="AJ11" i="5"/>
  <c r="W11" i="5"/>
  <c r="AH11" i="5"/>
  <c r="T11" i="5"/>
  <c r="AI11" i="5"/>
  <c r="AD11" i="5"/>
  <c r="AP11" i="5"/>
  <c r="S11" i="5"/>
  <c r="AM11" i="5"/>
  <c r="N11" i="5"/>
  <c r="P11" i="5" s="1"/>
  <c r="AE11" i="5"/>
  <c r="AC11" i="5"/>
  <c r="AA11" i="5"/>
  <c r="Z11" i="5"/>
  <c r="Y11" i="5"/>
  <c r="V11" i="5"/>
  <c r="O11" i="5"/>
  <c r="AF11" i="5" s="1"/>
  <c r="AO11" i="5"/>
  <c r="AQ11" i="5"/>
  <c r="AN11" i="5"/>
  <c r="AB11" i="5"/>
  <c r="L13" i="4"/>
  <c r="Q13" i="4"/>
  <c r="X13" i="4"/>
  <c r="W13" i="4"/>
  <c r="Z13" i="4"/>
  <c r="U13" i="4"/>
  <c r="Y13" i="4"/>
  <c r="V13" i="4"/>
  <c r="AM22" i="8"/>
  <c r="R20" i="4"/>
  <c r="S20" i="4"/>
  <c r="AM26" i="8"/>
  <c r="CM22" i="4"/>
  <c r="DQ22" i="2"/>
  <c r="AM25" i="8"/>
  <c r="U12" i="3"/>
  <c r="AM21" i="8"/>
  <c r="S16" i="4"/>
  <c r="AM11" i="8"/>
  <c r="U11" i="3"/>
  <c r="AM10" i="8"/>
  <c r="AM17" i="8"/>
  <c r="R18" i="4"/>
  <c r="S18" i="4"/>
  <c r="L19" i="4"/>
  <c r="Q19" i="4"/>
  <c r="AA19" i="4"/>
  <c r="Z19" i="4"/>
  <c r="Y19" i="4"/>
  <c r="U19" i="4"/>
  <c r="V19" i="4"/>
  <c r="X19" i="4"/>
  <c r="W19" i="4"/>
  <c r="U22" i="3"/>
  <c r="CF22" i="4"/>
  <c r="BT22" i="4"/>
  <c r="BH22" i="4"/>
  <c r="AV22" i="4"/>
  <c r="CC22" i="4"/>
  <c r="BQ22" i="4"/>
  <c r="BE22" i="4"/>
  <c r="CI22" i="4"/>
  <c r="BU22" i="4"/>
  <c r="BF22" i="4"/>
  <c r="CH22" i="4"/>
  <c r="BS22" i="4"/>
  <c r="BD22" i="4"/>
  <c r="CE22" i="4"/>
  <c r="BP22" i="4"/>
  <c r="BB22" i="4"/>
  <c r="BV22" i="4"/>
  <c r="AZ22" i="4"/>
  <c r="BR22" i="4"/>
  <c r="AY22" i="4"/>
  <c r="BO22" i="4"/>
  <c r="AX22" i="4"/>
  <c r="CJ22" i="4"/>
  <c r="BN22" i="4"/>
  <c r="AW22" i="4"/>
  <c r="CG22" i="4"/>
  <c r="BM22" i="4"/>
  <c r="AU22" i="4"/>
  <c r="CB22" i="4"/>
  <c r="BK22" i="4"/>
  <c r="CA22" i="4"/>
  <c r="BJ22" i="4"/>
  <c r="BY22" i="4"/>
  <c r="BG22" i="4"/>
  <c r="BI22" i="4"/>
  <c r="BC22" i="4"/>
  <c r="BA22" i="4"/>
  <c r="CD22" i="4"/>
  <c r="DH22" i="2"/>
  <c r="CV22" i="2"/>
  <c r="CJ22" i="2"/>
  <c r="BZ22" i="4"/>
  <c r="BX22" i="4"/>
  <c r="BL22" i="4"/>
  <c r="DE22" i="2"/>
  <c r="CR22" i="2"/>
  <c r="BW22" i="4"/>
  <c r="DC22" i="2"/>
  <c r="CP22" i="2"/>
  <c r="CC22" i="2"/>
  <c r="DN22" i="2"/>
  <c r="DA22" i="2"/>
  <c r="CN22" i="2"/>
  <c r="CA22" i="2"/>
  <c r="CZ22" i="2"/>
  <c r="CI22" i="2"/>
  <c r="CX22" i="2"/>
  <c r="CG22" i="2"/>
  <c r="DL22" i="2"/>
  <c r="CU22" i="2"/>
  <c r="CE22" i="2"/>
  <c r="DK22" i="2"/>
  <c r="CT22" i="2"/>
  <c r="CD22" i="2"/>
  <c r="DD22" i="2"/>
  <c r="CB22" i="2"/>
  <c r="DB22" i="2"/>
  <c r="BZ22" i="2"/>
  <c r="CY22" i="2"/>
  <c r="BY22" i="2"/>
  <c r="CW22" i="2"/>
  <c r="CO22" i="2"/>
  <c r="DM22" i="2"/>
  <c r="CM22" i="2"/>
  <c r="DJ22" i="2"/>
  <c r="CL22" i="2"/>
  <c r="DI22" i="2"/>
  <c r="CK22" i="2"/>
  <c r="DF22" i="2"/>
  <c r="CF22" i="2"/>
  <c r="CS22" i="2"/>
  <c r="DG22" i="2"/>
  <c r="CQ22" i="2"/>
  <c r="CH22" i="2"/>
  <c r="AM16" i="8"/>
  <c r="AT2" i="6"/>
  <c r="U7" i="3"/>
  <c r="AM27" i="8"/>
  <c r="U16" i="3"/>
  <c r="U17" i="3"/>
  <c r="S14" i="4"/>
  <c r="R14" i="4"/>
  <c r="AJ5" i="6"/>
  <c r="CK17" i="4"/>
  <c r="DO17" i="2"/>
  <c r="CM21" i="4"/>
  <c r="DQ21" i="2"/>
  <c r="DH21" i="2"/>
  <c r="CU21" i="2"/>
  <c r="CH21" i="2"/>
  <c r="BY21" i="4"/>
  <c r="DF21" i="2"/>
  <c r="CR21" i="2"/>
  <c r="CE21" i="2"/>
  <c r="DK21" i="2"/>
  <c r="CV21" i="2"/>
  <c r="CD21" i="2"/>
  <c r="DI21" i="2"/>
  <c r="CQ21" i="2"/>
  <c r="CB21" i="2"/>
  <c r="DD21" i="2"/>
  <c r="CO21" i="2"/>
  <c r="BZ21" i="2"/>
  <c r="DC21" i="2"/>
  <c r="CN21" i="2"/>
  <c r="BY21" i="2"/>
  <c r="CW21" i="2"/>
  <c r="CT21" i="2"/>
  <c r="CL21" i="2"/>
  <c r="DN21" i="2"/>
  <c r="CP21" i="2"/>
  <c r="DM21" i="2"/>
  <c r="CM21" i="2"/>
  <c r="DG21" i="2"/>
  <c r="CJ21" i="2"/>
  <c r="DB21" i="2"/>
  <c r="CI21" i="2"/>
  <c r="DA21" i="2"/>
  <c r="CF21" i="2"/>
  <c r="CZ21" i="2"/>
  <c r="CC21" i="2"/>
  <c r="CX21" i="2"/>
  <c r="DL21" i="2"/>
  <c r="DJ21" i="2"/>
  <c r="CY21" i="2"/>
  <c r="CK21" i="2"/>
  <c r="CA21" i="2"/>
  <c r="AZ21" i="4"/>
  <c r="BT21" i="4"/>
  <c r="BH21" i="4"/>
  <c r="CD21" i="4"/>
  <c r="BZ21" i="4"/>
  <c r="AY21" i="4"/>
  <c r="AW21" i="4"/>
  <c r="BR21" i="4"/>
  <c r="BL21" i="4"/>
  <c r="CI21" i="4"/>
  <c r="CJ21" i="4"/>
  <c r="BF21" i="4"/>
  <c r="AX21" i="4"/>
  <c r="BQ21" i="4"/>
  <c r="DE21" i="2"/>
  <c r="CA21" i="4"/>
  <c r="BX21" i="4"/>
  <c r="AV21" i="4"/>
  <c r="CS21" i="2"/>
  <c r="BO21" i="4"/>
  <c r="BG21" i="4"/>
  <c r="CH21" i="4"/>
  <c r="CG21" i="2"/>
  <c r="BC21" i="4"/>
  <c r="BW21" i="4"/>
  <c r="BM21" i="4"/>
  <c r="CG21" i="4"/>
  <c r="CE21" i="4"/>
  <c r="BE21" i="4"/>
  <c r="AU21" i="4"/>
  <c r="CB21" i="4"/>
  <c r="BP21" i="4"/>
  <c r="BV21" i="4"/>
  <c r="CF21" i="4"/>
  <c r="BS21" i="4"/>
  <c r="BA21" i="4"/>
  <c r="BD21" i="4"/>
  <c r="BJ21" i="4"/>
  <c r="CC21" i="4"/>
  <c r="BU21" i="4"/>
  <c r="BK21" i="4"/>
  <c r="BN21" i="4"/>
  <c r="BB21" i="4"/>
  <c r="BI21" i="4"/>
  <c r="X6" i="4"/>
  <c r="U14" i="3"/>
  <c r="CM17" i="4"/>
  <c r="CE17" i="4"/>
  <c r="BO17" i="4"/>
  <c r="AZ17" i="4"/>
  <c r="CB17" i="4"/>
  <c r="BM17" i="4"/>
  <c r="AX17" i="4"/>
  <c r="CI17" i="4"/>
  <c r="CC17" i="4"/>
  <c r="CA17" i="4"/>
  <c r="BZ17" i="4"/>
  <c r="BQ17" i="4"/>
  <c r="BN17" i="4"/>
  <c r="BL17" i="4"/>
  <c r="DG17" i="2"/>
  <c r="CU17" i="2"/>
  <c r="CI17" i="2"/>
  <c r="BK17" i="4"/>
  <c r="BB17" i="4"/>
  <c r="AU17" i="4"/>
  <c r="AY17" i="4"/>
  <c r="DC17" i="2"/>
  <c r="CP17" i="2"/>
  <c r="CC17" i="2"/>
  <c r="DN17" i="2"/>
  <c r="DA17" i="2"/>
  <c r="CN17" i="2"/>
  <c r="CA17" i="2"/>
  <c r="DH17" i="2"/>
  <c r="CR17" i="2"/>
  <c r="CB17" i="2"/>
  <c r="DE17" i="2"/>
  <c r="CO17" i="2"/>
  <c r="BY17" i="2"/>
  <c r="DQ17" i="2"/>
  <c r="DB17" i="2"/>
  <c r="CL17" i="2"/>
  <c r="CZ17" i="2"/>
  <c r="CK17" i="2"/>
  <c r="CY17" i="2"/>
  <c r="CE17" i="2"/>
  <c r="CX17" i="2"/>
  <c r="CD17" i="2"/>
  <c r="CT17" i="2"/>
  <c r="CW17" i="2"/>
  <c r="BZ17" i="2"/>
  <c r="CV17" i="2"/>
  <c r="DL17" i="2"/>
  <c r="CQ17" i="2"/>
  <c r="DK17" i="2"/>
  <c r="CM17" i="2"/>
  <c r="DJ17" i="2"/>
  <c r="CJ17" i="2"/>
  <c r="DI17" i="2"/>
  <c r="CH17" i="2"/>
  <c r="DD17" i="2"/>
  <c r="CF17" i="2"/>
  <c r="DM17" i="2"/>
  <c r="DF17" i="2"/>
  <c r="CS17" i="2"/>
  <c r="CG17" i="2"/>
  <c r="BA17" i="4"/>
  <c r="BT17" i="4"/>
  <c r="BP17" i="4"/>
  <c r="BE17" i="4"/>
  <c r="BH17" i="4"/>
  <c r="CH17" i="4"/>
  <c r="BW17" i="4"/>
  <c r="AV17" i="4"/>
  <c r="CD17" i="4"/>
  <c r="BD17" i="4"/>
  <c r="BR17" i="4"/>
  <c r="BV17" i="4"/>
  <c r="BF17" i="4"/>
  <c r="BG17" i="4"/>
  <c r="CJ17" i="4"/>
  <c r="BJ17" i="4"/>
  <c r="BC17" i="4"/>
  <c r="CG17" i="4"/>
  <c r="BY17" i="4"/>
  <c r="BX17" i="4"/>
  <c r="BS17" i="4"/>
  <c r="BU17" i="4"/>
  <c r="BI17" i="4"/>
  <c r="AW17" i="4"/>
  <c r="CF17" i="4"/>
  <c r="F18" i="9" l="1"/>
  <c r="F14" i="9"/>
  <c r="F13" i="9"/>
  <c r="F19" i="9"/>
  <c r="F24" i="9"/>
  <c r="F21" i="9"/>
  <c r="F9" i="9"/>
  <c r="F8" i="9"/>
  <c r="F5" i="9"/>
  <c r="F12" i="9"/>
  <c r="F20" i="9"/>
  <c r="F6" i="9"/>
  <c r="F17" i="9"/>
  <c r="F10" i="9"/>
  <c r="F7" i="9"/>
  <c r="F23" i="9"/>
  <c r="F11" i="9"/>
  <c r="F16" i="9"/>
  <c r="F22" i="9"/>
  <c r="F15" i="9"/>
  <c r="O15" i="10"/>
  <c r="N15" i="10"/>
  <c r="T15" i="10"/>
  <c r="P15" i="10"/>
  <c r="R15" i="10"/>
  <c r="Q15" i="10"/>
  <c r="S15" i="10"/>
  <c r="B21" i="14"/>
  <c r="E4" i="9"/>
  <c r="M14" i="10"/>
  <c r="DO22" i="2"/>
  <c r="DO21" i="2"/>
  <c r="S23" i="4"/>
  <c r="CH23" i="4" s="1"/>
  <c r="T23" i="2"/>
  <c r="R6" i="4"/>
  <c r="CK6" i="4" s="1"/>
  <c r="Z18" i="3"/>
  <c r="M14" i="8"/>
  <c r="R11" i="4"/>
  <c r="CK11" i="4" s="1"/>
  <c r="R9" i="4"/>
  <c r="CK9" i="4" s="1"/>
  <c r="Z8" i="3"/>
  <c r="C8" i="3"/>
  <c r="D8" i="3"/>
  <c r="A8" i="3"/>
  <c r="A13" i="2" s="1"/>
  <c r="B24" i="8"/>
  <c r="Q24" i="8"/>
  <c r="C24" i="8"/>
  <c r="H24" i="8"/>
  <c r="D24" i="8"/>
  <c r="J24" i="8"/>
  <c r="E14" i="8"/>
  <c r="C18" i="3"/>
  <c r="L24" i="8"/>
  <c r="M24" i="8"/>
  <c r="T24" i="8"/>
  <c r="E24" i="8"/>
  <c r="G24" i="8"/>
  <c r="R24" i="8"/>
  <c r="C14" i="8"/>
  <c r="F24" i="8"/>
  <c r="E18" i="3"/>
  <c r="D18" i="3"/>
  <c r="A24" i="8"/>
  <c r="P24" i="8" s="1"/>
  <c r="AN19" i="8"/>
  <c r="AA11" i="4"/>
  <c r="T11" i="2" s="1"/>
  <c r="E19" i="8"/>
  <c r="H19" i="8"/>
  <c r="I19" i="8" s="1"/>
  <c r="Q19" i="8"/>
  <c r="F19" i="8"/>
  <c r="R19" i="8"/>
  <c r="I24" i="8"/>
  <c r="A28" i="8"/>
  <c r="N28" i="8" s="1"/>
  <c r="M19" i="8"/>
  <c r="K14" i="8"/>
  <c r="L14" i="8"/>
  <c r="G19" i="8"/>
  <c r="B14" i="8"/>
  <c r="K15" i="8"/>
  <c r="A14" i="8"/>
  <c r="P14" i="8" s="1"/>
  <c r="D14" i="8"/>
  <c r="L19" i="8"/>
  <c r="Q14" i="8"/>
  <c r="A19" i="8"/>
  <c r="S19" i="8" s="1"/>
  <c r="H14" i="8"/>
  <c r="J14" i="8" s="1"/>
  <c r="C19" i="8"/>
  <c r="A15" i="8"/>
  <c r="S15" i="8" s="1"/>
  <c r="K19" i="8"/>
  <c r="R15" i="8"/>
  <c r="X18" i="3"/>
  <c r="B19" i="8"/>
  <c r="T14" i="8"/>
  <c r="R28" i="8"/>
  <c r="T19" i="8"/>
  <c r="B18" i="3"/>
  <c r="U63" i="2" s="1"/>
  <c r="Y18" i="3"/>
  <c r="F14" i="8"/>
  <c r="AN20" i="8"/>
  <c r="T16" i="2"/>
  <c r="AA9" i="4"/>
  <c r="T9" i="2" s="1"/>
  <c r="DO16" i="2"/>
  <c r="T10" i="2"/>
  <c r="T15" i="2"/>
  <c r="J5" i="3"/>
  <c r="B5" i="3"/>
  <c r="G5" i="3" s="1"/>
  <c r="Y5" i="3"/>
  <c r="I5" i="3"/>
  <c r="AD5" i="3" s="1"/>
  <c r="Z5" i="3"/>
  <c r="J13" i="3"/>
  <c r="Y13" i="3"/>
  <c r="AA13" i="3"/>
  <c r="A13" i="3"/>
  <c r="E13" i="3"/>
  <c r="AA5" i="3"/>
  <c r="Q15" i="8"/>
  <c r="G14" i="8"/>
  <c r="D28" i="8"/>
  <c r="A5" i="3"/>
  <c r="A10" i="2" s="1"/>
  <c r="Q28" i="8"/>
  <c r="D5" i="3"/>
  <c r="B28" i="8"/>
  <c r="C13" i="3"/>
  <c r="AN14" i="8"/>
  <c r="B15" i="8"/>
  <c r="F28" i="8"/>
  <c r="T15" i="8"/>
  <c r="M28" i="8"/>
  <c r="J28" i="8"/>
  <c r="E15" i="8"/>
  <c r="W18" i="3"/>
  <c r="B13" i="3"/>
  <c r="G13" i="3" s="1"/>
  <c r="U58" i="2" s="1"/>
  <c r="C28" i="8"/>
  <c r="I28" i="8"/>
  <c r="E5" i="3"/>
  <c r="F15" i="8"/>
  <c r="AA6" i="4"/>
  <c r="AN10" i="8" s="1"/>
  <c r="C9" i="3"/>
  <c r="E28" i="8"/>
  <c r="G15" i="8"/>
  <c r="T7" i="2"/>
  <c r="B9" i="3"/>
  <c r="F14" i="2" s="1"/>
  <c r="T28" i="8"/>
  <c r="L15" i="8"/>
  <c r="T14" i="2"/>
  <c r="H28" i="8"/>
  <c r="H15" i="8"/>
  <c r="J15" i="8" s="1"/>
  <c r="B18" i="8"/>
  <c r="G18" i="3"/>
  <c r="V21" i="3"/>
  <c r="Y9" i="3"/>
  <c r="K28" i="8"/>
  <c r="H5" i="3"/>
  <c r="X5" i="3" s="1"/>
  <c r="M15" i="8"/>
  <c r="AB14" i="4"/>
  <c r="S5" i="4"/>
  <c r="AN11" i="8"/>
  <c r="I9" i="3"/>
  <c r="AD9" i="3" s="1"/>
  <c r="G28" i="8"/>
  <c r="A18" i="3"/>
  <c r="R18" i="8"/>
  <c r="AA18" i="3"/>
  <c r="Z9" i="3"/>
  <c r="D15" i="8"/>
  <c r="H8" i="3"/>
  <c r="AB8" i="3" s="1"/>
  <c r="Y8" i="3"/>
  <c r="E8" i="3"/>
  <c r="AN12" i="8"/>
  <c r="E18" i="8"/>
  <c r="C18" i="8"/>
  <c r="X21" i="3"/>
  <c r="T18" i="8"/>
  <c r="Y21" i="3"/>
  <c r="A18" i="8"/>
  <c r="N18" i="8" s="1"/>
  <c r="K18" i="8"/>
  <c r="L18" i="8"/>
  <c r="Q18" i="8"/>
  <c r="D18" i="8"/>
  <c r="G18" i="8"/>
  <c r="B15" i="3"/>
  <c r="G15" i="3" s="1"/>
  <c r="H23" i="3"/>
  <c r="AB23" i="3" s="1"/>
  <c r="W23" i="3"/>
  <c r="A21" i="3"/>
  <c r="F18" i="8"/>
  <c r="H18" i="8"/>
  <c r="J18" i="8" s="1"/>
  <c r="Z21" i="3"/>
  <c r="T8" i="2"/>
  <c r="Z15" i="3"/>
  <c r="Y23" i="3"/>
  <c r="I15" i="3"/>
  <c r="AD15" i="3" s="1"/>
  <c r="C23" i="3"/>
  <c r="H18" i="3"/>
  <c r="AB18" i="3" s="1"/>
  <c r="A15" i="3"/>
  <c r="E23" i="3"/>
  <c r="D23" i="3"/>
  <c r="Z13" i="3"/>
  <c r="I8" i="3"/>
  <c r="AD8" i="3" s="1"/>
  <c r="J23" i="3"/>
  <c r="C15" i="3"/>
  <c r="K23" i="3"/>
  <c r="X23" i="3"/>
  <c r="H13" i="3"/>
  <c r="AB13" i="3" s="1"/>
  <c r="B8" i="3"/>
  <c r="Y20" i="3"/>
  <c r="G23" i="3"/>
  <c r="A23" i="3"/>
  <c r="I18" i="3"/>
  <c r="AD18" i="3" s="1"/>
  <c r="E15" i="3"/>
  <c r="V23" i="3"/>
  <c r="D13" i="3"/>
  <c r="AA8" i="3"/>
  <c r="D15" i="3"/>
  <c r="J15" i="3"/>
  <c r="I23" i="3"/>
  <c r="AD23" i="3" s="1"/>
  <c r="B23" i="3"/>
  <c r="U68" i="2" s="1"/>
  <c r="J18" i="3"/>
  <c r="K18" i="3"/>
  <c r="H15" i="3"/>
  <c r="X15" i="3" s="1"/>
  <c r="Z23" i="3"/>
  <c r="AA15" i="3"/>
  <c r="R5" i="4"/>
  <c r="CK5" i="4" s="1"/>
  <c r="X20" i="3"/>
  <c r="G20" i="3"/>
  <c r="I21" i="3"/>
  <c r="AD21" i="3" s="1"/>
  <c r="C20" i="3"/>
  <c r="AA20" i="3"/>
  <c r="E20" i="3"/>
  <c r="A20" i="3"/>
  <c r="J20" i="3"/>
  <c r="B21" i="3"/>
  <c r="U66" i="2" s="1"/>
  <c r="E9" i="3"/>
  <c r="F9" i="3" s="1"/>
  <c r="K20" i="3"/>
  <c r="C21" i="3"/>
  <c r="V20" i="3"/>
  <c r="W21" i="3"/>
  <c r="B20" i="3"/>
  <c r="U65" i="2" s="1"/>
  <c r="D21" i="3"/>
  <c r="D20" i="3"/>
  <c r="E21" i="3"/>
  <c r="G21" i="3"/>
  <c r="H20" i="3"/>
  <c r="AB20" i="3" s="1"/>
  <c r="H21" i="3"/>
  <c r="AB21" i="3" s="1"/>
  <c r="AA21" i="3"/>
  <c r="I20" i="3"/>
  <c r="AD20" i="3" s="1"/>
  <c r="K21" i="3"/>
  <c r="W20" i="3"/>
  <c r="AA9" i="3"/>
  <c r="H9" i="3"/>
  <c r="AB9" i="3" s="1"/>
  <c r="Q11" i="5"/>
  <c r="F22" i="5" s="1"/>
  <c r="F5" i="5"/>
  <c r="N10" i="2" s="1"/>
  <c r="D5" i="5"/>
  <c r="L10" i="2" s="1"/>
  <c r="J9" i="3"/>
  <c r="A9" i="3"/>
  <c r="A14" i="2" s="1"/>
  <c r="D6" i="5"/>
  <c r="L11" i="2" s="1"/>
  <c r="F7" i="5"/>
  <c r="N12" i="2" s="1"/>
  <c r="F9" i="5"/>
  <c r="N14" i="2" s="1"/>
  <c r="E8" i="5"/>
  <c r="M13" i="2" s="1"/>
  <c r="F6" i="5"/>
  <c r="N11" i="2" s="1"/>
  <c r="Q14" i="5"/>
  <c r="F25" i="5" s="1"/>
  <c r="C9" i="5"/>
  <c r="K14" i="2" s="1"/>
  <c r="C6" i="5"/>
  <c r="K11" i="2" s="1"/>
  <c r="AA5" i="4"/>
  <c r="T5" i="2" s="1"/>
  <c r="C7" i="5"/>
  <c r="K12" i="2" s="1"/>
  <c r="C5" i="5"/>
  <c r="K10" i="2" s="1"/>
  <c r="C8" i="5"/>
  <c r="K13" i="2" s="1"/>
  <c r="G6" i="5"/>
  <c r="O11" i="2" s="1"/>
  <c r="Q21" i="5"/>
  <c r="C32" i="5" s="1"/>
  <c r="Q9" i="5"/>
  <c r="C20" i="5" s="1"/>
  <c r="Q19" i="5"/>
  <c r="C30" i="5" s="1"/>
  <c r="E5" i="5"/>
  <c r="M10" i="2" s="1"/>
  <c r="G8" i="5"/>
  <c r="O13" i="2" s="1"/>
  <c r="E9" i="5"/>
  <c r="M14" i="2" s="1"/>
  <c r="Q8" i="5"/>
  <c r="F19" i="5" s="1"/>
  <c r="Q18" i="5"/>
  <c r="F29" i="5" s="1"/>
  <c r="G5" i="5"/>
  <c r="O10" i="2" s="1"/>
  <c r="D9" i="5"/>
  <c r="L14" i="2" s="1"/>
  <c r="E7" i="5"/>
  <c r="M12" i="2" s="1"/>
  <c r="Q15" i="5"/>
  <c r="G26" i="5" s="1"/>
  <c r="E6" i="5"/>
  <c r="M11" i="2" s="1"/>
  <c r="Q7" i="5"/>
  <c r="G18" i="5" s="1"/>
  <c r="G9" i="5"/>
  <c r="O14" i="2" s="1"/>
  <c r="D8" i="5"/>
  <c r="L13" i="2" s="1"/>
  <c r="F8" i="5"/>
  <c r="N13" i="2" s="1"/>
  <c r="AA13" i="4"/>
  <c r="AN17" i="8" s="1"/>
  <c r="AA12" i="4"/>
  <c r="Q26" i="8"/>
  <c r="E26" i="8"/>
  <c r="L26" i="8"/>
  <c r="T26" i="8"/>
  <c r="F26" i="8"/>
  <c r="C26" i="8"/>
  <c r="R26" i="8"/>
  <c r="A26" i="8"/>
  <c r="K26" i="8"/>
  <c r="J26" i="8"/>
  <c r="I26" i="8"/>
  <c r="G26" i="8"/>
  <c r="B26" i="8"/>
  <c r="M26" i="8"/>
  <c r="H26" i="8"/>
  <c r="D26" i="8"/>
  <c r="L16" i="8"/>
  <c r="B16" i="8"/>
  <c r="K16" i="8"/>
  <c r="M16" i="8"/>
  <c r="H16" i="8"/>
  <c r="J16" i="8" s="1"/>
  <c r="F16" i="8"/>
  <c r="T16" i="8"/>
  <c r="E16" i="8"/>
  <c r="D16" i="8"/>
  <c r="C16" i="8"/>
  <c r="Q16" i="8"/>
  <c r="A16" i="8"/>
  <c r="R16" i="8"/>
  <c r="G16" i="8"/>
  <c r="L10" i="8"/>
  <c r="B10" i="8"/>
  <c r="K10" i="8"/>
  <c r="G10" i="8"/>
  <c r="F10" i="8"/>
  <c r="E10" i="8"/>
  <c r="D10" i="8"/>
  <c r="M10" i="8"/>
  <c r="C10" i="8"/>
  <c r="A10" i="8"/>
  <c r="R10" i="8"/>
  <c r="T10" i="8"/>
  <c r="Q10" i="8"/>
  <c r="H10" i="8"/>
  <c r="I10" i="8" s="1"/>
  <c r="Q23" i="5"/>
  <c r="J11" i="3"/>
  <c r="I11" i="3"/>
  <c r="AD11" i="3" s="1"/>
  <c r="H11" i="3"/>
  <c r="AB11" i="3" s="1"/>
  <c r="AA11" i="3"/>
  <c r="Y11" i="3"/>
  <c r="D11" i="3"/>
  <c r="E11" i="3"/>
  <c r="C11" i="3"/>
  <c r="Z11" i="3"/>
  <c r="B11" i="3"/>
  <c r="A11" i="3"/>
  <c r="L22" i="8"/>
  <c r="T22" i="8"/>
  <c r="G22" i="8"/>
  <c r="H22" i="8"/>
  <c r="J22" i="8"/>
  <c r="I22" i="8"/>
  <c r="F22" i="8"/>
  <c r="E22" i="8"/>
  <c r="R22" i="8"/>
  <c r="C22" i="8"/>
  <c r="Q22" i="8"/>
  <c r="B22" i="8"/>
  <c r="M22" i="8"/>
  <c r="K22" i="8"/>
  <c r="A22" i="8"/>
  <c r="D22" i="8"/>
  <c r="S12" i="4"/>
  <c r="R12" i="4"/>
  <c r="A24" i="3"/>
  <c r="J24" i="3"/>
  <c r="AA24" i="3"/>
  <c r="G24" i="3"/>
  <c r="Z24" i="3"/>
  <c r="H24" i="3"/>
  <c r="AB24" i="3" s="1"/>
  <c r="E24" i="3"/>
  <c r="C24" i="3"/>
  <c r="Y24" i="3"/>
  <c r="X24" i="3"/>
  <c r="W24" i="3"/>
  <c r="V24" i="3"/>
  <c r="I24" i="3"/>
  <c r="AD24" i="3" s="1"/>
  <c r="D24" i="3"/>
  <c r="B24" i="3"/>
  <c r="U69" i="2" s="1"/>
  <c r="K24" i="3"/>
  <c r="CK7" i="4"/>
  <c r="DO7" i="2"/>
  <c r="CM18" i="4"/>
  <c r="DQ18" i="2"/>
  <c r="CG18" i="4"/>
  <c r="BB18" i="4"/>
  <c r="BY18" i="4"/>
  <c r="AX18" i="4"/>
  <c r="CR18" i="2"/>
  <c r="DD18" i="2"/>
  <c r="CO18" i="2"/>
  <c r="BU18" i="4"/>
  <c r="CI18" i="4"/>
  <c r="BF18" i="4"/>
  <c r="AV18" i="4"/>
  <c r="CC18" i="2"/>
  <c r="CG18" i="2"/>
  <c r="DK18" i="2"/>
  <c r="BI18" i="4"/>
  <c r="BN18" i="4"/>
  <c r="BW18" i="4"/>
  <c r="DH18" i="2"/>
  <c r="DE18" i="2"/>
  <c r="DA18" i="2"/>
  <c r="CK18" i="2"/>
  <c r="AW18" i="4"/>
  <c r="AU18" i="4"/>
  <c r="BC18" i="4"/>
  <c r="CV18" i="2"/>
  <c r="CP18" i="2"/>
  <c r="CE18" i="2"/>
  <c r="CY18" i="2"/>
  <c r="BS18" i="4"/>
  <c r="BM18" i="4"/>
  <c r="AY18" i="4"/>
  <c r="DI18" i="2"/>
  <c r="DC18" i="2"/>
  <c r="CD18" i="2"/>
  <c r="DL18" i="2"/>
  <c r="BK18" i="4"/>
  <c r="CH18" i="2"/>
  <c r="BZ18" i="2"/>
  <c r="DG18" i="2"/>
  <c r="CH18" i="4"/>
  <c r="CE18" i="4"/>
  <c r="BT18" i="4"/>
  <c r="CJ18" i="2"/>
  <c r="CA18" i="2"/>
  <c r="CZ18" i="2"/>
  <c r="CX18" i="2"/>
  <c r="CF18" i="4"/>
  <c r="BV18" i="4"/>
  <c r="BY18" i="2"/>
  <c r="CW18" i="2"/>
  <c r="BE18" i="4"/>
  <c r="CC18" i="4"/>
  <c r="BZ18" i="4"/>
  <c r="CU18" i="2"/>
  <c r="CN18" i="2"/>
  <c r="CB18" i="2"/>
  <c r="CL18" i="2"/>
  <c r="BL18" i="4"/>
  <c r="CD18" i="4"/>
  <c r="CA18" i="4"/>
  <c r="BG18" i="4"/>
  <c r="CF18" i="2"/>
  <c r="CQ18" i="2"/>
  <c r="AZ18" i="4"/>
  <c r="BP18" i="4"/>
  <c r="BH18" i="4"/>
  <c r="BA18" i="4"/>
  <c r="DJ18" i="2"/>
  <c r="CI18" i="2"/>
  <c r="DM18" i="2"/>
  <c r="CJ18" i="4"/>
  <c r="BR18" i="4"/>
  <c r="CB18" i="4"/>
  <c r="BQ18" i="4"/>
  <c r="DF18" i="2"/>
  <c r="DB18" i="2"/>
  <c r="CT18" i="2"/>
  <c r="BX18" i="4"/>
  <c r="BD18" i="4"/>
  <c r="BJ18" i="4"/>
  <c r="BO18" i="4"/>
  <c r="CS18" i="2"/>
  <c r="CM18" i="2"/>
  <c r="DN18" i="2"/>
  <c r="AK23" i="6"/>
  <c r="AK16" i="6"/>
  <c r="AK9" i="6"/>
  <c r="AK24" i="6"/>
  <c r="AK22" i="6"/>
  <c r="AK15" i="6"/>
  <c r="AK13" i="6"/>
  <c r="AK12" i="6"/>
  <c r="AK10" i="6"/>
  <c r="AK5" i="6"/>
  <c r="AK8" i="6"/>
  <c r="AK19" i="6"/>
  <c r="AK21" i="6"/>
  <c r="AK14" i="6"/>
  <c r="AK20" i="6"/>
  <c r="AK17" i="6"/>
  <c r="AK11" i="6"/>
  <c r="AK6" i="6"/>
  <c r="AK7" i="6"/>
  <c r="AK18" i="6"/>
  <c r="Q20" i="5"/>
  <c r="B11" i="8"/>
  <c r="A11" i="8"/>
  <c r="H11" i="8"/>
  <c r="I11" i="8" s="1"/>
  <c r="G11" i="8"/>
  <c r="T11" i="8"/>
  <c r="E11" i="8"/>
  <c r="D11" i="8"/>
  <c r="M11" i="8"/>
  <c r="L11" i="8"/>
  <c r="C11" i="8"/>
  <c r="R11" i="8"/>
  <c r="Q11" i="8"/>
  <c r="K11" i="8"/>
  <c r="F11" i="8"/>
  <c r="A10" i="3"/>
  <c r="J10" i="3"/>
  <c r="I10" i="3"/>
  <c r="AD10" i="3" s="1"/>
  <c r="Z10" i="3"/>
  <c r="E10" i="3"/>
  <c r="Y10" i="3"/>
  <c r="H10" i="3"/>
  <c r="AB10" i="3" s="1"/>
  <c r="AA10" i="3"/>
  <c r="D10" i="3"/>
  <c r="C10" i="3"/>
  <c r="B10" i="3"/>
  <c r="G10" i="3" s="1"/>
  <c r="T20" i="8"/>
  <c r="H20" i="8"/>
  <c r="J20" i="8" s="1"/>
  <c r="R20" i="8"/>
  <c r="D20" i="8"/>
  <c r="M20" i="8"/>
  <c r="L20" i="8"/>
  <c r="G20" i="8"/>
  <c r="C20" i="8"/>
  <c r="A20" i="8"/>
  <c r="F20" i="8"/>
  <c r="Q20" i="8"/>
  <c r="K20" i="8"/>
  <c r="E20" i="8"/>
  <c r="B20" i="8"/>
  <c r="CM7" i="4"/>
  <c r="DQ7" i="2"/>
  <c r="DK7" i="2"/>
  <c r="DD7" i="2"/>
  <c r="DB7" i="2"/>
  <c r="CX7" i="2"/>
  <c r="CQ7" i="2"/>
  <c r="CN7" i="2"/>
  <c r="CK7" i="2"/>
  <c r="CD7" i="2"/>
  <c r="CA7" i="2"/>
  <c r="BR7" i="4"/>
  <c r="BU7" i="4"/>
  <c r="BV7" i="4"/>
  <c r="BZ7" i="4"/>
  <c r="CU7" i="2"/>
  <c r="CP7" i="2"/>
  <c r="CW7" i="2"/>
  <c r="BF7" i="4"/>
  <c r="BG7" i="4"/>
  <c r="AW7" i="4"/>
  <c r="BA7" i="4"/>
  <c r="CH7" i="2"/>
  <c r="CB7" i="2"/>
  <c r="CJ7" i="2"/>
  <c r="CB7" i="4"/>
  <c r="DM7" i="2"/>
  <c r="BN7" i="4"/>
  <c r="AZ7" i="4"/>
  <c r="CR7" i="2"/>
  <c r="DN7" i="2"/>
  <c r="BP7" i="4"/>
  <c r="DA7" i="2"/>
  <c r="BL7" i="4"/>
  <c r="AX7" i="4"/>
  <c r="DG7" i="2"/>
  <c r="CZ7" i="2"/>
  <c r="BD7" i="4"/>
  <c r="CO7" i="2"/>
  <c r="CJ7" i="4"/>
  <c r="AU7" i="4"/>
  <c r="CT7" i="2"/>
  <c r="CM7" i="2"/>
  <c r="CA7" i="4"/>
  <c r="CC7" i="2"/>
  <c r="BK7" i="4"/>
  <c r="BY7" i="4"/>
  <c r="CG7" i="2"/>
  <c r="BZ7" i="2"/>
  <c r="BM7" i="4"/>
  <c r="CH7" i="4"/>
  <c r="CF7" i="4"/>
  <c r="BW7" i="4"/>
  <c r="DF7" i="2"/>
  <c r="BO7" i="4"/>
  <c r="AY7" i="4"/>
  <c r="BT7" i="4"/>
  <c r="BI7" i="4"/>
  <c r="BQ7" i="4"/>
  <c r="CS7" i="2"/>
  <c r="DL7" i="2"/>
  <c r="BX7" i="4"/>
  <c r="BE7" i="4"/>
  <c r="CE7" i="4"/>
  <c r="DI7" i="2"/>
  <c r="CF7" i="2"/>
  <c r="CY7" i="2"/>
  <c r="BJ7" i="4"/>
  <c r="CG7" i="4"/>
  <c r="BH7" i="4"/>
  <c r="CV7" i="2"/>
  <c r="DE7" i="2"/>
  <c r="CL7" i="2"/>
  <c r="AV7" i="4"/>
  <c r="BS7" i="4"/>
  <c r="CC7" i="4"/>
  <c r="CI7" i="2"/>
  <c r="CE7" i="2"/>
  <c r="BY7" i="2"/>
  <c r="CD7" i="4"/>
  <c r="CI7" i="4"/>
  <c r="BC7" i="4"/>
  <c r="BB7" i="4"/>
  <c r="DH7" i="2"/>
  <c r="DC7" i="2"/>
  <c r="DJ7" i="2"/>
  <c r="X19" i="3"/>
  <c r="D19" i="3"/>
  <c r="J19" i="3"/>
  <c r="I19" i="3"/>
  <c r="AD19" i="3" s="1"/>
  <c r="G19" i="3"/>
  <c r="AA19" i="3"/>
  <c r="C19" i="3"/>
  <c r="Z19" i="3"/>
  <c r="B19" i="3"/>
  <c r="U64" i="2" s="1"/>
  <c r="W19" i="3"/>
  <c r="K19" i="3"/>
  <c r="H19" i="3"/>
  <c r="AB19" i="3" s="1"/>
  <c r="E19" i="3"/>
  <c r="A19" i="3"/>
  <c r="Y19" i="3"/>
  <c r="V19" i="3"/>
  <c r="DQ9" i="2"/>
  <c r="CM9" i="4"/>
  <c r="Q16" i="5"/>
  <c r="Q13" i="5"/>
  <c r="BO16" i="4"/>
  <c r="BI16" i="4"/>
  <c r="BC16" i="4"/>
  <c r="BA16" i="4"/>
  <c r="AZ16" i="4"/>
  <c r="DN16" i="2"/>
  <c r="DB16" i="2"/>
  <c r="CP16" i="2"/>
  <c r="CD16" i="2"/>
  <c r="CM16" i="4"/>
  <c r="CJ16" i="4"/>
  <c r="CG16" i="4"/>
  <c r="CH16" i="4"/>
  <c r="DQ16" i="2"/>
  <c r="DD16" i="2"/>
  <c r="CQ16" i="2"/>
  <c r="CC16" i="2"/>
  <c r="DM16" i="2"/>
  <c r="DK16" i="2"/>
  <c r="CW16" i="2"/>
  <c r="CI16" i="2"/>
  <c r="DJ16" i="2"/>
  <c r="CV16" i="2"/>
  <c r="CH16" i="2"/>
  <c r="CX16" i="2"/>
  <c r="CF16" i="2"/>
  <c r="CU16" i="2"/>
  <c r="CE16" i="2"/>
  <c r="BZ16" i="2"/>
  <c r="DL16" i="2"/>
  <c r="CT16" i="2"/>
  <c r="CB16" i="2"/>
  <c r="DI16" i="2"/>
  <c r="CS16" i="2"/>
  <c r="CA16" i="2"/>
  <c r="DF16" i="2"/>
  <c r="CN16" i="2"/>
  <c r="DE16" i="2"/>
  <c r="CM16" i="2"/>
  <c r="DC16" i="2"/>
  <c r="CL16" i="2"/>
  <c r="DA16" i="2"/>
  <c r="CK16" i="2"/>
  <c r="CY16" i="2"/>
  <c r="CG16" i="2"/>
  <c r="DH16" i="2"/>
  <c r="CR16" i="2"/>
  <c r="DG16" i="2"/>
  <c r="CZ16" i="2"/>
  <c r="CO16" i="2"/>
  <c r="CJ16" i="2"/>
  <c r="BY16" i="2"/>
  <c r="CF16" i="4"/>
  <c r="BY16" i="4"/>
  <c r="BN16" i="4"/>
  <c r="BJ16" i="4"/>
  <c r="CE16" i="4"/>
  <c r="AY16" i="4"/>
  <c r="BW16" i="4"/>
  <c r="BS16" i="4"/>
  <c r="CC16" i="4"/>
  <c r="BH16" i="4"/>
  <c r="BU16" i="4"/>
  <c r="BG16" i="4"/>
  <c r="BM16" i="4"/>
  <c r="BV16" i="4"/>
  <c r="AU16" i="4"/>
  <c r="AX16" i="4"/>
  <c r="BE16" i="4"/>
  <c r="BX16" i="4"/>
  <c r="CD16" i="4"/>
  <c r="CA16" i="4"/>
  <c r="CI16" i="4"/>
  <c r="BR16" i="4"/>
  <c r="BL16" i="4"/>
  <c r="BT16" i="4"/>
  <c r="BF16" i="4"/>
  <c r="AW16" i="4"/>
  <c r="BB16" i="4"/>
  <c r="CB16" i="4"/>
  <c r="BZ16" i="4"/>
  <c r="BQ16" i="4"/>
  <c r="BP16" i="4"/>
  <c r="BK16" i="4"/>
  <c r="BD16" i="4"/>
  <c r="AV16" i="4"/>
  <c r="A6" i="3"/>
  <c r="A11" i="2" s="1"/>
  <c r="Y6" i="3"/>
  <c r="D6" i="3"/>
  <c r="J6" i="3"/>
  <c r="H6" i="3"/>
  <c r="AB6" i="3" s="1"/>
  <c r="Z6" i="3"/>
  <c r="I6" i="3"/>
  <c r="AD6" i="3" s="1"/>
  <c r="C6" i="3"/>
  <c r="B6" i="3"/>
  <c r="G6" i="3" s="1"/>
  <c r="AA6" i="3"/>
  <c r="E6" i="3"/>
  <c r="D12" i="8"/>
  <c r="T12" i="8"/>
  <c r="G12" i="8"/>
  <c r="E12" i="8"/>
  <c r="F12" i="8"/>
  <c r="C12" i="8"/>
  <c r="Q12" i="8"/>
  <c r="A12" i="8"/>
  <c r="B12" i="8"/>
  <c r="M12" i="8"/>
  <c r="L12" i="8"/>
  <c r="K12" i="8"/>
  <c r="H12" i="8"/>
  <c r="J12" i="8" s="1"/>
  <c r="R12" i="8"/>
  <c r="CM8" i="4"/>
  <c r="DQ8" i="2"/>
  <c r="CH8" i="2"/>
  <c r="CE8" i="2"/>
  <c r="DH8" i="2"/>
  <c r="DJ8" i="2"/>
  <c r="DE8" i="2"/>
  <c r="CW8" i="2"/>
  <c r="CR8" i="2"/>
  <c r="CU8" i="2"/>
  <c r="CJ8" i="2"/>
  <c r="AV8" i="4"/>
  <c r="CD8" i="2"/>
  <c r="BM8" i="4"/>
  <c r="CB8" i="2"/>
  <c r="BY8" i="2"/>
  <c r="DD8" i="2"/>
  <c r="BV8" i="4"/>
  <c r="CG8" i="4"/>
  <c r="BL8" i="4"/>
  <c r="DA8" i="2"/>
  <c r="CC8" i="4"/>
  <c r="CQ8" i="2"/>
  <c r="CB8" i="4"/>
  <c r="BG8" i="4"/>
  <c r="BR8" i="4"/>
  <c r="BI8" i="4"/>
  <c r="CN8" i="2"/>
  <c r="AU8" i="4"/>
  <c r="CC8" i="2"/>
  <c r="BP8" i="4"/>
  <c r="CJ8" i="4"/>
  <c r="BA8" i="4"/>
  <c r="BH8" i="4"/>
  <c r="CA8" i="2"/>
  <c r="DI8" i="2"/>
  <c r="DK8" i="2"/>
  <c r="BD8" i="4"/>
  <c r="BU8" i="4"/>
  <c r="CF8" i="4"/>
  <c r="CI8" i="4"/>
  <c r="CX8" i="2"/>
  <c r="CV8" i="2"/>
  <c r="CK8" i="2"/>
  <c r="BZ8" i="4"/>
  <c r="BF8" i="4"/>
  <c r="BQ8" i="4"/>
  <c r="BE8" i="4"/>
  <c r="DM8" i="2"/>
  <c r="CI8" i="2"/>
  <c r="BN8" i="4"/>
  <c r="CH8" i="4"/>
  <c r="AZ8" i="4"/>
  <c r="BY8" i="4"/>
  <c r="CZ8" i="2"/>
  <c r="DG8" i="2"/>
  <c r="BB8" i="4"/>
  <c r="BS8" i="4"/>
  <c r="CD8" i="4"/>
  <c r="AY8" i="4"/>
  <c r="CM8" i="2"/>
  <c r="CT8" i="2"/>
  <c r="BX8" i="4"/>
  <c r="BC8" i="4"/>
  <c r="AX8" i="4"/>
  <c r="AW8" i="4"/>
  <c r="BZ8" i="2"/>
  <c r="CG8" i="2"/>
  <c r="BJ8" i="4"/>
  <c r="DN8" i="2"/>
  <c r="BW8" i="4"/>
  <c r="CE8" i="4"/>
  <c r="DL8" i="2"/>
  <c r="DF8" i="2"/>
  <c r="CA8" i="4"/>
  <c r="DB8" i="2"/>
  <c r="BT8" i="4"/>
  <c r="DC8" i="2"/>
  <c r="CY8" i="2"/>
  <c r="CS8" i="2"/>
  <c r="BK8" i="4"/>
  <c r="CP8" i="2"/>
  <c r="BO8" i="4"/>
  <c r="CO8" i="2"/>
  <c r="CL8" i="2"/>
  <c r="CF8" i="2"/>
  <c r="CK15" i="4"/>
  <c r="DO15" i="2"/>
  <c r="CM6" i="4"/>
  <c r="DQ6" i="2"/>
  <c r="CK14" i="4"/>
  <c r="DO14" i="2"/>
  <c r="AA16" i="3"/>
  <c r="Z16" i="3"/>
  <c r="J16" i="3"/>
  <c r="I16" i="3"/>
  <c r="AD16" i="3" s="1"/>
  <c r="E16" i="3"/>
  <c r="Y16" i="3"/>
  <c r="C16" i="3"/>
  <c r="H16" i="3"/>
  <c r="AB16" i="3" s="1"/>
  <c r="D16" i="3"/>
  <c r="B16" i="3"/>
  <c r="A16" i="3"/>
  <c r="Q10" i="5"/>
  <c r="R13" i="8"/>
  <c r="F13" i="8"/>
  <c r="L13" i="8"/>
  <c r="E13" i="8"/>
  <c r="T13" i="8"/>
  <c r="D13" i="8"/>
  <c r="C13" i="8"/>
  <c r="Q13" i="8"/>
  <c r="B13" i="8"/>
  <c r="M13" i="8"/>
  <c r="K13" i="8"/>
  <c r="G13" i="8"/>
  <c r="A13" i="8"/>
  <c r="H13" i="8"/>
  <c r="I13" i="8" s="1"/>
  <c r="CK8" i="4"/>
  <c r="DO8" i="2"/>
  <c r="CM15" i="4"/>
  <c r="CE15" i="4"/>
  <c r="BA15" i="4"/>
  <c r="DM15" i="2"/>
  <c r="DL15" i="2"/>
  <c r="CX15" i="2"/>
  <c r="CK15" i="2"/>
  <c r="DE15" i="2"/>
  <c r="CQ15" i="2"/>
  <c r="CC15" i="2"/>
  <c r="DD15" i="2"/>
  <c r="CP15" i="2"/>
  <c r="CB15" i="2"/>
  <c r="DA15" i="2"/>
  <c r="CL15" i="2"/>
  <c r="DC15" i="2"/>
  <c r="CO15" i="2"/>
  <c r="BZ15" i="2"/>
  <c r="DQ15" i="2"/>
  <c r="DB15" i="2"/>
  <c r="CN15" i="2"/>
  <c r="BY15" i="2"/>
  <c r="DN15" i="2"/>
  <c r="CW15" i="2"/>
  <c r="CI15" i="2"/>
  <c r="DJ15" i="2"/>
  <c r="CV15" i="2"/>
  <c r="CH15" i="2"/>
  <c r="DI15" i="2"/>
  <c r="CU15" i="2"/>
  <c r="CG15" i="2"/>
  <c r="DH15" i="2"/>
  <c r="CT15" i="2"/>
  <c r="CF15" i="2"/>
  <c r="DF15" i="2"/>
  <c r="CR15" i="2"/>
  <c r="CD15" i="2"/>
  <c r="CJ15" i="2"/>
  <c r="CE15" i="2"/>
  <c r="CZ15" i="2"/>
  <c r="DG15" i="2"/>
  <c r="CS15" i="2"/>
  <c r="CG15" i="4"/>
  <c r="CD15" i="4"/>
  <c r="CI15" i="4"/>
  <c r="BL15" i="4"/>
  <c r="BO15" i="4"/>
  <c r="BR15" i="4"/>
  <c r="BU15" i="4"/>
  <c r="BV15" i="4"/>
  <c r="BK15" i="4"/>
  <c r="BF15" i="4"/>
  <c r="BG15" i="4"/>
  <c r="BH15" i="4"/>
  <c r="CB15" i="4"/>
  <c r="CH15" i="4"/>
  <c r="AX15" i="4"/>
  <c r="CJ15" i="4"/>
  <c r="BP15" i="4"/>
  <c r="BT15" i="4"/>
  <c r="BN15" i="4"/>
  <c r="BZ15" i="4"/>
  <c r="BD15" i="4"/>
  <c r="BE15" i="4"/>
  <c r="BX15" i="4"/>
  <c r="CF15" i="4"/>
  <c r="BJ15" i="4"/>
  <c r="BQ15" i="4"/>
  <c r="BS15" i="4"/>
  <c r="CA15" i="2"/>
  <c r="AV15" i="4"/>
  <c r="BB15" i="4"/>
  <c r="AW15" i="4"/>
  <c r="AZ15" i="4"/>
  <c r="CM15" i="2"/>
  <c r="BW15" i="4"/>
  <c r="CA15" i="4"/>
  <c r="BY15" i="4"/>
  <c r="CC15" i="4"/>
  <c r="CY15" i="2"/>
  <c r="BI15" i="4"/>
  <c r="BM15" i="4"/>
  <c r="BC15" i="4"/>
  <c r="DK15" i="2"/>
  <c r="AU15" i="4"/>
  <c r="AY15" i="4"/>
  <c r="G27" i="8"/>
  <c r="Q27" i="8"/>
  <c r="D27" i="8"/>
  <c r="A27" i="8"/>
  <c r="T27" i="8"/>
  <c r="B27" i="8"/>
  <c r="R27" i="8"/>
  <c r="M27" i="8"/>
  <c r="K27" i="8"/>
  <c r="J27" i="8"/>
  <c r="I27" i="8"/>
  <c r="F27" i="8"/>
  <c r="C27" i="8"/>
  <c r="L27" i="8"/>
  <c r="H27" i="8"/>
  <c r="E27" i="8"/>
  <c r="X17" i="3"/>
  <c r="D17" i="3"/>
  <c r="W17" i="3"/>
  <c r="C17" i="3"/>
  <c r="V17" i="3"/>
  <c r="K17" i="3"/>
  <c r="J17" i="3"/>
  <c r="H17" i="3"/>
  <c r="AB17" i="3" s="1"/>
  <c r="I17" i="3"/>
  <c r="AD17" i="3" s="1"/>
  <c r="G17" i="3"/>
  <c r="E17" i="3"/>
  <c r="B17" i="3"/>
  <c r="U62" i="2" s="1"/>
  <c r="A17" i="3"/>
  <c r="AA17" i="3"/>
  <c r="Z17" i="3"/>
  <c r="Y17" i="3"/>
  <c r="AB19" i="4"/>
  <c r="T19" i="2"/>
  <c r="Q22" i="5"/>
  <c r="Q6" i="5"/>
  <c r="D7" i="5"/>
  <c r="L12" i="2" s="1"/>
  <c r="CM14" i="4"/>
  <c r="BL14" i="4"/>
  <c r="DN14" i="2"/>
  <c r="DA14" i="2"/>
  <c r="CN14" i="2"/>
  <c r="DQ14" i="2"/>
  <c r="DC14" i="2"/>
  <c r="CO14" i="2"/>
  <c r="CA14" i="2"/>
  <c r="DB14" i="2"/>
  <c r="CM14" i="2"/>
  <c r="BZ14" i="2"/>
  <c r="CX14" i="2"/>
  <c r="CZ14" i="2"/>
  <c r="CL14" i="2"/>
  <c r="BY14" i="2"/>
  <c r="DM14" i="2"/>
  <c r="CY14" i="2"/>
  <c r="CK14" i="2"/>
  <c r="DJ14" i="2"/>
  <c r="CV14" i="2"/>
  <c r="CG14" i="2"/>
  <c r="DI14" i="2"/>
  <c r="CU14" i="2"/>
  <c r="CF14" i="2"/>
  <c r="DH14" i="2"/>
  <c r="CS14" i="2"/>
  <c r="CE14" i="2"/>
  <c r="DG14" i="2"/>
  <c r="CR14" i="2"/>
  <c r="CD14" i="2"/>
  <c r="DD14" i="2"/>
  <c r="CP14" i="2"/>
  <c r="CB14" i="2"/>
  <c r="DL14" i="2"/>
  <c r="CJ14" i="2"/>
  <c r="CI14" i="2"/>
  <c r="CC14" i="2"/>
  <c r="DK14" i="2"/>
  <c r="DE14" i="2"/>
  <c r="CW14" i="2"/>
  <c r="CQ14" i="2"/>
  <c r="BU14" i="4"/>
  <c r="BJ14" i="4"/>
  <c r="BW14" i="4"/>
  <c r="BK14" i="4"/>
  <c r="BG14" i="4"/>
  <c r="AV14" i="4"/>
  <c r="AX14" i="4"/>
  <c r="CH14" i="4"/>
  <c r="CG14" i="4"/>
  <c r="BV14" i="4"/>
  <c r="BT14" i="4"/>
  <c r="BI14" i="4"/>
  <c r="AW14" i="4"/>
  <c r="BF14" i="4"/>
  <c r="CE14" i="4"/>
  <c r="BS14" i="4"/>
  <c r="CB14" i="4"/>
  <c r="CF14" i="4"/>
  <c r="BH14" i="4"/>
  <c r="AU14" i="4"/>
  <c r="BP14" i="4"/>
  <c r="BR14" i="4"/>
  <c r="CD14" i="4"/>
  <c r="DF14" i="2"/>
  <c r="BD14" i="4"/>
  <c r="BC14" i="4"/>
  <c r="BE14" i="4"/>
  <c r="CT14" i="2"/>
  <c r="BZ14" i="4"/>
  <c r="CC14" i="4"/>
  <c r="CA14" i="4"/>
  <c r="CH14" i="2"/>
  <c r="BN14" i="4"/>
  <c r="BM14" i="4"/>
  <c r="BA14" i="4"/>
  <c r="BQ14" i="4"/>
  <c r="BB14" i="4"/>
  <c r="AY14" i="4"/>
  <c r="BY14" i="4"/>
  <c r="BO14" i="4"/>
  <c r="CI14" i="4"/>
  <c r="BX14" i="4"/>
  <c r="AZ14" i="4"/>
  <c r="CJ14" i="4"/>
  <c r="AA22" i="3"/>
  <c r="G22" i="3"/>
  <c r="X22" i="3"/>
  <c r="D22" i="3"/>
  <c r="A22" i="3"/>
  <c r="K22" i="3"/>
  <c r="H22" i="3"/>
  <c r="AB22" i="3" s="1"/>
  <c r="C22" i="3"/>
  <c r="Z22" i="3"/>
  <c r="Y22" i="3"/>
  <c r="W22" i="3"/>
  <c r="V22" i="3"/>
  <c r="J22" i="3"/>
  <c r="I22" i="3"/>
  <c r="AD22" i="3" s="1"/>
  <c r="E22" i="3"/>
  <c r="B22" i="3"/>
  <c r="U67" i="2" s="1"/>
  <c r="R19" i="4"/>
  <c r="S19" i="4"/>
  <c r="Q12" i="5"/>
  <c r="Q5" i="5"/>
  <c r="G7" i="5"/>
  <c r="O12" i="2" s="1"/>
  <c r="CK23" i="4"/>
  <c r="DO23" i="2"/>
  <c r="J7" i="3"/>
  <c r="C7" i="3"/>
  <c r="I7" i="3"/>
  <c r="AD7" i="3" s="1"/>
  <c r="H7" i="3"/>
  <c r="AB7" i="3" s="1"/>
  <c r="E7" i="3"/>
  <c r="D7" i="3"/>
  <c r="B7" i="3"/>
  <c r="G7" i="3" s="1"/>
  <c r="A7" i="3"/>
  <c r="A12" i="2" s="1"/>
  <c r="AA7" i="3"/>
  <c r="Z7" i="3"/>
  <c r="Y7" i="3"/>
  <c r="Q24" i="5"/>
  <c r="Q17" i="5"/>
  <c r="J21" i="8"/>
  <c r="B21" i="8"/>
  <c r="M21" i="8"/>
  <c r="L21" i="8"/>
  <c r="K21" i="8"/>
  <c r="I21" i="8"/>
  <c r="H21" i="8"/>
  <c r="F21" i="8"/>
  <c r="T21" i="8"/>
  <c r="E21" i="8"/>
  <c r="A21" i="8"/>
  <c r="Q21" i="8"/>
  <c r="D21" i="8"/>
  <c r="G21" i="8"/>
  <c r="C21" i="8"/>
  <c r="R21" i="8"/>
  <c r="S13" i="4"/>
  <c r="R13" i="4"/>
  <c r="CK10" i="4"/>
  <c r="DO10" i="2"/>
  <c r="AA12" i="3"/>
  <c r="I12" i="3"/>
  <c r="AD12" i="3" s="1"/>
  <c r="H12" i="3"/>
  <c r="AB12" i="3" s="1"/>
  <c r="Z12" i="3"/>
  <c r="E12" i="3"/>
  <c r="C12" i="3"/>
  <c r="J12" i="3"/>
  <c r="D12" i="3"/>
  <c r="B12" i="3"/>
  <c r="A12" i="3"/>
  <c r="Y12" i="3"/>
  <c r="Q9" i="8"/>
  <c r="D9" i="8"/>
  <c r="G9" i="8"/>
  <c r="L9" i="8"/>
  <c r="K9" i="8"/>
  <c r="E9" i="8"/>
  <c r="H9" i="8"/>
  <c r="J9" i="8" s="1"/>
  <c r="F9" i="8"/>
  <c r="B9" i="8"/>
  <c r="T9" i="8"/>
  <c r="R9" i="8"/>
  <c r="A9" i="8"/>
  <c r="M9" i="8"/>
  <c r="C9" i="8"/>
  <c r="CM10" i="4"/>
  <c r="BK10" i="4"/>
  <c r="DE10" i="2"/>
  <c r="CR10" i="2"/>
  <c r="CE10" i="2"/>
  <c r="DQ10" i="2"/>
  <c r="DD10" i="2"/>
  <c r="CQ10" i="2"/>
  <c r="CD10" i="2"/>
  <c r="DN10" i="2"/>
  <c r="DC10" i="2"/>
  <c r="CP10" i="2"/>
  <c r="CC10" i="2"/>
  <c r="DB10" i="2"/>
  <c r="CO10" i="2"/>
  <c r="CB10" i="2"/>
  <c r="DA10" i="2"/>
  <c r="CA10" i="2"/>
  <c r="DL10" i="2"/>
  <c r="CY10" i="2"/>
  <c r="CL10" i="2"/>
  <c r="BY10" i="2"/>
  <c r="DK10" i="2"/>
  <c r="CX10" i="2"/>
  <c r="CK10" i="2"/>
  <c r="DJ10" i="2"/>
  <c r="CW10" i="2"/>
  <c r="CI10" i="2"/>
  <c r="DI10" i="2"/>
  <c r="CU10" i="2"/>
  <c r="CH10" i="2"/>
  <c r="DF10" i="2"/>
  <c r="CS10" i="2"/>
  <c r="CF10" i="2"/>
  <c r="CN10" i="2"/>
  <c r="CT10" i="2"/>
  <c r="DM10" i="2"/>
  <c r="DG10" i="2"/>
  <c r="CZ10" i="2"/>
  <c r="CM10" i="2"/>
  <c r="CG10" i="2"/>
  <c r="BZ10" i="2"/>
  <c r="AV10" i="4"/>
  <c r="BW10" i="4"/>
  <c r="BS10" i="4"/>
  <c r="CC10" i="4"/>
  <c r="CF10" i="4"/>
  <c r="BG10" i="4"/>
  <c r="BA10" i="4"/>
  <c r="BR10" i="4"/>
  <c r="BV10" i="4"/>
  <c r="CG10" i="4"/>
  <c r="BZ10" i="4"/>
  <c r="BD10" i="4"/>
  <c r="BF10" i="4"/>
  <c r="BP10" i="4"/>
  <c r="BQ10" i="4"/>
  <c r="BN10" i="4"/>
  <c r="CE10" i="4"/>
  <c r="BU10" i="4"/>
  <c r="AX10" i="4"/>
  <c r="BB10" i="4"/>
  <c r="BO10" i="4"/>
  <c r="BE10" i="4"/>
  <c r="CB10" i="4"/>
  <c r="AY10" i="4"/>
  <c r="CJ10" i="4"/>
  <c r="AW10" i="4"/>
  <c r="DH10" i="2"/>
  <c r="BX10" i="4"/>
  <c r="CD10" i="4"/>
  <c r="CV10" i="2"/>
  <c r="BL10" i="4"/>
  <c r="BM10" i="4"/>
  <c r="CJ10" i="2"/>
  <c r="AZ10" i="4"/>
  <c r="AU10" i="4"/>
  <c r="BT10" i="4"/>
  <c r="BY10" i="4"/>
  <c r="CA10" i="4"/>
  <c r="BC10" i="4"/>
  <c r="CH10" i="4"/>
  <c r="BJ10" i="4"/>
  <c r="BH10" i="4"/>
  <c r="CI10" i="4"/>
  <c r="BI10" i="4"/>
  <c r="B23" i="8"/>
  <c r="L23" i="8"/>
  <c r="Q23" i="8"/>
  <c r="C23" i="8"/>
  <c r="G23" i="8"/>
  <c r="F23" i="8"/>
  <c r="T23" i="8"/>
  <c r="E23" i="8"/>
  <c r="D23" i="8"/>
  <c r="A23" i="8"/>
  <c r="R23" i="8"/>
  <c r="K23" i="8"/>
  <c r="I23" i="8"/>
  <c r="M23" i="8"/>
  <c r="J23" i="8"/>
  <c r="H23" i="8"/>
  <c r="AB24" i="4"/>
  <c r="T24" i="2"/>
  <c r="A14" i="3"/>
  <c r="J14" i="3"/>
  <c r="AA14" i="3"/>
  <c r="Y14" i="3"/>
  <c r="D14" i="3"/>
  <c r="B14" i="3"/>
  <c r="G14" i="3" s="1"/>
  <c r="Z14" i="3"/>
  <c r="I14" i="3"/>
  <c r="AD14" i="3" s="1"/>
  <c r="H14" i="3"/>
  <c r="AB14" i="3" s="1"/>
  <c r="E14" i="3"/>
  <c r="C14" i="3"/>
  <c r="CK18" i="4"/>
  <c r="DO18" i="2"/>
  <c r="C25" i="8"/>
  <c r="T25" i="8"/>
  <c r="G25" i="8"/>
  <c r="K25" i="8"/>
  <c r="F25" i="8"/>
  <c r="R25" i="8"/>
  <c r="A25" i="8"/>
  <c r="Q25" i="8"/>
  <c r="L25" i="8"/>
  <c r="J25" i="8"/>
  <c r="I25" i="8"/>
  <c r="E25" i="8"/>
  <c r="B25" i="8"/>
  <c r="H25" i="8"/>
  <c r="D25" i="8"/>
  <c r="M25" i="8"/>
  <c r="CM20" i="4"/>
  <c r="DQ20" i="2"/>
  <c r="AX20" i="4"/>
  <c r="AZ20" i="4"/>
  <c r="BZ20" i="4"/>
  <c r="CY20" i="2"/>
  <c r="CI20" i="2"/>
  <c r="CU20" i="2"/>
  <c r="CB20" i="2"/>
  <c r="CB20" i="4"/>
  <c r="BX20" i="4"/>
  <c r="CI20" i="4"/>
  <c r="BW20" i="4"/>
  <c r="CL20" i="2"/>
  <c r="CX20" i="2"/>
  <c r="CA20" i="2"/>
  <c r="BP20" i="4"/>
  <c r="BJ20" i="4"/>
  <c r="BR20" i="4"/>
  <c r="BQ20" i="4"/>
  <c r="BY20" i="2"/>
  <c r="CH20" i="2"/>
  <c r="CT20" i="2"/>
  <c r="BD20" i="4"/>
  <c r="AV20" i="4"/>
  <c r="AW20" i="4"/>
  <c r="DN20" i="2"/>
  <c r="DJ20" i="2"/>
  <c r="DH20" i="2"/>
  <c r="CS20" i="2"/>
  <c r="BY20" i="4"/>
  <c r="BV20" i="4"/>
  <c r="CG20" i="4"/>
  <c r="DB20" i="2"/>
  <c r="CW20" i="2"/>
  <c r="CK20" i="2"/>
  <c r="DM20" i="2"/>
  <c r="BM20" i="4"/>
  <c r="BE20" i="4"/>
  <c r="BO20" i="4"/>
  <c r="CP20" i="2"/>
  <c r="CJ20" i="2"/>
  <c r="DG20" i="2"/>
  <c r="CR20" i="2"/>
  <c r="BA20" i="4"/>
  <c r="BU20" i="4"/>
  <c r="CF20" i="4"/>
  <c r="CD20" i="2"/>
  <c r="DE20" i="2"/>
  <c r="CG20" i="2"/>
  <c r="DI20" i="2"/>
  <c r="CC20" i="4"/>
  <c r="BC20" i="4"/>
  <c r="BK20" i="4"/>
  <c r="BI20" i="4"/>
  <c r="CO20" i="2"/>
  <c r="DA20" i="2"/>
  <c r="CN20" i="2"/>
  <c r="BN20" i="4"/>
  <c r="BT20" i="4"/>
  <c r="CD20" i="4"/>
  <c r="BG20" i="4"/>
  <c r="BZ20" i="2"/>
  <c r="DF20" i="2"/>
  <c r="CC20" i="2"/>
  <c r="AY20" i="4"/>
  <c r="BB20" i="4"/>
  <c r="BH20" i="4"/>
  <c r="AU20" i="4"/>
  <c r="DC20" i="2"/>
  <c r="CF20" i="2"/>
  <c r="DK20" i="2"/>
  <c r="CA20" i="4"/>
  <c r="CJ20" i="4"/>
  <c r="CH20" i="4"/>
  <c r="BF20" i="4"/>
  <c r="CM20" i="2"/>
  <c r="DD20" i="2"/>
  <c r="CV20" i="2"/>
  <c r="BL20" i="4"/>
  <c r="BS20" i="4"/>
  <c r="CE20" i="4"/>
  <c r="DL20" i="2"/>
  <c r="CZ20" i="2"/>
  <c r="CE20" i="2"/>
  <c r="CQ20" i="2"/>
  <c r="B17" i="8"/>
  <c r="T17" i="8"/>
  <c r="G17" i="8"/>
  <c r="F17" i="8"/>
  <c r="H17" i="8"/>
  <c r="J17" i="8" s="1"/>
  <c r="E17" i="8"/>
  <c r="R17" i="8"/>
  <c r="C17" i="8"/>
  <c r="Q17" i="8"/>
  <c r="A17" i="8"/>
  <c r="D17" i="8"/>
  <c r="L17" i="8"/>
  <c r="M17" i="8"/>
  <c r="K17" i="8"/>
  <c r="CM11" i="4"/>
  <c r="DQ11" i="2"/>
  <c r="CK20" i="4"/>
  <c r="DO20" i="2"/>
  <c r="S24" i="4"/>
  <c r="R24" i="4"/>
  <c r="S14" i="10" l="1"/>
  <c r="O14" i="10"/>
  <c r="Q14" i="10"/>
  <c r="P14" i="10"/>
  <c r="N14" i="10"/>
  <c r="T14" i="10"/>
  <c r="R14" i="10"/>
  <c r="E9" i="9"/>
  <c r="E21" i="9"/>
  <c r="E19" i="9"/>
  <c r="E18" i="9"/>
  <c r="E5" i="9"/>
  <c r="E14" i="9"/>
  <c r="E12" i="9"/>
  <c r="E24" i="9"/>
  <c r="E13" i="9"/>
  <c r="E17" i="9"/>
  <c r="E22" i="9"/>
  <c r="E7" i="9"/>
  <c r="E23" i="9"/>
  <c r="E11" i="9"/>
  <c r="E20" i="9"/>
  <c r="E8" i="9"/>
  <c r="E6" i="9"/>
  <c r="E15" i="9"/>
  <c r="E16" i="9"/>
  <c r="E10" i="9"/>
  <c r="B20" i="14"/>
  <c r="D4" i="9"/>
  <c r="M13" i="10"/>
  <c r="CM23" i="4"/>
  <c r="CQ23" i="2"/>
  <c r="DB23" i="2"/>
  <c r="DF23" i="2"/>
  <c r="BR23" i="4"/>
  <c r="CE23" i="2"/>
  <c r="BS23" i="4"/>
  <c r="AY23" i="4"/>
  <c r="CH23" i="2"/>
  <c r="CT23" i="2"/>
  <c r="CN23" i="2"/>
  <c r="DQ23" i="2"/>
  <c r="BZ23" i="2"/>
  <c r="CA23" i="4"/>
  <c r="BL23" i="4"/>
  <c r="CB23" i="4"/>
  <c r="BZ23" i="4"/>
  <c r="CP23" i="2"/>
  <c r="CJ23" i="4"/>
  <c r="BI23" i="4"/>
  <c r="DJ23" i="2"/>
  <c r="BX23" i="4"/>
  <c r="CX23" i="2"/>
  <c r="BQ23" i="4"/>
  <c r="DG23" i="2"/>
  <c r="BK23" i="4"/>
  <c r="CF23" i="4"/>
  <c r="BJ23" i="4"/>
  <c r="BC23" i="4"/>
  <c r="CC23" i="4"/>
  <c r="BW23" i="4"/>
  <c r="BY23" i="2"/>
  <c r="DD23" i="2"/>
  <c r="BP23" i="4"/>
  <c r="CB23" i="2"/>
  <c r="CZ23" i="2"/>
  <c r="CY23" i="2"/>
  <c r="AZ23" i="4"/>
  <c r="CD23" i="4"/>
  <c r="CE23" i="4"/>
  <c r="CJ23" i="2"/>
  <c r="BU23" i="4"/>
  <c r="DL23" i="2"/>
  <c r="DA23" i="2"/>
  <c r="CO23" i="2"/>
  <c r="CC23" i="2"/>
  <c r="CF23" i="2"/>
  <c r="CK23" i="2"/>
  <c r="BA23" i="4"/>
  <c r="DI23" i="2"/>
  <c r="BE23" i="4"/>
  <c r="BO23" i="4"/>
  <c r="CI23" i="4"/>
  <c r="DC23" i="2"/>
  <c r="BV23" i="4"/>
  <c r="CW23" i="2"/>
  <c r="CR23" i="2"/>
  <c r="DM23" i="2"/>
  <c r="CD23" i="2"/>
  <c r="BB23" i="4"/>
  <c r="BG23" i="4"/>
  <c r="BD23" i="4"/>
  <c r="BN23" i="4"/>
  <c r="AU23" i="4"/>
  <c r="CG23" i="4"/>
  <c r="BF23" i="4"/>
  <c r="DK23" i="2"/>
  <c r="DE23" i="2"/>
  <c r="BM23" i="4"/>
  <c r="BH23" i="4"/>
  <c r="CG23" i="2"/>
  <c r="CV23" i="2"/>
  <c r="CA23" i="2"/>
  <c r="AW23" i="4"/>
  <c r="BY23" i="4"/>
  <c r="CL23" i="2"/>
  <c r="DN23" i="2"/>
  <c r="BT23" i="4"/>
  <c r="AX23" i="4"/>
  <c r="CU23" i="2"/>
  <c r="CS23" i="2"/>
  <c r="CI23" i="2"/>
  <c r="CM23" i="2"/>
  <c r="AV23" i="4"/>
  <c r="DH23" i="2"/>
  <c r="DA11" i="2"/>
  <c r="AU11" i="4"/>
  <c r="AV11" i="4"/>
  <c r="AB11" i="4"/>
  <c r="BU11" i="4"/>
  <c r="BG11" i="4"/>
  <c r="DK11" i="2"/>
  <c r="DH11" i="2"/>
  <c r="BZ11" i="2"/>
  <c r="CK11" i="2"/>
  <c r="DG11" i="2"/>
  <c r="BH11" i="4"/>
  <c r="DN11" i="2"/>
  <c r="CO11" i="2"/>
  <c r="DD11" i="2"/>
  <c r="DO6" i="2"/>
  <c r="DO11" i="2"/>
  <c r="DJ5" i="2"/>
  <c r="DO5" i="2"/>
  <c r="CM5" i="4"/>
  <c r="DO9" i="2"/>
  <c r="CX5" i="2"/>
  <c r="BS5" i="4"/>
  <c r="DG5" i="2"/>
  <c r="DQ5" i="2"/>
  <c r="BM5" i="4"/>
  <c r="N14" i="8"/>
  <c r="F13" i="2"/>
  <c r="CB5" i="4"/>
  <c r="CW5" i="2"/>
  <c r="X13" i="3"/>
  <c r="P15" i="8"/>
  <c r="N19" i="8"/>
  <c r="P19" i="8"/>
  <c r="N15" i="8"/>
  <c r="O15" i="8"/>
  <c r="V13" i="3"/>
  <c r="O19" i="8"/>
  <c r="BT5" i="4"/>
  <c r="P28" i="8"/>
  <c r="F8" i="3"/>
  <c r="G13" i="2" s="1"/>
  <c r="CE5" i="4"/>
  <c r="BV5" i="4"/>
  <c r="N24" i="8"/>
  <c r="O24" i="8"/>
  <c r="F5" i="3"/>
  <c r="K5" i="3" s="1"/>
  <c r="S24" i="8"/>
  <c r="S28" i="8"/>
  <c r="O28" i="8"/>
  <c r="CJ11" i="4"/>
  <c r="CM11" i="2"/>
  <c r="CA11" i="4"/>
  <c r="AZ11" i="4"/>
  <c r="DF11" i="2"/>
  <c r="CH11" i="2"/>
  <c r="BC11" i="4"/>
  <c r="AX11" i="4"/>
  <c r="BP11" i="4"/>
  <c r="BR11" i="4"/>
  <c r="CF11" i="2"/>
  <c r="CU11" i="2"/>
  <c r="CZ11" i="2"/>
  <c r="CG11" i="4"/>
  <c r="BF11" i="4"/>
  <c r="BL11" i="4"/>
  <c r="BS11" i="4"/>
  <c r="BB11" i="4"/>
  <c r="CN11" i="2"/>
  <c r="AY11" i="4"/>
  <c r="CY11" i="2"/>
  <c r="BY11" i="4"/>
  <c r="DM11" i="2"/>
  <c r="BE11" i="4"/>
  <c r="CI11" i="4"/>
  <c r="CE11" i="2"/>
  <c r="CJ11" i="2"/>
  <c r="CB11" i="2"/>
  <c r="BO11" i="4"/>
  <c r="CA11" i="2"/>
  <c r="BM11" i="4"/>
  <c r="CV11" i="2"/>
  <c r="BQ11" i="4"/>
  <c r="DI11" i="2"/>
  <c r="BT11" i="4"/>
  <c r="CD11" i="4"/>
  <c r="CR11" i="2"/>
  <c r="CP11" i="2"/>
  <c r="BK11" i="4"/>
  <c r="CS11" i="2"/>
  <c r="BZ11" i="4"/>
  <c r="CL11" i="2"/>
  <c r="CF11" i="4"/>
  <c r="DB11" i="2"/>
  <c r="CC11" i="4"/>
  <c r="BW11" i="4"/>
  <c r="CW11" i="2"/>
  <c r="CC11" i="2"/>
  <c r="CB11" i="4"/>
  <c r="BX11" i="4"/>
  <c r="CE11" i="4"/>
  <c r="DE11" i="2"/>
  <c r="DJ11" i="2"/>
  <c r="DC11" i="2"/>
  <c r="BJ11" i="4"/>
  <c r="AW11" i="4"/>
  <c r="BA11" i="4"/>
  <c r="BN11" i="4"/>
  <c r="CG11" i="2"/>
  <c r="BY11" i="2"/>
  <c r="CD11" i="2"/>
  <c r="CI11" i="2"/>
  <c r="BI11" i="4"/>
  <c r="CH11" i="4"/>
  <c r="BD11" i="4"/>
  <c r="BV11" i="4"/>
  <c r="CX11" i="2"/>
  <c r="CT11" i="2"/>
  <c r="DL11" i="2"/>
  <c r="CQ11" i="2"/>
  <c r="BJ5" i="4"/>
  <c r="CT5" i="2"/>
  <c r="CU5" i="2"/>
  <c r="AY5" i="4"/>
  <c r="DE5" i="2"/>
  <c r="CK5" i="2"/>
  <c r="F18" i="3"/>
  <c r="DB5" i="2"/>
  <c r="CB5" i="2"/>
  <c r="BE5" i="4"/>
  <c r="DC5" i="2"/>
  <c r="CG5" i="2"/>
  <c r="CN5" i="2"/>
  <c r="CI5" i="4"/>
  <c r="DN5" i="2"/>
  <c r="BK5" i="4"/>
  <c r="CO5" i="2"/>
  <c r="CQ5" i="2"/>
  <c r="AX5" i="4"/>
  <c r="BH5" i="4"/>
  <c r="BX5" i="4"/>
  <c r="BO5" i="4"/>
  <c r="BI5" i="4"/>
  <c r="BF5" i="4"/>
  <c r="CR5" i="2"/>
  <c r="DI5" i="2"/>
  <c r="BC5" i="4"/>
  <c r="BR5" i="4"/>
  <c r="BY5" i="4"/>
  <c r="CA5" i="2"/>
  <c r="DD5" i="2"/>
  <c r="DH5" i="2"/>
  <c r="AN15" i="8"/>
  <c r="BW5" i="4"/>
  <c r="CD5" i="4"/>
  <c r="DK5" i="2"/>
  <c r="X8" i="3"/>
  <c r="CD5" i="2"/>
  <c r="BZ5" i="2"/>
  <c r="CL5" i="2"/>
  <c r="CG5" i="4"/>
  <c r="BP5" i="4"/>
  <c r="CS5" i="2"/>
  <c r="BQ5" i="4"/>
  <c r="AZ5" i="4"/>
  <c r="CF5" i="4"/>
  <c r="CF5" i="2"/>
  <c r="AW5" i="4"/>
  <c r="CM5" i="2"/>
  <c r="CY5" i="2"/>
  <c r="CC5" i="4"/>
  <c r="AV5" i="4"/>
  <c r="CH5" i="4"/>
  <c r="CZ5" i="2"/>
  <c r="CI5" i="2"/>
  <c r="DL5" i="2"/>
  <c r="A19" i="5"/>
  <c r="CH5" i="2"/>
  <c r="V9" i="3"/>
  <c r="CJ5" i="4"/>
  <c r="CP5" i="2"/>
  <c r="BB5" i="4"/>
  <c r="BN5" i="4"/>
  <c r="DM5" i="2"/>
  <c r="CV5" i="2"/>
  <c r="C19" i="5"/>
  <c r="G9" i="3"/>
  <c r="U54" i="2" s="1"/>
  <c r="J19" i="8"/>
  <c r="B10" i="2"/>
  <c r="AB5" i="3"/>
  <c r="F10" i="2"/>
  <c r="W8" i="3"/>
  <c r="V8" i="3"/>
  <c r="S14" i="8"/>
  <c r="F30" i="5"/>
  <c r="BD9" i="4"/>
  <c r="BL9" i="4"/>
  <c r="CE9" i="4"/>
  <c r="CM9" i="2"/>
  <c r="CN9" i="2"/>
  <c r="DD9" i="2"/>
  <c r="CK9" i="2"/>
  <c r="AW6" i="4"/>
  <c r="BE9" i="4"/>
  <c r="CD9" i="4"/>
  <c r="BX9" i="4"/>
  <c r="BZ9" i="2"/>
  <c r="CA9" i="2"/>
  <c r="CQ9" i="2"/>
  <c r="DJ9" i="2"/>
  <c r="BW9" i="4"/>
  <c r="BU9" i="4"/>
  <c r="BY9" i="4"/>
  <c r="CE9" i="2"/>
  <c r="DA9" i="2"/>
  <c r="DG9" i="2"/>
  <c r="CX9" i="2"/>
  <c r="CS9" i="2"/>
  <c r="BG9" i="4"/>
  <c r="AU9" i="4"/>
  <c r="CR9" i="2"/>
  <c r="DN9" i="2"/>
  <c r="CH9" i="2"/>
  <c r="DK9" i="2"/>
  <c r="BT9" i="4"/>
  <c r="CC9" i="4"/>
  <c r="AZ9" i="4"/>
  <c r="CZ9" i="2"/>
  <c r="BA9" i="4"/>
  <c r="CU9" i="2"/>
  <c r="CH9" i="4"/>
  <c r="BP9" i="4"/>
  <c r="CJ9" i="4"/>
  <c r="BB9" i="4"/>
  <c r="DF9" i="2"/>
  <c r="CB9" i="2"/>
  <c r="DH9" i="2"/>
  <c r="BC9" i="4"/>
  <c r="AX9" i="4"/>
  <c r="BV9" i="4"/>
  <c r="BJ9" i="4"/>
  <c r="DM9" i="2"/>
  <c r="CO9" i="2"/>
  <c r="CI9" i="2"/>
  <c r="BH9" i="4"/>
  <c r="DE9" i="2"/>
  <c r="AY9" i="4"/>
  <c r="BQ9" i="4"/>
  <c r="CT9" i="2"/>
  <c r="DB9" i="2"/>
  <c r="CV9" i="2"/>
  <c r="BM9" i="4"/>
  <c r="CI9" i="4"/>
  <c r="AW9" i="4"/>
  <c r="BN9" i="4"/>
  <c r="BY9" i="2"/>
  <c r="CC9" i="2"/>
  <c r="DI9" i="2"/>
  <c r="BR9" i="4"/>
  <c r="CB9" i="4"/>
  <c r="BI9" i="4"/>
  <c r="CA9" i="4"/>
  <c r="CL9" i="2"/>
  <c r="CP9" i="2"/>
  <c r="CF9" i="2"/>
  <c r="BS9" i="4"/>
  <c r="AV9" i="4"/>
  <c r="BO9" i="4"/>
  <c r="CF9" i="4"/>
  <c r="CY9" i="2"/>
  <c r="DC9" i="2"/>
  <c r="CJ9" i="2"/>
  <c r="CG9" i="4"/>
  <c r="AB9" i="4"/>
  <c r="CG9" i="2"/>
  <c r="BF9" i="4"/>
  <c r="BK9" i="4"/>
  <c r="BZ9" i="4"/>
  <c r="DL9" i="2"/>
  <c r="CD9" i="2"/>
  <c r="CW9" i="2"/>
  <c r="CE6" i="4"/>
  <c r="H10" i="2"/>
  <c r="BP6" i="4"/>
  <c r="AN13" i="8"/>
  <c r="U50" i="2"/>
  <c r="O14" i="8"/>
  <c r="BU5" i="4"/>
  <c r="BD5" i="4"/>
  <c r="CA5" i="4"/>
  <c r="DA5" i="2"/>
  <c r="BG5" i="4"/>
  <c r="DF5" i="2"/>
  <c r="BY5" i="2"/>
  <c r="P18" i="8"/>
  <c r="W5" i="3"/>
  <c r="F32" i="5"/>
  <c r="BX6" i="4"/>
  <c r="V5" i="3"/>
  <c r="AU5" i="4"/>
  <c r="BA5" i="4"/>
  <c r="BZ5" i="4"/>
  <c r="BL5" i="4"/>
  <c r="CE5" i="2"/>
  <c r="CC5" i="2"/>
  <c r="CJ5" i="2"/>
  <c r="U60" i="2"/>
  <c r="I14" i="8"/>
  <c r="F23" i="3"/>
  <c r="B14" i="2"/>
  <c r="DD6" i="2"/>
  <c r="AZ6" i="4"/>
  <c r="DL6" i="2"/>
  <c r="BH6" i="4"/>
  <c r="CA6" i="4"/>
  <c r="CH6" i="4"/>
  <c r="DN6" i="2"/>
  <c r="AX6" i="4"/>
  <c r="BU6" i="4"/>
  <c r="BR6" i="4"/>
  <c r="DC6" i="2"/>
  <c r="BV6" i="4"/>
  <c r="CS6" i="2"/>
  <c r="AU6" i="4"/>
  <c r="O18" i="8"/>
  <c r="BF6" i="4"/>
  <c r="W15" i="3"/>
  <c r="BZ6" i="2"/>
  <c r="CK6" i="2"/>
  <c r="BY6" i="4"/>
  <c r="CJ6" i="4"/>
  <c r="BA6" i="4"/>
  <c r="BB6" i="4"/>
  <c r="CX6" i="2"/>
  <c r="BQ6" i="4"/>
  <c r="BO6" i="4"/>
  <c r="BY6" i="2"/>
  <c r="CT6" i="2"/>
  <c r="CF6" i="4"/>
  <c r="BD6" i="4"/>
  <c r="CB6" i="4"/>
  <c r="AY6" i="4"/>
  <c r="CQ6" i="2"/>
  <c r="BG6" i="4"/>
  <c r="BN6" i="4"/>
  <c r="CP6" i="2"/>
  <c r="BE6" i="4"/>
  <c r="BK6" i="4"/>
  <c r="CA6" i="2"/>
  <c r="BL6" i="4"/>
  <c r="DG6" i="2"/>
  <c r="DI6" i="2"/>
  <c r="CG6" i="4"/>
  <c r="CL6" i="2"/>
  <c r="CI6" i="4"/>
  <c r="DA6" i="2"/>
  <c r="BT6" i="4"/>
  <c r="CJ6" i="2"/>
  <c r="CZ6" i="2"/>
  <c r="CB6" i="2"/>
  <c r="CM6" i="2"/>
  <c r="BJ6" i="4"/>
  <c r="BI6" i="4"/>
  <c r="DK6" i="2"/>
  <c r="BS6" i="4"/>
  <c r="DB6" i="2"/>
  <c r="CV6" i="2"/>
  <c r="DE6" i="2"/>
  <c r="BC6" i="4"/>
  <c r="CD6" i="2"/>
  <c r="CN6" i="2"/>
  <c r="CH6" i="2"/>
  <c r="CO6" i="2"/>
  <c r="K9" i="3"/>
  <c r="F20" i="3"/>
  <c r="CY6" i="2"/>
  <c r="CU6" i="2"/>
  <c r="CW6" i="2"/>
  <c r="F13" i="3"/>
  <c r="K13" i="3" s="1"/>
  <c r="BW6" i="4"/>
  <c r="S18" i="8"/>
  <c r="CC6" i="4"/>
  <c r="B13" i="2"/>
  <c r="I15" i="8"/>
  <c r="G8" i="3"/>
  <c r="U53" i="2" s="1"/>
  <c r="H13" i="2"/>
  <c r="DJ6" i="2"/>
  <c r="G29" i="5"/>
  <c r="CC6" i="2"/>
  <c r="BZ6" i="4"/>
  <c r="CE6" i="2"/>
  <c r="C26" i="5"/>
  <c r="BM6" i="4"/>
  <c r="A29" i="5"/>
  <c r="CI6" i="2"/>
  <c r="DF6" i="2"/>
  <c r="C25" i="5"/>
  <c r="AV6" i="4"/>
  <c r="C29" i="5"/>
  <c r="CR6" i="2"/>
  <c r="G25" i="5"/>
  <c r="DM6" i="2"/>
  <c r="DH6" i="2"/>
  <c r="T6" i="2"/>
  <c r="CD6" i="4"/>
  <c r="CG6" i="2"/>
  <c r="AB6" i="4"/>
  <c r="CF6" i="2"/>
  <c r="A32" i="5"/>
  <c r="G32" i="5"/>
  <c r="A26" i="5"/>
  <c r="F26" i="5"/>
  <c r="A30" i="5"/>
  <c r="G30" i="5"/>
  <c r="I18" i="8"/>
  <c r="X9" i="3"/>
  <c r="V15" i="3"/>
  <c r="F15" i="3"/>
  <c r="K15" i="3" s="1"/>
  <c r="AB15" i="3"/>
  <c r="W13" i="3"/>
  <c r="C18" i="5"/>
  <c r="F18" i="5"/>
  <c r="A18" i="5"/>
  <c r="C22" i="5"/>
  <c r="A22" i="5"/>
  <c r="F21" i="3"/>
  <c r="G22" i="5"/>
  <c r="H14" i="2"/>
  <c r="W9" i="3"/>
  <c r="X11" i="3"/>
  <c r="F22" i="3"/>
  <c r="X16" i="3"/>
  <c r="X6" i="3"/>
  <c r="A25" i="5"/>
  <c r="AB5" i="4"/>
  <c r="AN9" i="8"/>
  <c r="F24" i="3"/>
  <c r="A20" i="5"/>
  <c r="G20" i="5"/>
  <c r="F12" i="3"/>
  <c r="K12" i="3" s="1"/>
  <c r="J13" i="8"/>
  <c r="F20" i="5"/>
  <c r="V12" i="3"/>
  <c r="AE10" i="3"/>
  <c r="AF10" i="3" s="1"/>
  <c r="V16" i="3"/>
  <c r="AE12" i="3"/>
  <c r="AI12" i="3" s="1"/>
  <c r="W16" i="3"/>
  <c r="AE8" i="3"/>
  <c r="AI8" i="3" s="1"/>
  <c r="G19" i="5"/>
  <c r="AE7" i="3"/>
  <c r="AI7" i="3" s="1"/>
  <c r="AE24" i="3"/>
  <c r="AH24" i="3" s="1"/>
  <c r="F10" i="3"/>
  <c r="K10" i="3" s="1"/>
  <c r="W6" i="3"/>
  <c r="I20" i="8"/>
  <c r="AE11" i="3"/>
  <c r="AJ11" i="3" s="1"/>
  <c r="I17" i="8"/>
  <c r="F7" i="3"/>
  <c r="K7" i="3" s="1"/>
  <c r="AE14" i="3"/>
  <c r="AG14" i="3" s="1"/>
  <c r="I12" i="8"/>
  <c r="F19" i="3"/>
  <c r="T4" i="2"/>
  <c r="D5" i="2" s="1"/>
  <c r="AB12" i="4"/>
  <c r="T12" i="2"/>
  <c r="AN16" i="8"/>
  <c r="T13" i="2"/>
  <c r="AB13" i="4"/>
  <c r="C46" i="6"/>
  <c r="B46" i="6"/>
  <c r="K21" i="6"/>
  <c r="A46" i="6"/>
  <c r="K46" i="6" s="1"/>
  <c r="AM20" i="6"/>
  <c r="E46" i="6"/>
  <c r="AN20" i="6"/>
  <c r="AO20" i="6"/>
  <c r="AL20" i="6"/>
  <c r="F46" i="6"/>
  <c r="L21" i="6"/>
  <c r="M21" i="6"/>
  <c r="G46" i="6"/>
  <c r="D46" i="6"/>
  <c r="D35" i="6"/>
  <c r="K10" i="6"/>
  <c r="A35" i="6"/>
  <c r="C35" i="6"/>
  <c r="AM9" i="6"/>
  <c r="AL9" i="6"/>
  <c r="G35" i="6"/>
  <c r="E35" i="6"/>
  <c r="L10" i="6"/>
  <c r="AO9" i="6"/>
  <c r="AN9" i="6"/>
  <c r="F35" i="6"/>
  <c r="B35" i="6"/>
  <c r="M10" i="6"/>
  <c r="F17" i="5"/>
  <c r="A17" i="5"/>
  <c r="G17" i="5"/>
  <c r="C17" i="5"/>
  <c r="AM14" i="6"/>
  <c r="AO14" i="6"/>
  <c r="D40" i="6"/>
  <c r="M15" i="6"/>
  <c r="C40" i="6"/>
  <c r="G40" i="6"/>
  <c r="E40" i="6"/>
  <c r="K15" i="6"/>
  <c r="F40" i="6"/>
  <c r="L15" i="6"/>
  <c r="A40" i="6"/>
  <c r="B40" i="6"/>
  <c r="AN14" i="6"/>
  <c r="AL14" i="6"/>
  <c r="E42" i="6"/>
  <c r="B42" i="6"/>
  <c r="K17" i="6"/>
  <c r="A42" i="6"/>
  <c r="AL16" i="6"/>
  <c r="AM16" i="6"/>
  <c r="G42" i="6"/>
  <c r="D42" i="6"/>
  <c r="M17" i="6"/>
  <c r="L17" i="6"/>
  <c r="AO16" i="6"/>
  <c r="AN16" i="6"/>
  <c r="F42" i="6"/>
  <c r="C42" i="6"/>
  <c r="O16" i="8"/>
  <c r="N16" i="8"/>
  <c r="S16" i="8"/>
  <c r="P16" i="8"/>
  <c r="G28" i="5"/>
  <c r="F28" i="5"/>
  <c r="C28" i="5"/>
  <c r="A28" i="5"/>
  <c r="O21" i="8"/>
  <c r="N21" i="8"/>
  <c r="S21" i="8"/>
  <c r="P21" i="8"/>
  <c r="CM19" i="4"/>
  <c r="DQ19" i="2"/>
  <c r="BB19" i="4"/>
  <c r="BF19" i="4"/>
  <c r="AZ19" i="4"/>
  <c r="DK19" i="2"/>
  <c r="CO19" i="2"/>
  <c r="CS19" i="2"/>
  <c r="DC19" i="2"/>
  <c r="CI19" i="4"/>
  <c r="CC19" i="4"/>
  <c r="CY19" i="2"/>
  <c r="CB19" i="2"/>
  <c r="CC19" i="2"/>
  <c r="CF19" i="2"/>
  <c r="BW19" i="4"/>
  <c r="BJ19" i="4"/>
  <c r="DN19" i="2"/>
  <c r="DA19" i="2"/>
  <c r="BQ19" i="4"/>
  <c r="BK19" i="4"/>
  <c r="CB19" i="4"/>
  <c r="AX19" i="4"/>
  <c r="CA19" i="2"/>
  <c r="CX19" i="2"/>
  <c r="CR19" i="2"/>
  <c r="BZ19" i="2"/>
  <c r="AW19" i="4"/>
  <c r="AY19" i="4"/>
  <c r="BG19" i="4"/>
  <c r="CF19" i="4"/>
  <c r="BM19" i="4"/>
  <c r="CI19" i="2"/>
  <c r="DJ19" i="2"/>
  <c r="CW19" i="2"/>
  <c r="BE19" i="4"/>
  <c r="CV19" i="2"/>
  <c r="CK19" i="2"/>
  <c r="BX19" i="4"/>
  <c r="CA19" i="4"/>
  <c r="BO19" i="4"/>
  <c r="BL19" i="4"/>
  <c r="DL19" i="2"/>
  <c r="CP19" i="2"/>
  <c r="CL19" i="2"/>
  <c r="BI19" i="4"/>
  <c r="AV19" i="4"/>
  <c r="DM19" i="2"/>
  <c r="AU19" i="4"/>
  <c r="BY19" i="4"/>
  <c r="CG19" i="4"/>
  <c r="BA19" i="4"/>
  <c r="CG19" i="2"/>
  <c r="CN19" i="2"/>
  <c r="BY19" i="2"/>
  <c r="CJ19" i="2"/>
  <c r="BV19" i="4"/>
  <c r="BD19" i="4"/>
  <c r="CE19" i="4"/>
  <c r="DD19" i="2"/>
  <c r="DI19" i="2"/>
  <c r="DF19" i="2"/>
  <c r="DG19" i="2"/>
  <c r="BH19" i="4"/>
  <c r="BU19" i="4"/>
  <c r="CD19" i="4"/>
  <c r="CQ19" i="2"/>
  <c r="CT19" i="2"/>
  <c r="CZ19" i="2"/>
  <c r="BZ19" i="4"/>
  <c r="CH19" i="4"/>
  <c r="BC19" i="4"/>
  <c r="BS19" i="4"/>
  <c r="CD19" i="2"/>
  <c r="CE19" i="2"/>
  <c r="DE19" i="2"/>
  <c r="CU19" i="2"/>
  <c r="BN19" i="4"/>
  <c r="BT19" i="4"/>
  <c r="BR19" i="4"/>
  <c r="BP19" i="4"/>
  <c r="DB19" i="2"/>
  <c r="DH19" i="2"/>
  <c r="CH19" i="2"/>
  <c r="CJ19" i="4"/>
  <c r="CM19" i="2"/>
  <c r="AE6" i="3"/>
  <c r="AE15" i="3"/>
  <c r="CK19" i="4"/>
  <c r="DO19" i="2"/>
  <c r="AE16" i="3"/>
  <c r="AE19" i="3"/>
  <c r="F33" i="5"/>
  <c r="G33" i="5"/>
  <c r="C33" i="5"/>
  <c r="A33" i="5"/>
  <c r="W10" i="3"/>
  <c r="J11" i="8"/>
  <c r="D47" i="6"/>
  <c r="K22" i="6"/>
  <c r="AN21" i="6"/>
  <c r="AL21" i="6"/>
  <c r="G47" i="6"/>
  <c r="AO21" i="6"/>
  <c r="M22" i="6"/>
  <c r="L22" i="6"/>
  <c r="F47" i="6"/>
  <c r="C47" i="6"/>
  <c r="B47" i="6"/>
  <c r="A47" i="6"/>
  <c r="K47" i="6" s="1"/>
  <c r="E47" i="6"/>
  <c r="AM21" i="6"/>
  <c r="E49" i="6"/>
  <c r="G49" i="6"/>
  <c r="AL23" i="6"/>
  <c r="M24" i="6"/>
  <c r="C49" i="6"/>
  <c r="AM23" i="6"/>
  <c r="D49" i="6"/>
  <c r="K24" i="6"/>
  <c r="A49" i="6"/>
  <c r="K49" i="6" s="1"/>
  <c r="L24" i="6"/>
  <c r="AO23" i="6"/>
  <c r="AN23" i="6"/>
  <c r="F49" i="6"/>
  <c r="B49" i="6"/>
  <c r="N17" i="8"/>
  <c r="S17" i="8"/>
  <c r="P17" i="8"/>
  <c r="O17" i="8"/>
  <c r="W7" i="3"/>
  <c r="AE22" i="3"/>
  <c r="AE23" i="3"/>
  <c r="G16" i="3"/>
  <c r="U61" i="2" s="1"/>
  <c r="V6" i="3"/>
  <c r="X10" i="3"/>
  <c r="N11" i="8"/>
  <c r="O11" i="8"/>
  <c r="S11" i="8"/>
  <c r="P11" i="8"/>
  <c r="M20" i="6"/>
  <c r="AN19" i="6"/>
  <c r="G45" i="6"/>
  <c r="AM19" i="6"/>
  <c r="F45" i="6"/>
  <c r="AL19" i="6"/>
  <c r="E45" i="6"/>
  <c r="C45" i="6"/>
  <c r="L20" i="6"/>
  <c r="AO19" i="6"/>
  <c r="D45" i="6"/>
  <c r="B45" i="6"/>
  <c r="A45" i="6"/>
  <c r="K45" i="6" s="1"/>
  <c r="K20" i="6"/>
  <c r="CK12" i="4"/>
  <c r="DO12" i="2"/>
  <c r="X14" i="3"/>
  <c r="X12" i="3"/>
  <c r="CK13" i="4"/>
  <c r="DO13" i="2"/>
  <c r="AE18" i="3"/>
  <c r="AE20" i="3"/>
  <c r="F16" i="3"/>
  <c r="K16" i="3" s="1"/>
  <c r="F6" i="3"/>
  <c r="K6" i="3" s="1"/>
  <c r="D34" i="6"/>
  <c r="AM8" i="6"/>
  <c r="F34" i="6"/>
  <c r="A34" i="6"/>
  <c r="M9" i="6"/>
  <c r="AO8" i="6"/>
  <c r="G34" i="6"/>
  <c r="C34" i="6"/>
  <c r="AL8" i="6"/>
  <c r="B34" i="6"/>
  <c r="E34" i="6"/>
  <c r="K9" i="6"/>
  <c r="AN8" i="6"/>
  <c r="L9" i="6"/>
  <c r="CM12" i="4"/>
  <c r="DQ12" i="2"/>
  <c r="CJ12" i="4"/>
  <c r="CI12" i="4"/>
  <c r="BJ12" i="4"/>
  <c r="BU12" i="4"/>
  <c r="CA12" i="2"/>
  <c r="DH12" i="2"/>
  <c r="DK12" i="2"/>
  <c r="BX12" i="4"/>
  <c r="BQ12" i="4"/>
  <c r="CB12" i="4"/>
  <c r="BC12" i="4"/>
  <c r="DM12" i="2"/>
  <c r="CU12" i="2"/>
  <c r="CX12" i="2"/>
  <c r="CZ12" i="2"/>
  <c r="AZ12" i="4"/>
  <c r="CH12" i="4"/>
  <c r="CA12" i="4"/>
  <c r="AX12" i="4"/>
  <c r="CM12" i="2"/>
  <c r="DG12" i="2"/>
  <c r="DD12" i="2"/>
  <c r="CF12" i="4"/>
  <c r="DE12" i="2"/>
  <c r="AW12" i="4"/>
  <c r="CD12" i="4"/>
  <c r="BO12" i="4"/>
  <c r="BG12" i="4"/>
  <c r="BT12" i="4"/>
  <c r="BZ12" i="2"/>
  <c r="CS12" i="2"/>
  <c r="DJ12" i="2"/>
  <c r="BA12" i="4"/>
  <c r="DB12" i="2"/>
  <c r="CW12" i="2"/>
  <c r="BL12" i="4"/>
  <c r="BP12" i="4"/>
  <c r="AV12" i="4"/>
  <c r="BY12" i="4"/>
  <c r="AY12" i="4"/>
  <c r="DL12" i="2"/>
  <c r="CF12" i="2"/>
  <c r="CQ12" i="2"/>
  <c r="BF12" i="4"/>
  <c r="CY12" i="2"/>
  <c r="BV12" i="4"/>
  <c r="BM12" i="4"/>
  <c r="DF12" i="2"/>
  <c r="CO12" i="2"/>
  <c r="CL12" i="2"/>
  <c r="CR12" i="2"/>
  <c r="CJ12" i="2"/>
  <c r="CG12" i="4"/>
  <c r="CH12" i="2"/>
  <c r="DI12" i="2"/>
  <c r="BI12" i="4"/>
  <c r="BH12" i="4"/>
  <c r="AU12" i="4"/>
  <c r="CT12" i="2"/>
  <c r="CB12" i="2"/>
  <c r="BY12" i="2"/>
  <c r="CE12" i="2"/>
  <c r="CD12" i="2"/>
  <c r="BZ12" i="4"/>
  <c r="CE12" i="4"/>
  <c r="DN12" i="2"/>
  <c r="DC12" i="2"/>
  <c r="BR12" i="4"/>
  <c r="BN12" i="4"/>
  <c r="BS12" i="4"/>
  <c r="BK12" i="4"/>
  <c r="BW12" i="4"/>
  <c r="DA12" i="2"/>
  <c r="CV12" i="2"/>
  <c r="CP12" i="2"/>
  <c r="CK12" i="2"/>
  <c r="BB12" i="4"/>
  <c r="BE12" i="4"/>
  <c r="CC12" i="4"/>
  <c r="BD12" i="4"/>
  <c r="CN12" i="2"/>
  <c r="CI12" i="2"/>
  <c r="CC12" i="2"/>
  <c r="CG12" i="2"/>
  <c r="W11" i="3"/>
  <c r="CM13" i="4"/>
  <c r="DQ13" i="2"/>
  <c r="CB13" i="4"/>
  <c r="BW13" i="4"/>
  <c r="BE13" i="4"/>
  <c r="BR13" i="4"/>
  <c r="CB13" i="2"/>
  <c r="CX13" i="2"/>
  <c r="CF13" i="2"/>
  <c r="BP13" i="4"/>
  <c r="BI13" i="4"/>
  <c r="BV13" i="4"/>
  <c r="AY13" i="4"/>
  <c r="DB13" i="2"/>
  <c r="DI13" i="2"/>
  <c r="DD13" i="2"/>
  <c r="BD13" i="4"/>
  <c r="AU13" i="4"/>
  <c r="BC13" i="4"/>
  <c r="CI13" i="4"/>
  <c r="CN13" i="2"/>
  <c r="CV13" i="2"/>
  <c r="CQ13" i="2"/>
  <c r="BZ13" i="4"/>
  <c r="CE13" i="4"/>
  <c r="BU13" i="4"/>
  <c r="BQ13" i="4"/>
  <c r="CA13" i="2"/>
  <c r="CI13" i="2"/>
  <c r="CD13" i="2"/>
  <c r="BN13" i="4"/>
  <c r="BK13" i="4"/>
  <c r="BA13" i="4"/>
  <c r="AW13" i="4"/>
  <c r="DN13" i="2"/>
  <c r="DH13" i="2"/>
  <c r="DK13" i="2"/>
  <c r="BB13" i="4"/>
  <c r="CD13" i="4"/>
  <c r="BS13" i="4"/>
  <c r="CF13" i="4"/>
  <c r="CZ13" i="2"/>
  <c r="CU13" i="2"/>
  <c r="CK13" i="2"/>
  <c r="CH13" i="4"/>
  <c r="BJ13" i="4"/>
  <c r="AZ13" i="4"/>
  <c r="BM13" i="4"/>
  <c r="CM13" i="2"/>
  <c r="CH13" i="2"/>
  <c r="DJ13" i="2"/>
  <c r="BT13" i="4"/>
  <c r="CC13" i="4"/>
  <c r="DM13" i="2"/>
  <c r="AV13" i="4"/>
  <c r="BZ13" i="2"/>
  <c r="DG13" i="2"/>
  <c r="CJ13" i="2"/>
  <c r="BF13" i="4"/>
  <c r="BH13" i="4"/>
  <c r="DA13" i="2"/>
  <c r="CG13" i="4"/>
  <c r="DL13" i="2"/>
  <c r="CT13" i="2"/>
  <c r="DE13" i="2"/>
  <c r="CA13" i="4"/>
  <c r="BY13" i="4"/>
  <c r="CO13" i="2"/>
  <c r="BO13" i="4"/>
  <c r="CY13" i="2"/>
  <c r="CG13" i="2"/>
  <c r="CW13" i="2"/>
  <c r="BL13" i="4"/>
  <c r="BG13" i="4"/>
  <c r="CC13" i="2"/>
  <c r="DC13" i="2"/>
  <c r="CL13" i="2"/>
  <c r="DF13" i="2"/>
  <c r="CR13" i="2"/>
  <c r="AX13" i="4"/>
  <c r="BX13" i="4"/>
  <c r="CJ13" i="4"/>
  <c r="CP13" i="2"/>
  <c r="BY13" i="2"/>
  <c r="CS13" i="2"/>
  <c r="CE13" i="2"/>
  <c r="X7" i="3"/>
  <c r="AE13" i="3"/>
  <c r="C31" i="5"/>
  <c r="A31" i="5"/>
  <c r="G31" i="5"/>
  <c r="F31" i="5"/>
  <c r="K6" i="6"/>
  <c r="B31" i="6"/>
  <c r="E31" i="6"/>
  <c r="D31" i="6"/>
  <c r="G31" i="6"/>
  <c r="F31" i="6"/>
  <c r="A31" i="6"/>
  <c r="AO5" i="6"/>
  <c r="C31" i="6"/>
  <c r="M6" i="6"/>
  <c r="L6" i="6"/>
  <c r="AM5" i="6"/>
  <c r="AL5" i="6"/>
  <c r="AN5" i="6"/>
  <c r="G14" i="2"/>
  <c r="G34" i="5"/>
  <c r="F34" i="5"/>
  <c r="C34" i="5"/>
  <c r="A34" i="5"/>
  <c r="J10" i="8"/>
  <c r="S26" i="8"/>
  <c r="P26" i="8"/>
  <c r="O26" i="8"/>
  <c r="N26" i="8"/>
  <c r="F35" i="5"/>
  <c r="C35" i="5"/>
  <c r="A35" i="5"/>
  <c r="G35" i="5"/>
  <c r="CK24" i="4"/>
  <c r="DO24" i="2"/>
  <c r="O25" i="8"/>
  <c r="P25" i="8"/>
  <c r="N25" i="8"/>
  <c r="S25" i="8"/>
  <c r="O9" i="8"/>
  <c r="S9" i="8"/>
  <c r="P9" i="8"/>
  <c r="N9" i="8"/>
  <c r="CM24" i="4"/>
  <c r="DQ24" i="2"/>
  <c r="CJ24" i="4"/>
  <c r="BQ24" i="4"/>
  <c r="BW24" i="4"/>
  <c r="BK24" i="4"/>
  <c r="DI24" i="2"/>
  <c r="BY24" i="2"/>
  <c r="CF24" i="2"/>
  <c r="BX24" i="4"/>
  <c r="BB24" i="4"/>
  <c r="BC24" i="4"/>
  <c r="BH24" i="4"/>
  <c r="CV24" i="2"/>
  <c r="DH24" i="2"/>
  <c r="DA24" i="2"/>
  <c r="BL24" i="4"/>
  <c r="CE24" i="4"/>
  <c r="BV24" i="4"/>
  <c r="BG24" i="4"/>
  <c r="CI24" i="2"/>
  <c r="CN24" i="2"/>
  <c r="CA24" i="2"/>
  <c r="AZ24" i="4"/>
  <c r="BP24" i="4"/>
  <c r="AY24" i="4"/>
  <c r="AU24" i="4"/>
  <c r="DG24" i="2"/>
  <c r="DD24" i="2"/>
  <c r="CZ24" i="2"/>
  <c r="CG24" i="4"/>
  <c r="BA24" i="4"/>
  <c r="BT24" i="4"/>
  <c r="DN24" i="2"/>
  <c r="CT24" i="2"/>
  <c r="CL24" i="2"/>
  <c r="BZ24" i="2"/>
  <c r="BU24" i="4"/>
  <c r="CC24" i="4"/>
  <c r="AV24" i="4"/>
  <c r="DB24" i="2"/>
  <c r="CG24" i="2"/>
  <c r="DC24" i="2"/>
  <c r="CY24" i="2"/>
  <c r="BI24" i="4"/>
  <c r="BN24" i="4"/>
  <c r="BO24" i="4"/>
  <c r="CP24" i="2"/>
  <c r="DE24" i="2"/>
  <c r="CK24" i="2"/>
  <c r="CX24" i="2"/>
  <c r="AW24" i="4"/>
  <c r="AX24" i="4"/>
  <c r="BM24" i="4"/>
  <c r="CD24" i="2"/>
  <c r="CR24" i="2"/>
  <c r="CO24" i="2"/>
  <c r="CS24" i="2"/>
  <c r="CH24" i="4"/>
  <c r="BZ24" i="4"/>
  <c r="CD24" i="4"/>
  <c r="CB24" i="4"/>
  <c r="CE24" i="2"/>
  <c r="CM24" i="2"/>
  <c r="CC24" i="2"/>
  <c r="BS24" i="4"/>
  <c r="BF24" i="4"/>
  <c r="BJ24" i="4"/>
  <c r="DJ24" i="2"/>
  <c r="CI24" i="4"/>
  <c r="DK24" i="2"/>
  <c r="DF24" i="2"/>
  <c r="BE24" i="4"/>
  <c r="BY24" i="4"/>
  <c r="CA24" i="4"/>
  <c r="CW24" i="2"/>
  <c r="DL24" i="2"/>
  <c r="CH24" i="2"/>
  <c r="CU24" i="2"/>
  <c r="CF24" i="4"/>
  <c r="BD24" i="4"/>
  <c r="BR24" i="4"/>
  <c r="CJ24" i="2"/>
  <c r="CQ24" i="2"/>
  <c r="DM24" i="2"/>
  <c r="CB24" i="2"/>
  <c r="U59" i="2"/>
  <c r="I9" i="8"/>
  <c r="AE9" i="3"/>
  <c r="AE17" i="3"/>
  <c r="F11" i="2"/>
  <c r="U51" i="2"/>
  <c r="H11" i="2"/>
  <c r="B11" i="2"/>
  <c r="AM10" i="6"/>
  <c r="A36" i="6"/>
  <c r="G36" i="6"/>
  <c r="F36" i="6"/>
  <c r="C36" i="6"/>
  <c r="AO10" i="6"/>
  <c r="B36" i="6"/>
  <c r="AN10" i="6"/>
  <c r="AL10" i="6"/>
  <c r="E36" i="6"/>
  <c r="D36" i="6"/>
  <c r="M11" i="6"/>
  <c r="K11" i="6"/>
  <c r="L11" i="6"/>
  <c r="O22" i="8"/>
  <c r="S22" i="8"/>
  <c r="P22" i="8"/>
  <c r="N22" i="8"/>
  <c r="V14" i="3"/>
  <c r="P12" i="8"/>
  <c r="S12" i="8"/>
  <c r="O12" i="8"/>
  <c r="N12" i="8"/>
  <c r="D44" i="6"/>
  <c r="AM18" i="6"/>
  <c r="F44" i="6"/>
  <c r="C44" i="6"/>
  <c r="A44" i="6"/>
  <c r="K44" i="6" s="1"/>
  <c r="AO18" i="6"/>
  <c r="AL18" i="6"/>
  <c r="E44" i="6"/>
  <c r="L19" i="6"/>
  <c r="G44" i="6"/>
  <c r="K19" i="6"/>
  <c r="B44" i="6"/>
  <c r="M19" i="6"/>
  <c r="AN18" i="6"/>
  <c r="D38" i="6"/>
  <c r="M13" i="6"/>
  <c r="F38" i="6"/>
  <c r="E38" i="6"/>
  <c r="G38" i="6"/>
  <c r="K13" i="6"/>
  <c r="C38" i="6"/>
  <c r="AO12" i="6"/>
  <c r="A38" i="6"/>
  <c r="AM12" i="6"/>
  <c r="B38" i="6"/>
  <c r="L13" i="6"/>
  <c r="AN12" i="6"/>
  <c r="AL12" i="6"/>
  <c r="W14" i="3"/>
  <c r="N23" i="8"/>
  <c r="S23" i="8"/>
  <c r="P23" i="8"/>
  <c r="O23" i="8"/>
  <c r="AE5" i="3"/>
  <c r="AE21" i="3"/>
  <c r="F14" i="3"/>
  <c r="K14" i="3" s="1"/>
  <c r="W12" i="3"/>
  <c r="U52" i="2"/>
  <c r="H12" i="2"/>
  <c r="F12" i="2"/>
  <c r="B12" i="2"/>
  <c r="U55" i="2"/>
  <c r="AO7" i="6"/>
  <c r="C33" i="6"/>
  <c r="B33" i="6"/>
  <c r="A33" i="6"/>
  <c r="G33" i="6"/>
  <c r="E33" i="6"/>
  <c r="F33" i="6"/>
  <c r="AM7" i="6"/>
  <c r="D33" i="6"/>
  <c r="M8" i="6"/>
  <c r="L8" i="6"/>
  <c r="K8" i="6"/>
  <c r="AN7" i="6"/>
  <c r="AL7" i="6"/>
  <c r="K14" i="6"/>
  <c r="C39" i="6"/>
  <c r="L14" i="6"/>
  <c r="E39" i="6"/>
  <c r="D39" i="6"/>
  <c r="M14" i="6"/>
  <c r="AN13" i="6"/>
  <c r="AL13" i="6"/>
  <c r="G39" i="6"/>
  <c r="F39" i="6"/>
  <c r="A39" i="6"/>
  <c r="AO13" i="6"/>
  <c r="B39" i="6"/>
  <c r="AM13" i="6"/>
  <c r="G11" i="3"/>
  <c r="U56" i="2" s="1"/>
  <c r="A23" i="5"/>
  <c r="G23" i="5"/>
  <c r="C23" i="5"/>
  <c r="F23" i="5"/>
  <c r="G12" i="3"/>
  <c r="U57" i="2" s="1"/>
  <c r="V7" i="3"/>
  <c r="C16" i="5"/>
  <c r="F16" i="5"/>
  <c r="G16" i="5"/>
  <c r="A16" i="5"/>
  <c r="F17" i="3"/>
  <c r="S27" i="8"/>
  <c r="N27" i="8"/>
  <c r="P27" i="8"/>
  <c r="O27" i="8"/>
  <c r="N13" i="8"/>
  <c r="S13" i="8"/>
  <c r="O13" i="8"/>
  <c r="P13" i="8"/>
  <c r="G24" i="5"/>
  <c r="F24" i="5"/>
  <c r="C24" i="5"/>
  <c r="A24" i="5"/>
  <c r="O20" i="8"/>
  <c r="N20" i="8"/>
  <c r="S20" i="8"/>
  <c r="P20" i="8"/>
  <c r="D32" i="6"/>
  <c r="AM6" i="6"/>
  <c r="G32" i="6"/>
  <c r="L7" i="6"/>
  <c r="C32" i="6"/>
  <c r="F32" i="6"/>
  <c r="E32" i="6"/>
  <c r="A32" i="6"/>
  <c r="AO6" i="6"/>
  <c r="B32" i="6"/>
  <c r="M7" i="6"/>
  <c r="K7" i="6"/>
  <c r="AL6" i="6"/>
  <c r="AN6" i="6"/>
  <c r="D41" i="6"/>
  <c r="AM15" i="6"/>
  <c r="L16" i="6"/>
  <c r="F41" i="6"/>
  <c r="G41" i="6"/>
  <c r="A41" i="6"/>
  <c r="M16" i="6"/>
  <c r="K16" i="6"/>
  <c r="AN15" i="6"/>
  <c r="C41" i="6"/>
  <c r="B41" i="6"/>
  <c r="AO15" i="6"/>
  <c r="E41" i="6"/>
  <c r="AL15" i="6"/>
  <c r="I16" i="8"/>
  <c r="F27" i="5"/>
  <c r="A27" i="5"/>
  <c r="G27" i="5"/>
  <c r="C27" i="5"/>
  <c r="V10" i="3"/>
  <c r="F37" i="6"/>
  <c r="D37" i="6"/>
  <c r="AL11" i="6"/>
  <c r="B37" i="6"/>
  <c r="K12" i="6"/>
  <c r="AO11" i="6"/>
  <c r="AM11" i="6"/>
  <c r="C37" i="6"/>
  <c r="AN11" i="6"/>
  <c r="G37" i="6"/>
  <c r="E37" i="6"/>
  <c r="A37" i="6"/>
  <c r="M12" i="6"/>
  <c r="L12" i="6"/>
  <c r="AM22" i="6"/>
  <c r="A48" i="6"/>
  <c r="K48" i="6" s="1"/>
  <c r="AL22" i="6"/>
  <c r="B48" i="6"/>
  <c r="F48" i="6"/>
  <c r="L23" i="6"/>
  <c r="E48" i="6"/>
  <c r="D48" i="6"/>
  <c r="K23" i="6"/>
  <c r="C48" i="6"/>
  <c r="M23" i="6"/>
  <c r="AO22" i="6"/>
  <c r="G48" i="6"/>
  <c r="AN22" i="6"/>
  <c r="V11" i="3"/>
  <c r="P10" i="8"/>
  <c r="S10" i="8"/>
  <c r="N10" i="8"/>
  <c r="O10" i="8"/>
  <c r="G21" i="5"/>
  <c r="F21" i="5"/>
  <c r="A21" i="5"/>
  <c r="C21" i="5"/>
  <c r="K18" i="6"/>
  <c r="A43" i="6"/>
  <c r="K43" i="6" s="1"/>
  <c r="AO17" i="6"/>
  <c r="G43" i="6"/>
  <c r="AL17" i="6"/>
  <c r="AN17" i="6"/>
  <c r="D43" i="6"/>
  <c r="C43" i="6"/>
  <c r="F43" i="6"/>
  <c r="M18" i="6"/>
  <c r="E43" i="6"/>
  <c r="L18" i="6"/>
  <c r="B43" i="6"/>
  <c r="AM17" i="6"/>
  <c r="D50" i="6"/>
  <c r="A50" i="6"/>
  <c r="K50" i="6" s="1"/>
  <c r="AO24" i="6"/>
  <c r="G50" i="6"/>
  <c r="E50" i="6"/>
  <c r="K25" i="6"/>
  <c r="AM24" i="6"/>
  <c r="AL24" i="6"/>
  <c r="F50" i="6"/>
  <c r="B50" i="6"/>
  <c r="M25" i="6"/>
  <c r="L25" i="6"/>
  <c r="AN24" i="6"/>
  <c r="C50" i="6"/>
  <c r="F11" i="3"/>
  <c r="K11" i="3" s="1"/>
  <c r="N13" i="10" l="1"/>
  <c r="R13" i="10"/>
  <c r="O13" i="10"/>
  <c r="P13" i="10"/>
  <c r="Q13" i="10"/>
  <c r="S13" i="10"/>
  <c r="T13" i="10"/>
  <c r="D18" i="9"/>
  <c r="D24" i="9"/>
  <c r="D19" i="9"/>
  <c r="D14" i="9"/>
  <c r="D12" i="9"/>
  <c r="D9" i="9"/>
  <c r="D21" i="9"/>
  <c r="D13" i="9"/>
  <c r="D5" i="9"/>
  <c r="D6" i="9"/>
  <c r="D8" i="9"/>
  <c r="D23" i="9"/>
  <c r="D11" i="9"/>
  <c r="D16" i="9"/>
  <c r="D17" i="9"/>
  <c r="D20" i="9"/>
  <c r="D22" i="9"/>
  <c r="D10" i="9"/>
  <c r="D7" i="9"/>
  <c r="D15" i="9"/>
  <c r="M12" i="10"/>
  <c r="C4" i="9"/>
  <c r="K8" i="3"/>
  <c r="G10" i="2"/>
  <c r="AL2" i="3"/>
  <c r="G12" i="2"/>
  <c r="AG7" i="3"/>
  <c r="AJ7" i="3"/>
  <c r="AH14" i="3"/>
  <c r="AH7" i="3"/>
  <c r="AF12" i="3"/>
  <c r="AJ14" i="3"/>
  <c r="AH12" i="3"/>
  <c r="AI10" i="3"/>
  <c r="AF7" i="3"/>
  <c r="AJ10" i="3"/>
  <c r="AJ8" i="3"/>
  <c r="AH8" i="3"/>
  <c r="AI11" i="3"/>
  <c r="AF14" i="3"/>
  <c r="AG8" i="3"/>
  <c r="AJ12" i="3"/>
  <c r="AG10" i="3"/>
  <c r="AF11" i="3"/>
  <c r="AF8" i="3"/>
  <c r="AI14" i="3"/>
  <c r="G11" i="2"/>
  <c r="AF24" i="3"/>
  <c r="AH10" i="3"/>
  <c r="AG12" i="3"/>
  <c r="AJ24" i="3"/>
  <c r="K40" i="6"/>
  <c r="K41" i="6"/>
  <c r="K32" i="6"/>
  <c r="AG11" i="3"/>
  <c r="AG24" i="3"/>
  <c r="AH11" i="3"/>
  <c r="AI24" i="3"/>
  <c r="D6" i="2"/>
  <c r="V66" i="2"/>
  <c r="I66" i="2" s="1"/>
  <c r="V51" i="2"/>
  <c r="V52" i="2"/>
  <c r="V54" i="2"/>
  <c r="AG13" i="3"/>
  <c r="AH13" i="3"/>
  <c r="AF13" i="3"/>
  <c r="AI13" i="3"/>
  <c r="AJ13" i="3"/>
  <c r="V65" i="2"/>
  <c r="V63" i="2"/>
  <c r="K31" i="6"/>
  <c r="V64" i="2"/>
  <c r="V50" i="2"/>
  <c r="V61" i="2"/>
  <c r="V59" i="2"/>
  <c r="AJ21" i="3"/>
  <c r="AI21" i="3"/>
  <c r="AH21" i="3"/>
  <c r="AG21" i="3"/>
  <c r="AF21" i="3"/>
  <c r="K38" i="6"/>
  <c r="AJ5" i="3"/>
  <c r="AI5" i="3"/>
  <c r="AG5" i="3"/>
  <c r="AF5" i="3"/>
  <c r="AH5" i="3"/>
  <c r="V53" i="2"/>
  <c r="V68" i="2"/>
  <c r="K35" i="6"/>
  <c r="AH20" i="3"/>
  <c r="AI20" i="3"/>
  <c r="AG20" i="3"/>
  <c r="AF20" i="3"/>
  <c r="AJ20" i="3"/>
  <c r="V58" i="2"/>
  <c r="AJ17" i="3"/>
  <c r="AI17" i="3"/>
  <c r="AH17" i="3"/>
  <c r="AF17" i="3"/>
  <c r="AG17" i="3"/>
  <c r="AH18" i="3"/>
  <c r="AG18" i="3"/>
  <c r="AJ18" i="3"/>
  <c r="AF18" i="3"/>
  <c r="AI18" i="3"/>
  <c r="V56" i="2"/>
  <c r="V60" i="2"/>
  <c r="AG19" i="3"/>
  <c r="AJ19" i="3"/>
  <c r="AI19" i="3"/>
  <c r="AF19" i="3"/>
  <c r="AH19" i="3"/>
  <c r="V62" i="2"/>
  <c r="V69" i="2"/>
  <c r="AJ16" i="3"/>
  <c r="AG16" i="3"/>
  <c r="AF16" i="3"/>
  <c r="AI16" i="3"/>
  <c r="AH16" i="3"/>
  <c r="K42" i="6"/>
  <c r="AJ9" i="3"/>
  <c r="AG9" i="3"/>
  <c r="AF9" i="3"/>
  <c r="AH9" i="3"/>
  <c r="AI9" i="3"/>
  <c r="V55" i="2"/>
  <c r="AH23" i="3"/>
  <c r="AJ23" i="3"/>
  <c r="AG23" i="3"/>
  <c r="AF23" i="3"/>
  <c r="AI23" i="3"/>
  <c r="K33" i="6"/>
  <c r="K39" i="6"/>
  <c r="V67" i="2"/>
  <c r="AH22" i="3"/>
  <c r="AG22" i="3"/>
  <c r="AI22" i="3"/>
  <c r="AF22" i="3"/>
  <c r="AJ22" i="3"/>
  <c r="V57" i="2"/>
  <c r="AI15" i="3"/>
  <c r="AF15" i="3"/>
  <c r="AJ15" i="3"/>
  <c r="AH15" i="3"/>
  <c r="AG15" i="3"/>
  <c r="K37" i="6"/>
  <c r="K36" i="6"/>
  <c r="K34" i="6"/>
  <c r="AH6" i="3"/>
  <c r="AJ6" i="3"/>
  <c r="AI6" i="3"/>
  <c r="AF6" i="3"/>
  <c r="AG6" i="3"/>
  <c r="S12" i="10" l="1"/>
  <c r="R12" i="10"/>
  <c r="O12" i="10"/>
  <c r="Q12" i="10"/>
  <c r="N12" i="10"/>
  <c r="P12" i="10"/>
  <c r="T12" i="10"/>
  <c r="C21" i="9"/>
  <c r="C12" i="9"/>
  <c r="C18" i="9"/>
  <c r="C13" i="9"/>
  <c r="C9" i="9"/>
  <c r="C24" i="9"/>
  <c r="C14" i="9"/>
  <c r="C19" i="9"/>
  <c r="C5" i="9"/>
  <c r="C11" i="9"/>
  <c r="C10" i="9"/>
  <c r="C8" i="9"/>
  <c r="C17" i="9"/>
  <c r="C23" i="9"/>
  <c r="C20" i="9"/>
  <c r="C7" i="9"/>
  <c r="C16" i="9"/>
  <c r="C22" i="9"/>
  <c r="C15" i="9"/>
  <c r="C6" i="9"/>
  <c r="A66" i="2"/>
  <c r="W66" i="2"/>
  <c r="E66" i="2" s="1"/>
  <c r="D66" i="2"/>
  <c r="D68" i="2"/>
  <c r="W68" i="2"/>
  <c r="E68" i="2" s="1"/>
  <c r="I68" i="2"/>
  <c r="A68" i="2"/>
  <c r="W55" i="2"/>
  <c r="E55" i="2" s="1"/>
  <c r="I55" i="2"/>
  <c r="A55" i="2"/>
  <c r="D55" i="2"/>
  <c r="W53" i="2"/>
  <c r="E53" i="2" s="1"/>
  <c r="A53" i="2"/>
  <c r="D53" i="2"/>
  <c r="I53" i="2"/>
  <c r="D59" i="2"/>
  <c r="W59" i="2"/>
  <c r="E59" i="2" s="1"/>
  <c r="I59" i="2"/>
  <c r="A59" i="2"/>
  <c r="W54" i="2"/>
  <c r="E54" i="2" s="1"/>
  <c r="I54" i="2"/>
  <c r="D54" i="2"/>
  <c r="A54" i="2"/>
  <c r="W61" i="2"/>
  <c r="E61" i="2" s="1"/>
  <c r="I61" i="2"/>
  <c r="D61" i="2"/>
  <c r="A61" i="2"/>
  <c r="W52" i="2"/>
  <c r="E52" i="2" s="1"/>
  <c r="I52" i="2"/>
  <c r="D52" i="2"/>
  <c r="A52" i="2"/>
  <c r="D50" i="2"/>
  <c r="W50" i="2"/>
  <c r="E50" i="2" s="1"/>
  <c r="I50" i="2"/>
  <c r="A50" i="2"/>
  <c r="D51" i="2"/>
  <c r="W51" i="2"/>
  <c r="E51" i="2" s="1"/>
  <c r="I51" i="2"/>
  <c r="A51" i="2"/>
  <c r="D57" i="2"/>
  <c r="W57" i="2"/>
  <c r="E57" i="2" s="1"/>
  <c r="I57" i="2"/>
  <c r="A57" i="2"/>
  <c r="W64" i="2"/>
  <c r="E64" i="2" s="1"/>
  <c r="I64" i="2"/>
  <c r="A64" i="2"/>
  <c r="D64" i="2"/>
  <c r="W62" i="2"/>
  <c r="E62" i="2" s="1"/>
  <c r="I62" i="2"/>
  <c r="D62" i="2"/>
  <c r="A62" i="2"/>
  <c r="W67" i="2"/>
  <c r="E67" i="2" s="1"/>
  <c r="I67" i="2"/>
  <c r="D67" i="2"/>
  <c r="A67" i="2"/>
  <c r="D60" i="2"/>
  <c r="W60" i="2"/>
  <c r="E60" i="2" s="1"/>
  <c r="I60" i="2"/>
  <c r="A60" i="2"/>
  <c r="W58" i="2"/>
  <c r="E58" i="2" s="1"/>
  <c r="I58" i="2"/>
  <c r="A58" i="2"/>
  <c r="D58" i="2"/>
  <c r="D69" i="2"/>
  <c r="W69" i="2"/>
  <c r="E69" i="2" s="1"/>
  <c r="I69" i="2"/>
  <c r="A69" i="2"/>
  <c r="A56" i="2"/>
  <c r="W56" i="2"/>
  <c r="E56" i="2" s="1"/>
  <c r="D56" i="2"/>
  <c r="I56" i="2"/>
  <c r="W63" i="2"/>
  <c r="E63" i="2" s="1"/>
  <c r="I63" i="2"/>
  <c r="D63" i="2"/>
  <c r="A63" i="2"/>
  <c r="A65" i="2"/>
  <c r="D65" i="2"/>
  <c r="W65" i="2"/>
  <c r="E65" i="2" s="1"/>
  <c r="I65" i="2"/>
</calcChain>
</file>

<file path=xl/sharedStrings.xml><?xml version="1.0" encoding="utf-8"?>
<sst xmlns="http://schemas.openxmlformats.org/spreadsheetml/2006/main" count="6977" uniqueCount="1479">
  <si>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</si>
  <si>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</si>
  <si>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</si>
  <si>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</si>
  <si>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</si>
  <si>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</si>
  <si>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</si>
  <si>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t>
  </si>
  <si>
    <t>KRI in rosso</t>
  </si>
  <si>
    <t>Validazione</t>
  </si>
  <si>
    <t>L1-01
Frode interna</t>
  </si>
  <si>
    <t>L1-02
Frode esterna</t>
  </si>
  <si>
    <t>L1-03
Impiego e sicurezza</t>
  </si>
  <si>
    <t>Priorita' — primi cinque per score composito</t>
  </si>
  <si>
    <t>Gravita': Probabilita x Impatto</t>
  </si>
  <si>
    <t>L1-04
Clientela e prodotti</t>
  </si>
  <si>
    <t>AGIRE ORA: X + Y &gt; Z</t>
  </si>
  <si>
    <t>#</t>
  </si>
  <si>
    <t>Rischio</t>
  </si>
  <si>
    <t>Score</t>
  </si>
  <si>
    <t>Variazione</t>
  </si>
  <si>
    <t>Urgenza</t>
  </si>
  <si>
    <t>P \ S</t>
  </si>
  <si>
    <t>L1-05
Danni a beni materiali</t>
  </si>
  <si>
    <t>L1-06
Interruzione e sistemi</t>
  </si>
  <si>
    <t>Area del cerchio = P x I</t>
  </si>
  <si>
    <t>L1-07
Processi</t>
  </si>
  <si>
    <t>4</t>
  </si>
  <si>
    <t>12</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</si>
  <si>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</si>
  <si>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</si>
  <si>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</si>
  <si>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</si>
  <si>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</si>
  <si>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</si>
  <si>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</si>
  <si>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</si>
  <si>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</si>
  <si>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</si>
  <si>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</si>
  <si>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</si>
  <si>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</si>
  <si>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</si>
  <si>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</si>
  <si>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</si>
  <si>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</si>
  <si>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</si>
  <si>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</si>
  <si>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</si>
  <si>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</si>
  <si>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</si>
  <si>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</si>
  <si>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</si>
  <si>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</si>
  <si>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</si>
  <si>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</si>
  <si>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</si>
  <si>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</si>
  <si>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</si>
  <si>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</si>
  <si>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</si>
  <si>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</si>
  <si>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</si>
  <si>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</si>
  <si>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</si>
  <si>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</si>
  <si>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</si>
  <si>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</si>
  <si>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</si>
  <si>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</si>
  <si>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</si>
  <si>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</si>
  <si>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</si>
  <si>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</si>
  <si>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</si>
  <si>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</si>
  <si>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</si>
  <si>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</si>
  <si>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</si>
  <si>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</si>
  <si>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</si>
  <si>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</si>
  <si>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</si>
  <si>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</si>
  <si>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</si>
  <si>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</si>
  <si>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</si>
  <si>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</si>
  <si>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</si>
  <si>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</si>
  <si>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</si>
  <si>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</si>
  <si>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</si>
  <si>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</si>
  <si>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</si>
  <si>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</si>
  <si>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righe delle notizie</t>
  </si>
  <si>
    <t>righe di rischi, KRI, azioni</t>
  </si>
  <si>
    <t>valori gialli, Motivazione, Respingi (a mano)</t>
  </si>
  <si>
    <t>unico foglio da compilare: una riga per oggetto</t>
  </si>
  <si>
    <t>Parametri</t>
  </si>
  <si>
    <t>settimana corrente</t>
  </si>
  <si>
    <t>ciclo corrente; anagrafica H-K</t>
  </si>
  <si>
    <t>celle gialle</t>
  </si>
  <si>
    <t>pesi, soglie, urgenza, anagrafica</t>
  </si>
  <si>
    <t>Dizionario</t>
  </si>
  <si>
    <t>ogni dato: chi lo scrive, come si calcola</t>
  </si>
  <si>
    <t>DATI (solo lo script)</t>
  </si>
  <si>
    <t>RiskRegister</t>
  </si>
  <si>
    <t>valutazioni di A1</t>
  </si>
  <si>
    <t>una riga per rischio per ciclo</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</si>
  <si>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</si>
  <si>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</si>
  <si>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</si>
  <si>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</si>
  <si>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</si>
  <si>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</si>
  <si>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</si>
  <si>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</si>
  <si>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</si>
  <si>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</si>
  <si>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</si>
  <si>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</si>
  <si>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</si>
  <si>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</si>
  <si>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</si>
  <si>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</si>
  <si>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</si>
  <si>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</si>
  <si>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</si>
  <si>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</si>
  <si>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</si>
  <si>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</si>
  <si>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</si>
  <si>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</si>
  <si>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</si>
  <si>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</si>
  <si>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</si>
  <si>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</si>
  <si>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</si>
  <si>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</si>
  <si>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</si>
  <si>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</si>
  <si>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</si>
  <si>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</si>
  <si>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</si>
  <si>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</si>
  <si>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Tutto il resto lo scrive lo script o e' una formula: non modificarlo.</t>
  </si>
  <si>
    <t>REGOLE</t>
  </si>
  <si>
    <t>1. Score composito, urgenza e stato dei KRI li calcola il foglio. Nessun agente li fornisce.</t>
  </si>
  <si>
    <t>2. Solo il ciclo trimestrale cambia uno score, al massimo di un punto per dimensione e con un'evidenza datata.</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</si>
  <si>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</si>
  <si>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</si>
  <si>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</si>
  <si>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</si>
  <si>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</si>
  <si>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</si>
  <si>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2026-10-07).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</si>
  <si>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</si>
  <si>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</si>
  <si>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</si>
  <si>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</si>
  <si>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</si>
  <si>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</si>
  <si>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</si>
  <si>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</si>
  <si>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</si>
  <si>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</si>
  <si>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</si>
  <si>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</si>
  <si>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</si>
  <si>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</si>
  <si>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</si>
  <si>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</si>
  <si>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</si>
  <si>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</si>
  <si>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</si>
  <si>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</si>
  <si>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</si>
  <si>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</si>
  <si>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</si>
  <si>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</si>
  <si>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</si>
  <si>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</si>
  <si>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</si>
  <si>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</si>
  <si>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</si>
  <si>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</si>
  <si>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</si>
  <si>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event type. Parametri: foglio Parametri, righe 47-63.</t>
    </r>
  </si>
  <si>
    <t>Event type</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</si>
  <si>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</si>
  <si>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</si>
  <si>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</si>
  <si>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</si>
  <si>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</si>
  <si>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</si>
  <si>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</si>
  <si>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</si>
  <si>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</si>
  <si>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</si>
  <si>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</si>
  <si>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</si>
  <si>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</si>
  <si>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</si>
  <si>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</si>
  <si>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</si>
  <si>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</si>
  <si>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</si>
  <si>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</si>
  <si>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</si>
  <si>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</si>
  <si>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</si>
  <si>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</si>
  <si>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</si>
  <si>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</si>
  <si>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L1-01..L1-07 = categorie di perdita di Basilea (event type).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</si>
  <si>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</si>
  <si>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</si>
  <si>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</si>
  <si>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</si>
  <si>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</si>
  <si>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</si>
  <si>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</si>
  <si>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</si>
  <si>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</si>
  <si>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</si>
  <si>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</si>
  <si>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</si>
  <si>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</si>
  <si>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</si>
  <si>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</si>
  <si>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</si>
  <si>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</si>
  <si>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</si>
  <si>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</si>
  <si>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</si>
  <si>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</si>
  <si>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</si>
  <si>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</si>
  <si>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</si>
  <si>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</si>
  <si>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</si>
  <si>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</si>
  <si>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</si>
  <si>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</si>
  <si>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</si>
  <si>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</si>
  <si>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</si>
  <si>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</si>
  <si>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</si>
  <si>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</si>
  <si>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</si>
  <si>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</si>
  <si>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</si>
  <si>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A5, un secondo agente che vede solo la valutazione e la baseline, la controlla con nove controlli e puo' fermarla (un suo rilievo di giudizio si supera solo con una motivazione, che resta sul rischio e passa al validatore); lo script verifica le regole e scrive nel registro; il validatore accetta, rettifica o respinge ogni valore proposto.</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</si>
  <si>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</si>
  <si>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</si>
  <si>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</si>
  <si>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</si>
  <si>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</si>
  <si>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</si>
  <si>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</si>
  <si>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</si>
  <si>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</si>
  <si>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</si>
  <si>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</si>
  <si>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</si>
  <si>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</si>
  <si>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</si>
  <si>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</si>
  <si>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</si>
  <si>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</si>
  <si>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nello stesso event type; nessun event type e' obbligatorio.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</si>
  <si>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</si>
  <si>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</si>
  <si>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</si>
  <si>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</si>
  <si>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</si>
  <si>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</si>
  <si>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</si>
  <si>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</si>
  <si>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</si>
  <si>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</si>
  <si>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</si>
  <si>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</si>
  <si>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</si>
  <si>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</si>
  <si>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</si>
  <si>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</si>
  <si>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</si>
  <si>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</si>
  <si>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</si>
  <si>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</si>
  <si>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</si>
  <si>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</si>
  <si>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</si>
  <si>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</si>
  <si>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</si>
  <si>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</si>
  <si>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</si>
  <si>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</si>
  <si>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</si>
  <si>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</si>
  <si>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</si>
  <si>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</si>
  <si>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</si>
  <si>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</si>
  <si>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</si>
  <si>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</si>
  <si>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</si>
  <si>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</si>
  <si>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</si>
  <si>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</si>
  <si>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</si>
  <si>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</si>
  <si>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</si>
  <si>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</si>
  <si>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</si>
  <si>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</si>
  <si>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</si>
  <si>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</si>
  <si>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</si>
  <si>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</si>
  <si>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</si>
  <si>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</si>
  <si>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</si>
  <si>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</si>
  <si>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</si>
  <si>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</si>
  <si>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</si>
  <si>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</si>
  <si>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</si>
  <si>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</si>
  <si>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</si>
  <si>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</si>
  <si>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</si>
  <si>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</si>
  <si>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</si>
  <si>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</si>
  <si>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</si>
  <si>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</si>
  <si>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</si>
  <si>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</si>
  <si>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</si>
  <si>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</si>
  <si>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</si>
  <si>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</si>
  <si>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</si>
  <si>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</si>
  <si>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</si>
  <si>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</si>
  <si>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</si>
  <si>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</si>
  <si>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</si>
  <si>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</si>
  <si>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</si>
  <si>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</si>
  <si>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</si>
  <si>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</si>
  <si>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</si>
  <si>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</si>
  <si>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event type,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</si>
  <si>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</si>
  <si>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</si>
  <si>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</si>
  <si>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</si>
  <si>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</si>
  <si>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</si>
  <si>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</si>
  <si>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</si>
  <si>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</si>
  <si>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</si>
  <si>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</si>
  <si>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</si>
  <si>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</si>
  <si>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</si>
  <si>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</si>
  <si>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</si>
  <si>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</si>
  <si>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</si>
  <si>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</si>
  <si>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</si>
  <si>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</si>
  <si>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</si>
  <si>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</si>
  <si>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</si>
  <si>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</si>
  <si>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</si>
  <si>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</si>
  <si>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</si>
  <si>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</si>
  <si>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</si>
  <si>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</si>
  <si>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</si>
  <si>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</si>
  <si>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</si>
  <si>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</si>
  <si>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</si>
  <si>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</si>
  <si>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</si>
  <si>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Event type L1-01..L1-07 = categorie di perdita di Basilea.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</si>
  <si>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</si>
  <si>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</si>
  <si>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</si>
  <si>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</si>
  <si>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</si>
  <si>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</si>
  <si>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</si>
  <si>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</si>
  <si>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</si>
  <si>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</si>
  <si>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</si>
  <si>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</si>
  <si>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</si>
  <si>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</si>
  <si>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</si>
  <si>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</si>
  <si>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</si>
  <si>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</si>
  <si>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</si>
  <si>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</si>
  <si>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</si>
  <si>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</si>
  <si>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</si>
  <si>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</si>
  <si>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event type quante notizie e quanto forti. AREA NON PRESIDIATA = notizie di intensita' 2 o piu' su un event type senza rischi in anagrafica: tema da portare al prossimo ciclo trimestrale. Le notizie non cambiano score. A destra la sintesi di A3 della settimana corrente e i flag proposti (foglio Sintesi_Settimane, D-66).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</si>
  <si>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</si>
  <si>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</si>
  <si>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</si>
  <si>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</si>
  <si>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</si>
  <si>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</si>
  <si>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</si>
  <si>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L1-01</t>
  </si>
  <si>
    <t>Frode interna</t>
  </si>
  <si>
    <t>L1-02</t>
  </si>
  <si>
    <t>Frode esterna</t>
  </si>
  <si>
    <t>L1-03</t>
  </si>
  <si>
    <t>Rapporti di impiego e sicurezza sul lavoro</t>
  </si>
  <si>
    <t>L1-04</t>
  </si>
  <si>
    <t>Clientela, prodotti e prassi professionali</t>
  </si>
  <si>
    <t>L1-05</t>
  </si>
  <si>
    <t>Danni a beni materiali</t>
  </si>
  <si>
    <t>L1-06</t>
  </si>
  <si>
    <t>Interruzione dell'operativita' e disfunzione dei sistemi</t>
  </si>
  <si>
    <t>Flag proposti da A3 (non cambiano score)</t>
  </si>
  <si>
    <t>L1-07</t>
  </si>
  <si>
    <t>Esecuzione, consegna e gestione dei processi</t>
  </si>
  <si>
    <t>Notizie non collegate a un rischio censito (4 settimane)</t>
  </si>
  <si>
    <t>Pressione settimanale (12 settimane)</t>
  </si>
  <si>
    <t>Settimana</t>
  </si>
  <si>
    <t>Peggiorativi</t>
  </si>
  <si>
    <t>Migliorativi</t>
  </si>
  <si>
    <t>Netto</t>
  </si>
  <si>
    <t>Grafici: notizie per event type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</si>
  <si>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</si>
  <si>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</si>
  <si>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</si>
  <si>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</si>
  <si>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</si>
  <si>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Orizzonte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</si>
  <si>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</si>
  <si>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</si>
  <si>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</si>
  <si>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7F6000"/>
        <rFont val="Calibri"/>
      </rPr>
      <t>VALIDATORE — dopo ogni ciclo trimestrale (obbligatorio: il ciclo dopo non parte finche' non e' validato) e, se si vuole, dopo ogni settimana per le notizie. Qui ci sono solo i periodi ancora da validare (riga 3).</t>
    </r>
    <r>
      <rPr>
        <sz val="10"/>
        <color rgb="FF262626"/>
        <rFont val="Calibri"/>
      </rPr>
      <t xml:space="preserve">
Come si valida: una riga per rischio,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</si>
  <si>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</si>
  <si>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Imp.</t>
  </si>
  <si>
    <t>Prob. proposto</t>
  </si>
  <si>
    <t>Prob.</t>
  </si>
  <si>
    <t>Pross. proposto</t>
  </si>
  <si>
    <t>Pross.</t>
  </si>
  <si>
    <t>Vel. proposto</t>
  </si>
  <si>
    <t>Vel.</t>
  </si>
  <si>
    <t>Anni adeg. proposto</t>
  </si>
  <si>
    <t>Anni adeg.</t>
  </si>
  <si>
    <t>Motivazione (se cambi un valore)</t>
  </si>
  <si>
    <t>Score composito (calcolato)</t>
  </si>
  <si>
    <t>Margine di Mosca Z−(X+Y), anni (calcolato)</t>
  </si>
  <si>
    <t>Segnalazioni dei controlli (script e A5, se usato): ⚑ DA MOTIVARE = Motivazione obbligatoria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</si>
  <si>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</si>
  <si>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</si>
  <si>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</si>
  <si>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</si>
  <si>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</si>
  <si>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</si>
  <si>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</si>
  <si>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</si>
  <si>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</si>
  <si>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</si>
  <si>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</si>
  <si>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</si>
  <si>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NOTIZIE — nessuna riga da validare</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</si>
  <si>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</si>
  <si>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</si>
  <si>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</si>
  <si>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</si>
  <si>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</si>
  <si>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</si>
  <si>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t>
    </r>
  </si>
  <si>
    <t>ANAGRAFICA DEI RISCHI ATTIVI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</si>
  <si>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</si>
  <si>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 event type L1</t>
  </si>
  <si>
    <t>Event_Type</t>
  </si>
  <si>
    <t>Driver</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</si>
  <si>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</si>
  <si>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</si>
  <si>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</si>
  <si>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</si>
  <si>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</si>
  <si>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</si>
  <si>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</si>
  <si>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</si>
  <si>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</si>
  <si>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</si>
  <si>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</si>
  <si>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</si>
  <si>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</si>
  <si>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</si>
  <si>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</si>
  <si>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</si>
  <si>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</si>
  <si>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</si>
  <si>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</si>
  <si>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</si>
  <si>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</si>
  <si>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</si>
  <si>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</si>
  <si>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</si>
  <si>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</si>
  <si>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</si>
  <si>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</si>
  <si>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</si>
  <si>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</si>
  <si>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</si>
  <si>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</si>
  <si>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</si>
  <si>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</si>
  <si>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</si>
  <si>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</si>
  <si>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</si>
  <si>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</si>
  <si>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</si>
  <si>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</si>
  <si>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</si>
  <si>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</si>
  <si>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</si>
  <si>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</si>
  <si>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</si>
  <si>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Driver emergenti</t>
  </si>
  <si>
    <t>NFR-09</t>
  </si>
  <si>
    <t>Violazione di sanzioni internazionali tramite triangolazioni</t>
  </si>
  <si>
    <t>DRV-GEO</t>
  </si>
  <si>
    <t>DRV-CYB</t>
  </si>
  <si>
    <t>Cyber</t>
  </si>
  <si>
    <t>NFR-10</t>
  </si>
  <si>
    <t>Informazioni errate ai clienti da assistenti di AI generativa</t>
  </si>
  <si>
    <t>DRV-AI, DRV-CON</t>
  </si>
  <si>
    <t>Funzione Customer Experience</t>
  </si>
  <si>
    <t>Cicli del radar</t>
  </si>
  <si>
    <t>DRV-TPR</t>
  </si>
  <si>
    <t>Terze parti</t>
  </si>
  <si>
    <t>NFR-11</t>
  </si>
  <si>
    <t>Fine del supporto dei sistemi di pagamento legacy</t>
  </si>
  <si>
    <t>Funzione IT Operations</t>
  </si>
  <si>
    <t>Ciclo corrente (scritto dalla scrittura A2)</t>
  </si>
  <si>
    <t>2026Q2</t>
  </si>
  <si>
    <t>DRV-AI</t>
  </si>
  <si>
    <t>Intelligenza artificiale</t>
  </si>
  <si>
    <t>NFR-12</t>
  </si>
  <si>
    <t>Errori operativi nei pagamenti istantanei obbligatori</t>
  </si>
  <si>
    <t>Ciclo precedente</t>
  </si>
  <si>
    <t>Clima e ambiente</t>
  </si>
  <si>
    <t>Due cicli prima</t>
  </si>
  <si>
    <t>DRV-CON</t>
  </si>
  <si>
    <t>Condotta</t>
  </si>
  <si>
    <t>Geopolitica</t>
  </si>
  <si>
    <t>Cicli del trend (dal piu' vecchio)</t>
  </si>
  <si>
    <t>Debito tecnologico</t>
  </si>
  <si>
    <t>T-7</t>
  </si>
  <si>
    <t>DRV-HUM</t>
  </si>
  <si>
    <t>Capitale umano</t>
  </si>
  <si>
    <t>T-6</t>
  </si>
  <si>
    <t>T-5</t>
  </si>
  <si>
    <t>T-4</t>
  </si>
  <si>
    <t>T-3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</si>
  <si>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</si>
  <si>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</si>
  <si>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</si>
  <si>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</si>
  <si>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</si>
  <si>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</si>
  <si>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</si>
  <si>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</si>
  <si>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</si>
  <si>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</si>
  <si>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</si>
  <si>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</si>
  <si>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</si>
  <si>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</si>
  <si>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</si>
  <si>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</si>
  <si>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</si>
  <si>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</si>
  <si>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</si>
  <si>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</si>
  <si>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</si>
  <si>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</si>
  <si>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</si>
  <si>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</si>
  <si>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</si>
  <si>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</si>
  <si>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</si>
  <si>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</si>
  <si>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</si>
  <si>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</si>
  <si>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</si>
  <si>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</si>
  <si>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</si>
  <si>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</si>
  <si>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</si>
  <si>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</si>
  <si>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</si>
  <si>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</si>
  <si>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</si>
  <si>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</si>
  <si>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</si>
  <si>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</si>
  <si>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</si>
  <si>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</si>
  <si>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</si>
  <si>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</si>
  <si>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perdita L1-01..L1-07 (tassonomia di Basilea): il settore del radar.</t>
  </si>
  <si>
    <t>L1-01..L1-07</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</si>
  <si>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</si>
  <si>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</si>
  <si>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</si>
  <si>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</si>
  <si>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</si>
  <si>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</si>
  <si>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</si>
  <si>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</si>
  <si>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</si>
  <si>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</si>
  <si>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</si>
  <si>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</si>
  <si>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</si>
  <si>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</si>
  <si>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</si>
  <si>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</si>
  <si>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</si>
  <si>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</si>
  <si>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</si>
  <si>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</si>
  <si>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</si>
  <si>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</si>
  <si>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</si>
  <si>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</si>
  <si>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</si>
  <si>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</si>
  <si>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</si>
  <si>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</si>
  <si>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</si>
  <si>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</si>
  <si>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</si>
  <si>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</si>
  <si>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</si>
  <si>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</si>
  <si>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</si>
  <si>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</si>
  <si>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</si>
  <si>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</si>
  <si>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</si>
  <si>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</si>
  <si>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</si>
  <si>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</si>
  <si>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</si>
  <si>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</si>
  <si>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</si>
  <si>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</si>
  <si>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</si>
  <si>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</si>
  <si>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</si>
  <si>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</si>
  <si>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</si>
  <si>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</si>
  <si>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</si>
  <si>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</si>
  <si>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</si>
  <si>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</si>
  <si>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</si>
  <si>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</si>
  <si>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</si>
  <si>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</si>
  <si>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</si>
  <si>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</si>
  <si>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</si>
  <si>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</si>
  <si>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</si>
  <si>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</si>
  <si>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</si>
  <si>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</si>
  <si>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</si>
  <si>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</si>
  <si>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</si>
  <si>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</si>
  <si>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</si>
  <si>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</si>
  <si>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</si>
  <si>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</si>
  <si>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</si>
  <si>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</si>
  <si>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</si>
  <si>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</si>
  <si>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</si>
  <si>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</si>
  <si>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</si>
  <si>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</si>
  <si>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</si>
  <si>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</si>
  <si>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</si>
  <si>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</si>
  <si>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</si>
  <si>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</si>
  <si>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</si>
  <si>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</si>
  <si>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</si>
  <si>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</si>
  <si>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</si>
  <si>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</si>
  <si>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</si>
  <si>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</si>
  <si>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</si>
  <si>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</si>
  <si>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</si>
  <si>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</si>
  <si>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</si>
  <si>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</si>
  <si>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</si>
  <si>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</si>
  <si>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</si>
  <si>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</si>
  <si>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</si>
  <si>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</si>
  <si>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</si>
  <si>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</si>
  <si>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</si>
  <si>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</si>
  <si>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</si>
  <si>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</si>
  <si>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</si>
  <si>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</si>
  <si>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</si>
  <si>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</si>
  <si>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</si>
  <si>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</si>
  <si>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</si>
  <si>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</si>
  <si>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</si>
  <si>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</si>
  <si>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</si>
  <si>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</si>
  <si>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</si>
  <si>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</si>
  <si>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</si>
  <si>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</si>
  <si>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2025Q4</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</si>
  <si>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</si>
  <si>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</si>
  <si>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</si>
  <si>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</si>
  <si>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</si>
  <si>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</si>
  <si>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</si>
  <si>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</si>
  <si>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</si>
  <si>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</si>
  <si>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</si>
  <si>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</si>
  <si>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</si>
  <si>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</si>
  <si>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</si>
  <si>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</si>
  <si>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</si>
  <si>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</si>
  <si>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</si>
  <si>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</si>
  <si>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</si>
  <si>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</si>
  <si>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</si>
  <si>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</si>
  <si>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</si>
  <si>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</si>
  <si>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</si>
  <si>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</si>
  <si>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</si>
  <si>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Imp_L1_01</t>
  </si>
  <si>
    <t>Intensita' 0-3 sull'event type L1-01 (0 = nessun nesso, 3 = diretto e immediato).</t>
  </si>
  <si>
    <t>0</t>
  </si>
  <si>
    <t>Imp_L1_02</t>
  </si>
  <si>
    <t>Intensita' 0-3 sull'event type L1-02 (0 = nessun nesso, 3 = diretto e immediato).</t>
  </si>
  <si>
    <t>Imp_L1_03</t>
  </si>
  <si>
    <t>Intensita' 0-3 sull'event type L1-03 (0 = nessun nesso, 3 = diretto e immediato).</t>
  </si>
  <si>
    <t>Imp_L1_04</t>
  </si>
  <si>
    <t>Intensita' 0-3 sull'event type L1-04 (0 = nessun nesso, 3 = diretto e immediato).</t>
  </si>
  <si>
    <t>1</t>
  </si>
  <si>
    <t>Imp_L1_05</t>
  </si>
  <si>
    <t>Intensita' 0-3 sull'event type L1-05 (0 = nessun nesso, 3 = diretto e immediato).</t>
  </si>
  <si>
    <t>Imp_L1_06</t>
  </si>
  <si>
    <t>Intensita' 0-3 sull'event type L1-06 (0 = nessun nesso, 3 = diretto e immediato).</t>
  </si>
  <si>
    <t>Imp_L1_07</t>
  </si>
  <si>
    <t>Intensita' 0-3 sull'event type L1-07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</si>
  <si>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</si>
  <si>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</si>
  <si>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</si>
  <si>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</si>
  <si>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</si>
  <si>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</si>
  <si>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</si>
  <si>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</si>
  <si>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</si>
  <si>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</si>
  <si>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</si>
  <si>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</si>
  <si>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</si>
  <si>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</si>
  <si>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</si>
  <si>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</si>
  <si>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</si>
  <si>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</si>
  <si>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</si>
  <si>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</si>
  <si>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</si>
  <si>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</si>
  <si>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</si>
  <si>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</si>
  <si>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</si>
  <si>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</si>
  <si>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</si>
  <si>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</si>
  <si>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</si>
  <si>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</si>
  <si>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</si>
  <si>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</si>
  <si>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</si>
  <si>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</si>
  <si>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</si>
  <si>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</si>
  <si>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</si>
  <si>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</si>
  <si>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</si>
  <si>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</si>
  <si>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</si>
  <si>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</si>
  <si>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</si>
  <si>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</si>
  <si>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</si>
  <si>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</si>
  <si>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</si>
  <si>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</si>
  <si>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</si>
  <si>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5 per rischio, 3 per KRI, 2 per azione, 2 per notizia (una colonna gialla della griglia ciascuno).</t>
  </si>
  <si>
    <t>Proposta_Agente</t>
  </si>
  <si>
    <t>Valore proposto dall'agente. Non si cancella mai.</t>
  </si>
  <si>
    <t>Valore scritto dall'agente, copiato qui alla scrittura; resta per sempre.</t>
  </si>
  <si>
    <t>Decisione</t>
  </si>
  <si>
    <t>Dal comando valida: Accettato (valore giallo uguale alla proposta), Rettificato (cambiato) o Respinto (Respingi = Si').</t>
  </si>
  <si>
    <t>Dal comando valida, confrontando la cella gialla della griglia con la proposta: uguale = Accettato, diversa = Rettificato; Respingi = Sì = Respinto per tutti i campi dell'oggetto.</t>
  </si>
  <si>
    <t>Accettato, Rettificato, Respinto</t>
  </si>
  <si>
    <t>Rettificato</t>
  </si>
  <si>
    <t>Valore_Validato</t>
  </si>
  <si>
    <t>Valore deciso dal validatore nella griglia del foglio Validazione (vuoto se Respinto).</t>
  </si>
  <si>
    <t>Rischio: intero 1-5 a non piu' di un punto dal ciclo prima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</si>
  <si>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</si>
  <si>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</si>
  <si>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</si>
  <si>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</si>
  <si>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</si>
  <si>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</si>
  <si>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</si>
  <si>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</si>
  <si>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</si>
  <si>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</si>
  <si>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</si>
  <si>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</si>
  <si>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</si>
  <si>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</si>
  <si>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</si>
  <si>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</si>
  <si>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</si>
  <si>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</si>
  <si>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</si>
  <si>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</si>
  <si>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</si>
  <si>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</si>
  <si>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</si>
  <si>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</si>
  <si>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</si>
  <si>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</si>
  <si>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</si>
  <si>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</si>
  <si>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</si>
  <si>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</si>
  <si>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</si>
  <si>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</si>
  <si>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</si>
  <si>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</si>
  <si>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</si>
  <si>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</si>
  <si>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</si>
  <si>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</si>
  <si>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</si>
  <si>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</si>
  <si>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</si>
  <si>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</si>
  <si>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</si>
  <si>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</si>
  <si>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</si>
  <si>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</si>
  <si>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</si>
  <si>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</si>
  <si>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</si>
  <si>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</si>
  <si>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</si>
  <si>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</si>
  <si>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</si>
  <si>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</si>
  <si>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</si>
  <si>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</si>
  <si>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</si>
  <si>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</si>
  <si>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</si>
  <si>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</si>
  <si>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</si>
  <si>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</si>
  <si>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</si>
  <si>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</si>
  <si>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</si>
  <si>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</si>
  <si>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</si>
  <si>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</si>
  <si>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</si>
  <si>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</si>
  <si>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</si>
  <si>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</si>
  <si>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</si>
  <si>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</si>
  <si>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</si>
  <si>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</si>
  <si>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</si>
  <si>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</si>
  <si>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</si>
  <si>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</si>
  <si>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</si>
  <si>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</si>
  <si>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</si>
  <si>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</si>
  <si>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</si>
  <si>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</si>
  <si>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</si>
  <si>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</si>
  <si>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</si>
  <si>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</si>
  <si>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</si>
  <si>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</si>
  <si>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</si>
  <si>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</si>
  <si>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</si>
  <si>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</si>
  <si>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</si>
  <si>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</si>
  <si>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</si>
  <si>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</si>
  <si>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</si>
  <si>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</si>
  <si>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</si>
  <si>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</si>
  <si>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</si>
  <si>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</si>
  <si>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</si>
  <si>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</si>
  <si>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</si>
  <si>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</si>
  <si>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</si>
  <si>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</si>
  <si>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</si>
  <si>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</si>
  <si>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</si>
  <si>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</si>
  <si>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</si>
  <si>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</si>
  <si>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</si>
  <si>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</si>
  <si>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solo con lo script: non modificare a mano (le viste e la baseline leggono queste righe).</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</si>
  <si>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</si>
  <si>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</si>
  <si>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</si>
  <si>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</si>
  <si>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</si>
  <si>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</si>
  <si>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</si>
  <si>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</si>
  <si>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perdita L1-01..L1-07 (tassonomia di Basilea): il settore del radar.</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</si>
  <si>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</si>
  <si>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</si>
  <si>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</si>
  <si>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</si>
  <si>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</si>
  <si>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</si>
  <si>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</si>
  <si>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</si>
  <si>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</si>
  <si>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</si>
  <si>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</si>
  <si>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</si>
  <si>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</si>
  <si>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</si>
  <si>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</si>
  <si>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</si>
  <si>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</si>
  <si>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</si>
  <si>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</si>
  <si>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</si>
  <si>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</si>
  <si>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</si>
  <si>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</si>
  <si>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</si>
  <si>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</si>
  <si>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</si>
  <si>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</si>
  <si>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</si>
  <si>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</si>
  <si>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</si>
  <si>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</si>
  <si>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</si>
  <si>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</si>
  <si>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</si>
  <si>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</si>
  <si>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</si>
  <si>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</si>
  <si>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</si>
  <si>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</si>
  <si>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</si>
  <si>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</si>
  <si>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</si>
  <si>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</si>
  <si>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</si>
  <si>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</si>
  <si>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</si>
  <si>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</si>
  <si>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</si>
  <si>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2026Q1</t>
  </si>
  <si>
    <t>[{"dimensione": "prossimita", "da": 3, "a": 4, "evidenza": "Primi casi di frode con voce sintetica presso due banche italiane comparabili, riportati dalla threat intelligence di settore.", "data_evidenza": "2026-02-12"}]</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</si>
  <si>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</si>
  <si>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</si>
  <si>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</si>
  <si>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</si>
  <si>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</si>
  <si>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</si>
  <si>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</si>
  <si>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</si>
  <si>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</si>
  <si>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</si>
  <si>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</si>
  <si>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</si>
  <si>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</si>
  <si>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</si>
  <si>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</si>
  <si>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</si>
  <si>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</si>
  <si>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</si>
  <si>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</si>
  <si>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</si>
  <si>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</si>
  <si>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</si>
  <si>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</si>
  <si>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</si>
  <si>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</si>
  <si>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Unica modifica a mano: la colonna Stato di un'azione approvata (In corso, Completata), quando l'owner lo comunica.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</si>
  <si>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</si>
  <si>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</si>
  <si>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</si>
  <si>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</si>
  <si>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</si>
  <si>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</si>
  <si>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</si>
  <si>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</si>
  <si>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</si>
  <si>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</si>
  <si>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</si>
  <si>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</si>
  <si>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</si>
  <si>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</si>
  <si>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</si>
  <si>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</si>
  <si>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</si>
  <si>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</si>
  <si>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</si>
  <si>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</si>
  <si>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</si>
  <si>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</si>
  <si>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</si>
  <si>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</si>
  <si>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</si>
  <si>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</si>
  <si>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</si>
  <si>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</si>
  <si>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</si>
  <si>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</si>
  <si>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</si>
  <si>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</si>
  <si>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</si>
  <si>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</si>
  <si>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</si>
  <si>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</si>
  <si>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</si>
  <si>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</si>
  <si>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</si>
  <si>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</si>
  <si>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</si>
  <si>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</si>
  <si>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</si>
  <si>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</si>
  <si>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</si>
  <si>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</si>
  <si>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</si>
  <si>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</si>
  <si>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</si>
  <si>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</si>
  <si>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</si>
  <si>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solo con lo script: non modificare a mano (le viste e la baseline leggono queste righe).</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</si>
  <si>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</si>
  <si>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</si>
  <si>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</si>
  <si>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</si>
  <si>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</si>
  <si>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</si>
  <si>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</si>
  <si>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</si>
  <si>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</si>
  <si>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</si>
  <si>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</si>
  <si>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</si>
  <si>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</si>
  <si>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</si>
  <si>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</si>
  <si>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</si>
  <si>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</si>
  <si>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</si>
  <si>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</si>
  <si>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</si>
  <si>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</si>
  <si>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</si>
  <si>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</si>
  <si>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</si>
  <si>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</si>
  <si>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</si>
  <si>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</si>
  <si>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</si>
  <si>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</si>
  <si>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</si>
  <si>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</si>
  <si>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</si>
  <si>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</si>
  <si>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</si>
  <si>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</si>
  <si>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</si>
  <si>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</si>
  <si>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</si>
  <si>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</si>
  <si>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</si>
  <si>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</si>
  <si>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</si>
  <si>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</si>
  <si>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</si>
  <si>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</si>
  <si>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</si>
  <si>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</si>
  <si>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</si>
  <si>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</si>
  <si>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</si>
  <si>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</si>
  <si>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</si>
  <si>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</si>
  <si>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</si>
  <si>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</si>
  <si>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</si>
  <si>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</si>
  <si>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</si>
  <si>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</si>
  <si>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</si>
  <si>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</si>
  <si>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</si>
  <si>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</si>
  <si>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</si>
  <si>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</si>
  <si>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</si>
  <si>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</si>
  <si>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</si>
  <si>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</si>
  <si>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</si>
  <si>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</si>
  <si>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</si>
  <si>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</si>
  <si>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</si>
  <si>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</si>
  <si>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</si>
  <si>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</si>
  <si>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</si>
  <si>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</si>
  <si>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</si>
  <si>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</si>
  <si>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</si>
  <si>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</si>
  <si>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</si>
  <si>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</si>
  <si>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</si>
  <si>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</si>
  <si>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</si>
  <si>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</si>
  <si>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</si>
  <si>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</si>
  <si>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</si>
  <si>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</si>
  <si>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</si>
  <si>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</si>
  <si>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</si>
  <si>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</si>
  <si>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</si>
  <si>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</si>
  <si>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</si>
  <si>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</si>
  <si>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</si>
  <si>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</si>
  <si>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</si>
  <si>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</si>
  <si>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</si>
  <si>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</si>
  <si>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</si>
  <si>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</si>
  <si>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</si>
  <si>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</si>
  <si>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</si>
  <si>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</si>
  <si>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</si>
  <si>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</si>
  <si>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</si>
  <si>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</si>
  <si>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</si>
  <si>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</si>
  <si>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solo con lo script: non modificare a mano (le viste e la baseline leggono queste righe).</t>
    </r>
    <r>
      <rPr>
        <sz val="10"/>
        <color rgb="FF262626"/>
        <rFont val="Calibri"/>
      </rPr>
      <t xml:space="preserve">
Come si legge: Segnale = direzione per il rischio collegato (quattro valori, contati per testo esatto); Imp_L1_0x = intensita' 0-3 sull'event type,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</si>
  <si>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</si>
  <si>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</si>
  <si>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</si>
  <si>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</si>
  <si>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</si>
  <si>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</si>
  <si>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</si>
  <si>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</si>
  <si>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</si>
  <si>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sull'event type L1-01 (0 = nessun nesso, 3 = diretto e immediato).</t>
  </si>
  <si>
    <t>A3 · Intensita' 0-3 sull'event type L1-02 (0 = nessun nesso, 3 = diretto e immediato).</t>
  </si>
  <si>
    <t>A3 · Intensita' 0-3 sull'event type L1-03 (0 = nessun nesso, 3 = diretto e immediato).</t>
  </si>
  <si>
    <t>A3 · Intensita' 0-3 sull'event type L1-04 (0 = nessun nesso, 3 = diretto e immediato).</t>
  </si>
  <si>
    <t>A3 · Intensita' 0-3 sull'event type L1-05 (0 = nessun nesso, 3 = diretto e immediato).</t>
  </si>
  <si>
    <t>A3 · Intensita' 0-3 sull'event type L1-06 (0 = nessun nesso, 3 = diretto e immediato).</t>
  </si>
  <si>
    <t>A3 · Intensita' 0-3 sull'event type L1-07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</si>
  <si>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</si>
  <si>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</si>
  <si>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</si>
  <si>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</si>
  <si>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</si>
  <si>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</si>
  <si>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</si>
  <si>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</si>
  <si>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</si>
  <si>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</si>
  <si>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</si>
  <si>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</si>
  <si>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</si>
  <si>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</si>
  <si>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</si>
  <si>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</si>
  <si>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</si>
  <si>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</si>
  <si>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</si>
  <si>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</si>
  <si>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</si>
  <si>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</si>
  <si>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</si>
  <si>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</si>
  <si>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</si>
  <si>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</si>
  <si>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</si>
  <si>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</si>
  <si>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</si>
  <si>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</si>
  <si>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</si>
  <si>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</si>
  <si>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</si>
  <si>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</si>
  <si>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</si>
  <si>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</si>
  <si>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</si>
  <si>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</si>
  <si>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</si>
  <si>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</si>
  <si>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</si>
  <si>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</si>
  <si>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</si>
  <si>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</si>
  <si>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</si>
  <si>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</si>
  <si>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solo con lo script: non modificare a mano (le viste e la baseline leggono queste righe).</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</si>
  <si>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</si>
  <si>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</si>
  <si>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</si>
  <si>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</si>
  <si>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</si>
  <si>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</si>
  <si>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</si>
  <si>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</si>
  <si>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</si>
  <si>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Primo registro dei rischi emergenti: nove rischi su sei event type.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</si>
  <si>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</si>
  <si>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</si>
  <si>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</si>
  <si>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</si>
  <si>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</si>
  <si>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</si>
  <si>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solo con lo script: non modificare a mano (le viste e la baseline leggono queste righe).</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</si>
  <si>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</si>
  <si>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</si>
  <si>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</si>
  <si>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</si>
  <si>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</si>
  <si>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</si>
  <si>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</si>
  <si>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</si>
  <si>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</si>
  <si>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</si>
  <si>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solo con lo script: non modificare a mano (le viste e la baseline leggono queste righe).</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</si>
  <si>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</si>
  <si>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</si>
  <si>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</si>
  <si>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</si>
  <si>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</si>
  <si>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Non si cancella mai.</t>
  </si>
  <si>
    <t>Validazione · Dal comando valida: Accettato (valore giallo uguale alla proposta), Rettificato (cambiato) o Respinto (Respingi = Si').</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</si>
  <si>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</si>
  <si>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</si>
  <si>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</si>
  <si>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</si>
  <si>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</si>
  <si>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</si>
  <si>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</si>
  <si>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</si>
  <si>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</si>
  <si>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</si>
  <si>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</si>
  <si>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</si>
  <si>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</si>
  <si>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</si>
  <si>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</si>
  <si>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Da validare</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</si>
  <si>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</si>
  <si>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</si>
  <si>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</si>
  <si>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</si>
  <si>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</si>
  <si>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</si>
  <si>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</si>
  <si>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</si>
  <si>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</si>
  <si>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</si>
  <si>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</si>
  <si>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</si>
  <si>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</si>
  <si>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</si>
  <si>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</si>
  <si>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</si>
  <si>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</si>
  <si>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</si>
  <si>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</si>
  <si>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</si>
  <si>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</si>
  <si>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</si>
  <si>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</si>
  <si>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</si>
  <si>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</si>
  <si>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</si>
  <si>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</si>
  <si>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</si>
  <si>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</si>
  <si>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</si>
  <si>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</si>
  <si>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</si>
  <si>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</si>
  <si>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</si>
  <si>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</si>
  <si>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</si>
  <si>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</si>
  <si>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</si>
  <si>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</si>
  <si>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</si>
  <si>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</si>
  <si>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</si>
  <si>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</si>
  <si>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</si>
  <si>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</si>
  <si>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</si>
  <si>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</si>
  <si>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</si>
  <si>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</si>
  <si>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</si>
  <si>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</si>
  <si>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</si>
  <si>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</si>
  <si>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</si>
  <si>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</si>
  <si>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</si>
  <si>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</si>
  <si>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</si>
  <si>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2026Q3-NFR-01-A1</t>
  </si>
  <si>
    <t>Attivare la verifica fuori banda per bonifici istantanei sopra soglia verso beneficiari nuovi.</t>
  </si>
  <si>
    <t>Chiude il lacuna di controllo principale: la verifica approvata non e' ancora in produzione.</t>
  </si>
  <si>
    <t>Proposta — da valutare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</si>
  <si>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</si>
  <si>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</si>
  <si>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</si>
  <si>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</si>
  <si>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</si>
  <si>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</si>
  <si>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</si>
  <si>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</si>
  <si>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</si>
  <si>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</si>
  <si>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</si>
  <si>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</si>
  <si>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</si>
  <si>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</si>
  <si>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</si>
  <si>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</si>
  <si>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</si>
  <si>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</si>
  <si>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</si>
  <si>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</si>
  <si>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</si>
  <si>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</si>
  <si>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</si>
  <si>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</si>
  <si>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</si>
  <si>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</si>
  <si>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</si>
  <si>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</si>
  <si>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</si>
  <si>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</si>
  <si>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</si>
  <si>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</si>
  <si>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</si>
  <si>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</si>
  <si>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</si>
  <si>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</si>
  <si>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</si>
  <si>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</si>
  <si>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</si>
  <si>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</si>
  <si>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</si>
  <si>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</si>
  <si>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</si>
  <si>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</si>
  <si>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t>
  </si>
  <si>
    <t>Valutazione sostenuta dalle fonti citate. L'aumento di prossimita' di NFR-03 poggia su un caso nel settore; NFR-10 lascia la Velocity non valutata in assenza di fonti sui tempi. Un'osservazione di giudizio su NFR-06.</t>
  </si>
  <si>
    <t>Da decidere</t>
  </si>
  <si>
    <t>n.v.</t>
  </si>
  <si>
    <t>RISCHI — ciclo 2026Q3 (12 righe): i quattro punteggi e gli anni di adeguamento</t>
  </si>
  <si>
    <t>KRI — ciclo 2026Q3 (25 righe): valore rilevato e soglie; Respingi = Sì toglie il KRI</t>
  </si>
  <si>
    <t>AZIONI — ciclo 2026Q3 (15 righe): owner e orizzonte; Respingi = Sì non approva l'azione</t>
  </si>
  <si>
    <t>Da validare: ciclo 2026Q3 (52 righe) — poi, con il file chiuso:  python esegui_ciclo_locale.py valida --periodo &lt;ciclo o lunedi'&gt; --validatore "&lt;chi valida&gt;"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</si>
</sst>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0;\-0;;@"/>
    <numFmt numFmtId="166" formatCode="&quot;▲ &quot;\+0.00;&quot;▼ &quot;\-0.00;&quot;● &quot;0.00"/>
    <numFmt numFmtId="167" formatCode="\+0.00;\-0.00;0.00"/>
    <numFmt numFmtId="168" formatCode="\+0.00;\-0.00;;"/>
    <numFmt numFmtId="169" formatCode="0.00;\-0.00;;"/>
  </numFmts>
  <fonts count="47" x14ac:knownFonts="1">
    <font>
      <sz val="11"/>
      <color theme="1"/>
      <name val="Calibri"/>
      <family val="2"/>
      <scheme val="minor"/>
    </font>
    <font>
      <b/>
      <sz val="14"/>
      <color rgb="FFFFFFFF"/>
      <name val="Calibri"/>
    </font>
    <font>
      <b/>
      <sz val="11"/>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i/>
      <sz val="11"/>
      <color rgb="FF59595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198">
    <xf numFmtId="0" fontId="0" fillId="0" borderId="0" xfId="0"/>
    <xf numFmtId="0" fontId="39" fillId="19" borderId="0" xfId="0" applyFont="1" applyFill="1" applyAlignment="1">
      <alignment vertical="top" wrapText="1"/>
    </xf>
    <xf numFmtId="0" fontId="0" fillId="0" borderId="0" xfId="0" applyAlignment="1">
      <alignment vertical="top" wrapText="1"/>
    </xf>
    <xf numFmtId="0" fontId="10" fillId="7" borderId="0" xfId="0" applyFont="1" applyFill="1" applyAlignment="1">
      <alignment vertical="top" wrapText="1"/>
    </xf>
    <xf numFmtId="0" fontId="3" fillId="4" borderId="0" xfId="0" applyFont="1" applyFill="1" applyAlignment="1">
      <alignment vertical="top" wrapText="1"/>
    </xf>
    <xf numFmtId="0" fontId="4" fillId="3" borderId="0" xfId="0" applyFont="1" applyFill="1" applyAlignment="1">
      <alignment vertical="top" wrapText="1"/>
    </xf>
    <xf numFmtId="0" fontId="40"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19"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6" fontId="0" fillId="0" borderId="2" xfId="0" applyNumberFormat="1" applyBorder="1" applyAlignment="1">
      <alignment horizontal="center" vertical="center"/>
    </xf>
    <xf numFmtId="0" fontId="19"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4"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2" fillId="0" borderId="0" xfId="0" applyFont="1" applyAlignment="1">
      <alignment vertical="top" wrapText="1"/>
    </xf>
    <xf numFmtId="2" fontId="0" fillId="0" borderId="0" xfId="0" applyNumberFormat="1"/>
    <xf numFmtId="166" fontId="0" fillId="0" borderId="0" xfId="0" applyNumberFormat="1"/>
    <xf numFmtId="169"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6" fillId="12" borderId="0" xfId="0" applyFont="1" applyFill="1"/>
    <xf numFmtId="0" fontId="0" fillId="0" borderId="2" xfId="0" applyBorder="1" applyAlignment="1">
      <alignment horizontal="center"/>
    </xf>
    <xf numFmtId="168" fontId="0" fillId="0" borderId="0" xfId="0" applyNumberFormat="1"/>
    <xf numFmtId="0" fontId="17" fillId="0" borderId="0" xfId="0" applyFont="1" applyAlignment="1">
      <alignment vertical="top" wrapText="1"/>
    </xf>
    <xf numFmtId="167" fontId="12" fillId="0" borderId="0" xfId="0" applyNumberFormat="1" applyFont="1" applyAlignment="1">
      <alignment vertical="top" wrapText="1"/>
    </xf>
    <xf numFmtId="0" fontId="12" fillId="0" borderId="1" xfId="0" applyFont="1" applyBorder="1" applyAlignment="1">
      <alignment wrapText="1"/>
    </xf>
    <xf numFmtId="167" fontId="0" fillId="0" borderId="0" xfId="0" applyNumberFormat="1"/>
    <xf numFmtId="0" fontId="3" fillId="4" borderId="0" xfId="0" applyFont="1" applyFill="1" applyAlignment="1">
      <alignment horizontal="left" vertical="top" wrapText="1"/>
    </xf>
    <xf numFmtId="0" fontId="0" fillId="0" borderId="0" xfId="0" applyAlignment="1">
      <alignment horizontal="left" vertical="top" wrapText="1"/>
    </xf>
    <xf numFmtId="0" fontId="6" fillId="6" borderId="0" xfId="0" applyFont="1" applyFill="1" applyAlignment="1">
      <alignment vertical="top" wrapText="1"/>
    </xf>
    <xf numFmtId="0" fontId="6" fillId="6" borderId="0" xfId="0" applyFont="1" applyFill="1" applyAlignment="1">
      <alignment horizontal="left" vertical="top" wrapText="1"/>
    </xf>
    <xf numFmtId="2" fontId="0" fillId="0" borderId="0" xfId="0" applyNumberFormat="1" applyAlignment="1">
      <alignment horizontal="left" vertical="top" wrapText="1"/>
    </xf>
    <xf numFmtId="0" fontId="4" fillId="3" borderId="0" xfId="0" applyFont="1" applyFill="1" applyAlignment="1">
      <alignment horizontal="left" vertical="top" wrapText="1"/>
    </xf>
    <xf numFmtId="0" fontId="4" fillId="3" borderId="0" xfId="0" applyFont="1" applyFill="1"/>
    <xf numFmtId="0" fontId="2" fillId="0" borderId="0" xfId="0" applyFont="1"/>
    <xf numFmtId="0" fontId="6" fillId="6" borderId="0" xfId="0" applyFont="1" applyFill="1"/>
    <xf numFmtId="0" fontId="8" fillId="8" borderId="0" xfId="0" applyFont="1" applyFill="1" applyAlignment="1">
      <alignment horizontal="center" wrapText="1"/>
    </xf>
    <xf numFmtId="0" fontId="9" fillId="10" borderId="0" xfId="0" applyFont="1" applyFill="1" applyAlignment="1">
      <alignment horizontal="center" wrapText="1"/>
    </xf>
    <xf numFmtId="0" fontId="11" fillId="11" borderId="0" xfId="0" applyFont="1" applyFill="1" applyAlignment="1">
      <alignment horizontal="center" wrapText="1"/>
    </xf>
    <xf numFmtId="0" fontId="12" fillId="0" borderId="1" xfId="0" applyFont="1" applyBorder="1" applyAlignment="1">
      <alignment horizontal="left" wrapText="1"/>
    </xf>
    <xf numFmtId="0" fontId="12" fillId="0" borderId="1" xfId="0" applyFont="1" applyBorder="1" applyAlignment="1">
      <alignment horizontal="center" wrapText="1"/>
    </xf>
    <xf numFmtId="0" fontId="13"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7"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0" fillId="3" borderId="0" xfId="0" applyFill="1"/>
    <xf numFmtId="0" fontId="16" fillId="14" borderId="0" xfId="0" applyFont="1" applyFill="1" applyAlignment="1">
      <alignment vertical="top" wrapText="1"/>
    </xf>
    <xf numFmtId="0" fontId="16" fillId="14" borderId="0" xfId="0" applyFont="1" applyFill="1"/>
    <xf numFmtId="14" fontId="0" fillId="0" borderId="0" xfId="0" applyNumberFormat="1"/>
    <xf numFmtId="0" fontId="19" fillId="0" borderId="0" xfId="0" applyFont="1"/>
    <xf numFmtId="0" fontId="20" fillId="0" borderId="0" xfId="0" applyFont="1"/>
    <xf numFmtId="0" fontId="9"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36" fillId="0" borderId="0" xfId="0" applyFont="1" applyAlignment="1">
      <alignment vertical="center" wrapText="1"/>
    </xf>
    <xf numFmtId="0" fontId="12" fillId="16" borderId="0" xfId="0" applyFont="1" applyFill="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12" fillId="9" borderId="0" xfId="0" applyFont="1" applyFill="1" applyAlignment="1">
      <alignment horizontal="center" vertical="center" wrapText="1"/>
    </xf>
    <xf numFmtId="0" fontId="33" fillId="0" borderId="2" xfId="0" applyFont="1" applyBorder="1" applyAlignment="1">
      <alignment vertical="center"/>
    </xf>
    <xf numFmtId="0" fontId="37"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19" fillId="10" borderId="2" xfId="0" applyFont="1" applyFill="1" applyBorder="1" applyAlignment="1">
      <alignment vertical="center" wrapText="1"/>
    </xf>
    <xf numFmtId="0" fontId="23"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18" fillId="0" borderId="2" xfId="0" applyFont="1" applyBorder="1" applyAlignment="1">
      <alignment vertical="center" wrapText="1"/>
    </xf>
    <xf numFmtId="0" fontId="19"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12" fillId="0" borderId="2" xfId="0" applyFont="1" applyBorder="1" applyAlignment="1">
      <alignment horizontal="left" vertical="top" wrapText="1"/>
    </xf>
    <xf numFmtId="0" fontId="19" fillId="0" borderId="2" xfId="0" applyFont="1" applyBorder="1" applyAlignment="1">
      <alignment horizontal="left" vertical="top" wrapText="1"/>
    </xf>
    <xf numFmtId="0" fontId="19" fillId="9" borderId="2" xfId="0" applyFont="1" applyFill="1" applyBorder="1" applyAlignment="1">
      <alignment horizontal="left" vertical="top" wrapText="1"/>
    </xf>
    <xf numFmtId="0" fontId="19" fillId="8" borderId="2" xfId="0" applyFont="1" applyFill="1" applyBorder="1" applyAlignment="1">
      <alignment horizontal="left" vertical="top" wrapText="1"/>
    </xf>
    <xf numFmtId="0" fontId="19" fillId="10" borderId="2" xfId="0" applyFont="1" applyFill="1" applyBorder="1" applyAlignment="1">
      <alignment horizontal="left" vertical="top" wrapText="1"/>
    </xf>
    <xf numFmtId="0" fontId="19" fillId="11" borderId="2" xfId="0" applyFont="1" applyFill="1" applyBorder="1" applyAlignment="1">
      <alignment horizontal="left" vertical="top" wrapText="1"/>
    </xf>
    <xf numFmtId="0" fontId="7" fillId="4" borderId="0" xfId="0" applyFont="1" applyFill="1" applyAlignment="1">
      <alignment horizontal="left" vertical="center"/>
    </xf>
    <xf numFmtId="0" fontId="8" fillId="6" borderId="0" xfId="0" applyFont="1" applyFill="1" applyAlignment="1">
      <alignment horizontal="left" vertical="center"/>
    </xf>
    <xf numFmtId="0" fontId="9" fillId="3" borderId="0" xfId="0" applyFont="1" applyFill="1" applyAlignment="1">
      <alignment horizontal="left" vertical="center"/>
    </xf>
    <xf numFmtId="0" fontId="5" fillId="0" borderId="0" xfId="0" applyFont="1" applyAlignment="1">
      <alignment vertical="top" wrapText="1"/>
    </xf>
    <xf numFmtId="0" fontId="3"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1" fillId="7" borderId="0" xfId="0" applyFont="1" applyFill="1" applyAlignment="1">
      <alignment horizontal="left" vertical="center"/>
    </xf>
    <xf numFmtId="0" fontId="10" fillId="7" borderId="0" xfId="0" applyFont="1" applyFill="1"/>
    <xf numFmtId="14" fontId="0" fillId="5" borderId="0" xfId="0" applyNumberFormat="1" applyFill="1" applyAlignment="1">
      <alignment vertical="top" wrapText="1"/>
    </xf>
    <xf numFmtId="0" fontId="19" fillId="0" borderId="0" xfId="0" applyFont="1" applyAlignment="1">
      <alignment vertical="top" wrapText="1"/>
    </xf>
    <xf numFmtId="0" fontId="0" fillId="0" borderId="0" xfId="0"/>
    <xf numFmtId="0" fontId="18" fillId="0" borderId="0" xfId="0" applyFont="1"/>
    <xf numFmtId="0" fontId="24" fillId="0" borderId="0" xfId="0" applyFont="1" applyAlignment="1">
      <alignment vertical="top" wrapText="1"/>
    </xf>
    <xf numFmtId="0" fontId="33" fillId="0" borderId="0" xfId="0" applyFont="1" applyAlignment="1">
      <alignment vertical="top"/>
    </xf>
    <xf numFmtId="0" fontId="19" fillId="0" borderId="2" xfId="0" applyFont="1" applyBorder="1" applyAlignment="1">
      <alignment vertical="center" wrapText="1"/>
    </xf>
    <xf numFmtId="0" fontId="0" fillId="0" borderId="2" xfId="0" applyBorder="1"/>
    <xf numFmtId="0" fontId="15" fillId="0" borderId="1" xfId="0" applyFont="1" applyBorder="1"/>
    <xf numFmtId="0" fontId="0" fillId="0" borderId="1" xfId="0" applyBorder="1"/>
    <xf numFmtId="0" fontId="31" fillId="10" borderId="0" xfId="0" applyFont="1" applyFill="1" applyAlignment="1">
      <alignment vertical="top" wrapText="1"/>
    </xf>
    <xf numFmtId="0" fontId="0" fillId="10" borderId="0" xfId="0" applyFill="1"/>
    <xf numFmtId="0" fontId="35" fillId="12" borderId="0" xfId="0" applyFont="1" applyFill="1"/>
    <xf numFmtId="0" fontId="0" fillId="12" borderId="0" xfId="0" applyFill="1"/>
    <xf numFmtId="0" fontId="22" fillId="13" borderId="0" xfId="0" applyFont="1" applyFill="1" applyAlignment="1">
      <alignment horizontal="center" vertical="center" wrapText="1"/>
    </xf>
    <xf numFmtId="0" fontId="0" fillId="13" borderId="0" xfId="0" applyFill="1"/>
    <xf numFmtId="0" fontId="0" fillId="13" borderId="4" xfId="0" applyFill="1" applyBorder="1"/>
    <xf numFmtId="0" fontId="28" fillId="11" borderId="0" xfId="0" applyFont="1" applyFill="1" applyAlignment="1">
      <alignment horizontal="center" vertical="center" wrapText="1"/>
    </xf>
    <xf numFmtId="0" fontId="0" fillId="11" borderId="0" xfId="0" applyFill="1"/>
    <xf numFmtId="0" fontId="0" fillId="11" borderId="4" xfId="0" applyFill="1" applyBorder="1"/>
    <xf numFmtId="0" fontId="34" fillId="0" borderId="0" xfId="0" applyFont="1" applyAlignment="1">
      <alignment vertical="top" wrapText="1"/>
    </xf>
    <xf numFmtId="0" fontId="22" fillId="11" borderId="0" xfId="0" applyFont="1" applyFill="1" applyAlignment="1">
      <alignment horizontal="center" vertical="center" wrapText="1"/>
    </xf>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25" fillId="13" borderId="0" xfId="0" applyFont="1" applyFill="1" applyAlignment="1">
      <alignment horizontal="center" vertical="center" wrapText="1"/>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14" fillId="0" borderId="0" xfId="0" applyFont="1" applyAlignment="1">
      <alignment vertical="top" wrapText="1"/>
    </xf>
    <xf numFmtId="0" fontId="25" fillId="11" borderId="0" xfId="0" applyFont="1" applyFill="1" applyAlignment="1">
      <alignment horizontal="center" vertical="center" wrapText="1"/>
    </xf>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1" fillId="2" borderId="0" xfId="0" applyFont="1" applyFill="1" applyAlignment="1">
      <alignment vertical="center" indent="1"/>
    </xf>
    <xf numFmtId="0" fontId="0" fillId="2" borderId="0" xfId="0" applyFill="1"/>
    <xf numFmtId="0" fontId="25" fillId="0" borderId="0" xfId="0" applyFont="1"/>
    <xf numFmtId="0" fontId="4" fillId="3" borderId="0" xfId="0" applyFont="1" applyFill="1" applyAlignment="1">
      <alignment vertical="top" wrapText="1"/>
    </xf>
    <xf numFmtId="0" fontId="0" fillId="0" borderId="0" xfId="0" applyAlignment="1">
      <alignment vertical="top" wrapText="1"/>
    </xf>
    <xf numFmtId="0" fontId="39" fillId="19" borderId="0" xfId="0" applyFont="1" applyFill="1" applyAlignment="1">
      <alignment vertical="top" wrapText="1"/>
    </xf>
    <xf numFmtId="0" fontId="3" fillId="4" borderId="0" xfId="0" applyFont="1" applyFill="1" applyAlignment="1">
      <alignment vertical="top" wrapText="1"/>
    </xf>
    <xf numFmtId="0" fontId="20" fillId="0" borderId="0" xfId="0" applyFont="1" applyAlignment="1">
      <alignment vertical="top" wrapText="1"/>
    </xf>
    <xf numFmtId="0" fontId="19" fillId="0" borderId="2" xfId="0" applyFont="1" applyBorder="1"/>
    <xf numFmtId="0" fontId="24" fillId="0" borderId="2" xfId="0" applyFont="1" applyBorder="1"/>
    <xf numFmtId="0" fontId="16" fillId="12" borderId="0" xfId="0" applyFont="1" applyFill="1"/>
    <xf numFmtId="0" fontId="18" fillId="0" borderId="0" xfId="0" applyFont="1" applyAlignment="1">
      <alignment vertical="top" wrapText="1"/>
    </xf>
    <xf numFmtId="0" fontId="19" fillId="13" borderId="0" xfId="0" applyFont="1" applyFill="1" applyAlignment="1">
      <alignment vertical="top" wrapText="1"/>
    </xf>
    <xf numFmtId="0" fontId="0" fillId="6" borderId="0" xfId="0" applyFill="1" applyAlignment="1">
      <alignment horizontal="left" vertical="top" wrapText="1"/>
    </xf>
    <xf numFmtId="0" fontId="2" fillId="0" borderId="0" xfId="0" applyFont="1"/>
    <xf numFmtId="0" fontId="7" fillId="9" borderId="0" xfId="0" applyFont="1" applyFill="1" applyAlignment="1">
      <alignment horizontal="center" wrapText="1"/>
    </xf>
    <xf numFmtId="0" fontId="0" fillId="9" borderId="0" xfId="0" applyFill="1"/>
    <xf numFmtId="0" fontId="0" fillId="19" borderId="0" xfId="0" applyFill="1" applyAlignment="1">
      <alignment horizontal="left" vertical="top" wrapText="1"/>
    </xf>
    <xf numFmtId="0" fontId="8" fillId="8" borderId="0" xfId="0" applyFont="1" applyFill="1" applyAlignment="1">
      <alignment horizontal="center" wrapText="1"/>
    </xf>
    <xf numFmtId="0" fontId="0" fillId="8" borderId="0" xfId="0" applyFill="1"/>
    <xf numFmtId="0" fontId="19"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9" fillId="10" borderId="0" xfId="0" applyFont="1" applyFill="1"/>
    <xf numFmtId="0" fontId="7" fillId="9" borderId="0" xfId="0" applyFont="1" applyFill="1"/>
    <xf numFmtId="0" fontId="23" fillId="10" borderId="2" xfId="0" applyFont="1" applyFill="1" applyBorder="1" applyAlignment="1">
      <alignment horizontal="center" vertical="center" wrapText="1"/>
    </xf>
    <xf numFmtId="0" fontId="0" fillId="0" borderId="6" xfId="0" applyBorder="1"/>
    <xf numFmtId="0" fontId="37" fillId="13" borderId="2" xfId="0" applyFont="1" applyFill="1" applyBorder="1" applyAlignment="1">
      <alignment horizontal="center" vertical="center" wrapText="1"/>
    </xf>
    <xf numFmtId="0" fontId="14" fillId="0" borderId="0" xfId="0" applyFont="1" applyAlignment="1">
      <alignment wrapText="1"/>
    </xf>
    <xf numFmtId="0" fontId="12" fillId="17" borderId="0" xfId="0" applyFont="1" applyFill="1" applyAlignment="1">
      <alignment horizontal="center" vertical="center" wrapText="1"/>
    </xf>
    <xf numFmtId="0" fontId="12" fillId="13" borderId="0" xfId="0" applyFont="1" applyFill="1" applyAlignment="1">
      <alignment horizontal="center" vertical="center" wrapText="1"/>
    </xf>
    <xf numFmtId="0" fontId="3" fillId="0" borderId="0" xfId="0" applyFont="1" applyAlignment="1">
      <alignment vertical="top" wrapText="1"/>
    </xf>
    <xf numFmtId="0" fontId="21" fillId="18" borderId="0" xfId="0" applyFont="1" applyFill="1"/>
    <xf numFmtId="0" fontId="7" fillId="4" borderId="0" xfId="0" applyFont="1" applyFill="1" applyAlignment="1">
      <alignment horizontal="left" vertical="center"/>
    </xf>
    <xf numFmtId="0" fontId="8" fillId="6" borderId="0" xfId="0" applyFont="1" applyFill="1" applyAlignment="1">
      <alignment horizontal="left" vertical="center"/>
    </xf>
    <xf numFmtId="0" fontId="9" fillId="3" borderId="0" xfId="0" applyFont="1" applyFill="1" applyAlignment="1">
      <alignment horizontal="left" vertical="center"/>
    </xf>
    <xf numFmtId="0" fontId="11" fillId="7" borderId="0" xfId="0" applyFont="1" applyFill="1" applyAlignment="1">
      <alignment horizontal="left" vertical="center"/>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19" fillId="0" borderId="2" xfId="0" quotePrefix="1" applyFont="1" applyBorder="1" applyAlignment="1">
      <alignment vertical="center" wrapText="1"/>
    </xf>
    <xf numFmtId="0" fontId="0" fillId="0" borderId="0" xfId="0" quotePrefix="1"/>
    <xf numFmtId="0" fontId="37" fillId="13" borderId="2" xfId="0" quotePrefix="1" applyFont="1" applyFill="1" applyBorder="1" applyAlignment="1">
      <alignment horizontal="center" vertical="center" wrapText="1"/>
    </xf>
    <xf numFmtId="0" fontId="18" fillId="0" borderId="2" xfId="0" quotePrefix="1" applyFont="1" applyBorder="1" applyAlignment="1">
      <alignment vertical="center" wrapText="1"/>
    </xf>
    <xf numFmtId="0" fontId="15" fillId="0" borderId="1" xfId="0" quotePrefix="1" applyFont="1" applyBorder="1"/>
    <xf numFmtId="0" fontId="19" fillId="0" borderId="2" xfId="0" quotePrefix="1" applyFont="1" applyBorder="1" applyAlignment="1">
      <alignment horizontal="center" vertical="center" wrapText="1"/>
    </xf>
    <xf numFmtId="0" fontId="24" fillId="0" borderId="2" xfId="0" quotePrefix="1" applyFont="1" applyBorder="1" applyAlignment="1">
      <alignment vertical="center"/>
    </xf>
    <xf numFmtId="0" fontId="37"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4" fillId="10" borderId="0" xfId="0" quotePrefix="1" applyFont="1" applyFill="1" applyAlignment="1">
      <alignment vertical="center" indent="1"/>
    </xf>
  </cellXfs>
  <cellStyles count="1">
    <cellStyle name="Normale" xfId="0" builtinId="0"/>
  </cellStyles>
  <dxfs count="129">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7D50-4B61-B454-9B3972758695}"/>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7D50-4B61-B454-9B3972758695}"/>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7D50-4B61-B454-9B3972758695}"/>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7D50-4B61-B454-9B3972758695}"/>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7D50-4B61-B454-9B3972758695}"/>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4.9255383395485879</c:v>
                </c:pt>
              </c:numCache>
            </c:numRef>
          </c:xVal>
          <c:yVal>
            <c:numRef>
              <c:f>Quadro!$BS$7:$BS$8</c:f>
              <c:numCache>
                <c:formatCode>General</c:formatCode>
                <c:ptCount val="2"/>
                <c:pt idx="0">
                  <c:v>0</c:v>
                </c:pt>
                <c:pt idx="1">
                  <c:v>3.9279857517100214</c:v>
                </c:pt>
              </c:numCache>
            </c:numRef>
          </c:yVal>
          <c:smooth val="1"/>
          <c:extLst>
            <c:ext xmlns:c16="http://schemas.microsoft.com/office/drawing/2014/chart" uri="{C3380CC4-5D6E-409C-BE32-E72D297353CC}">
              <c16:uniqueId val="{00000006-7D50-4B61-B454-9B3972758695}"/>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6.1420458467454884</c:v>
                </c:pt>
              </c:numCache>
            </c:numRef>
          </c:xVal>
          <c:yVal>
            <c:numRef>
              <c:f>Quadro!$BS$9:$BS$10</c:f>
              <c:numCache>
                <c:formatCode>General</c:formatCode>
                <c:ptCount val="2"/>
                <c:pt idx="0">
                  <c:v>0</c:v>
                </c:pt>
                <c:pt idx="1">
                  <c:v>-1.4018818839247802</c:v>
                </c:pt>
              </c:numCache>
            </c:numRef>
          </c:yVal>
          <c:smooth val="1"/>
          <c:extLst>
            <c:ext xmlns:c16="http://schemas.microsoft.com/office/drawing/2014/chart" uri="{C3380CC4-5D6E-409C-BE32-E72D297353CC}">
              <c16:uniqueId val="{00000007-7D50-4B61-B454-9B3972758695}"/>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2.7334675564406168</c:v>
                </c:pt>
              </c:numCache>
            </c:numRef>
          </c:xVal>
          <c:yVal>
            <c:numRef>
              <c:f>Quadro!$BS$11:$BS$12</c:f>
              <c:numCache>
                <c:formatCode>General</c:formatCode>
                <c:ptCount val="2"/>
                <c:pt idx="0">
                  <c:v>0</c:v>
                </c:pt>
                <c:pt idx="1">
                  <c:v>-5.6761038677852396</c:v>
                </c:pt>
              </c:numCache>
            </c:numRef>
          </c:yVal>
          <c:smooth val="1"/>
          <c:extLst>
            <c:ext xmlns:c16="http://schemas.microsoft.com/office/drawing/2014/chart" uri="{C3380CC4-5D6E-409C-BE32-E72D297353CC}">
              <c16:uniqueId val="{00000008-7D50-4B61-B454-9B3972758695}"/>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-2.7334675564406155</c:v>
                </c:pt>
              </c:numCache>
            </c:numRef>
          </c:xVal>
          <c:yVal>
            <c:numRef>
              <c:f>Quadro!$BS$13:$BS$14</c:f>
              <c:numCache>
                <c:formatCode>General</c:formatCode>
                <c:ptCount val="2"/>
                <c:pt idx="0">
                  <c:v>0</c:v>
                </c:pt>
                <c:pt idx="1">
                  <c:v>-5.6761038677852405</c:v>
                </c:pt>
              </c:numCache>
            </c:numRef>
          </c:yVal>
          <c:smooth val="1"/>
          <c:extLst>
            <c:ext xmlns:c16="http://schemas.microsoft.com/office/drawing/2014/chart" uri="{C3380CC4-5D6E-409C-BE32-E72D297353CC}">
              <c16:uniqueId val="{00000009-7D50-4B61-B454-9B3972758695}"/>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-6.1420458467454884</c:v>
                </c:pt>
              </c:numCache>
            </c:numRef>
          </c:xVal>
          <c:yVal>
            <c:numRef>
              <c:f>Quadro!$BS$15:$BS$16</c:f>
              <c:numCache>
                <c:formatCode>General</c:formatCode>
                <c:ptCount val="2"/>
                <c:pt idx="0">
                  <c:v>0</c:v>
                </c:pt>
                <c:pt idx="1">
                  <c:v>-1.401881883924782</c:v>
                </c:pt>
              </c:numCache>
            </c:numRef>
          </c:yVal>
          <c:smooth val="1"/>
          <c:extLst>
            <c:ext xmlns:c16="http://schemas.microsoft.com/office/drawing/2014/chart" uri="{C3380CC4-5D6E-409C-BE32-E72D297353CC}">
              <c16:uniqueId val="{0000000A-7D50-4B61-B454-9B3972758695}"/>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-4.9255383395485879</c:v>
                </c:pt>
              </c:numCache>
            </c:numRef>
          </c:xVal>
          <c:yVal>
            <c:numRef>
              <c:f>Quadro!$BS$17:$BS$18</c:f>
              <c:numCache>
                <c:formatCode>General</c:formatCode>
                <c:ptCount val="2"/>
                <c:pt idx="0">
                  <c:v>0</c:v>
                </c:pt>
                <c:pt idx="1">
                  <c:v>3.9279857517100201</c:v>
                </c:pt>
              </c:numCache>
            </c:numRef>
          </c:yVal>
          <c:smooth val="1"/>
          <c:extLst>
            <c:ext xmlns:c16="http://schemas.microsoft.com/office/drawing/2014/chart" uri="{C3380CC4-5D6E-409C-BE32-E72D297353CC}">
              <c16:uniqueId val="{0000000B-7D50-4B61-B454-9B3972758695}"/>
            </c:ext>
          </c:extLst>
        </c:ser>
        <c:ser>
          <c:idx val="11"/>
          <c:order val="11"/>
          <c:tx>
            <c:strRef>
              <c:f>Quadro!$BU$5</c:f>
              <c:strCache>
                <c:ptCount val="1"/>
                <c:pt idx="0">
                  <c:v>L1-01
Frode interna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3.0154919868670289</c:v>
                </c:pt>
              </c:numCache>
            </c:numRef>
          </c:xVal>
          <c:yVal>
            <c:numRef>
              <c:f>Quadro!$BW$5</c:f>
              <c:numCache>
                <c:formatCode>General</c:formatCode>
                <c:ptCount val="1"/>
                <c:pt idx="0">
                  <c:v>6.2617336319218131</c:v>
                </c:pt>
              </c:numCache>
            </c:numRef>
          </c:yVal>
          <c:smooth val="1"/>
          <c:extLst>
            <c:ext xmlns:c16="http://schemas.microsoft.com/office/drawing/2014/chart" uri="{C3380CC4-5D6E-409C-BE32-E72D297353CC}">
              <c16:uniqueId val="{0000000C-7D50-4B61-B454-9B3972758695}"/>
            </c:ext>
          </c:extLst>
        </c:ser>
        <c:ser>
          <c:idx val="12"/>
          <c:order val="12"/>
          <c:tx>
            <c:strRef>
              <c:f>Quadro!$BU$6</c:f>
              <c:strCache>
                <c:ptCount val="1"/>
                <c:pt idx="0">
                  <c:v>L1-02
Frode esterna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6.7757489896636747</c:v>
                </c:pt>
              </c:numCache>
            </c:numRef>
          </c:xVal>
          <c:yVal>
            <c:numRef>
              <c:f>Quadro!$BW$6</c:f>
              <c:numCache>
                <c:formatCode>General</c:formatCode>
                <c:ptCount val="1"/>
                <c:pt idx="0">
                  <c:v>1.5465204909963854</c:v>
                </c:pt>
              </c:numCache>
            </c:numRef>
          </c:yVal>
          <c:smooth val="1"/>
          <c:extLst>
            <c:ext xmlns:c16="http://schemas.microsoft.com/office/drawing/2014/chart" uri="{C3380CC4-5D6E-409C-BE32-E72D297353CC}">
              <c16:uniqueId val="{0000000D-7D50-4B61-B454-9B3972758695}"/>
            </c:ext>
          </c:extLst>
        </c:ser>
        <c:ser>
          <c:idx val="13"/>
          <c:order val="13"/>
          <c:tx>
            <c:strRef>
              <c:f>Quadro!$BU$7</c:f>
              <c:strCache>
                <c:ptCount val="1"/>
                <c:pt idx="0">
                  <c:v>L1-03
Impiego e sicurezza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5.4337288031528077</c:v>
                </c:pt>
              </c:numCache>
            </c:numRef>
          </c:xVal>
          <c:yVal>
            <c:numRef>
              <c:f>Quadro!$BW$7</c:f>
              <c:numCache>
                <c:formatCode>General</c:formatCode>
                <c:ptCount val="1"/>
                <c:pt idx="0">
                  <c:v>-4.3332541229181976</c:v>
                </c:pt>
              </c:numCache>
            </c:numRef>
          </c:yVal>
          <c:smooth val="1"/>
          <c:extLst>
            <c:ext xmlns:c16="http://schemas.microsoft.com/office/drawing/2014/chart" uri="{C3380CC4-5D6E-409C-BE32-E72D297353CC}">
              <c16:uniqueId val="{0000000E-7D50-4B61-B454-9B3972758695}"/>
            </c:ext>
          </c:extLst>
        </c:ser>
        <c:ser>
          <c:idx val="14"/>
          <c:order val="14"/>
          <c:tx>
            <c:strRef>
              <c:f>Quadro!$BU$8</c:f>
              <c:strCache>
                <c:ptCount val="1"/>
                <c:pt idx="0">
                  <c:v>L1-04
Clientela e prodotti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8.5147817616149091E-16</c:v>
                </c:pt>
              </c:numCache>
            </c:numRef>
          </c:xVal>
          <c:yVal>
            <c:numRef>
              <c:f>Quadro!$BW$8</c:f>
              <c:numCache>
                <c:formatCode>General</c:formatCode>
                <c:ptCount val="1"/>
                <c:pt idx="0">
                  <c:v>-6.95</c:v>
                </c:pt>
              </c:numCache>
            </c:numRef>
          </c:yVal>
          <c:smooth val="1"/>
          <c:extLst>
            <c:ext xmlns:c16="http://schemas.microsoft.com/office/drawing/2014/chart" uri="{C3380CC4-5D6E-409C-BE32-E72D297353CC}">
              <c16:uniqueId val="{0000000F-7D50-4B61-B454-9B3972758695}"/>
            </c:ext>
          </c:extLst>
        </c:ser>
        <c:ser>
          <c:idx val="15"/>
          <c:order val="15"/>
          <c:tx>
            <c:strRef>
              <c:f>Quadro!$BU$9</c:f>
              <c:strCache>
                <c:ptCount val="1"/>
                <c:pt idx="0">
                  <c:v>L1-05
Danni a beni materiali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-5.4337288031528068</c:v>
                </c:pt>
              </c:numCache>
            </c:numRef>
          </c:xVal>
          <c:yVal>
            <c:numRef>
              <c:f>Quadro!$BW$9</c:f>
              <c:numCache>
                <c:formatCode>General</c:formatCode>
                <c:ptCount val="1"/>
                <c:pt idx="0">
                  <c:v>-4.3332541229181993</c:v>
                </c:pt>
              </c:numCache>
            </c:numRef>
          </c:yVal>
          <c:smooth val="1"/>
          <c:extLst>
            <c:ext xmlns:c16="http://schemas.microsoft.com/office/drawing/2014/chart" uri="{C3380CC4-5D6E-409C-BE32-E72D297353CC}">
              <c16:uniqueId val="{00000010-7D50-4B61-B454-9B3972758695}"/>
            </c:ext>
          </c:extLst>
        </c:ser>
        <c:ser>
          <c:idx val="16"/>
          <c:order val="16"/>
          <c:tx>
            <c:strRef>
              <c:f>Quadro!$BU$10</c:f>
              <c:strCache>
                <c:ptCount val="1"/>
                <c:pt idx="0">
                  <c:v>L1-06
Interruzione e sistemi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-6.7757489896636756</c:v>
                </c:pt>
              </c:numCache>
            </c:numRef>
          </c:xVal>
          <c:yVal>
            <c:numRef>
              <c:f>Quadro!$BW$10</c:f>
              <c:numCache>
                <c:formatCode>General</c:formatCode>
                <c:ptCount val="1"/>
                <c:pt idx="0">
                  <c:v>1.5465204909963777</c:v>
                </c:pt>
              </c:numCache>
            </c:numRef>
          </c:yVal>
          <c:smooth val="1"/>
          <c:extLst>
            <c:ext xmlns:c16="http://schemas.microsoft.com/office/drawing/2014/chart" uri="{C3380CC4-5D6E-409C-BE32-E72D297353CC}">
              <c16:uniqueId val="{00000011-7D50-4B61-B454-9B3972758695}"/>
            </c:ext>
          </c:extLst>
        </c:ser>
        <c:ser>
          <c:idx val="17"/>
          <c:order val="17"/>
          <c:tx>
            <c:strRef>
              <c:f>Quadro!$BU$11</c:f>
              <c:strCache>
                <c:ptCount val="1"/>
                <c:pt idx="0">
                  <c:v>L1-07
Processi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-3.0154919868670249</c:v>
                </c:pt>
              </c:numCache>
            </c:numRef>
          </c:xVal>
          <c:yVal>
            <c:numRef>
              <c:f>Quadro!$BW$11</c:f>
              <c:numCache>
                <c:formatCode>General</c:formatCode>
                <c:ptCount val="1"/>
                <c:pt idx="0">
                  <c:v>6.2617336319218149</c:v>
                </c:pt>
              </c:numCache>
            </c:numRef>
          </c:yVal>
          <c:smooth val="1"/>
          <c:extLst>
            <c:ext xmlns:c16="http://schemas.microsoft.com/office/drawing/2014/chart" uri="{C3380CC4-5D6E-409C-BE32-E72D297353CC}">
              <c16:uniqueId val="{00000012-7D50-4B61-B454-9B3972758695}"/>
            </c:ext>
          </c:extLst>
        </c:ser>
        <c:ser>
          <c:idx val="18"/>
          <c:order val="18"/>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3-7D50-4B61-B454-9B3972758695}"/>
            </c:ext>
          </c:extLst>
        </c:ser>
        <c:ser>
          <c:idx val="19"/>
          <c:order val="19"/>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4-7D50-4B61-B454-9B3972758695}"/>
            </c:ext>
          </c:extLst>
        </c:ser>
        <c:ser>
          <c:idx val="20"/>
          <c:order val="20"/>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5-7D50-4B61-B454-9B3972758695}"/>
            </c:ext>
          </c:extLst>
        </c:ser>
        <c:ser>
          <c:idx val="21"/>
          <c:order val="21"/>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7D50-4B61-B454-9B3972758695}"/>
            </c:ext>
          </c:extLst>
        </c:ser>
        <c:ser>
          <c:idx val="22"/>
          <c:order val="22"/>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7D50-4B61-B454-9B3972758695}"/>
            </c:ext>
          </c:extLst>
        </c:ser>
        <c:ser>
          <c:idx val="23"/>
          <c:order val="23"/>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7D50-4B61-B454-9B3972758695}"/>
            </c:ext>
          </c:extLst>
        </c:ser>
        <c:ser>
          <c:idx val="24"/>
          <c:order val="24"/>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7D50-4B61-B454-9B3972758695}"/>
            </c:ext>
          </c:extLst>
        </c:ser>
        <c:ser>
          <c:idx val="25"/>
          <c:order val="25"/>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7D50-4B61-B454-9B3972758695}"/>
            </c:ext>
          </c:extLst>
        </c:ser>
        <c:ser>
          <c:idx val="26"/>
          <c:order val="26"/>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7D50-4B61-B454-9B3972758695}"/>
            </c:ext>
          </c:extLst>
        </c:ser>
        <c:ser>
          <c:idx val="27"/>
          <c:order val="27"/>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7D50-4B61-B454-9B3972758695}"/>
            </c:ext>
          </c:extLst>
        </c:ser>
        <c:ser>
          <c:idx val="28"/>
          <c:order val="28"/>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7D50-4B61-B454-9B3972758695}"/>
            </c:ext>
          </c:extLst>
        </c:ser>
        <c:ser>
          <c:idx val="29"/>
          <c:order val="29"/>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7D50-4B61-B454-9B3972758695}"/>
            </c:ext>
          </c:extLst>
        </c:ser>
        <c:ser>
          <c:idx val="30"/>
          <c:order val="30"/>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7D50-4B61-B454-9B3972758695}"/>
            </c:ext>
          </c:extLst>
        </c:ser>
        <c:ser>
          <c:idx val="31"/>
          <c:order val="31"/>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7D50-4B61-B454-9B3972758695}"/>
            </c:ext>
          </c:extLst>
        </c:ser>
        <c:ser>
          <c:idx val="32"/>
          <c:order val="32"/>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7D50-4B61-B454-9B3972758695}"/>
            </c:ext>
          </c:extLst>
        </c:ser>
        <c:ser>
          <c:idx val="33"/>
          <c:order val="33"/>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7D50-4B61-B454-9B3972758695}"/>
            </c:ext>
          </c:extLst>
        </c:ser>
        <c:ser>
          <c:idx val="34"/>
          <c:order val="34"/>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7D50-4B61-B454-9B3972758695}"/>
            </c:ext>
          </c:extLst>
        </c:ser>
        <c:ser>
          <c:idx val="35"/>
          <c:order val="35"/>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7D50-4B61-B454-9B3972758695}"/>
            </c:ext>
          </c:extLst>
        </c:ser>
        <c:ser>
          <c:idx val="36"/>
          <c:order val="36"/>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7D50-4B61-B454-9B3972758695}"/>
            </c:ext>
          </c:extLst>
        </c:ser>
        <c:ser>
          <c:idx val="37"/>
          <c:order val="37"/>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7D50-4B61-B454-9B3972758695}"/>
            </c:ext>
          </c:extLst>
        </c:ser>
        <c:ser>
          <c:idx val="38"/>
          <c:order val="38"/>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7D50-4B61-B454-9B3972758695}"/>
            </c:ext>
          </c:extLst>
        </c:ser>
        <c:ser>
          <c:idx val="39"/>
          <c:order val="39"/>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-1.9111456115722811</c:v>
                </c:pt>
                <c:pt idx="3">
                  <c:v>-1.7145969551115177</c:v>
                </c:pt>
                <c:pt idx="4">
                  <c:v>#N/A</c:v>
                </c:pt>
                <c:pt idx="5">
                  <c:v>2.6810517585000149</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7D50-4B61-B454-9B3972758695}"/>
            </c:ext>
          </c:extLst>
        </c:ser>
        <c:ser>
          <c:idx val="40"/>
          <c:order val="40"/>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7D50-4B61-B454-9B3972758695}"/>
            </c:ext>
          </c:extLst>
        </c:ser>
        <c:ser>
          <c:idx val="41"/>
          <c:order val="41"/>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7D50-4B61-B454-9B3972758695}"/>
            </c:ext>
          </c:extLst>
        </c:ser>
        <c:ser>
          <c:idx val="42"/>
          <c:order val="42"/>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7D50-4B61-B454-9B3972758695}"/>
            </c:ext>
          </c:extLst>
        </c:ser>
        <c:ser>
          <c:idx val="43"/>
          <c:order val="43"/>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7D50-4B61-B454-9B3972758695}"/>
            </c:ext>
          </c:extLst>
        </c:ser>
        <c:ser>
          <c:idx val="44"/>
          <c:order val="44"/>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7D50-4B61-B454-9B3972758695}"/>
            </c:ext>
          </c:extLst>
        </c:ser>
        <c:ser>
          <c:idx val="45"/>
          <c:order val="45"/>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7D50-4B61-B454-9B3972758695}"/>
            </c:ext>
          </c:extLst>
        </c:ser>
        <c:ser>
          <c:idx val="46"/>
          <c:order val="46"/>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7D50-4B61-B454-9B3972758695}"/>
            </c:ext>
          </c:extLst>
        </c:ser>
        <c:ser>
          <c:idx val="47"/>
          <c:order val="47"/>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7D50-4B61-B454-9B3972758695}"/>
            </c:ext>
          </c:extLst>
        </c:ser>
        <c:ser>
          <c:idx val="48"/>
          <c:order val="48"/>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7D50-4B61-B454-9B3972758695}"/>
            </c:ext>
          </c:extLst>
        </c:ser>
        <c:ser>
          <c:idx val="49"/>
          <c:order val="49"/>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7D50-4B61-B454-9B3972758695}"/>
            </c:ext>
          </c:extLst>
        </c:ser>
        <c:ser>
          <c:idx val="50"/>
          <c:order val="50"/>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7D50-4B61-B454-9B3972758695}"/>
            </c:ext>
          </c:extLst>
        </c:ser>
        <c:ser>
          <c:idx val="51"/>
          <c:order val="51"/>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2.3454944474040893</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7D50-4B61-B454-9B3972758695}"/>
            </c:ext>
          </c:extLst>
        </c:ser>
        <c:ser>
          <c:idx val="52"/>
          <c:order val="52"/>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7D50-4B61-B454-9B3972758695}"/>
            </c:ext>
          </c:extLst>
        </c:ser>
        <c:ser>
          <c:idx val="53"/>
          <c:order val="53"/>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7D50-4B61-B454-9B3972758695}"/>
            </c:ext>
          </c:extLst>
        </c:ser>
        <c:ser>
          <c:idx val="54"/>
          <c:order val="54"/>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7D50-4B61-B454-9B3972758695}"/>
            </c:ext>
          </c:extLst>
        </c:ser>
        <c:ser>
          <c:idx val="55"/>
          <c:order val="55"/>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7D50-4B61-B454-9B3972758695}"/>
            </c:ext>
          </c:extLst>
        </c:ser>
        <c:ser>
          <c:idx val="56"/>
          <c:order val="56"/>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7D50-4B61-B454-9B3972758695}"/>
            </c:ext>
          </c:extLst>
        </c:ser>
        <c:ser>
          <c:idx val="57"/>
          <c:order val="57"/>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7D50-4B61-B454-9B3972758695}"/>
            </c:ext>
          </c:extLst>
        </c:ser>
        <c:ser>
          <c:idx val="58"/>
          <c:order val="58"/>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7D50-4B61-B454-9B3972758695}"/>
            </c:ext>
          </c:extLst>
        </c:ser>
        <c:ser>
          <c:idx val="59"/>
          <c:order val="59"/>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7D50-4B61-B454-9B3972758695}"/>
            </c:ext>
          </c:extLst>
        </c:ser>
        <c:ser>
          <c:idx val="60"/>
          <c:order val="60"/>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1.7061238463181914</c:v>
                </c:pt>
              </c:numCache>
            </c:numRef>
          </c:xVal>
          <c:yVal>
            <c:numRef>
              <c:f>Quadro!$DQ$5</c:f>
              <c:numCache>
                <c:formatCode>General</c:formatCode>
                <c:ptCount val="1"/>
                <c:pt idx="0">
                  <c:v>0.38941163442355031</c:v>
                </c:pt>
              </c:numCache>
            </c:numRef>
          </c:yVal>
          <c:smooth val="1"/>
          <c:extLst>
            <c:ext xmlns:c16="http://schemas.microsoft.com/office/drawing/2014/chart" uri="{C3380CC4-5D6E-409C-BE32-E72D297353CC}">
              <c16:uniqueId val="{0000003D-7D50-4B61-B454-9B3972758695}"/>
            </c:ext>
          </c:extLst>
        </c:ser>
        <c:ser>
          <c:idx val="61"/>
          <c:order val="61"/>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-2.2437085436576552</c:v>
                </c:pt>
              </c:numCache>
            </c:numRef>
          </c:xVal>
          <c:yVal>
            <c:numRef>
              <c:f>Quadro!$DQ$6</c:f>
              <c:numCache>
                <c:formatCode>General</c:formatCode>
                <c:ptCount val="1"/>
                <c:pt idx="0">
                  <c:v>-0.16814271056945562</c:v>
                </c:pt>
              </c:numCache>
            </c:numRef>
          </c:yVal>
          <c:smooth val="1"/>
          <c:extLst>
            <c:ext xmlns:c16="http://schemas.microsoft.com/office/drawing/2014/chart" uri="{C3380CC4-5D6E-409C-BE32-E72D297353CC}">
              <c16:uniqueId val="{0000003E-7D50-4B61-B454-9B3972758695}"/>
            </c:ext>
          </c:extLst>
        </c:ser>
        <c:ser>
          <c:idx val="62"/>
          <c:order val="62"/>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0.58951034882180919</c:v>
                </c:pt>
              </c:numCache>
            </c:numRef>
          </c:xVal>
          <c:yVal>
            <c:numRef>
              <c:f>Quadro!$DQ$7</c:f>
              <c:numCache>
                <c:formatCode>General</c:formatCode>
                <c:ptCount val="1"/>
                <c:pt idx="0">
                  <c:v>-1.9111456115722811</c:v>
                </c:pt>
              </c:numCache>
            </c:numRef>
          </c:yVal>
          <c:smooth val="1"/>
          <c:extLst>
            <c:ext xmlns:c16="http://schemas.microsoft.com/office/drawing/2014/chart" uri="{C3380CC4-5D6E-409C-BE32-E72D297353CC}">
              <c16:uniqueId val="{0000003F-7D50-4B61-B454-9B3972758695}"/>
            </c:ext>
          </c:extLst>
        </c:ser>
        <c:ser>
          <c:idx val="63"/>
          <c:order val="63"/>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-2.1500365767870817</c:v>
                </c:pt>
              </c:numCache>
            </c:numRef>
          </c:xVal>
          <c:yVal>
            <c:numRef>
              <c:f>Quadro!$DQ$8</c:f>
              <c:numCache>
                <c:formatCode>General</c:formatCode>
                <c:ptCount val="1"/>
                <c:pt idx="0">
                  <c:v>-1.7145969551115177</c:v>
                </c:pt>
              </c:numCache>
            </c:numRef>
          </c:yVal>
          <c:smooth val="1"/>
          <c:extLst>
            <c:ext xmlns:c16="http://schemas.microsoft.com/office/drawing/2014/chart" uri="{C3380CC4-5D6E-409C-BE32-E72D297353CC}">
              <c16:uniqueId val="{00000040-7D50-4B61-B454-9B3972758695}"/>
            </c:ext>
          </c:extLst>
        </c:ser>
        <c:ser>
          <c:idx val="64"/>
          <c:order val="64"/>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-1.870469405576201</c:v>
                </c:pt>
              </c:numCache>
            </c:numRef>
          </c:xVal>
          <c:yVal>
            <c:numRef>
              <c:f>Quadro!$DQ$9</c:f>
              <c:numCache>
                <c:formatCode>General</c:formatCode>
                <c:ptCount val="1"/>
                <c:pt idx="0">
                  <c:v>2.3454944474040893</c:v>
                </c:pt>
              </c:numCache>
            </c:numRef>
          </c:yVal>
          <c:smooth val="1"/>
          <c:extLst>
            <c:ext xmlns:c16="http://schemas.microsoft.com/office/drawing/2014/chart" uri="{C3380CC4-5D6E-409C-BE32-E72D297353CC}">
              <c16:uniqueId val="{00000041-7D50-4B61-B454-9B3972758695}"/>
            </c:ext>
          </c:extLst>
        </c:ser>
        <c:ser>
          <c:idx val="65"/>
          <c:order val="65"/>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0.61193256837986454</c:v>
                </c:pt>
              </c:numCache>
            </c:numRef>
          </c:xVal>
          <c:yVal>
            <c:numRef>
              <c:f>Quadro!$DQ$10</c:f>
              <c:numCache>
                <c:formatCode>General</c:formatCode>
                <c:ptCount val="1"/>
                <c:pt idx="0">
                  <c:v>2.6810517585000149</c:v>
                </c:pt>
              </c:numCache>
            </c:numRef>
          </c:yVal>
          <c:smooth val="1"/>
          <c:extLst>
            <c:ext xmlns:c16="http://schemas.microsoft.com/office/drawing/2014/chart" uri="{C3380CC4-5D6E-409C-BE32-E72D297353CC}">
              <c16:uniqueId val="{00000042-7D50-4B61-B454-9B3972758695}"/>
            </c:ext>
          </c:extLst>
        </c:ser>
        <c:ser>
          <c:idx val="66"/>
          <c:order val="66"/>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-2.6810517585000158</c:v>
                </c:pt>
              </c:numCache>
            </c:numRef>
          </c:xVal>
          <c:yVal>
            <c:numRef>
              <c:f>Quadro!$DQ$11</c:f>
              <c:numCache>
                <c:formatCode>General</c:formatCode>
                <c:ptCount val="1"/>
                <c:pt idx="0">
                  <c:v>0.61193256837986165</c:v>
                </c:pt>
              </c:numCache>
            </c:numRef>
          </c:yVal>
          <c:smooth val="1"/>
          <c:extLst>
            <c:ext xmlns:c16="http://schemas.microsoft.com/office/drawing/2014/chart" uri="{C3380CC4-5D6E-409C-BE32-E72D297353CC}">
              <c16:uniqueId val="{00000043-7D50-4B61-B454-9B3972758695}"/>
            </c:ext>
          </c:extLst>
        </c:ser>
        <c:ser>
          <c:idx val="67"/>
          <c:order val="67"/>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1.8704694055762006</c:v>
                </c:pt>
              </c:numCache>
            </c:numRef>
          </c:xVal>
          <c:yVal>
            <c:numRef>
              <c:f>Quadro!$DQ$12</c:f>
              <c:numCache>
                <c:formatCode>General</c:formatCode>
                <c:ptCount val="1"/>
                <c:pt idx="0">
                  <c:v>2.3454944474040893</c:v>
                </c:pt>
              </c:numCache>
            </c:numRef>
          </c:yVal>
          <c:smooth val="1"/>
          <c:extLst>
            <c:ext xmlns:c16="http://schemas.microsoft.com/office/drawing/2014/chart" uri="{C3380CC4-5D6E-409C-BE32-E72D297353CC}">
              <c16:uniqueId val="{00000044-7D50-4B61-B454-9B3972758695}"/>
            </c:ext>
          </c:extLst>
        </c:ser>
        <c:ser>
          <c:idx val="68"/>
          <c:order val="68"/>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3.981732478453015E-16</c:v>
                </c:pt>
              </c:numCache>
            </c:numRef>
          </c:xVal>
          <c:yVal>
            <c:numRef>
              <c:f>Quadro!$DQ$13</c:f>
              <c:numCache>
                <c:formatCode>General</c:formatCode>
                <c:ptCount val="1"/>
                <c:pt idx="0">
                  <c:v>-3.25</c:v>
                </c:pt>
              </c:numCache>
            </c:numRef>
          </c:yVal>
          <c:smooth val="1"/>
          <c:extLst>
            <c:ext xmlns:c16="http://schemas.microsoft.com/office/drawing/2014/chart" uri="{C3380CC4-5D6E-409C-BE32-E72D297353CC}">
              <c16:uniqueId val="{00000045-7D50-4B61-B454-9B3972758695}"/>
            </c:ext>
          </c:extLst>
        </c:ser>
        <c:ser>
          <c:idx val="69"/>
          <c:order val="69"/>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-0.88426552323271312</c:v>
                </c:pt>
              </c:numCache>
            </c:numRef>
          </c:xVal>
          <c:yVal>
            <c:numRef>
              <c:f>Quadro!$DQ$14</c:f>
              <c:numCache>
                <c:formatCode>General</c:formatCode>
                <c:ptCount val="1"/>
                <c:pt idx="0">
                  <c:v>-2.8667184173584221</c:v>
                </c:pt>
              </c:numCache>
            </c:numRef>
          </c:yVal>
          <c:smooth val="1"/>
          <c:extLst>
            <c:ext xmlns:c16="http://schemas.microsoft.com/office/drawing/2014/chart" uri="{C3380CC4-5D6E-409C-BE32-E72D297353CC}">
              <c16:uniqueId val="{00000046-7D50-4B61-B454-9B3972758695}"/>
            </c:ext>
          </c:extLst>
        </c:ser>
        <c:ser>
          <c:idx val="70"/>
          <c:order val="70"/>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-0.51961524227066314</c:v>
                </c:pt>
              </c:numCache>
            </c:numRef>
          </c:xVal>
          <c:yVal>
            <c:numRef>
              <c:f>Quadro!$DQ$15</c:f>
              <c:numCache>
                <c:formatCode>General</c:formatCode>
                <c:ptCount val="1"/>
                <c:pt idx="0">
                  <c:v>0.30000000000000004</c:v>
                </c:pt>
              </c:numCache>
            </c:numRef>
          </c:yVal>
          <c:smooth val="1"/>
          <c:extLst>
            <c:ext xmlns:c16="http://schemas.microsoft.com/office/drawing/2014/chart" uri="{C3380CC4-5D6E-409C-BE32-E72D297353CC}">
              <c16:uniqueId val="{00000047-7D50-4B61-B454-9B3972758695}"/>
            </c:ext>
          </c:extLst>
        </c:ser>
        <c:ser>
          <c:idx val="71"/>
          <c:order val="71"/>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-0.44504186791262929</c:v>
                </c:pt>
              </c:numCache>
            </c:numRef>
          </c:xVal>
          <c:yVal>
            <c:numRef>
              <c:f>Quadro!$DQ$16</c:f>
              <c:numCache>
                <c:formatCode>General</c:formatCode>
                <c:ptCount val="1"/>
                <c:pt idx="0">
                  <c:v>1.949855824363647</c:v>
                </c:pt>
              </c:numCache>
            </c:numRef>
          </c:yVal>
          <c:smooth val="1"/>
          <c:extLst>
            <c:ext xmlns:c16="http://schemas.microsoft.com/office/drawing/2014/chart" uri="{C3380CC4-5D6E-409C-BE32-E72D297353CC}">
              <c16:uniqueId val="{00000048-7D50-4B61-B454-9B3972758695}"/>
            </c:ext>
          </c:extLst>
        </c:ser>
        <c:ser>
          <c:idx val="72"/>
          <c:order val="72"/>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9-7D50-4B61-B454-9B3972758695}"/>
            </c:ext>
          </c:extLst>
        </c:ser>
        <c:ser>
          <c:idx val="73"/>
          <c:order val="73"/>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A-7D50-4B61-B454-9B3972758695}"/>
            </c:ext>
          </c:extLst>
        </c:ser>
        <c:ser>
          <c:idx val="74"/>
          <c:order val="74"/>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B-7D50-4B61-B454-9B3972758695}"/>
            </c:ext>
          </c:extLst>
        </c:ser>
        <c:ser>
          <c:idx val="75"/>
          <c:order val="75"/>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4C-7D50-4B61-B454-9B3972758695}"/>
            </c:ext>
          </c:extLst>
        </c:ser>
        <c:ser>
          <c:idx val="76"/>
          <c:order val="76"/>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4D-7D50-4B61-B454-9B3972758695}"/>
            </c:ext>
          </c:extLst>
        </c:ser>
        <c:ser>
          <c:idx val="77"/>
          <c:order val="77"/>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4E-7D50-4B61-B454-9B3972758695}"/>
            </c:ext>
          </c:extLst>
        </c:ser>
        <c:ser>
          <c:idx val="78"/>
          <c:order val="78"/>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4F-7D50-4B61-B454-9B3972758695}"/>
            </c:ext>
          </c:extLst>
        </c:ser>
        <c:ser>
          <c:idx val="79"/>
          <c:order val="79"/>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0-7D50-4B61-B454-9B3972758695}"/>
            </c:ext>
          </c:extLst>
        </c:ser>
        <c:ser>
          <c:idx val="80"/>
          <c:order val="80"/>
          <c:tx>
            <c:strRef>
              <c:f>Quadro!$DR$5</c:f>
              <c:strCache>
                <c:ptCount val="1"/>
                <c:pt idx="0">
                  <c:v>Attivazione</c:v>
                </c:pt>
              </c:strCache>
            </c:strRef>
          </c:tx>
          <c:spPr>
            <a:ln>
              <a:noFill/>
              <a:prstDash val="solid"/>
            </a:ln>
          </c:spPr>
          <c:marker>
            <c:symbol val="circle"/>
            <c:size val="9"/>
            <c:spPr>
              <a:solidFill>
                <a:srgbClr val="E06666">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Quadro!$DS$5</c:f>
              <c:numCache>
                <c:formatCode>General</c:formatCode>
                <c:ptCount val="1"/>
                <c:pt idx="0">
                  <c:v>-6.9</c:v>
                </c:pt>
              </c:numCache>
            </c:numRef>
          </c:xVal>
          <c:yVal>
            <c:numRef>
              <c:f>Quadro!$DT$5</c:f>
              <c:numCache>
                <c:formatCode>General</c:formatCode>
                <c:ptCount val="1"/>
                <c:pt idx="0">
                  <c:v>-5.05</c:v>
                </c:pt>
              </c:numCache>
            </c:numRef>
          </c:yVal>
          <c:smooth val="1"/>
          <c:extLst>
            <c:ext xmlns:c16="http://schemas.microsoft.com/office/drawing/2014/chart" uri="{C3380CC4-5D6E-409C-BE32-E72D297353CC}">
              <c16:uniqueId val="{00000051-7D50-4B61-B454-9B3972758695}"/>
            </c:ext>
          </c:extLst>
        </c:ser>
        <c:ser>
          <c:idx val="81"/>
          <c:order val="81"/>
          <c:tx>
            <c:strRef>
              <c:f>Quadro!$DR$6</c:f>
              <c:strCache>
                <c:ptCount val="1"/>
                <c:pt idx="0">
                  <c:v>Attenzione</c:v>
                </c:pt>
              </c:strCache>
            </c:strRef>
          </c:tx>
          <c:spPr>
            <a:ln>
              <a:noFill/>
              <a:prstDash val="solid"/>
            </a:ln>
          </c:spPr>
          <c:marker>
            <c:symbol val="circle"/>
            <c:size val="9"/>
            <c:spPr>
              <a:solidFill>
                <a:srgbClr val="F6C342">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Quadro!$DS$6</c:f>
              <c:numCache>
                <c:formatCode>General</c:formatCode>
                <c:ptCount val="1"/>
                <c:pt idx="0">
                  <c:v>-6.9</c:v>
                </c:pt>
              </c:numCache>
            </c:numRef>
          </c:xVal>
          <c:yVal>
            <c:numRef>
              <c:f>Quadro!$DT$6</c:f>
              <c:numCache>
                <c:formatCode>General</c:formatCode>
                <c:ptCount val="1"/>
                <c:pt idx="0">
                  <c:v>-5.7</c:v>
                </c:pt>
              </c:numCache>
            </c:numRef>
          </c:yVal>
          <c:smooth val="1"/>
          <c:extLst>
            <c:ext xmlns:c16="http://schemas.microsoft.com/office/drawing/2014/chart" uri="{C3380CC4-5D6E-409C-BE32-E72D297353CC}">
              <c16:uniqueId val="{00000052-7D50-4B61-B454-9B3972758695}"/>
            </c:ext>
          </c:extLst>
        </c:ser>
        <c:ser>
          <c:idx val="82"/>
          <c:order val="82"/>
          <c:tx>
            <c:strRef>
              <c:f>Quadro!$DR$7</c:f>
              <c:strCache>
                <c:ptCount val="1"/>
                <c:pt idx="0">
                  <c:v>Monitoraggio</c:v>
                </c:pt>
              </c:strCache>
            </c:strRef>
          </c:tx>
          <c:spPr>
            <a:ln>
              <a:noFill/>
              <a:prstDash val="solid"/>
            </a:ln>
          </c:spPr>
          <c:marker>
            <c:symbol val="circle"/>
            <c:size val="9"/>
            <c:spPr>
              <a:solidFill>
                <a:srgbClr val="93C47D">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Quadro!$DS$7</c:f>
              <c:numCache>
                <c:formatCode>General</c:formatCode>
                <c:ptCount val="1"/>
                <c:pt idx="0">
                  <c:v>-6.9</c:v>
                </c:pt>
              </c:numCache>
            </c:numRef>
          </c:xVal>
          <c:yVal>
            <c:numRef>
              <c:f>Quadro!$DT$7</c:f>
              <c:numCache>
                <c:formatCode>General</c:formatCode>
                <c:ptCount val="1"/>
                <c:pt idx="0">
                  <c:v>-6.35</c:v>
                </c:pt>
              </c:numCache>
            </c:numRef>
          </c:yVal>
          <c:smooth val="1"/>
          <c:extLst>
            <c:ext xmlns:c16="http://schemas.microsoft.com/office/drawing/2014/chart" uri="{C3380CC4-5D6E-409C-BE32-E72D297353CC}">
              <c16:uniqueId val="{00000053-7D50-4B61-B454-9B3972758695}"/>
            </c:ext>
          </c:extLst>
        </c:ser>
        <c:ser>
          <c:idx val="83"/>
          <c:order val="83"/>
          <c:tx>
            <c:strRef>
              <c:f>Quadro!$DR$8</c:f>
              <c:strCache>
                <c:ptCount val="1"/>
                <c:pt idx="0">
                  <c:v>AGIRE ORA: X + Y &gt; Z</c:v>
                </c:pt>
              </c:strCache>
            </c:strRef>
          </c:tx>
          <c:spPr>
            <a:ln w="28575">
              <a:solidFill>
                <a:srgbClr val="C00000"/>
              </a:solidFill>
              <a:prstDash val="solid"/>
            </a:ln>
          </c:spPr>
          <c:marker>
            <c:symbol val="none"/>
          </c:marker>
          <c:dLbls>
            <c:dLbl>
              <c:idx val="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4-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Quadro!$DS$8:$DS$9</c:f>
              <c:numCache>
                <c:formatCode>General</c:formatCode>
                <c:ptCount val="2"/>
                <c:pt idx="0">
                  <c:v>-7.35</c:v>
                </c:pt>
                <c:pt idx="1">
                  <c:v>-6.45</c:v>
                </c:pt>
              </c:numCache>
            </c:numRef>
          </c:xVal>
          <c:yVal>
            <c:numRef>
              <c:f>Quadro!$DT$8:$DT$9</c:f>
              <c:numCache>
                <c:formatCode>General</c:formatCode>
                <c:ptCount val="2"/>
                <c:pt idx="0">
                  <c:v>-7.35</c:v>
                </c:pt>
                <c:pt idx="1">
                  <c:v>-7.35</c:v>
                </c:pt>
              </c:numCache>
            </c:numRef>
          </c:yVal>
          <c:smooth val="1"/>
          <c:extLst>
            <c:ext xmlns:c16="http://schemas.microsoft.com/office/drawing/2014/chart" uri="{C3380CC4-5D6E-409C-BE32-E72D297353CC}">
              <c16:uniqueId val="{00000055-7D50-4B61-B454-9B3972758695}"/>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ACC-4E7D-9E96-C7A4B00E6DA2}"/>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ACC-4E7D-9E96-C7A4B00E6DA2}"/>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ACC-4E7D-9E96-C7A4B00E6DA2}"/>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E3D-4B9F-A933-51504C5DC536}"/>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[0]!lenteY</c:f>
              <c:numCache>
                <c:formatCode>General</c:formatCode>
                <c:ptCount val="12"/>
                <c:pt idx="0">
                  <c:v>#N/A</c:v>
                </c:pt>
                <c:pt idx="1">
                  <c:v>#N/A</c:v>
                </c:pt>
                <c:pt idx="2">
                  <c:v>0.25</c:v>
                </c:pt>
                <c:pt idx="3">
                  <c:v>0.25</c:v>
                </c:pt>
                <c:pt idx="4">
                  <c:v>1</c:v>
                </c:pt>
                <c:pt idx="5">
                  <c:v>0.5</c:v>
                </c:pt>
                <c:pt idx="6">
                  <c:v>0.5</c:v>
                </c:pt>
                <c:pt idx="7">
                  <c:v>0.5</c:v>
                </c:pt>
                <c:pt idx="8">
                  <c:v>0.25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7E3D-4B9F-A933-51504C5DC536}"/>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7E3D-4B9F-A933-51504C5DC536}"/>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7E3D-4B9F-A933-51504C5DC53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84B9-43E2-A195-BDB7FD216703}"/>
            </c:ext>
          </c:extLst>
        </c:ser>
        <c:ser>
          <c:idx val="1"/>
          <c:order val="1"/>
          <c:tx>
            <c:v>1 anno</c:v>
          </c:tx>
          <c:spPr>
            <a:ln w="12700">
              <a:solidFill>
                <a:srgbClr val="8C8C8C"/>
              </a:solidFill>
              <a:prstDash val="dash"/>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84B9-43E2-A195-BDB7FD216703}"/>
            </c:ext>
          </c:extLst>
        </c:ser>
        <c:ser>
          <c:idx val="2"/>
          <c:order val="2"/>
          <c:tx>
            <c:v>2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84B9-43E2-A195-BDB7FD216703}"/>
            </c:ext>
          </c:extLst>
        </c:ser>
        <c:ser>
          <c:idx val="3"/>
          <c:order val="3"/>
          <c:tx>
            <c:v>3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84B9-43E2-A195-BDB7FD216703}"/>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84B9-43E2-A195-BDB7FD216703}"/>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4.9255383395485879</c:v>
                </c:pt>
              </c:numCache>
            </c:numRef>
          </c:xVal>
          <c:yVal>
            <c:numRef>
              <c:f>Radar_Mosca!$AO$7:$AO$8</c:f>
              <c:numCache>
                <c:formatCode>General</c:formatCode>
                <c:ptCount val="2"/>
                <c:pt idx="0">
                  <c:v>0</c:v>
                </c:pt>
                <c:pt idx="1">
                  <c:v>3.9279857517100214</c:v>
                </c:pt>
              </c:numCache>
            </c:numRef>
          </c:yVal>
          <c:smooth val="1"/>
          <c:extLst>
            <c:ext xmlns:c16="http://schemas.microsoft.com/office/drawing/2014/chart" uri="{C3380CC4-5D6E-409C-BE32-E72D297353CC}">
              <c16:uniqueId val="{00000009-84B9-43E2-A195-BDB7FD216703}"/>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6.1420458467454884</c:v>
                </c:pt>
              </c:numCache>
            </c:numRef>
          </c:xVal>
          <c:yVal>
            <c:numRef>
              <c:f>Radar_Mosca!$AO$9:$AO$10</c:f>
              <c:numCache>
                <c:formatCode>General</c:formatCode>
                <c:ptCount val="2"/>
                <c:pt idx="0">
                  <c:v>0</c:v>
                </c:pt>
                <c:pt idx="1">
                  <c:v>-1.4018818839247802</c:v>
                </c:pt>
              </c:numCache>
            </c:numRef>
          </c:yVal>
          <c:smooth val="1"/>
          <c:extLst>
            <c:ext xmlns:c16="http://schemas.microsoft.com/office/drawing/2014/chart" uri="{C3380CC4-5D6E-409C-BE32-E72D297353CC}">
              <c16:uniqueId val="{0000000A-84B9-43E2-A195-BDB7FD216703}"/>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2.7334675564406168</c:v>
                </c:pt>
              </c:numCache>
            </c:numRef>
          </c:xVal>
          <c:yVal>
            <c:numRef>
              <c:f>Radar_Mosca!$AO$11:$AO$12</c:f>
              <c:numCache>
                <c:formatCode>General</c:formatCode>
                <c:ptCount val="2"/>
                <c:pt idx="0">
                  <c:v>0</c:v>
                </c:pt>
                <c:pt idx="1">
                  <c:v>-5.6761038677852396</c:v>
                </c:pt>
              </c:numCache>
            </c:numRef>
          </c:yVal>
          <c:smooth val="1"/>
          <c:extLst>
            <c:ext xmlns:c16="http://schemas.microsoft.com/office/drawing/2014/chart" uri="{C3380CC4-5D6E-409C-BE32-E72D297353CC}">
              <c16:uniqueId val="{0000000B-84B9-43E2-A195-BDB7FD216703}"/>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-2.7334675564406155</c:v>
                </c:pt>
              </c:numCache>
            </c:numRef>
          </c:xVal>
          <c:yVal>
            <c:numRef>
              <c:f>Radar_Mosca!$AO$13:$AO$14</c:f>
              <c:numCache>
                <c:formatCode>General</c:formatCode>
                <c:ptCount val="2"/>
                <c:pt idx="0">
                  <c:v>0</c:v>
                </c:pt>
                <c:pt idx="1">
                  <c:v>-5.6761038677852405</c:v>
                </c:pt>
              </c:numCache>
            </c:numRef>
          </c:yVal>
          <c:smooth val="1"/>
          <c:extLst>
            <c:ext xmlns:c16="http://schemas.microsoft.com/office/drawing/2014/chart" uri="{C3380CC4-5D6E-409C-BE32-E72D297353CC}">
              <c16:uniqueId val="{0000000C-84B9-43E2-A195-BDB7FD216703}"/>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-6.1420458467454884</c:v>
                </c:pt>
              </c:numCache>
            </c:numRef>
          </c:xVal>
          <c:yVal>
            <c:numRef>
              <c:f>Radar_Mosca!$AO$15:$AO$16</c:f>
              <c:numCache>
                <c:formatCode>General</c:formatCode>
                <c:ptCount val="2"/>
                <c:pt idx="0">
                  <c:v>0</c:v>
                </c:pt>
                <c:pt idx="1">
                  <c:v>-1.401881883924782</c:v>
                </c:pt>
              </c:numCache>
            </c:numRef>
          </c:yVal>
          <c:smooth val="1"/>
          <c:extLst>
            <c:ext xmlns:c16="http://schemas.microsoft.com/office/drawing/2014/chart" uri="{C3380CC4-5D6E-409C-BE32-E72D297353CC}">
              <c16:uniqueId val="{0000000D-84B9-43E2-A195-BDB7FD216703}"/>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-4.9255383395485879</c:v>
                </c:pt>
              </c:numCache>
            </c:numRef>
          </c:xVal>
          <c:yVal>
            <c:numRef>
              <c:f>Radar_Mosca!$AO$17:$AO$18</c:f>
              <c:numCache>
                <c:formatCode>General</c:formatCode>
                <c:ptCount val="2"/>
                <c:pt idx="0">
                  <c:v>0</c:v>
                </c:pt>
                <c:pt idx="1">
                  <c:v>3.9279857517100201</c:v>
                </c:pt>
              </c:numCache>
            </c:numRef>
          </c:yVal>
          <c:smooth val="1"/>
          <c:extLst>
            <c:ext xmlns:c16="http://schemas.microsoft.com/office/drawing/2014/chart" uri="{C3380CC4-5D6E-409C-BE32-E72D297353CC}">
              <c16:uniqueId val="{0000000E-84B9-43E2-A195-BDB7FD216703}"/>
            </c:ext>
          </c:extLst>
        </c:ser>
        <c:ser>
          <c:idx val="11"/>
          <c:order val="11"/>
          <c:tx>
            <c:strRef>
              <c:f>Radar_Mosca!$AQ$5</c:f>
              <c:strCache>
                <c:ptCount val="1"/>
                <c:pt idx="0">
                  <c:v>L1-01
Frode interna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3.0154919868670289</c:v>
                </c:pt>
              </c:numCache>
            </c:numRef>
          </c:xVal>
          <c:yVal>
            <c:numRef>
              <c:f>Radar_Mosca!$AS$5</c:f>
              <c:numCache>
                <c:formatCode>General</c:formatCode>
                <c:ptCount val="1"/>
                <c:pt idx="0">
                  <c:v>6.2617336319218131</c:v>
                </c:pt>
              </c:numCache>
            </c:numRef>
          </c:yVal>
          <c:smooth val="1"/>
          <c:extLst>
            <c:ext xmlns:c16="http://schemas.microsoft.com/office/drawing/2014/chart" uri="{C3380CC4-5D6E-409C-BE32-E72D297353CC}">
              <c16:uniqueId val="{0000000F-84B9-43E2-A195-BDB7FD216703}"/>
            </c:ext>
          </c:extLst>
        </c:ser>
        <c:ser>
          <c:idx val="12"/>
          <c:order val="12"/>
          <c:tx>
            <c:strRef>
              <c:f>Radar_Mosca!$AQ$6</c:f>
              <c:strCache>
                <c:ptCount val="1"/>
                <c:pt idx="0">
                  <c:v>L1-02
Frode esterna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6.7757489896636747</c:v>
                </c:pt>
              </c:numCache>
            </c:numRef>
          </c:xVal>
          <c:yVal>
            <c:numRef>
              <c:f>Radar_Mosca!$AS$6</c:f>
              <c:numCache>
                <c:formatCode>General</c:formatCode>
                <c:ptCount val="1"/>
                <c:pt idx="0">
                  <c:v>1.5465204909963854</c:v>
                </c:pt>
              </c:numCache>
            </c:numRef>
          </c:yVal>
          <c:smooth val="1"/>
          <c:extLst>
            <c:ext xmlns:c16="http://schemas.microsoft.com/office/drawing/2014/chart" uri="{C3380CC4-5D6E-409C-BE32-E72D297353CC}">
              <c16:uniqueId val="{00000010-84B9-43E2-A195-BDB7FD216703}"/>
            </c:ext>
          </c:extLst>
        </c:ser>
        <c:ser>
          <c:idx val="13"/>
          <c:order val="13"/>
          <c:tx>
            <c:strRef>
              <c:f>Radar_Mosca!$AQ$7</c:f>
              <c:strCache>
                <c:ptCount val="1"/>
                <c:pt idx="0">
                  <c:v>L1-03
Impiego e sicurezza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5.4337288031528077</c:v>
                </c:pt>
              </c:numCache>
            </c:numRef>
          </c:xVal>
          <c:yVal>
            <c:numRef>
              <c:f>Radar_Mosca!$AS$7</c:f>
              <c:numCache>
                <c:formatCode>General</c:formatCode>
                <c:ptCount val="1"/>
                <c:pt idx="0">
                  <c:v>-4.3332541229181976</c:v>
                </c:pt>
              </c:numCache>
            </c:numRef>
          </c:yVal>
          <c:smooth val="1"/>
          <c:extLst>
            <c:ext xmlns:c16="http://schemas.microsoft.com/office/drawing/2014/chart" uri="{C3380CC4-5D6E-409C-BE32-E72D297353CC}">
              <c16:uniqueId val="{00000011-84B9-43E2-A195-BDB7FD216703}"/>
            </c:ext>
          </c:extLst>
        </c:ser>
        <c:ser>
          <c:idx val="14"/>
          <c:order val="14"/>
          <c:tx>
            <c:strRef>
              <c:f>Radar_Mosca!$AQ$8</c:f>
              <c:strCache>
                <c:ptCount val="1"/>
                <c:pt idx="0">
                  <c:v>L1-04
Clientela e prodotti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8.5147817616149091E-16</c:v>
                </c:pt>
              </c:numCache>
            </c:numRef>
          </c:xVal>
          <c:yVal>
            <c:numRef>
              <c:f>Radar_Mosca!$AS$8</c:f>
              <c:numCache>
                <c:formatCode>General</c:formatCode>
                <c:ptCount val="1"/>
                <c:pt idx="0">
                  <c:v>-6.95</c:v>
                </c:pt>
              </c:numCache>
            </c:numRef>
          </c:yVal>
          <c:smooth val="1"/>
          <c:extLst>
            <c:ext xmlns:c16="http://schemas.microsoft.com/office/drawing/2014/chart" uri="{C3380CC4-5D6E-409C-BE32-E72D297353CC}">
              <c16:uniqueId val="{00000012-84B9-43E2-A195-BDB7FD216703}"/>
            </c:ext>
          </c:extLst>
        </c:ser>
        <c:ser>
          <c:idx val="15"/>
          <c:order val="15"/>
          <c:tx>
            <c:strRef>
              <c:f>Radar_Mosca!$AQ$9</c:f>
              <c:strCache>
                <c:ptCount val="1"/>
                <c:pt idx="0">
                  <c:v>L1-05
Danni a beni materiali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-5.4337288031528068</c:v>
                </c:pt>
              </c:numCache>
            </c:numRef>
          </c:xVal>
          <c:yVal>
            <c:numRef>
              <c:f>Radar_Mosca!$AS$9</c:f>
              <c:numCache>
                <c:formatCode>General</c:formatCode>
                <c:ptCount val="1"/>
                <c:pt idx="0">
                  <c:v>-4.3332541229181993</c:v>
                </c:pt>
              </c:numCache>
            </c:numRef>
          </c:yVal>
          <c:smooth val="1"/>
          <c:extLst>
            <c:ext xmlns:c16="http://schemas.microsoft.com/office/drawing/2014/chart" uri="{C3380CC4-5D6E-409C-BE32-E72D297353CC}">
              <c16:uniqueId val="{00000013-84B9-43E2-A195-BDB7FD216703}"/>
            </c:ext>
          </c:extLst>
        </c:ser>
        <c:ser>
          <c:idx val="16"/>
          <c:order val="16"/>
          <c:tx>
            <c:strRef>
              <c:f>Radar_Mosca!$AQ$10</c:f>
              <c:strCache>
                <c:ptCount val="1"/>
                <c:pt idx="0">
                  <c:v>L1-06
Interruzione e sistemi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-6.7757489896636756</c:v>
                </c:pt>
              </c:numCache>
            </c:numRef>
          </c:xVal>
          <c:yVal>
            <c:numRef>
              <c:f>Radar_Mosca!$AS$10</c:f>
              <c:numCache>
                <c:formatCode>General</c:formatCode>
                <c:ptCount val="1"/>
                <c:pt idx="0">
                  <c:v>1.5465204909963777</c:v>
                </c:pt>
              </c:numCache>
            </c:numRef>
          </c:yVal>
          <c:smooth val="1"/>
          <c:extLst>
            <c:ext xmlns:c16="http://schemas.microsoft.com/office/drawing/2014/chart" uri="{C3380CC4-5D6E-409C-BE32-E72D297353CC}">
              <c16:uniqueId val="{00000014-84B9-43E2-A195-BDB7FD216703}"/>
            </c:ext>
          </c:extLst>
        </c:ser>
        <c:ser>
          <c:idx val="17"/>
          <c:order val="17"/>
          <c:tx>
            <c:strRef>
              <c:f>Radar_Mosca!$AQ$11</c:f>
              <c:strCache>
                <c:ptCount val="1"/>
                <c:pt idx="0">
                  <c:v>L1-07
Processi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-3.0154919868670249</c:v>
                </c:pt>
              </c:numCache>
            </c:numRef>
          </c:xVal>
          <c:yVal>
            <c:numRef>
              <c:f>Radar_Mosca!$AS$11</c:f>
              <c:numCache>
                <c:formatCode>General</c:formatCode>
                <c:ptCount val="1"/>
                <c:pt idx="0">
                  <c:v>6.2617336319218149</c:v>
                </c:pt>
              </c:numCache>
            </c:numRef>
          </c:yVal>
          <c:smooth val="1"/>
          <c:extLst>
            <c:ext xmlns:c16="http://schemas.microsoft.com/office/drawing/2014/chart" uri="{C3380CC4-5D6E-409C-BE32-E72D297353CC}">
              <c16:uniqueId val="{00000015-84B9-43E2-A195-BDB7FD216703}"/>
            </c:ext>
          </c:extLst>
        </c:ser>
        <c:ser>
          <c:idx val="18"/>
          <c:order val="18"/>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84B9-43E2-A195-BDB7FD216703}"/>
            </c:ext>
          </c:extLst>
        </c:ser>
        <c:ser>
          <c:idx val="19"/>
          <c:order val="19"/>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84B9-43E2-A195-BDB7FD216703}"/>
            </c:ext>
          </c:extLst>
        </c:ser>
        <c:ser>
          <c:idx val="20"/>
          <c:order val="20"/>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84B9-43E2-A195-BDB7FD216703}"/>
            </c:ext>
          </c:extLst>
        </c:ser>
        <c:ser>
          <c:idx val="21"/>
          <c:order val="21"/>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84B9-43E2-A195-BDB7FD216703}"/>
            </c:ext>
          </c:extLst>
        </c:ser>
        <c:ser>
          <c:idx val="22"/>
          <c:order val="22"/>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84B9-43E2-A195-BDB7FD216703}"/>
            </c:ext>
          </c:extLst>
        </c:ser>
        <c:ser>
          <c:idx val="23"/>
          <c:order val="23"/>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84B9-43E2-A195-BDB7FD216703}"/>
            </c:ext>
          </c:extLst>
        </c:ser>
        <c:ser>
          <c:idx val="24"/>
          <c:order val="24"/>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84B9-43E2-A195-BDB7FD216703}"/>
            </c:ext>
          </c:extLst>
        </c:ser>
        <c:ser>
          <c:idx val="25"/>
          <c:order val="25"/>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84B9-43E2-A195-BDB7FD216703}"/>
            </c:ext>
          </c:extLst>
        </c:ser>
        <c:ser>
          <c:idx val="26"/>
          <c:order val="26"/>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84B9-43E2-A195-BDB7FD216703}"/>
            </c:ext>
          </c:extLst>
        </c:ser>
        <c:ser>
          <c:idx val="27"/>
          <c:order val="27"/>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84B9-43E2-A195-BDB7FD216703}"/>
            </c:ext>
          </c:extLst>
        </c:ser>
        <c:ser>
          <c:idx val="28"/>
          <c:order val="28"/>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84B9-43E2-A195-BDB7FD216703}"/>
            </c:ext>
          </c:extLst>
        </c:ser>
        <c:ser>
          <c:idx val="29"/>
          <c:order val="29"/>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84B9-43E2-A195-BDB7FD216703}"/>
            </c:ext>
          </c:extLst>
        </c:ser>
        <c:ser>
          <c:idx val="30"/>
          <c:order val="30"/>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84B9-43E2-A195-BDB7FD216703}"/>
            </c:ext>
          </c:extLst>
        </c:ser>
        <c:ser>
          <c:idx val="31"/>
          <c:order val="31"/>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84B9-43E2-A195-BDB7FD216703}"/>
            </c:ext>
          </c:extLst>
        </c:ser>
        <c:ser>
          <c:idx val="32"/>
          <c:order val="32"/>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84B9-43E2-A195-BDB7FD216703}"/>
            </c:ext>
          </c:extLst>
        </c:ser>
        <c:ser>
          <c:idx val="33"/>
          <c:order val="33"/>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84B9-43E2-A195-BDB7FD216703}"/>
            </c:ext>
          </c:extLst>
        </c:ser>
        <c:ser>
          <c:idx val="34"/>
          <c:order val="34"/>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84B9-43E2-A195-BDB7FD216703}"/>
            </c:ext>
          </c:extLst>
        </c:ser>
        <c:ser>
          <c:idx val="35"/>
          <c:order val="35"/>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84B9-43E2-A195-BDB7FD216703}"/>
            </c:ext>
          </c:extLst>
        </c:ser>
        <c:ser>
          <c:idx val="36"/>
          <c:order val="36"/>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84B9-43E2-A195-BDB7FD216703}"/>
            </c:ext>
          </c:extLst>
        </c:ser>
        <c:ser>
          <c:idx val="37"/>
          <c:order val="37"/>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84B9-43E2-A195-BDB7FD216703}"/>
            </c:ext>
          </c:extLst>
        </c:ser>
        <c:ser>
          <c:idx val="38"/>
          <c:order val="38"/>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84B9-43E2-A195-BDB7FD216703}"/>
            </c:ext>
          </c:extLst>
        </c:ser>
        <c:ser>
          <c:idx val="39"/>
          <c:order val="39"/>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-1.9111456115722811</c:v>
                </c:pt>
                <c:pt idx="3">
                  <c:v>-1.7145969551115177</c:v>
                </c:pt>
                <c:pt idx="4">
                  <c:v>#N/A</c:v>
                </c:pt>
                <c:pt idx="5">
                  <c:v>2.6810517585000149</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84B9-43E2-A195-BDB7FD216703}"/>
            </c:ext>
          </c:extLst>
        </c:ser>
        <c:ser>
          <c:idx val="40"/>
          <c:order val="40"/>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84B9-43E2-A195-BDB7FD216703}"/>
            </c:ext>
          </c:extLst>
        </c:ser>
        <c:ser>
          <c:idx val="41"/>
          <c:order val="41"/>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84B9-43E2-A195-BDB7FD216703}"/>
            </c:ext>
          </c:extLst>
        </c:ser>
        <c:ser>
          <c:idx val="42"/>
          <c:order val="42"/>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84B9-43E2-A195-BDB7FD216703}"/>
            </c:ext>
          </c:extLst>
        </c:ser>
        <c:ser>
          <c:idx val="43"/>
          <c:order val="43"/>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84B9-43E2-A195-BDB7FD216703}"/>
            </c:ext>
          </c:extLst>
        </c:ser>
        <c:ser>
          <c:idx val="44"/>
          <c:order val="44"/>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84B9-43E2-A195-BDB7FD216703}"/>
            </c:ext>
          </c:extLst>
        </c:ser>
        <c:ser>
          <c:idx val="45"/>
          <c:order val="45"/>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84B9-43E2-A195-BDB7FD216703}"/>
            </c:ext>
          </c:extLst>
        </c:ser>
        <c:ser>
          <c:idx val="46"/>
          <c:order val="46"/>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84B9-43E2-A195-BDB7FD216703}"/>
            </c:ext>
          </c:extLst>
        </c:ser>
        <c:ser>
          <c:idx val="47"/>
          <c:order val="47"/>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84B9-43E2-A195-BDB7FD216703}"/>
            </c:ext>
          </c:extLst>
        </c:ser>
        <c:ser>
          <c:idx val="48"/>
          <c:order val="48"/>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84B9-43E2-A195-BDB7FD216703}"/>
            </c:ext>
          </c:extLst>
        </c:ser>
        <c:ser>
          <c:idx val="49"/>
          <c:order val="49"/>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84B9-43E2-A195-BDB7FD216703}"/>
            </c:ext>
          </c:extLst>
        </c:ser>
        <c:ser>
          <c:idx val="50"/>
          <c:order val="50"/>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84B9-43E2-A195-BDB7FD216703}"/>
            </c:ext>
          </c:extLst>
        </c:ser>
        <c:ser>
          <c:idx val="51"/>
          <c:order val="51"/>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2.3454944474040893</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84B9-43E2-A195-BDB7FD216703}"/>
            </c:ext>
          </c:extLst>
        </c:ser>
        <c:ser>
          <c:idx val="52"/>
          <c:order val="52"/>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84B9-43E2-A195-BDB7FD216703}"/>
            </c:ext>
          </c:extLst>
        </c:ser>
        <c:ser>
          <c:idx val="53"/>
          <c:order val="53"/>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84B9-43E2-A195-BDB7FD216703}"/>
            </c:ext>
          </c:extLst>
        </c:ser>
        <c:ser>
          <c:idx val="54"/>
          <c:order val="54"/>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84B9-43E2-A195-BDB7FD216703}"/>
            </c:ext>
          </c:extLst>
        </c:ser>
        <c:ser>
          <c:idx val="55"/>
          <c:order val="55"/>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84B9-43E2-A195-BDB7FD216703}"/>
            </c:ext>
          </c:extLst>
        </c:ser>
        <c:ser>
          <c:idx val="56"/>
          <c:order val="56"/>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84B9-43E2-A195-BDB7FD216703}"/>
            </c:ext>
          </c:extLst>
        </c:ser>
        <c:ser>
          <c:idx val="57"/>
          <c:order val="57"/>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84B9-43E2-A195-BDB7FD216703}"/>
            </c:ext>
          </c:extLst>
        </c:ser>
        <c:ser>
          <c:idx val="58"/>
          <c:order val="58"/>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84B9-43E2-A195-BDB7FD216703}"/>
            </c:ext>
          </c:extLst>
        </c:ser>
        <c:ser>
          <c:idx val="59"/>
          <c:order val="59"/>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84B9-43E2-A195-BDB7FD216703}"/>
            </c:ext>
          </c:extLst>
        </c:ser>
        <c:ser>
          <c:idx val="60"/>
          <c:order val="60"/>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1.7061238463181914</c:v>
                </c:pt>
              </c:numCache>
            </c:numRef>
          </c:xVal>
          <c:yVal>
            <c:numRef>
              <c:f>Radar_Mosca!$CM$5</c:f>
              <c:numCache>
                <c:formatCode>General</c:formatCode>
                <c:ptCount val="1"/>
                <c:pt idx="0">
                  <c:v>0.38941163442355031</c:v>
                </c:pt>
              </c:numCache>
            </c:numRef>
          </c:yVal>
          <c:smooth val="1"/>
          <c:extLst>
            <c:ext xmlns:c16="http://schemas.microsoft.com/office/drawing/2014/chart" uri="{C3380CC4-5D6E-409C-BE32-E72D297353CC}">
              <c16:uniqueId val="{00000040-84B9-43E2-A195-BDB7FD216703}"/>
            </c:ext>
          </c:extLst>
        </c:ser>
        <c:ser>
          <c:idx val="61"/>
          <c:order val="61"/>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-2.2437085436576552</c:v>
                </c:pt>
              </c:numCache>
            </c:numRef>
          </c:xVal>
          <c:yVal>
            <c:numRef>
              <c:f>Radar_Mosca!$CM$6</c:f>
              <c:numCache>
                <c:formatCode>General</c:formatCode>
                <c:ptCount val="1"/>
                <c:pt idx="0">
                  <c:v>-0.16814271056945562</c:v>
                </c:pt>
              </c:numCache>
            </c:numRef>
          </c:yVal>
          <c:smooth val="1"/>
          <c:extLst>
            <c:ext xmlns:c16="http://schemas.microsoft.com/office/drawing/2014/chart" uri="{C3380CC4-5D6E-409C-BE32-E72D297353CC}">
              <c16:uniqueId val="{00000041-84B9-43E2-A195-BDB7FD216703}"/>
            </c:ext>
          </c:extLst>
        </c:ser>
        <c:ser>
          <c:idx val="62"/>
          <c:order val="62"/>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0.58951034882180919</c:v>
                </c:pt>
              </c:numCache>
            </c:numRef>
          </c:xVal>
          <c:yVal>
            <c:numRef>
              <c:f>Radar_Mosca!$CM$7</c:f>
              <c:numCache>
                <c:formatCode>General</c:formatCode>
                <c:ptCount val="1"/>
                <c:pt idx="0">
                  <c:v>-1.9111456115722811</c:v>
                </c:pt>
              </c:numCache>
            </c:numRef>
          </c:yVal>
          <c:smooth val="1"/>
          <c:extLst>
            <c:ext xmlns:c16="http://schemas.microsoft.com/office/drawing/2014/chart" uri="{C3380CC4-5D6E-409C-BE32-E72D297353CC}">
              <c16:uniqueId val="{00000042-84B9-43E2-A195-BDB7FD216703}"/>
            </c:ext>
          </c:extLst>
        </c:ser>
        <c:ser>
          <c:idx val="63"/>
          <c:order val="63"/>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-2.1500365767870817</c:v>
                </c:pt>
              </c:numCache>
            </c:numRef>
          </c:xVal>
          <c:yVal>
            <c:numRef>
              <c:f>Radar_Mosca!$CM$8</c:f>
              <c:numCache>
                <c:formatCode>General</c:formatCode>
                <c:ptCount val="1"/>
                <c:pt idx="0">
                  <c:v>-1.7145969551115177</c:v>
                </c:pt>
              </c:numCache>
            </c:numRef>
          </c:yVal>
          <c:smooth val="1"/>
          <c:extLst>
            <c:ext xmlns:c16="http://schemas.microsoft.com/office/drawing/2014/chart" uri="{C3380CC4-5D6E-409C-BE32-E72D297353CC}">
              <c16:uniqueId val="{00000043-84B9-43E2-A195-BDB7FD216703}"/>
            </c:ext>
          </c:extLst>
        </c:ser>
        <c:ser>
          <c:idx val="64"/>
          <c:order val="64"/>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-1.870469405576201</c:v>
                </c:pt>
              </c:numCache>
            </c:numRef>
          </c:xVal>
          <c:yVal>
            <c:numRef>
              <c:f>Radar_Mosca!$CM$9</c:f>
              <c:numCache>
                <c:formatCode>General</c:formatCode>
                <c:ptCount val="1"/>
                <c:pt idx="0">
                  <c:v>2.3454944474040893</c:v>
                </c:pt>
              </c:numCache>
            </c:numRef>
          </c:yVal>
          <c:smooth val="1"/>
          <c:extLst>
            <c:ext xmlns:c16="http://schemas.microsoft.com/office/drawing/2014/chart" uri="{C3380CC4-5D6E-409C-BE32-E72D297353CC}">
              <c16:uniqueId val="{00000044-84B9-43E2-A195-BDB7FD216703}"/>
            </c:ext>
          </c:extLst>
        </c:ser>
        <c:ser>
          <c:idx val="65"/>
          <c:order val="65"/>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0.61193256837986454</c:v>
                </c:pt>
              </c:numCache>
            </c:numRef>
          </c:xVal>
          <c:yVal>
            <c:numRef>
              <c:f>Radar_Mosca!$CM$10</c:f>
              <c:numCache>
                <c:formatCode>General</c:formatCode>
                <c:ptCount val="1"/>
                <c:pt idx="0">
                  <c:v>2.6810517585000149</c:v>
                </c:pt>
              </c:numCache>
            </c:numRef>
          </c:yVal>
          <c:smooth val="1"/>
          <c:extLst>
            <c:ext xmlns:c16="http://schemas.microsoft.com/office/drawing/2014/chart" uri="{C3380CC4-5D6E-409C-BE32-E72D297353CC}">
              <c16:uniqueId val="{00000045-84B9-43E2-A195-BDB7FD216703}"/>
            </c:ext>
          </c:extLst>
        </c:ser>
        <c:ser>
          <c:idx val="66"/>
          <c:order val="66"/>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-2.6810517585000158</c:v>
                </c:pt>
              </c:numCache>
            </c:numRef>
          </c:xVal>
          <c:yVal>
            <c:numRef>
              <c:f>Radar_Mosca!$CM$11</c:f>
              <c:numCache>
                <c:formatCode>General</c:formatCode>
                <c:ptCount val="1"/>
                <c:pt idx="0">
                  <c:v>0.61193256837986165</c:v>
                </c:pt>
              </c:numCache>
            </c:numRef>
          </c:yVal>
          <c:smooth val="1"/>
          <c:extLst>
            <c:ext xmlns:c16="http://schemas.microsoft.com/office/drawing/2014/chart" uri="{C3380CC4-5D6E-409C-BE32-E72D297353CC}">
              <c16:uniqueId val="{00000046-84B9-43E2-A195-BDB7FD216703}"/>
            </c:ext>
          </c:extLst>
        </c:ser>
        <c:ser>
          <c:idx val="67"/>
          <c:order val="67"/>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1.8704694055762006</c:v>
                </c:pt>
              </c:numCache>
            </c:numRef>
          </c:xVal>
          <c:yVal>
            <c:numRef>
              <c:f>Radar_Mosca!$CM$12</c:f>
              <c:numCache>
                <c:formatCode>General</c:formatCode>
                <c:ptCount val="1"/>
                <c:pt idx="0">
                  <c:v>2.3454944474040893</c:v>
                </c:pt>
              </c:numCache>
            </c:numRef>
          </c:yVal>
          <c:smooth val="1"/>
          <c:extLst>
            <c:ext xmlns:c16="http://schemas.microsoft.com/office/drawing/2014/chart" uri="{C3380CC4-5D6E-409C-BE32-E72D297353CC}">
              <c16:uniqueId val="{00000047-84B9-43E2-A195-BDB7FD216703}"/>
            </c:ext>
          </c:extLst>
        </c:ser>
        <c:ser>
          <c:idx val="68"/>
          <c:order val="68"/>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3.981732478453015E-16</c:v>
                </c:pt>
              </c:numCache>
            </c:numRef>
          </c:xVal>
          <c:yVal>
            <c:numRef>
              <c:f>Radar_Mosca!$CM$13</c:f>
              <c:numCache>
                <c:formatCode>General</c:formatCode>
                <c:ptCount val="1"/>
                <c:pt idx="0">
                  <c:v>-3.25</c:v>
                </c:pt>
              </c:numCache>
            </c:numRef>
          </c:yVal>
          <c:smooth val="1"/>
          <c:extLst>
            <c:ext xmlns:c16="http://schemas.microsoft.com/office/drawing/2014/chart" uri="{C3380CC4-5D6E-409C-BE32-E72D297353CC}">
              <c16:uniqueId val="{00000048-84B9-43E2-A195-BDB7FD216703}"/>
            </c:ext>
          </c:extLst>
        </c:ser>
        <c:ser>
          <c:idx val="69"/>
          <c:order val="69"/>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-0.88426552323271312</c:v>
                </c:pt>
              </c:numCache>
            </c:numRef>
          </c:xVal>
          <c:yVal>
            <c:numRef>
              <c:f>Radar_Mosca!$CM$14</c:f>
              <c:numCache>
                <c:formatCode>General</c:formatCode>
                <c:ptCount val="1"/>
                <c:pt idx="0">
                  <c:v>-2.8667184173584221</c:v>
                </c:pt>
              </c:numCache>
            </c:numRef>
          </c:yVal>
          <c:smooth val="1"/>
          <c:extLst>
            <c:ext xmlns:c16="http://schemas.microsoft.com/office/drawing/2014/chart" uri="{C3380CC4-5D6E-409C-BE32-E72D297353CC}">
              <c16:uniqueId val="{00000049-84B9-43E2-A195-BDB7FD216703}"/>
            </c:ext>
          </c:extLst>
        </c:ser>
        <c:ser>
          <c:idx val="70"/>
          <c:order val="70"/>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-0.51961524227066314</c:v>
                </c:pt>
              </c:numCache>
            </c:numRef>
          </c:xVal>
          <c:yVal>
            <c:numRef>
              <c:f>Radar_Mosca!$CM$15</c:f>
              <c:numCache>
                <c:formatCode>General</c:formatCode>
                <c:ptCount val="1"/>
                <c:pt idx="0">
                  <c:v>0.30000000000000004</c:v>
                </c:pt>
              </c:numCache>
            </c:numRef>
          </c:yVal>
          <c:smooth val="1"/>
          <c:extLst>
            <c:ext xmlns:c16="http://schemas.microsoft.com/office/drawing/2014/chart" uri="{C3380CC4-5D6E-409C-BE32-E72D297353CC}">
              <c16:uniqueId val="{0000004A-84B9-43E2-A195-BDB7FD216703}"/>
            </c:ext>
          </c:extLst>
        </c:ser>
        <c:ser>
          <c:idx val="71"/>
          <c:order val="71"/>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-0.44504186791262929</c:v>
                </c:pt>
              </c:numCache>
            </c:numRef>
          </c:xVal>
          <c:yVal>
            <c:numRef>
              <c:f>Radar_Mosca!$CM$16</c:f>
              <c:numCache>
                <c:formatCode>General</c:formatCode>
                <c:ptCount val="1"/>
                <c:pt idx="0">
                  <c:v>1.949855824363647</c:v>
                </c:pt>
              </c:numCache>
            </c:numRef>
          </c:yVal>
          <c:smooth val="1"/>
          <c:extLst>
            <c:ext xmlns:c16="http://schemas.microsoft.com/office/drawing/2014/chart" uri="{C3380CC4-5D6E-409C-BE32-E72D297353CC}">
              <c16:uniqueId val="{0000004B-84B9-43E2-A195-BDB7FD216703}"/>
            </c:ext>
          </c:extLst>
        </c:ser>
        <c:ser>
          <c:idx val="72"/>
          <c:order val="72"/>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4C-84B9-43E2-A195-BDB7FD216703}"/>
            </c:ext>
          </c:extLst>
        </c:ser>
        <c:ser>
          <c:idx val="73"/>
          <c:order val="73"/>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4D-84B9-43E2-A195-BDB7FD216703}"/>
            </c:ext>
          </c:extLst>
        </c:ser>
        <c:ser>
          <c:idx val="74"/>
          <c:order val="74"/>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4E-84B9-43E2-A195-BDB7FD216703}"/>
            </c:ext>
          </c:extLst>
        </c:ser>
        <c:ser>
          <c:idx val="75"/>
          <c:order val="75"/>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4F-84B9-43E2-A195-BDB7FD216703}"/>
            </c:ext>
          </c:extLst>
        </c:ser>
        <c:ser>
          <c:idx val="76"/>
          <c:order val="76"/>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0-84B9-43E2-A195-BDB7FD216703}"/>
            </c:ext>
          </c:extLst>
        </c:ser>
        <c:ser>
          <c:idx val="77"/>
          <c:order val="77"/>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1-84B9-43E2-A195-BDB7FD216703}"/>
            </c:ext>
          </c:extLst>
        </c:ser>
        <c:ser>
          <c:idx val="78"/>
          <c:order val="78"/>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2-84B9-43E2-A195-BDB7FD216703}"/>
            </c:ext>
          </c:extLst>
        </c:ser>
        <c:ser>
          <c:idx val="79"/>
          <c:order val="79"/>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3-84B9-43E2-A195-BDB7FD216703}"/>
            </c:ext>
          </c:extLst>
        </c:ser>
        <c:ser>
          <c:idx val="80"/>
          <c:order val="80"/>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-5.05</c:v>
                </c:pt>
              </c:numCache>
            </c:numRef>
          </c:yVal>
          <c:smooth val="1"/>
          <c:extLst>
            <c:ext xmlns:c16="http://schemas.microsoft.com/office/drawing/2014/chart" uri="{C3380CC4-5D6E-409C-BE32-E72D297353CC}">
              <c16:uniqueId val="{00000054-84B9-43E2-A195-BDB7FD216703}"/>
            </c:ext>
          </c:extLst>
        </c:ser>
        <c:ser>
          <c:idx val="81"/>
          <c:order val="81"/>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-5.7</c:v>
                </c:pt>
              </c:numCache>
            </c:numRef>
          </c:yVal>
          <c:smooth val="1"/>
          <c:extLst>
            <c:ext xmlns:c16="http://schemas.microsoft.com/office/drawing/2014/chart" uri="{C3380CC4-5D6E-409C-BE32-E72D297353CC}">
              <c16:uniqueId val="{00000055-84B9-43E2-A195-BDB7FD216703}"/>
            </c:ext>
          </c:extLst>
        </c:ser>
        <c:ser>
          <c:idx val="82"/>
          <c:order val="82"/>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-6.35</c:v>
                </c:pt>
              </c:numCache>
            </c:numRef>
          </c:yVal>
          <c:smooth val="1"/>
          <c:extLst>
            <c:ext xmlns:c16="http://schemas.microsoft.com/office/drawing/2014/chart" uri="{C3380CC4-5D6E-409C-BE32-E72D297353CC}">
              <c16:uniqueId val="{00000056-84B9-43E2-A195-BDB7FD216703}"/>
            </c:ext>
          </c:extLst>
        </c:ser>
        <c:ser>
          <c:idx val="83"/>
          <c:order val="83"/>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7-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-7.35</c:v>
                </c:pt>
                <c:pt idx="1">
                  <c:v>-7.35</c:v>
                </c:pt>
              </c:numCache>
            </c:numRef>
          </c:yVal>
          <c:smooth val="1"/>
          <c:extLst>
            <c:ext xmlns:c16="http://schemas.microsoft.com/office/drawing/2014/chart" uri="{C3380CC4-5D6E-409C-BE32-E72D297353CC}">
              <c16:uniqueId val="{00000058-84B9-43E2-A195-BDB7FD216703}"/>
            </c:ext>
          </c:extLst>
        </c:ser>
        <c:ser>
          <c:idx val="84"/>
          <c:order val="84"/>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-5.6</c:v>
                </c:pt>
              </c:numCache>
            </c:numRef>
          </c:yVal>
          <c:smooth val="1"/>
          <c:extLst>
            <c:ext xmlns:c16="http://schemas.microsoft.com/office/drawing/2014/chart" uri="{C3380CC4-5D6E-409C-BE32-E72D297353CC}">
              <c16:uniqueId val="{00000059-84B9-43E2-A195-BDB7FD216703}"/>
            </c:ext>
          </c:extLst>
        </c:ser>
        <c:ser>
          <c:idx val="85"/>
          <c:order val="85"/>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-6.6</c:v>
                </c:pt>
              </c:numCache>
            </c:numRef>
          </c:yVal>
          <c:smooth val="1"/>
          <c:extLst>
            <c:ext xmlns:c16="http://schemas.microsoft.com/office/drawing/2014/chart" uri="{C3380CC4-5D6E-409C-BE32-E72D297353CC}">
              <c16:uniqueId val="{0000005A-84B9-43E2-A195-BDB7FD216703}"/>
            </c:ext>
          </c:extLst>
        </c:ser>
        <c:ser>
          <c:idx val="86"/>
          <c:order val="86"/>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-6.6</c:v>
                </c:pt>
              </c:numCache>
            </c:numRef>
          </c:yVal>
          <c:smooth val="1"/>
          <c:extLst>
            <c:ext xmlns:c16="http://schemas.microsoft.com/office/drawing/2014/chart" uri="{C3380CC4-5D6E-409C-BE32-E72D297353CC}">
              <c16:uniqueId val="{0000005B-84B9-43E2-A195-BDB7FD216703}"/>
            </c:ext>
          </c:extLst>
        </c:ser>
        <c:ser>
          <c:idx val="87"/>
          <c:order val="87"/>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-6.6</c:v>
                </c:pt>
              </c:numCache>
            </c:numRef>
          </c:yVal>
          <c:smooth val="1"/>
          <c:extLst>
            <c:ext xmlns:c16="http://schemas.microsoft.com/office/drawing/2014/chart" uri="{C3380CC4-5D6E-409C-BE32-E72D297353CC}">
              <c16:uniqueId val="{0000005C-84B9-43E2-A195-BDB7FD216703}"/>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518-4AA0-9406-A206F81766DD}"/>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518-4AA0-9406-A206F81766DD}"/>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518-4AA0-9406-A206F81766DD}"/>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FDE7-4E66-A979-E686DCCCF104}"/>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FDE7-4E66-A979-E686DCCCF104}"/>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FDE7-4E66-A979-E686DCCCF104}"/>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FDE7-4E66-A979-E686DCCCF104}"/>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FDE7-4E66-A979-E686DCCCF104}"/>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FDE7-4E66-A979-E686DCCCF104}"/>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FDE7-4E66-A979-E686DCCCF104}"/>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FDE7-4E66-A979-E686DCCCF104}"/>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FDE7-4E66-A979-E686DCCCF104}"/>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FDE7-4E66-A979-E686DCCCF104}"/>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FDE7-4E66-A979-E686DCCCF104}"/>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FDE7-4E66-A979-E686DCCCF104}"/>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FDE7-4E66-A979-E686DCCCF104}"/>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FDE7-4E66-A979-E686DCCCF104}"/>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FDE7-4E66-A979-E686DCCCF104}"/>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FDE7-4E66-A979-E686DCCCF104}"/>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FDE7-4E66-A979-E686DCCCF104}"/>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FDE7-4E66-A979-E686DCCCF104}"/>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FDE7-4E66-A979-E686DCCCF104}"/>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FDE7-4E66-A979-E686DCCCF10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5.0999999999999996</c:v>
                </c:pt>
              </c:numCache>
            </c:numRef>
          </c:val>
          <c:smooth val="0"/>
          <c:extLst>
            <c:ext xmlns:c16="http://schemas.microsoft.com/office/drawing/2014/chart" uri="{C3380CC4-5D6E-409C-BE32-E72D297353CC}">
              <c16:uniqueId val="{00000000-FA4C-4C88-BB95-A585DE1911A5}"/>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FA4C-4C88-BB95-A585DE1911A5}"/>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FA4C-4C88-BB95-A585DE1911A5}"/>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event type,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Notizie!$G$5:$G$11</c:f>
              <c:numCache>
                <c:formatCode>General</c:formatCode>
                <c:ptCount val="7"/>
                <c:pt idx="0">
                  <c:v>0</c:v>
                </c:pt>
                <c:pt idx="1">
                  <c:v>0</c:v>
                </c:pt>
                <c:pt idx="2">
                  <c:v>0</c:v>
                </c:pt>
                <c:pt idx="3">
                  <c:v>1</c:v>
                </c:pt>
                <c:pt idx="4">
                  <c:v>1</c:v>
                </c:pt>
                <c:pt idx="5">
                  <c:v>2</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B3F0-4D1C-AADF-AAF0FF67D05C}"/>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Notizie!$H$5:$H$11</c:f>
              <c:numCache>
                <c:formatCode>General</c:formatCode>
                <c:ptCount val="7"/>
                <c:pt idx="0">
                  <c:v>0</c:v>
                </c:pt>
                <c:pt idx="1">
                  <c:v>2</c:v>
                </c:pt>
                <c:pt idx="2">
                  <c:v>0</c:v>
                </c:pt>
                <c:pt idx="3">
                  <c:v>1</c:v>
                </c:pt>
                <c:pt idx="4">
                  <c:v>0</c:v>
                </c:pt>
                <c:pt idx="5">
                  <c:v>0</c:v>
                </c:pt>
                <c:pt idx="6">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B3F0-4D1C-AADF-AAF0FF67D05C}"/>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Notizie!$I$5:$I$11</c:f>
              <c:numCache>
                <c:formatCode>General</c:formatCode>
                <c:ptCount val="7"/>
                <c:pt idx="0">
                  <c:v>0</c:v>
                </c:pt>
                <c:pt idx="1">
                  <c:v>1</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B3F0-4D1C-AADF-AAF0FF67D05C}"/>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Notizie!$C$16</c:f>
              <c:strCache>
                <c:ptCount val="1"/>
                <c:pt idx="0">
                  <c:v>Peggiorativi</c:v>
                </c:pt>
              </c:strCache>
            </c:strRef>
          </c:tx>
          <c:spPr>
            <a:solidFill>
              <a:srgbClr val="C00000"/>
            </a:solidFill>
            <a:ln>
              <a:prstDash val="solid"/>
            </a:ln>
          </c:spPr>
          <c:invertIfNegative val="1"/>
          <c:cat>
            <c:numRef>
              <c:f>Notizie!$A$17:$A$28</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Notizie!$C$17:$C$28</c:f>
              <c:numCache>
                <c:formatCode>General</c:formatCode>
                <c:ptCount val="12"/>
                <c:pt idx="0">
                  <c:v>0</c:v>
                </c:pt>
                <c:pt idx="1">
                  <c:v>0</c:v>
                </c:pt>
                <c:pt idx="2">
                  <c:v>0</c:v>
                </c:pt>
                <c:pt idx="3">
                  <c:v>0</c:v>
                </c:pt>
                <c:pt idx="4">
                  <c:v>0</c:v>
                </c:pt>
                <c:pt idx="5">
                  <c:v>1</c:v>
                </c:pt>
                <c:pt idx="6">
                  <c:v>0</c:v>
                </c:pt>
                <c:pt idx="7">
                  <c:v>0</c:v>
                </c:pt>
                <c:pt idx="8">
                  <c:v>1</c:v>
                </c:pt>
                <c:pt idx="9">
                  <c:v>1</c:v>
                </c:pt>
                <c:pt idx="10">
                  <c:v>2</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8CA-4F9A-883D-2489BCCA1129}"/>
            </c:ext>
          </c:extLst>
        </c:ser>
        <c:ser>
          <c:idx val="1"/>
          <c:order val="1"/>
          <c:tx>
            <c:strRef>
              <c:f>Notizie!$D$16</c:f>
              <c:strCache>
                <c:ptCount val="1"/>
                <c:pt idx="0">
                  <c:v>Migliorativi</c:v>
                </c:pt>
              </c:strCache>
            </c:strRef>
          </c:tx>
          <c:spPr>
            <a:solidFill>
              <a:srgbClr val="2E75B6"/>
            </a:solidFill>
            <a:ln>
              <a:prstDash val="solid"/>
            </a:ln>
          </c:spPr>
          <c:invertIfNegative val="1"/>
          <c:cat>
            <c:numRef>
              <c:f>Notizie!$A$17:$A$28</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Notizie!$D$17:$D$28</c:f>
              <c:numCache>
                <c:formatCode>General</c:formatCode>
                <c:ptCount val="12"/>
                <c:pt idx="0">
                  <c:v>0</c:v>
                </c:pt>
                <c:pt idx="1">
                  <c:v>0</c:v>
                </c:pt>
                <c:pt idx="2">
                  <c:v>0</c:v>
                </c:pt>
                <c:pt idx="3">
                  <c:v>0</c:v>
                </c:pt>
                <c:pt idx="4">
                  <c:v>0</c:v>
                </c:pt>
                <c:pt idx="5">
                  <c:v>0</c:v>
                </c:pt>
                <c:pt idx="6">
                  <c:v>0</c:v>
                </c:pt>
                <c:pt idx="7">
                  <c:v>0</c:v>
                </c:pt>
                <c:pt idx="8">
                  <c:v>2</c:v>
                </c:pt>
                <c:pt idx="9">
                  <c:v>1</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8CA-4F9A-883D-2489BCCA1129}"/>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61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30</xdr:row>
      <xdr:rowOff>0</xdr:rowOff>
    </xdr:from>
    <xdr:ext cx="792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7920000" cy="288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X50">
  <autoFilter ref="A5:X50" xr:uid="{00000000-0009-0000-0100-000001000000}"/>
  <tableColumns count="24">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Q15">
  <autoFilter ref="A5:Q15" xr:uid="{00000000-0009-0000-0100-000004000000}"/>
  <tableColumns count="17">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L1_01"/>
    <tableColumn id="10" xr3:uid="{00000000-0010-0000-0300-00000A000000}" name="Imp_L1_02"/>
    <tableColumn id="11" xr3:uid="{00000000-0010-0000-0300-00000B000000}" name="Imp_L1_03"/>
    <tableColumn id="12" xr3:uid="{00000000-0010-0000-0300-00000C000000}" name="Imp_L1_04"/>
    <tableColumn id="13" xr3:uid="{00000000-0010-0000-0300-00000D000000}" name="Imp_L1_05"/>
    <tableColumn id="14" xr3:uid="{00000000-0010-0000-0300-00000E000000}" name="Imp_L1_06"/>
    <tableColumn id="15" xr3:uid="{00000000-0010-0000-0300-00000F000000}" name="Imp_L1_07"/>
    <tableColumn id="16" xr3:uid="{00000000-0010-0000-0300-000010000000}" name="Sintesi"/>
    <tableColumn id="17" xr3:uid="{00000000-0010-0000-0300-000011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I9">
  <autoFilter ref="A5:I9" xr:uid="{00000000-0009-0000-0100-000005000000}"/>
  <tableColumns count="9">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E8">
  <autoFilter ref="A5:E8" xr:uid="{00000000-0009-0000-0100-000006000000}"/>
  <tableColumns count="5">
    <tableColumn id="1" xr3:uid="{00000000-0010-0000-0500-000001000000}" name="Settimana"/>
    <tableColumn id="2" xr3:uid="{00000000-0010-0000-0500-000002000000}" name="Notizie"/>
    <tableColumn id="3" xr3:uid="{00000000-0010-0000-0500-000003000000}" name="Sintesi_A3"/>
    <tableColumn id="4" xr3:uid="{00000000-0010-0000-0500-000004000000}" name="Flag_Proposti"/>
    <tableColumn id="5" xr3:uid="{00000000-0010-0000-0500-000005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46">
  <autoFilter ref="A5:L346"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57"/>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46" t="str">
        <f>"Horizon Scan NFR — Guida: come si usa questo workbook   ·   "&amp;etichettaCiclo</f>
        <v>Horizon Scan NFR — Guida: come si usa questo workbook   ·   Ciclo 2026Q3 · dati al 30/09/2026 · da validare · Uso interno</v>
      </c>
      <c r="B1" s="147"/>
      <c r="C1" s="147"/>
      <c r="D1" s="147"/>
      <c r="E1" s="147"/>
    </row>
    <row r="3" spans="1:5" x14ac:dyDescent="0.4">
      <c r="A3" s="151" t="s">
        <v>49</v>
      </c>
      <c r="B3" s="116"/>
      <c r="C3" s="116"/>
      <c r="D3" s="116"/>
      <c r="E3" s="116"/>
    </row>
    <row r="4" spans="1:5" ht="32.049999999999997" customHeight="1" x14ac:dyDescent="0.4">
      <c r="A4" s="150" t="s">
        <v>50</v>
      </c>
      <c r="B4" s="116"/>
      <c r="C4" s="116"/>
      <c r="D4" s="116"/>
      <c r="E4" s="116"/>
    </row>
    <row r="6" spans="1:5" x14ac:dyDescent="0.4">
      <c r="A6" s="151" t="s">
        <v>51</v>
      </c>
      <c r="B6" s="116"/>
      <c r="C6" s="116"/>
      <c r="D6" s="116"/>
      <c r="E6" s="116"/>
    </row>
    <row r="7" spans="1:5" x14ac:dyDescent="0.4">
      <c r="A7" s="1" t="s">
        <v>52</v>
      </c>
      <c r="B7" s="3" t="s">
        <v>53</v>
      </c>
      <c r="C7" s="4" t="s">
        <v>54</v>
      </c>
      <c r="D7" s="5" t="s">
        <v>55</v>
      </c>
      <c r="E7" s="1" t="s">
        <v>56</v>
      </c>
    </row>
    <row r="8" spans="1:5" x14ac:dyDescent="0.4">
      <c r="A8" s="6" t="s">
        <v>57</v>
      </c>
    </row>
    <row r="9" spans="1:5" ht="29.15" x14ac:dyDescent="0.4">
      <c r="A9" s="7" t="s">
        <v>58</v>
      </c>
      <c r="B9" s="2"/>
      <c r="C9" s="8" t="s">
        <v>59</v>
      </c>
      <c r="D9" s="9" t="s">
        <v>60</v>
      </c>
      <c r="E9" s="2" t="s">
        <v>61</v>
      </c>
    </row>
    <row r="10" spans="1:5" x14ac:dyDescent="0.4">
      <c r="A10" s="7" t="s">
        <v>62</v>
      </c>
      <c r="B10" s="2"/>
      <c r="C10" s="8" t="s">
        <v>63</v>
      </c>
      <c r="D10" s="9" t="s">
        <v>64</v>
      </c>
      <c r="E10" s="2" t="s">
        <v>65</v>
      </c>
    </row>
    <row r="11" spans="1:5" ht="29.15" x14ac:dyDescent="0.4">
      <c r="A11" s="7" t="s">
        <v>66</v>
      </c>
      <c r="B11" s="10" t="s">
        <v>67</v>
      </c>
      <c r="C11" s="8" t="s">
        <v>68</v>
      </c>
      <c r="D11" s="9" t="s">
        <v>69</v>
      </c>
      <c r="E11" s="2" t="s">
        <v>70</v>
      </c>
    </row>
    <row r="12" spans="1:5" x14ac:dyDescent="0.4">
      <c r="A12" s="7" t="s">
        <v>71</v>
      </c>
      <c r="B12" s="2"/>
      <c r="C12" s="8" t="s">
        <v>72</v>
      </c>
      <c r="D12" s="9" t="s">
        <v>64</v>
      </c>
      <c r="E12" s="2" t="s">
        <v>73</v>
      </c>
    </row>
    <row r="13" spans="1:5" x14ac:dyDescent="0.4">
      <c r="A13" s="7" t="s">
        <v>74</v>
      </c>
      <c r="B13" s="2"/>
      <c r="C13" s="8" t="s">
        <v>75</v>
      </c>
      <c r="D13" s="2"/>
      <c r="E13" s="2" t="s">
        <v>76</v>
      </c>
    </row>
    <row r="14" spans="1:5" x14ac:dyDescent="0.4">
      <c r="A14" s="7" t="s">
        <v>77</v>
      </c>
      <c r="B14" s="2"/>
      <c r="C14" s="2"/>
      <c r="D14" s="9" t="s">
        <v>78</v>
      </c>
      <c r="E14" s="2" t="s">
        <v>79</v>
      </c>
    </row>
    <row r="15" spans="1:5" x14ac:dyDescent="0.4">
      <c r="A15" s="6" t="s">
        <v>80</v>
      </c>
    </row>
    <row r="16" spans="1:5" x14ac:dyDescent="0.4">
      <c r="A16" s="7" t="s">
        <v>81</v>
      </c>
      <c r="B16" s="10" t="s">
        <v>82</v>
      </c>
      <c r="C16" s="8" t="s">
        <v>83</v>
      </c>
      <c r="D16" s="9" t="s">
        <v>84</v>
      </c>
      <c r="E16" s="2" t="s">
        <v>85</v>
      </c>
    </row>
    <row r="17" spans="1:5" ht="29.15" x14ac:dyDescent="0.4">
      <c r="A17" s="7" t="s">
        <v>86</v>
      </c>
      <c r="B17" s="2"/>
      <c r="C17" s="8" t="s">
        <v>87</v>
      </c>
      <c r="D17" s="2"/>
      <c r="E17" s="2" t="s">
        <v>88</v>
      </c>
    </row>
    <row r="18" spans="1:5" ht="29.15" x14ac:dyDescent="0.4">
      <c r="A18" s="7" t="s">
        <v>89</v>
      </c>
      <c r="B18" s="10" t="s">
        <v>90</v>
      </c>
      <c r="C18" s="2"/>
      <c r="D18" s="2"/>
      <c r="E18" s="2" t="s">
        <v>91</v>
      </c>
    </row>
    <row r="19" spans="1:5" ht="29.15" x14ac:dyDescent="0.4">
      <c r="A19" s="7" t="s">
        <v>92</v>
      </c>
      <c r="B19" s="2"/>
      <c r="C19" s="8" t="s">
        <v>93</v>
      </c>
      <c r="D19" s="9" t="s">
        <v>94</v>
      </c>
      <c r="E19" s="2" t="s">
        <v>95</v>
      </c>
    </row>
    <row r="20" spans="1:5" ht="29.15" x14ac:dyDescent="0.4">
      <c r="A20" s="7" t="s">
        <v>9</v>
      </c>
      <c r="B20" s="10" t="s">
        <v>96</v>
      </c>
      <c r="C20" s="8" t="s">
        <v>97</v>
      </c>
      <c r="D20" s="9" t="s">
        <v>98</v>
      </c>
      <c r="E20" s="2" t="s">
        <v>99</v>
      </c>
    </row>
    <row r="21" spans="1:5" x14ac:dyDescent="0.4">
      <c r="A21" s="7" t="s">
        <v>100</v>
      </c>
      <c r="B21" s="10" t="s">
        <v>101</v>
      </c>
      <c r="C21" s="8" t="s">
        <v>102</v>
      </c>
      <c r="D21" s="9" t="s">
        <v>103</v>
      </c>
      <c r="E21" s="2" t="s">
        <v>104</v>
      </c>
    </row>
    <row r="22" spans="1:5" x14ac:dyDescent="0.4">
      <c r="A22" s="7" t="s">
        <v>105</v>
      </c>
      <c r="B22" s="2"/>
      <c r="C22" s="2"/>
      <c r="D22" s="2"/>
      <c r="E22" s="2" t="s">
        <v>106</v>
      </c>
    </row>
    <row r="23" spans="1:5" x14ac:dyDescent="0.4">
      <c r="A23" s="6" t="s">
        <v>107</v>
      </c>
    </row>
    <row r="24" spans="1:5" x14ac:dyDescent="0.4">
      <c r="A24" s="7" t="s">
        <v>108</v>
      </c>
      <c r="B24" s="2"/>
      <c r="C24" s="8" t="s">
        <v>109</v>
      </c>
      <c r="D24" s="9" t="s">
        <v>64</v>
      </c>
      <c r="E24" s="2" t="s">
        <v>110</v>
      </c>
    </row>
    <row r="25" spans="1:5" ht="29.15" x14ac:dyDescent="0.4">
      <c r="A25" s="7" t="s">
        <v>111</v>
      </c>
      <c r="B25" s="2"/>
      <c r="C25" s="8" t="s">
        <v>93</v>
      </c>
      <c r="D25" s="9" t="s">
        <v>112</v>
      </c>
      <c r="E25" s="2" t="s">
        <v>113</v>
      </c>
    </row>
    <row r="26" spans="1:5" x14ac:dyDescent="0.4">
      <c r="A26" s="7" t="s">
        <v>114</v>
      </c>
      <c r="B26" s="2"/>
      <c r="C26" s="8" t="s">
        <v>115</v>
      </c>
      <c r="D26" s="9" t="s">
        <v>116</v>
      </c>
      <c r="E26" s="2" t="s">
        <v>117</v>
      </c>
    </row>
    <row r="27" spans="1:5" x14ac:dyDescent="0.4">
      <c r="A27" s="7" t="s">
        <v>118</v>
      </c>
      <c r="B27" s="10" t="s">
        <v>119</v>
      </c>
      <c r="C27" s="2"/>
      <c r="D27" s="9" t="s">
        <v>120</v>
      </c>
      <c r="E27" s="2" t="s">
        <v>121</v>
      </c>
    </row>
    <row r="28" spans="1:5" x14ac:dyDescent="0.4">
      <c r="A28" s="7" t="s">
        <v>122</v>
      </c>
      <c r="B28" s="2"/>
      <c r="C28" s="8" t="s">
        <v>123</v>
      </c>
      <c r="D28" s="2"/>
      <c r="E28" s="2" t="s">
        <v>124</v>
      </c>
    </row>
    <row r="29" spans="1:5" x14ac:dyDescent="0.4">
      <c r="A29" s="7" t="s">
        <v>125</v>
      </c>
      <c r="B29" s="10" t="s">
        <v>126</v>
      </c>
      <c r="C29" s="2"/>
      <c r="D29" s="2"/>
      <c r="E29" s="2" t="s">
        <v>127</v>
      </c>
    </row>
    <row r="30" spans="1:5" ht="29.15" x14ac:dyDescent="0.4">
      <c r="A30" s="7" t="s">
        <v>128</v>
      </c>
      <c r="B30" s="10" t="s">
        <v>129</v>
      </c>
      <c r="C30" s="8" t="s">
        <v>130</v>
      </c>
      <c r="D30" s="9" t="s">
        <v>131</v>
      </c>
      <c r="E30" s="2" t="s">
        <v>132</v>
      </c>
    </row>
    <row r="31" spans="1:5" x14ac:dyDescent="0.4">
      <c r="A31" s="6" t="s">
        <v>133</v>
      </c>
    </row>
    <row r="32" spans="1:5" x14ac:dyDescent="0.4">
      <c r="A32" s="7" t="s">
        <v>134</v>
      </c>
      <c r="B32" s="2"/>
      <c r="C32" s="8" t="s">
        <v>135</v>
      </c>
      <c r="D32" s="9" t="s">
        <v>136</v>
      </c>
      <c r="E32" s="2" t="s">
        <v>137</v>
      </c>
    </row>
    <row r="33" spans="1:5" ht="32.049999999999997" customHeight="1" x14ac:dyDescent="0.4">
      <c r="A33" s="150" t="s">
        <v>138</v>
      </c>
      <c r="B33" s="116"/>
      <c r="C33" s="116"/>
      <c r="D33" s="116"/>
      <c r="E33" s="116"/>
    </row>
    <row r="35" spans="1:5" x14ac:dyDescent="0.4">
      <c r="A35" s="152" t="s">
        <v>139</v>
      </c>
      <c r="B35" s="116"/>
      <c r="C35" s="116"/>
      <c r="D35" s="116"/>
      <c r="E35" s="116"/>
    </row>
    <row r="36" spans="1:5" ht="47.05" customHeight="1" x14ac:dyDescent="0.4">
      <c r="A36" s="150" t="s">
        <v>140</v>
      </c>
      <c r="B36" s="116"/>
      <c r="C36" s="116"/>
      <c r="D36" s="116"/>
      <c r="E36" s="116"/>
    </row>
    <row r="37" spans="1:5" ht="32.049999999999997" customHeight="1" x14ac:dyDescent="0.4">
      <c r="A37" s="150" t="s">
        <v>141</v>
      </c>
      <c r="B37" s="116"/>
      <c r="C37" s="116"/>
      <c r="D37" s="116"/>
      <c r="E37" s="116"/>
    </row>
    <row r="39" spans="1:5" x14ac:dyDescent="0.4">
      <c r="A39" s="149" t="s">
        <v>142</v>
      </c>
      <c r="B39" s="116"/>
      <c r="C39" s="116"/>
      <c r="D39" s="116"/>
      <c r="E39" s="116"/>
    </row>
    <row r="40" spans="1:5" x14ac:dyDescent="0.4">
      <c r="A40" s="150" t="s">
        <v>143</v>
      </c>
      <c r="B40" s="116"/>
      <c r="C40" s="116"/>
      <c r="D40" s="116"/>
      <c r="E40" s="116"/>
    </row>
    <row r="41" spans="1:5" ht="32.049999999999997" customHeight="1" x14ac:dyDescent="0.4">
      <c r="A41" s="150" t="s">
        <v>144</v>
      </c>
      <c r="B41" s="116"/>
      <c r="C41" s="116"/>
      <c r="D41" s="116"/>
      <c r="E41" s="116"/>
    </row>
    <row r="42" spans="1:5" x14ac:dyDescent="0.4">
      <c r="A42" s="150" t="s">
        <v>145</v>
      </c>
      <c r="B42" s="116"/>
      <c r="C42" s="116"/>
      <c r="D42" s="116"/>
      <c r="E42" s="116"/>
    </row>
    <row r="43" spans="1:5" x14ac:dyDescent="0.4">
      <c r="A43" s="150" t="s">
        <v>146</v>
      </c>
      <c r="B43" s="116"/>
      <c r="C43" s="116"/>
      <c r="D43" s="116"/>
      <c r="E43" s="116"/>
    </row>
    <row r="44" spans="1:5" x14ac:dyDescent="0.4">
      <c r="A44" s="150" t="s">
        <v>147</v>
      </c>
      <c r="B44" s="116"/>
      <c r="C44" s="116"/>
      <c r="D44" s="116"/>
      <c r="E44" s="116"/>
    </row>
    <row r="46" spans="1:5" x14ac:dyDescent="0.4">
      <c r="A46" s="151" t="s">
        <v>148</v>
      </c>
      <c r="B46" s="116"/>
      <c r="C46" s="116"/>
      <c r="D46" s="116"/>
      <c r="E46" s="116"/>
    </row>
    <row r="47" spans="1:5" x14ac:dyDescent="0.4">
      <c r="A47" s="150" t="s">
        <v>149</v>
      </c>
      <c r="B47" s="116"/>
      <c r="C47" s="116"/>
      <c r="D47" s="116"/>
      <c r="E47" s="116"/>
    </row>
    <row r="48" spans="1:5" x14ac:dyDescent="0.4">
      <c r="A48" s="150" t="s">
        <v>150</v>
      </c>
      <c r="B48" s="116"/>
      <c r="C48" s="116"/>
      <c r="D48" s="116"/>
      <c r="E48" s="116"/>
    </row>
    <row r="49" spans="1:5" x14ac:dyDescent="0.4">
      <c r="A49" s="150" t="s">
        <v>151</v>
      </c>
      <c r="B49" s="116"/>
      <c r="C49" s="116"/>
      <c r="D49" s="116"/>
      <c r="E49" s="116"/>
    </row>
    <row r="50" spans="1:5" x14ac:dyDescent="0.4">
      <c r="A50" s="150" t="s">
        <v>152</v>
      </c>
      <c r="B50" s="116"/>
      <c r="C50" s="116"/>
      <c r="D50" s="116"/>
      <c r="E50" s="116"/>
    </row>
    <row r="51" spans="1:5" x14ac:dyDescent="0.4">
      <c r="A51" s="150" t="s">
        <v>153</v>
      </c>
      <c r="B51" s="116"/>
      <c r="C51" s="116"/>
      <c r="D51" s="116"/>
      <c r="E51" s="116"/>
    </row>
    <row r="52" spans="1:5" x14ac:dyDescent="0.4">
      <c r="A52" s="150" t="s">
        <v>154</v>
      </c>
      <c r="B52" s="116"/>
      <c r="C52" s="116"/>
      <c r="D52" s="116"/>
      <c r="E52" s="116"/>
    </row>
    <row r="54" spans="1:5" x14ac:dyDescent="0.4">
      <c r="A54" s="151" t="s">
        <v>155</v>
      </c>
      <c r="B54" s="116"/>
      <c r="C54" s="116"/>
      <c r="D54" s="116"/>
      <c r="E54" s="116"/>
    </row>
    <row r="55" spans="1:5" ht="32.049999999999997" customHeight="1" x14ac:dyDescent="0.4">
      <c r="A55" s="150" t="s">
        <v>156</v>
      </c>
      <c r="B55" s="116"/>
      <c r="C55" s="116"/>
      <c r="D55" s="116"/>
      <c r="E55" s="116"/>
    </row>
    <row r="57" spans="1:5" x14ac:dyDescent="0.4">
      <c r="A57" s="150" t="s">
        <v>157</v>
      </c>
      <c r="B57" s="116"/>
      <c r="C57" s="116"/>
      <c r="D57" s="116"/>
      <c r="E57" s="116"/>
    </row>
  </sheetData>
  <mergeCells count="24">
    <mergeCell ref="A55:E55"/>
    <mergeCell ref="A50:E50"/>
    <mergeCell ref="A57:E57"/>
    <mergeCell ref="A42:E42"/>
    <mergeCell ref="A33:E33"/>
    <mergeCell ref="A47:E47"/>
    <mergeCell ref="A35:E35"/>
    <mergeCell ref="A43:E43"/>
    <mergeCell ref="A52:E52"/>
    <mergeCell ref="A44:E44"/>
    <mergeCell ref="A40:E40"/>
    <mergeCell ref="A54:E54"/>
    <mergeCell ref="A41:E41"/>
    <mergeCell ref="A37:E37"/>
    <mergeCell ref="A46:E46"/>
    <mergeCell ref="A3:E3"/>
    <mergeCell ref="A4:E4"/>
    <mergeCell ref="A39:E39"/>
    <mergeCell ref="A48:E48"/>
    <mergeCell ref="A49:E49"/>
    <mergeCell ref="A51:E51"/>
    <mergeCell ref="A1:E1"/>
    <mergeCell ref="A36:E36"/>
    <mergeCell ref="A6:E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46" t="str">
        <f>"Horizon Scan NFR — Quadro d'insieme   ·   "&amp;etichettaCiclo</f>
        <v>Horizon Scan NFR — Quadro d'insieme   ·   Ciclo 2026Q3 · dati al 30/09/2026 · da validare · Uso interno</v>
      </c>
      <c r="B1" s="147"/>
      <c r="C1" s="147"/>
      <c r="D1" s="147"/>
      <c r="E1" s="147"/>
      <c r="F1" s="147"/>
      <c r="G1" s="147"/>
      <c r="H1" s="147"/>
      <c r="I1" s="147"/>
      <c r="J1" s="147"/>
      <c r="K1" s="147"/>
      <c r="L1" s="147"/>
      <c r="M1" s="147"/>
      <c r="N1" s="147"/>
      <c r="O1" s="147"/>
    </row>
    <row r="2" spans="1:124" ht="72.55" customHeight="1" x14ac:dyDescent="0.4">
      <c r="A2" s="136" t="s">
        <v>0</v>
      </c>
      <c r="B2" s="116"/>
      <c r="C2" s="116"/>
      <c r="D2" s="116"/>
      <c r="E2" s="116"/>
      <c r="F2" s="116"/>
      <c r="G2" s="116"/>
      <c r="H2" s="116"/>
      <c r="I2" s="116"/>
      <c r="J2" s="116"/>
      <c r="K2" s="116"/>
      <c r="L2" s="116"/>
      <c r="M2" s="116"/>
      <c r="N2" s="116"/>
      <c r="O2" s="116"/>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38" t="s">
        <v>5</v>
      </c>
      <c r="B4" s="129"/>
      <c r="C4" s="130"/>
      <c r="D4" s="145" t="s">
        <v>6</v>
      </c>
      <c r="E4" s="140"/>
      <c r="F4" s="141"/>
      <c r="G4" s="138" t="s">
        <v>7</v>
      </c>
      <c r="H4" s="129"/>
      <c r="I4" s="130"/>
      <c r="J4" s="145" t="s">
        <v>8</v>
      </c>
      <c r="K4" s="140"/>
      <c r="L4" s="141"/>
      <c r="M4" s="143" t="s">
        <v>9</v>
      </c>
      <c r="N4" s="132"/>
      <c r="O4" s="133"/>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37">
        <f>coperturaValutati</f>
        <v>12</v>
      </c>
      <c r="B5" s="129"/>
      <c r="C5" s="130"/>
      <c r="D5" s="139" t="str">
        <f>$T$4&amp;" · "&amp;COUNTIF(Radar_Mosca!$AA$5:$AA$24,"Attenzione")</f>
        <v>1 · 7</v>
      </c>
      <c r="E5" s="140"/>
      <c r="F5" s="141"/>
      <c r="G5" s="137" t="str">
        <f>COUNTIFS(RR_Ciclo,cicloCorrente,RR_Esito,"Variato")&amp;" · "&amp;COUNTIFS(RR_Ciclo,cicloCorrente,RR_Esito,"Nuovo")</f>
        <v>1 · 0</v>
      </c>
      <c r="H5" s="129"/>
      <c r="I5" s="130"/>
      <c r="J5" s="139">
        <f>COUNTIFS(KRI_Ciclo,cicloCorrente,KRI_In_Vigore,"Sì",KRI_Stato,"Rosso")</f>
        <v>0</v>
      </c>
      <c r="K5" s="140"/>
      <c r="L5" s="141"/>
      <c r="M5" s="131">
        <f>IF(decisioniDaPrendere&gt;0,decisioniDaPrendere,"✓")</f>
        <v>52</v>
      </c>
      <c r="N5" s="132"/>
      <c r="O5" s="133"/>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3.0154919868670289</v>
      </c>
      <c r="BW5">
        <f>6.95*COS(2*PI()*(0+0.5)/ROWS(codiciL1))</f>
        <v>6.2617336319218131</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0.38941163442355031</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1.7061238463181914</v>
      </c>
      <c r="DP5" t="str">
        <f>IF(Radar_Mosca!$A5="","",MID(Radar_Mosca!$A5,5,3)&amp;IF(Radar_Mosca!$T5="Sì"," ◆",""))</f>
        <v>01 ◆</v>
      </c>
      <c r="DQ5">
        <f>IF(ISNUMBER(Radar_Mosca!$S5),Radar_Mosca!$S5,NA())</f>
        <v>0.38941163442355031</v>
      </c>
      <c r="DR5" t="s">
        <v>2</v>
      </c>
      <c r="DS5">
        <v>-6.9</v>
      </c>
      <c r="DT5">
        <v>-5.05</v>
      </c>
    </row>
    <row r="6" spans="1:124" ht="22" customHeight="1" x14ac:dyDescent="0.4">
      <c r="A6" s="128" t="str">
        <f>"su "&amp;coperturaAnagrafica&amp;" in anagrafica · "&amp;IF(coperturaValutati=coperturaAnagrafica,"completo","INCOMPLETO")</f>
        <v>su 12 in anagrafica · completo</v>
      </c>
      <c r="B6" s="129"/>
      <c r="C6" s="130"/>
      <c r="D6" s="144" t="str">
        <f>IF($T$4=0,"nessun rischio in attivazione","in attivazione: "&amp;_xlfn.TEXTJOIN(", ",TRUE,$T$5:$T$24))&amp;" · in monitoraggio "&amp;COUNTIF(Radar_Mosca!$AA$5:$AA$24,"Monitoraggio")</f>
        <v>in attivazione: NFR-01 · in monitoraggio 4</v>
      </c>
      <c r="E6" s="140"/>
      <c r="F6" s="141"/>
      <c r="G6" s="128" t="str">
        <f>"rispetto al "&amp;cicloPrecedente</f>
        <v>rispetto al 2026Q2</v>
      </c>
      <c r="H6" s="129"/>
      <c r="I6" s="130"/>
      <c r="J6" s="144" t="str">
        <f>"su "&amp;COUNTIFS(KRI_Ciclo,cicloCorrente,KRI_In_Vigore,"Sì")&amp;" in vigore"</f>
        <v>su 24 in vigore</v>
      </c>
      <c r="K6" s="140"/>
      <c r="L6" s="141"/>
      <c r="M6" s="135" t="str">
        <f>IF(decisioniDaPrendere&gt;0,"righe da validare: ciclo non validato","ciclo validato")</f>
        <v>righe da validare: ciclo non validato</v>
      </c>
      <c r="N6" s="132"/>
      <c r="O6" s="133"/>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6.7757489896636747</v>
      </c>
      <c r="BW6">
        <f>6.95*COS(2*PI()*(1+0.5)/ROWS(codiciL1))</f>
        <v>1.5465204909963854</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-0.16814271056945562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-2.2437085436576552</v>
      </c>
      <c r="DP6" t="str">
        <f>IF(Radar_Mosca!$A6="","",MID(Radar_Mosca!$A6,5,3)&amp;IF(Radar_Mosca!$T6="Sì"," ◆",""))</f>
        <v>02 ◆</v>
      </c>
      <c r="DQ6">
        <f>IF(ISNUMBER(Radar_Mosca!$S6),Radar_Mosca!$S6,NA())</f>
        <v>-0.16814271056945562</v>
      </c>
      <c r="DR6" t="s">
        <v>3</v>
      </c>
      <c r="DS6">
        <v>-6.9</v>
      </c>
      <c r="DT6">
        <v>-5.7</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5.4337288031528077</v>
      </c>
      <c r="BW7">
        <f>6.95*COS(2*PI()*(2+0.5)/ROWS(codiciL1))</f>
        <v>-4.3332541229181976</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-1.9111456115722811</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0.58951034882180919</v>
      </c>
      <c r="DP7" t="str">
        <f>IF(Radar_Mosca!$A7="","",MID(Radar_Mosca!$A7,5,3)&amp;IF(Radar_Mosca!$T7="Sì"," ◆",""))</f>
        <v>03</v>
      </c>
      <c r="DQ7">
        <f>IF(ISNUMBER(Radar_Mosca!$S7),Radar_Mosca!$S7,NA())</f>
        <v>-1.9111456115722811</v>
      </c>
      <c r="DR7" t="s">
        <v>4</v>
      </c>
      <c r="DS7">
        <v>-6.9</v>
      </c>
      <c r="DT7">
        <v>-6.35</v>
      </c>
    </row>
    <row r="8" spans="1:124" ht="15.9" x14ac:dyDescent="0.45">
      <c r="A8" s="122" t="s">
        <v>13</v>
      </c>
      <c r="B8" s="123"/>
      <c r="C8" s="123"/>
      <c r="D8" s="123"/>
      <c r="E8" s="123"/>
      <c r="F8" s="123"/>
      <c r="G8" s="123"/>
      <c r="H8" s="123"/>
      <c r="J8" s="122" t="s">
        <v>14</v>
      </c>
      <c r="K8" s="123"/>
      <c r="L8" s="123"/>
      <c r="M8" s="123"/>
      <c r="N8" s="123"/>
      <c r="O8" s="123"/>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4.9255383395485879</v>
      </c>
      <c r="BS8">
        <f>6.3*COS(2*PI()*1/ROWS(codiciL1))</f>
        <v>3.9279857517100214</v>
      </c>
      <c r="BU8" t="s">
        <v>15</v>
      </c>
      <c r="BV8">
        <f>6.95*SIN(2*PI()*(3+0.5)/ROWS(codiciL1))</f>
        <v>8.5147817616149091E-16</v>
      </c>
      <c r="BW8">
        <f>6.95*COS(2*PI()*(3+0.5)/ROWS(codiciL1))</f>
        <v>-6.95</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-1.7145969551115177</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-2.1500365767870817</v>
      </c>
      <c r="DP8" t="str">
        <f>IF(Radar_Mosca!$A8="","",MID(Radar_Mosca!$A8,5,3)&amp;IF(Radar_Mosca!$T8="Sì"," ◆",""))</f>
        <v>04</v>
      </c>
      <c r="DQ8">
        <f>IF(ISNUMBER(Radar_Mosca!$S8),Radar_Mosca!$S8,NA())</f>
        <v>-1.7145969551115177</v>
      </c>
      <c r="DR8" t="s">
        <v>16</v>
      </c>
      <c r="DS8">
        <v>-7.35</v>
      </c>
      <c r="DT8">
        <v>-7.35</v>
      </c>
    </row>
    <row r="9" spans="1:124" x14ac:dyDescent="0.4">
      <c r="A9" s="11" t="s">
        <v>17</v>
      </c>
      <c r="B9" s="148" t="s">
        <v>18</v>
      </c>
      <c r="C9" s="116"/>
      <c r="D9" s="116"/>
      <c r="E9" s="116"/>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-5.4337288031528068</v>
      </c>
      <c r="BW9">
        <f>6.95*COS(2*PI()*(4+0.5)/ROWS(codiciL1))</f>
        <v>-4.3332541229181993</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2.3454944474040893</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-1.870469405576201</v>
      </c>
      <c r="DP9" t="str">
        <f>IF(Radar_Mosca!$A9="","",MID(Radar_Mosca!$A9,5,3)&amp;IF(Radar_Mosca!$T9="Sì"," ◆",""))</f>
        <v>05</v>
      </c>
      <c r="DQ9">
        <f>IF(ISNUMBER(Radar_Mosca!$S9),Radar_Mosca!$S9,NA())</f>
        <v>2.3454944474040893</v>
      </c>
      <c r="DS9">
        <v>-6.45</v>
      </c>
      <c r="DT9">
        <v>-7.35</v>
      </c>
    </row>
    <row r="10" spans="1:124" ht="25" customHeight="1" x14ac:dyDescent="0.4">
      <c r="A10" s="14">
        <f>Classifica!$A$5</f>
        <v>1</v>
      </c>
      <c r="B10" s="120" t="str">
        <f>IF(Classifica!$B$5="","",Classifica!$B$5&amp;"  "&amp;Classifica!$C$5&amp;IFERROR(IF(INDEX(ANA_Attenzione_Supervisore,Classifica!$U$5)="Sì","  ◆",""),""))</f>
        <v>NFR-01  Frodi su pagamenti istantanei abilitate da AI generativa  ◆</v>
      </c>
      <c r="C10" s="121"/>
      <c r="D10" s="121"/>
      <c r="E10" s="121"/>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6.1420458467454884</v>
      </c>
      <c r="BS10">
        <f>6.3*COS(2*PI()*2/ROWS(codiciL1))</f>
        <v>-1.4018818839247802</v>
      </c>
      <c r="BU10" t="s">
        <v>24</v>
      </c>
      <c r="BV10">
        <f>6.95*SIN(2*PI()*(5+0.5)/ROWS(codiciL1))</f>
        <v>-6.7757489896636756</v>
      </c>
      <c r="BW10">
        <f>6.95*COS(2*PI()*(5+0.5)/ROWS(codiciL1))</f>
        <v>1.5465204909963777</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2.6810517585000149</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0.61193256837986454</v>
      </c>
      <c r="DP10" t="str">
        <f>IF(Radar_Mosca!$A10="","",MID(Radar_Mosca!$A10,5,3)&amp;IF(Radar_Mosca!$T10="Sì"," ◆",""))</f>
        <v>06</v>
      </c>
      <c r="DQ10">
        <f>IF(ISNUMBER(Radar_Mosca!$S10),Radar_Mosca!$S10,NA())</f>
        <v>2.6810517585000149</v>
      </c>
      <c r="DR10" t="s">
        <v>25</v>
      </c>
      <c r="DS10">
        <v>4.4000000000000004</v>
      </c>
      <c r="DT10">
        <v>-5.6</v>
      </c>
    </row>
    <row r="11" spans="1:124" ht="25" customHeight="1" x14ac:dyDescent="0.4">
      <c r="A11" s="14">
        <f>Classifica!$A$6</f>
        <v>2</v>
      </c>
      <c r="B11" s="120" t="str">
        <f>IF(Classifica!$B$6="","",Classifica!$B$6&amp;"  "&amp;Classifica!$C$6&amp;IFERROR(IF(INDEX(ANA_Attenzione_Supervisore,Classifica!$U$6)="Sì","  ◆",""),""))</f>
        <v>NFR-07  Ransomware presso un fornitore di servizi di pagamento  ◆</v>
      </c>
      <c r="C11" s="121"/>
      <c r="D11" s="121"/>
      <c r="E11" s="121"/>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-3.0154919868670249</v>
      </c>
      <c r="BW11">
        <f>6.95*COS(2*PI()*(6+0.5)/ROWS(codiciL1))</f>
        <v>6.2617336319218149</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0.61193256837986165</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-2.6810517585000158</v>
      </c>
      <c r="DP11" t="str">
        <f>IF(Radar_Mosca!$A11="","",MID(Radar_Mosca!$A11,5,3)&amp;IF(Radar_Mosca!$T11="Sì"," ◆",""))</f>
        <v>07 ◆</v>
      </c>
      <c r="DQ11">
        <f>IF(ISNUMBER(Radar_Mosca!$S11),Radar_Mosca!$S11,NA())</f>
        <v>0.61193256837986165</v>
      </c>
      <c r="DR11" t="s">
        <v>27</v>
      </c>
      <c r="DS11">
        <v>3.5</v>
      </c>
      <c r="DT11">
        <v>-6.6</v>
      </c>
    </row>
    <row r="12" spans="1:124" ht="25" customHeight="1" x14ac:dyDescent="0.4">
      <c r="A12" s="14">
        <f>Classifica!$A$7</f>
        <v>3</v>
      </c>
      <c r="B12" s="120" t="str">
        <f>IF(Classifica!$B$7="","",Classifica!$B$7&amp;"  "&amp;Classifica!$C$7&amp;IFERROR(IF(INDEX(ANA_Attenzione_Supervisore,Classifica!$U$7)="Sì","  ◆",""),""))</f>
        <v>NFR-12  Errori operativi nei pagamenti istantanei obbligatori</v>
      </c>
      <c r="C12" s="121"/>
      <c r="D12" s="121"/>
      <c r="E12" s="121"/>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2.7334675564406168</v>
      </c>
      <c r="BS12">
        <f>6.3*COS(2*PI()*3/ROWS(codiciL1))</f>
        <v>-5.6761038677852396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2.3454944474040893</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1.8704694055762006</v>
      </c>
      <c r="DP12" t="str">
        <f>IF(Radar_Mosca!$A12="","",MID(Radar_Mosca!$A12,5,3)&amp;IF(Radar_Mosca!$T12="Sì"," ◆",""))</f>
        <v>08</v>
      </c>
      <c r="DQ12">
        <f>IF(ISNUMBER(Radar_Mosca!$S12),Radar_Mosca!$S12,NA())</f>
        <v>2.3454944474040893</v>
      </c>
      <c r="DR12" t="s">
        <v>28</v>
      </c>
      <c r="DS12">
        <v>4.8</v>
      </c>
      <c r="DT12">
        <v>-6.6</v>
      </c>
    </row>
    <row r="13" spans="1:124" ht="25" customHeight="1" x14ac:dyDescent="0.4">
      <c r="A13" s="14">
        <f>Classifica!$A$8</f>
        <v>4</v>
      </c>
      <c r="B13" s="120" t="str">
        <f>IF(Classifica!$B$8="","",Classifica!$B$8&amp;"  "&amp;Classifica!$C$8&amp;IFERROR(IF(INDEX(ANA_Attenzione_Supervisore,Classifica!$U$8)="Sì","  ◆",""),""))</f>
        <v>NFR-02  Concentrazione su un fornitore cloud critico  ◆</v>
      </c>
      <c r="C13" s="121"/>
      <c r="D13" s="121"/>
      <c r="E13" s="121"/>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-3.25</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3.981732478453015E-16</v>
      </c>
      <c r="DP13" t="str">
        <f>IF(Radar_Mosca!$A13="","",MID(Radar_Mosca!$A13,5,3)&amp;IF(Radar_Mosca!$T13="Sì"," ◆",""))</f>
        <v>09 ◆</v>
      </c>
      <c r="DQ13">
        <f>IF(ISNUMBER(Radar_Mosca!$S13),Radar_Mosca!$S13,NA())</f>
        <v>-3.25</v>
      </c>
      <c r="DR13" t="s">
        <v>29</v>
      </c>
      <c r="DS13">
        <v>6.5</v>
      </c>
      <c r="DT13">
        <v>-6.6</v>
      </c>
    </row>
    <row r="14" spans="1:124" ht="25" customHeight="1" x14ac:dyDescent="0.4">
      <c r="A14" s="14">
        <f>Classifica!$A$9</f>
        <v>5</v>
      </c>
      <c r="B14" s="120" t="str">
        <f>IF(Classifica!$B$9="","",Classifica!$B$9&amp;"  "&amp;Classifica!$C$9&amp;IFERROR(IF(INDEX(ANA_Attenzione_Supervisore,Classifica!$U$9)="Sì","  ◆",""),""))</f>
        <v>NFR-03  Greenwashing nella commercializzazione di prodotti ESG</v>
      </c>
      <c r="C14" s="121"/>
      <c r="D14" s="121"/>
      <c r="E14" s="121"/>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-2.7334675564406155</v>
      </c>
      <c r="BS14">
        <f>6.3*COS(2*PI()*4/ROWS(codiciL1))</f>
        <v>-5.6761038677852405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-2.8667184173584221</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-0.88426552323271312</v>
      </c>
      <c r="DP14" t="str">
        <f>IF(Radar_Mosca!$A14="","",MID(Radar_Mosca!$A14,5,3)&amp;IF(Radar_Mosca!$T14="Sì"," ◆",""))</f>
        <v>10</v>
      </c>
      <c r="DQ14">
        <f>IF(ISNUMBER(Radar_Mosca!$S14),Radar_Mosca!$S14,NA())</f>
        <v>-2.8667184173584221</v>
      </c>
    </row>
    <row r="15" spans="1:124" x14ac:dyDescent="0.4">
      <c r="A15" s="24" t="s">
        <v>30</v>
      </c>
      <c r="J15" s="24" t="s">
        <v>31</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0.30000000000000004</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-0.51961524227066314</v>
      </c>
      <c r="DP15" t="str">
        <f>IF(Radar_Mosca!$A15="","",MID(Radar_Mosca!$A15,5,3)&amp;IF(Radar_Mosca!$T15="Sì"," ◆",""))</f>
        <v>11</v>
      </c>
      <c r="DQ15">
        <f>IF(ISNUMBER(Radar_Mosca!$S15),Radar_Mosca!$S15,NA())</f>
        <v>0.30000000000000004</v>
      </c>
    </row>
    <row r="16" spans="1:124" ht="34" customHeight="1" x14ac:dyDescent="0.4">
      <c r="A16" s="118" t="s">
        <v>32</v>
      </c>
      <c r="B16" s="116"/>
      <c r="C16" s="124"/>
      <c r="D16" s="125"/>
      <c r="E16" s="125"/>
      <c r="F16" s="125"/>
      <c r="G16" s="125"/>
      <c r="H16" s="125"/>
      <c r="I16" s="125"/>
      <c r="J16" s="125"/>
      <c r="K16" s="125"/>
      <c r="L16" s="125"/>
      <c r="M16" s="125"/>
      <c r="N16" s="125"/>
      <c r="O16" s="125"/>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-6.1420458467454884</v>
      </c>
      <c r="BS16">
        <f>6.3*COS(2*PI()*5/ROWS(codiciL1))</f>
        <v>-1.401881883924782</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1.949855824363647</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-0.44504186791262929</v>
      </c>
      <c r="DP16" t="str">
        <f>IF(Radar_Mosca!$A16="","",MID(Radar_Mosca!$A16,5,3)&amp;IF(Radar_Mosca!$T16="Sì"," ◆",""))</f>
        <v>12</v>
      </c>
      <c r="DQ16">
        <f>IF(ISNUMBER(Radar_Mosca!$S16),Radar_Mosca!$S16,NA())</f>
        <v>1.949855824363647</v>
      </c>
    </row>
    <row r="17" spans="1:121" ht="15.9" x14ac:dyDescent="0.45">
      <c r="A17" s="122" t="s">
        <v>33</v>
      </c>
      <c r="B17" s="123"/>
      <c r="C17" s="123"/>
      <c r="D17" s="123"/>
      <c r="E17" s="123"/>
      <c r="F17" s="123"/>
      <c r="G17" s="123"/>
      <c r="H17" s="123"/>
      <c r="J17" s="122" t="s">
        <v>34</v>
      </c>
      <c r="K17" s="123"/>
      <c r="L17" s="123"/>
      <c r="M17" s="123"/>
      <c r="N17" s="123"/>
      <c r="O17" s="123"/>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17" t="str">
        <f>IF(J18="","",INDEX(posNome,1)&amp;IF(INDEX(ANA_Attenzione_Supervisore,1)="Sì","  ◆",""))</f>
        <v>Frodi su pagamenti istantanei abilitate da AI generativa  ◆</v>
      </c>
      <c r="L18" s="116"/>
      <c r="M18" s="116"/>
      <c r="N18" s="116"/>
      <c r="O18" s="116"/>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-4.9255383395485879</v>
      </c>
      <c r="BS18">
        <f>6.3*COS(2*PI()*6/ROWS(codiciL1))</f>
        <v>3.9279857517100201</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17" t="str">
        <f>IF(J19="","",INDEX(posNome,2)&amp;IF(INDEX(ANA_Attenzione_Supervisore,2)="Sì","  ◆",""))</f>
        <v>Concentrazione su un fornitore cloud critico  ◆</v>
      </c>
      <c r="L19" s="116"/>
      <c r="M19" s="116"/>
      <c r="N19" s="116"/>
      <c r="O19" s="116"/>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17" t="str">
        <f>IF(J20="","",INDEX(posNome,3)&amp;IF(INDEX(ANA_Attenzione_Supervisore,3)="Sì","  ◆",""))</f>
        <v>Greenwashing nella commercializzazione di prodotti ESG</v>
      </c>
      <c r="L20" s="116"/>
      <c r="M20" s="116"/>
      <c r="N20" s="116"/>
      <c r="O20" s="116"/>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17" t="str">
        <f>IF(J21="","",INDEX(posNome,4)&amp;IF(INDEX(ANA_Attenzione_Supervisore,4)="Sì","  ◆",""))</f>
        <v>Eventi climatici estremi su sedi e data center</v>
      </c>
      <c r="L21" s="116"/>
      <c r="M21" s="116"/>
      <c r="N21" s="116"/>
      <c r="O21" s="116"/>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17" t="str">
        <f>IF(J22="","",INDEX(posNome,5)&amp;IF(INDEX(ANA_Attenzione_Supervisore,5)="Sì","  ◆",""))</f>
        <v>Errori di processo nella migrazione del core banking</v>
      </c>
      <c r="L22" s="116"/>
      <c r="M22" s="116"/>
      <c r="N22" s="116"/>
      <c r="O22" s="116"/>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17" t="str">
        <f>IF(J23="","",INDEX(posNome,6)&amp;IF(INDEX(ANA_Attenzione_Supervisore,6)="Sì","  ◆",""))</f>
        <v>Esfiltrazione di dati tramite strumenti di AI non autorizzati</v>
      </c>
      <c r="L23" s="116"/>
      <c r="M23" s="116"/>
      <c r="N23" s="116"/>
      <c r="O23" s="116"/>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17" t="str">
        <f>IF(J24="","",INDEX(posNome,7)&amp;IF(INDEX(ANA_Attenzione_Supervisore,7)="Sì","  ◆",""))</f>
        <v>Ransomware presso un fornitore di servizi di pagamento  ◆</v>
      </c>
      <c r="L24" s="116"/>
      <c r="M24" s="116"/>
      <c r="N24" s="116"/>
      <c r="O24" s="116"/>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17" t="str">
        <f>IF(J25="","",INDEX(posNome,8)&amp;IF(INDEX(ANA_Attenzione_Supervisore,8)="Sì","  ◆",""))</f>
        <v>Accessi impropri di dipendenti ai dati dei clienti</v>
      </c>
      <c r="L25" s="116"/>
      <c r="M25" s="116"/>
      <c r="N25" s="116"/>
      <c r="O25" s="116"/>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17" t="str">
        <f>IF(J26="","",INDEX(posNome,9)&amp;IF(INDEX(ANA_Attenzione_Supervisore,9)="Sì","  ◆",""))</f>
        <v>Violazione di sanzioni internazionali tramite triangolazioni  ◆</v>
      </c>
      <c r="L26" s="116"/>
      <c r="M26" s="116"/>
      <c r="N26" s="116"/>
      <c r="O26" s="116"/>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17" t="str">
        <f>IF(J27="","",INDEX(posNome,10)&amp;IF(INDEX(ANA_Attenzione_Supervisore,10)="Sì","  ◆",""))</f>
        <v>Informazioni errate ai clienti da assistenti di AI generativa</v>
      </c>
      <c r="L27" s="116"/>
      <c r="M27" s="116"/>
      <c r="N27" s="116"/>
      <c r="O27" s="116"/>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17" t="str">
        <f>IF(J28="","",INDEX(posNome,11)&amp;IF(INDEX(ANA_Attenzione_Supervisore,11)="Sì","  ◆",""))</f>
        <v>Fine del supporto dei sistemi di pagamento legacy</v>
      </c>
      <c r="L28" s="116"/>
      <c r="M28" s="116"/>
      <c r="N28" s="116"/>
      <c r="O28" s="116"/>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17" t="str">
        <f>IF(J29="","",INDEX(posNome,12)&amp;IF(INDEX(ANA_Attenzione_Supervisore,12)="Sì","  ◆",""))</f>
        <v>Errori operativi nei pagamenti istantanei obbligatori</v>
      </c>
      <c r="L29" s="116"/>
      <c r="M29" s="116"/>
      <c r="N29" s="116"/>
      <c r="O29" s="116"/>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17" t="str">
        <f>IF(J30="","",INDEX(posNome,13)&amp;IF(INDEX(ANA_Attenzione_Supervisore,13)="Sì","  ◆",""))</f>
        <v/>
      </c>
      <c r="L30" s="116"/>
      <c r="M30" s="116"/>
      <c r="N30" s="116"/>
      <c r="O30" s="116"/>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17" t="str">
        <f>IF(J31="","",INDEX(posNome,14)&amp;IF(INDEX(ANA_Attenzione_Supervisore,14)="Sì","  ◆",""))</f>
        <v/>
      </c>
      <c r="L31" s="116"/>
      <c r="M31" s="116"/>
      <c r="N31" s="116"/>
      <c r="O31" s="116"/>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17" t="str">
        <f>IF(J32="","",INDEX(posNome,15)&amp;IF(INDEX(ANA_Attenzione_Supervisore,15)="Sì","  ◆",""))</f>
        <v/>
      </c>
      <c r="L32" s="116"/>
      <c r="M32" s="116"/>
      <c r="N32" s="116"/>
      <c r="O32" s="116"/>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17" t="str">
        <f>IF(J33="","",INDEX(posNome,16)&amp;IF(INDEX(ANA_Attenzione_Supervisore,16)="Sì","  ◆",""))</f>
        <v/>
      </c>
      <c r="L33" s="116"/>
      <c r="M33" s="116"/>
      <c r="N33" s="116"/>
      <c r="O33" s="116"/>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17" t="str">
        <f>IF(J34="","",INDEX(posNome,17)&amp;IF(INDEX(ANA_Attenzione_Supervisore,17)="Sì","  ◆",""))</f>
        <v/>
      </c>
      <c r="L34" s="116"/>
      <c r="M34" s="116"/>
      <c r="N34" s="116"/>
      <c r="O34" s="116"/>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17" t="str">
        <f>IF(J35="","",INDEX(posNome,18)&amp;IF(INDEX(ANA_Attenzione_Supervisore,18)="Sì","  ◆",""))</f>
        <v/>
      </c>
      <c r="L35" s="116"/>
      <c r="M35" s="116"/>
      <c r="N35" s="116"/>
      <c r="O35" s="116"/>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17" t="str">
        <f>IF(J36="","",INDEX(posNome,19)&amp;IF(INDEX(ANA_Attenzione_Supervisore,19)="Sì","  ◆",""))</f>
        <v/>
      </c>
      <c r="L36" s="116"/>
      <c r="M36" s="116"/>
      <c r="N36" s="116"/>
      <c r="O36" s="116"/>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17" t="str">
        <f>IF(J37="","",INDEX(posNome,20)&amp;IF(INDEX(ANA_Attenzione_Supervisore,20)="Sì","  ◆",""))</f>
        <v/>
      </c>
      <c r="L37" s="116"/>
      <c r="M37" s="116"/>
      <c r="N37" s="116"/>
      <c r="O37" s="116"/>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35</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22" t="s">
        <v>36</v>
      </c>
      <c r="B40" s="123"/>
      <c r="C40" s="123"/>
      <c r="D40" s="123"/>
      <c r="E40" s="123"/>
      <c r="F40" s="123"/>
      <c r="G40" s="123"/>
      <c r="H40" s="123"/>
      <c r="I40" s="123"/>
      <c r="J40" s="123"/>
      <c r="K40" s="123"/>
      <c r="L40" s="123"/>
      <c r="M40" s="123"/>
      <c r="N40" s="123"/>
      <c r="O40" s="123"/>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19" t="s">
        <v>37</v>
      </c>
      <c r="B41" s="116"/>
      <c r="C41" s="116"/>
      <c r="D41" s="134"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v>
      </c>
      <c r="E41" s="116"/>
      <c r="F41" s="116"/>
      <c r="G41" s="116"/>
      <c r="H41" s="116"/>
      <c r="I41" s="116"/>
      <c r="J41" s="116"/>
      <c r="K41" s="116"/>
      <c r="L41" s="116"/>
      <c r="M41" s="116"/>
      <c r="N41" s="116"/>
      <c r="O41" s="116"/>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19" t="s">
        <v>38</v>
      </c>
      <c r="B42" s="116"/>
      <c r="C42" s="116"/>
      <c r="D42" s="134" t="str">
        <f>IF(T42&gt;0,TRIM(MID(T41,T42+10,4000)),"—")</f>
        <v>aggiornare il presidio dei controlli di NFR-02 e NFR-06 e chiedere alla Funzione Compliance la revisione dei claim ESG (NFR-03).</v>
      </c>
      <c r="E42" s="116"/>
      <c r="F42" s="116"/>
      <c r="G42" s="116"/>
      <c r="H42" s="116"/>
      <c r="I42" s="116"/>
      <c r="J42" s="116"/>
      <c r="K42" s="116"/>
      <c r="L42" s="116"/>
      <c r="M42" s="116"/>
      <c r="N42" s="116"/>
      <c r="O42" s="116"/>
      <c r="T42">
        <f>IFERROR(SEARCH("DECISIONI:",T41),0)</f>
        <v>527</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19" t="s">
        <v>39</v>
      </c>
      <c r="B43" s="116"/>
      <c r="C43" s="116"/>
      <c r="D43" s="134"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16"/>
      <c r="F43" s="116"/>
      <c r="G43" s="116"/>
      <c r="H43" s="116"/>
      <c r="I43" s="116"/>
      <c r="J43" s="116"/>
      <c r="K43" s="116"/>
      <c r="L43" s="116"/>
      <c r="M43" s="116"/>
      <c r="N43" s="116"/>
      <c r="O43" s="116"/>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19" t="s">
        <v>40</v>
      </c>
      <c r="B44" s="116"/>
      <c r="C44" s="116"/>
      <c r="D44" s="134"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16"/>
      <c r="F44" s="116"/>
      <c r="G44" s="116"/>
      <c r="H44" s="116"/>
      <c r="I44" s="116"/>
      <c r="J44" s="116"/>
      <c r="K44" s="116"/>
      <c r="L44" s="116"/>
      <c r="M44" s="116"/>
      <c r="N44" s="116"/>
      <c r="O44" s="116"/>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19" t="s">
        <v>41</v>
      </c>
      <c r="B45" s="116"/>
      <c r="C45" s="116"/>
      <c r="D45" s="134" t="str">
        <f>IFERROR(IF(INDEX(SI_Rilievi_Superati,MATCH(cicloCorrente,SI_Ciclo,0))="","",INDEX(SI_Rilievi_Superati,MATCH(cicloCorrente,SI_Ciclo,0))&amp;" In validazione ogni rischio interessato chiede una motivazione (colonna Segnalazioni)."),"")</f>
        <v/>
      </c>
      <c r="E45" s="116"/>
      <c r="F45" s="116"/>
      <c r="G45" s="116"/>
      <c r="H45" s="116"/>
      <c r="I45" s="116"/>
      <c r="J45" s="116"/>
      <c r="K45" s="116"/>
      <c r="L45" s="116"/>
      <c r="M45" s="116"/>
      <c r="N45" s="116"/>
      <c r="O45" s="116"/>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22" t="s">
        <v>42</v>
      </c>
      <c r="B47" s="123"/>
      <c r="C47" s="123"/>
      <c r="D47" s="123"/>
      <c r="E47" s="123"/>
      <c r="F47" s="123"/>
      <c r="G47" s="123"/>
      <c r="H47" s="123"/>
      <c r="I47" s="123"/>
      <c r="J47" s="123"/>
      <c r="K47" s="123"/>
      <c r="L47" s="123"/>
      <c r="M47" s="123"/>
      <c r="N47" s="123"/>
      <c r="O47" s="123"/>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43</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26" t="s">
        <v>18</v>
      </c>
      <c r="B49" s="127"/>
      <c r="C49" s="127"/>
      <c r="D49" s="26" t="s">
        <v>44</v>
      </c>
      <c r="E49" s="126" t="s">
        <v>45</v>
      </c>
      <c r="F49" s="127"/>
      <c r="G49" s="127"/>
      <c r="H49" s="127"/>
      <c r="I49" s="126" t="s">
        <v>46</v>
      </c>
      <c r="J49" s="127"/>
      <c r="K49" s="127"/>
      <c r="L49" s="127"/>
      <c r="M49" s="127"/>
      <c r="N49" s="127"/>
      <c r="O49" s="127"/>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18" t="str">
        <f>IF($V50="","",INDEX(Classifica!$B$5:$B$24,$V50)&amp;CHAR(10)&amp;INDEX(Classifica!$C$5:$C$24,$V50)&amp;IF(INDEX(ANA_Attenzione_Supervisore,INDEX(Classifica!$U$5:$U$24,$V50))="Sì",CHAR(10)&amp;"◆ attenzione del supervisore",""))</f>
        <v>NFR-01
Frodi su pagamenti istantanei abilitate da AI generativa
◆ attenzione del supervisore</v>
      </c>
      <c r="B50" s="116"/>
      <c r="C50" s="116"/>
      <c r="D50" s="27" t="str">
        <f>IF($V50="","",INDEX(Radar_Mosca!$AA$5:$AA$24,INDEX(Classifica!$U$5:$U$24,$V50))&amp;"")</f>
        <v>Attivazione</v>
      </c>
      <c r="E50" s="115"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16"/>
      <c r="G50" s="116"/>
      <c r="H50" s="116"/>
      <c r="I50" s="115"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16"/>
      <c r="K50" s="116"/>
      <c r="L50" s="116"/>
      <c r="M50" s="116"/>
      <c r="N50" s="116"/>
      <c r="O50" s="116"/>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18" t="str">
        <f>IF($V51="","",INDEX(Classifica!$B$5:$B$24,$V51)&amp;CHAR(10)&amp;INDEX(Classifica!$C$5:$C$24,$V51)&amp;IF(INDEX(ANA_Attenzione_Supervisore,INDEX(Classifica!$U$5:$U$24,$V51))="Sì",CHAR(10)&amp;"◆ attenzione del supervisore",""))</f>
        <v>NFR-07
Ransomware presso un fornitore di servizi di pagamento
◆ attenzione del supervisore</v>
      </c>
      <c r="B51" s="116"/>
      <c r="C51" s="116"/>
      <c r="D51" s="27" t="str">
        <f>IF($V51="","",INDEX(Radar_Mosca!$AA$5:$AA$24,INDEX(Classifica!$U$5:$U$24,$V51))&amp;"")</f>
        <v>Attenzione</v>
      </c>
      <c r="E51" s="115" t="str">
        <f t="shared" si="16"/>
        <v>2° per score composito (3,75); margine di Mosca sotto l'anno (0,75); tema all'attenzione del supervisore.</v>
      </c>
      <c r="F51" s="116"/>
      <c r="G51" s="116"/>
      <c r="H51" s="116"/>
      <c r="I51" s="115"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16"/>
      <c r="K51" s="116"/>
      <c r="L51" s="116"/>
      <c r="M51" s="116"/>
      <c r="N51" s="116"/>
      <c r="O51" s="116"/>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18" t="str">
        <f>IF($V52="","",INDEX(Classifica!$B$5:$B$24,$V52)&amp;CHAR(10)&amp;INDEX(Classifica!$C$5:$C$24,$V52)&amp;IF(INDEX(ANA_Attenzione_Supervisore,INDEX(Classifica!$U$5:$U$24,$V52))="Sì",CHAR(10)&amp;"◆ attenzione del supervisore",""))</f>
        <v>NFR-12
Errori operativi nei pagamenti istantanei obbligatori</v>
      </c>
      <c r="B52" s="116"/>
      <c r="C52" s="116"/>
      <c r="D52" s="27" t="str">
        <f>IF($V52="","",INDEX(Radar_Mosca!$AA$5:$AA$24,INDEX(Classifica!$U$5:$U$24,$V52))&amp;"")</f>
        <v>Attenzione</v>
      </c>
      <c r="E52" s="115" t="str">
        <f t="shared" si="16"/>
        <v>3° per score composito (3,65); margine di Mosca sotto l'anno (0,00).</v>
      </c>
      <c r="F52" s="116"/>
      <c r="G52" s="116"/>
      <c r="H52" s="116"/>
      <c r="I52" s="115"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16"/>
      <c r="K52" s="116"/>
      <c r="L52" s="116"/>
      <c r="M52" s="116"/>
      <c r="N52" s="116"/>
      <c r="O52" s="116"/>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18" t="str">
        <f>IF($V53="","",INDEX(Classifica!$B$5:$B$24,$V53)&amp;CHAR(10)&amp;INDEX(Classifica!$C$5:$C$24,$V53)&amp;IF(INDEX(ANA_Attenzione_Supervisore,INDEX(Classifica!$U$5:$U$24,$V53))="Sì",CHAR(10)&amp;"◆ attenzione del supervisore",""))</f>
        <v>NFR-02
Concentrazione su un fornitore cloud critico
◆ attenzione del supervisore</v>
      </c>
      <c r="B53" s="116"/>
      <c r="C53" s="116"/>
      <c r="D53" s="27" t="str">
        <f>IF($V53="","",INDEX(Radar_Mosca!$AA$5:$AA$24,INDEX(Classifica!$U$5:$U$24,$V53))&amp;"")</f>
        <v>Attenzione</v>
      </c>
      <c r="E53" s="115" t="str">
        <f t="shared" si="16"/>
        <v>tema all'attenzione del supervisore.</v>
      </c>
      <c r="F53" s="116"/>
      <c r="G53" s="116"/>
      <c r="H53" s="116"/>
      <c r="I53" s="115"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16"/>
      <c r="K53" s="116"/>
      <c r="L53" s="116"/>
      <c r="M53" s="116"/>
      <c r="N53" s="116"/>
      <c r="O53" s="116"/>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18" t="str">
        <f>IF($V54="","",INDEX(Classifica!$B$5:$B$24,$V54)&amp;CHAR(10)&amp;INDEX(Classifica!$C$5:$C$24,$V54)&amp;IF(INDEX(ANA_Attenzione_Supervisore,INDEX(Classifica!$U$5:$U$24,$V54))="Sì",CHAR(10)&amp;"◆ attenzione del supervisore",""))</f>
        <v>NFR-03
Greenwashing nella commercializzazione di prodotti ESG</v>
      </c>
      <c r="B54" s="116"/>
      <c r="C54" s="116"/>
      <c r="D54" s="27" t="str">
        <f>IF($V54="","",INDEX(Radar_Mosca!$AA$5:$AA$24,INDEX(Classifica!$U$5:$U$24,$V54))&amp;"")</f>
        <v>Attenzione</v>
      </c>
      <c r="E54" s="115" t="str">
        <f t="shared" si="16"/>
        <v>variato nel ciclo: peggiora.</v>
      </c>
      <c r="F54" s="116"/>
      <c r="G54" s="116"/>
      <c r="H54" s="116"/>
      <c r="I54" s="115"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16"/>
      <c r="K54" s="116"/>
      <c r="L54" s="116"/>
      <c r="M54" s="116"/>
      <c r="N54" s="116"/>
      <c r="O54" s="116"/>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18" t="str">
        <f>IF($V55="","",INDEX(Classifica!$B$5:$B$24,$V55)&amp;CHAR(10)&amp;INDEX(Classifica!$C$5:$C$24,$V55)&amp;IF(INDEX(ANA_Attenzione_Supervisore,INDEX(Classifica!$U$5:$U$24,$V55))="Sì",CHAR(10)&amp;"◆ attenzione del supervisore",""))</f>
        <v>NFR-06
Esfiltrazione di dati tramite strumenti di AI non autorizzati</v>
      </c>
      <c r="B55" s="116"/>
      <c r="C55" s="116"/>
      <c r="D55" s="27" t="str">
        <f>IF($V55="","",INDEX(Radar_Mosca!$AA$5:$AA$24,INDEX(Classifica!$U$5:$U$24,$V55))&amp;"")</f>
        <v>Attenzione</v>
      </c>
      <c r="E55" s="115" t="str">
        <f t="shared" si="16"/>
        <v>presidio dei controlli assente.</v>
      </c>
      <c r="F55" s="116"/>
      <c r="G55" s="116"/>
      <c r="H55" s="116"/>
      <c r="I55" s="115"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16"/>
      <c r="K55" s="116"/>
      <c r="L55" s="116"/>
      <c r="M55" s="116"/>
      <c r="N55" s="116"/>
      <c r="O55" s="116"/>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18" t="str">
        <f>IF($V56="","",INDEX(Classifica!$B$5:$B$24,$V56)&amp;CHAR(10)&amp;INDEX(Classifica!$C$5:$C$24,$V56)&amp;IF(INDEX(ANA_Attenzione_Supervisore,INDEX(Classifica!$U$5:$U$24,$V56))="Sì",CHAR(10)&amp;"◆ attenzione del supervisore",""))</f>
        <v>NFR-04
Eventi climatici estremi su sedi e data center</v>
      </c>
      <c r="B56" s="116"/>
      <c r="C56" s="116"/>
      <c r="D56" s="27" t="str">
        <f>IF($V56="","",INDEX(Radar_Mosca!$AA$5:$AA$24,INDEX(Classifica!$U$5:$U$24,$V56))&amp;"")</f>
        <v>Attenzione</v>
      </c>
      <c r="E56" s="115" t="str">
        <f t="shared" si="16"/>
        <v/>
      </c>
      <c r="F56" s="116"/>
      <c r="G56" s="116"/>
      <c r="H56" s="116"/>
      <c r="I56" s="115"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16"/>
      <c r="K56" s="116"/>
      <c r="L56" s="116"/>
      <c r="M56" s="116"/>
      <c r="N56" s="116"/>
      <c r="O56" s="116"/>
      <c r="U56">
        <f>IF(Classifica!$B$11="","",IF(OR(7&lt;=3,INDEX(Radar_Mosca!$AA$5:$AA$24,Classifica!$U$11)="Attivazione",INDEX(Radar_Mosca!$AA$5:$AA$24,Classifica!$U$11)="Attenzione",Classifica!$G$11="Variato",Classifica!$G$11="Nuovo"),7,""))</f>
        <v>7</v>
      </c>
      <c r="V56">
        <f>IFERROR(_xlfn.AGGREGATE(15,6,$U$50:$U$69,7),"")</f>
        <v>10</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53.6" customHeight="1" x14ac:dyDescent="0.4">
      <c r="A57" s="118" t="str">
        <f>IF($V57="","",INDEX(Classifica!$B$5:$B$24,$V57)&amp;CHAR(10)&amp;INDEX(Classifica!$C$5:$C$24,$V57)&amp;IF(INDEX(ANA_Attenzione_Supervisore,INDEX(Classifica!$U$5:$U$24,$V57))="Sì",CHAR(10)&amp;"◆ attenzione del supervisore",""))</f>
        <v>NFR-11
Fine del supporto dei sistemi di pagamento legacy</v>
      </c>
      <c r="B57" s="116"/>
      <c r="C57" s="116"/>
      <c r="D57" s="27" t="str">
        <f>IF($V57="","",INDEX(Radar_Mosca!$AA$5:$AA$24,INDEX(Classifica!$U$5:$U$24,$V57))&amp;"")</f>
        <v>Attenzione</v>
      </c>
      <c r="E57" s="115" t="str">
        <f t="shared" si="16"/>
        <v>AGIRE ORA: servono X + Y = 3,25 anni per decidere e mitigare, di cui 3 di adeguamento strutturale; ne restano Z = 1,5 prima che possa manifestarsi; presidio dei controlli assente.</v>
      </c>
      <c r="F57" s="116"/>
      <c r="G57" s="116"/>
      <c r="H57" s="116"/>
      <c r="I57" s="115"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16"/>
      <c r="K57" s="116"/>
      <c r="L57" s="116"/>
      <c r="M57" s="116"/>
      <c r="N57" s="116"/>
      <c r="O57" s="116"/>
      <c r="U57" t="str">
        <f>IF(Classifica!$B$12="","",IF(OR(8&lt;=3,INDEX(Radar_Mosca!$AA$5:$AA$24,Classifica!$U$12)="Attivazione",INDEX(Radar_Mosca!$AA$5:$AA$24,Classifica!$U$12)="Attenzione",Classifica!$G$12="Variato",Classifica!$G$12="Nuovo"),8,""))</f>
        <v/>
      </c>
      <c r="V57">
        <f>IFERROR(_xlfn.AGGREGATE(15,6,$U$50:$U$69,8),"")</f>
        <v>11</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AGIRE ORA: servono X + Y = 3,25 anni per decidere e mitigare, di cui 3 di adeguamento strutturale; ne restano Z = 1,5 prima che possa manifestarsi; presidio dei controlli assente;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3" customHeight="1" x14ac:dyDescent="0.4">
      <c r="A58" s="118" t="str">
        <f>IF($V58="","",INDEX(Classifica!$B$5:$B$24,$V58)&amp;CHAR(10)&amp;INDEX(Classifica!$C$5:$C$24,$V58)&amp;IF(INDEX(ANA_Attenzione_Supervisore,INDEX(Classifica!$U$5:$U$24,$V58))="Sì",CHAR(10)&amp;"◆ attenzione del supervisore",""))</f>
        <v/>
      </c>
      <c r="B58" s="116"/>
      <c r="C58" s="116"/>
      <c r="D58" s="27" t="str">
        <f>IF($V58="","",INDEX(Radar_Mosca!$AA$5:$AA$24,INDEX(Classifica!$U$5:$U$24,$V58))&amp;"")</f>
        <v/>
      </c>
      <c r="E58" s="115" t="str">
        <f t="shared" si="16"/>
        <v/>
      </c>
      <c r="F58" s="116"/>
      <c r="G58" s="116"/>
      <c r="H58" s="116"/>
      <c r="I58" s="115"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J58" s="116"/>
      <c r="K58" s="116"/>
      <c r="L58" s="116"/>
      <c r="M58" s="116"/>
      <c r="N58" s="116"/>
      <c r="O58" s="116"/>
      <c r="U58" t="str">
        <f>IF(Classifica!$B$13="","",IF(OR(9&lt;=3,INDEX(Radar_Mosca!$AA$5:$AA$24,Classifica!$U$13)="Attivazione",INDEX(Radar_Mosca!$AA$5:$AA$24,Classifica!$U$13)="Attenzione",Classifica!$G$13="Variato",Classifica!$G$13="Nuovo"),9,""))</f>
        <v/>
      </c>
      <c r="V58" t="str">
        <f>IFERROR(_xlfn.AGGREGATE(15,6,$U$50:$U$69,9),"")</f>
        <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18" t="str">
        <f>IF($V59="","",INDEX(Classifica!$B$5:$B$24,$V59)&amp;CHAR(10)&amp;INDEX(Classifica!$C$5:$C$24,$V59)&amp;IF(INDEX(ANA_Attenzione_Supervisore,INDEX(Classifica!$U$5:$U$24,$V59))="Sì",CHAR(10)&amp;"◆ attenzione del supervisore",""))</f>
        <v/>
      </c>
      <c r="B59" s="116"/>
      <c r="C59" s="116"/>
      <c r="D59" s="27" t="str">
        <f>IF($V59="","",INDEX(Radar_Mosca!$AA$5:$AA$24,INDEX(Classifica!$U$5:$U$24,$V59))&amp;"")</f>
        <v/>
      </c>
      <c r="E59" s="115" t="str">
        <f t="shared" si="16"/>
        <v/>
      </c>
      <c r="F59" s="116"/>
      <c r="G59" s="116"/>
      <c r="H59" s="116"/>
      <c r="I59" s="115"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16"/>
      <c r="K59" s="116"/>
      <c r="L59" s="116"/>
      <c r="M59" s="116"/>
      <c r="N59" s="116"/>
      <c r="O59" s="116"/>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18" t="str">
        <f>IF($V60="","",INDEX(Classifica!$B$5:$B$24,$V60)&amp;CHAR(10)&amp;INDEX(Classifica!$C$5:$C$24,$V60)&amp;IF(INDEX(ANA_Attenzione_Supervisore,INDEX(Classifica!$U$5:$U$24,$V60))="Sì",CHAR(10)&amp;"◆ attenzione del supervisore",""))</f>
        <v/>
      </c>
      <c r="B60" s="116"/>
      <c r="C60" s="116"/>
      <c r="D60" s="27" t="str">
        <f>IF($V60="","",INDEX(Radar_Mosca!$AA$5:$AA$24,INDEX(Classifica!$U$5:$U$24,$V60))&amp;"")</f>
        <v/>
      </c>
      <c r="E60" s="115" t="str">
        <f t="shared" si="16"/>
        <v/>
      </c>
      <c r="F60" s="116"/>
      <c r="G60" s="116"/>
      <c r="H60" s="116"/>
      <c r="I60" s="115"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16"/>
      <c r="K60" s="116"/>
      <c r="L60" s="116"/>
      <c r="M60" s="116"/>
      <c r="N60" s="116"/>
      <c r="O60" s="116"/>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18" t="str">
        <f>IF($V61="","",INDEX(Classifica!$B$5:$B$24,$V61)&amp;CHAR(10)&amp;INDEX(Classifica!$C$5:$C$24,$V61)&amp;IF(INDEX(ANA_Attenzione_Supervisore,INDEX(Classifica!$U$5:$U$24,$V61))="Sì",CHAR(10)&amp;"◆ attenzione del supervisore",""))</f>
        <v/>
      </c>
      <c r="B61" s="116"/>
      <c r="C61" s="116"/>
      <c r="D61" s="27" t="str">
        <f>IF($V61="","",INDEX(Radar_Mosca!$AA$5:$AA$24,INDEX(Classifica!$U$5:$U$24,$V61))&amp;"")</f>
        <v/>
      </c>
      <c r="E61" s="115" t="str">
        <f t="shared" si="16"/>
        <v/>
      </c>
      <c r="F61" s="116"/>
      <c r="G61" s="116"/>
      <c r="H61" s="116"/>
      <c r="I61" s="115"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16"/>
      <c r="K61" s="116"/>
      <c r="L61" s="116"/>
      <c r="M61" s="116"/>
      <c r="N61" s="116"/>
      <c r="O61" s="116"/>
      <c r="U61" t="str">
        <f>IF(Classifica!$B$16="","",IF(OR(12&lt;=3,INDEX(Radar_Mosca!$AA$5:$AA$24,Classifica!$U$16)="Attivazione",INDEX(Radar_Mosca!$AA$5:$AA$24,Classifica!$U$16)="Attenzione",Classifica!$G$16="Variato",Classifica!$G$16="Nuovo"),12,""))</f>
        <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18" t="str">
        <f>IF($V62="","",INDEX(Classifica!$B$5:$B$24,$V62)&amp;CHAR(10)&amp;INDEX(Classifica!$C$5:$C$24,$V62)&amp;IF(INDEX(ANA_Attenzione_Supervisore,INDEX(Classifica!$U$5:$U$24,$V62))="Sì",CHAR(10)&amp;"◆ attenzione del supervisore",""))</f>
        <v/>
      </c>
      <c r="B62" s="116"/>
      <c r="C62" s="116"/>
      <c r="D62" s="27" t="str">
        <f>IF($V62="","",INDEX(Radar_Mosca!$AA$5:$AA$24,INDEX(Classifica!$U$5:$U$24,$V62))&amp;"")</f>
        <v/>
      </c>
      <c r="E62" s="115" t="str">
        <f t="shared" si="16"/>
        <v/>
      </c>
      <c r="F62" s="116"/>
      <c r="G62" s="116"/>
      <c r="H62" s="116"/>
      <c r="I62" s="115"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16"/>
      <c r="K62" s="116"/>
      <c r="L62" s="116"/>
      <c r="M62" s="116"/>
      <c r="N62" s="116"/>
      <c r="O62" s="116"/>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18" t="str">
        <f>IF($V63="","",INDEX(Classifica!$B$5:$B$24,$V63)&amp;CHAR(10)&amp;INDEX(Classifica!$C$5:$C$24,$V63)&amp;IF(INDEX(ANA_Attenzione_Supervisore,INDEX(Classifica!$U$5:$U$24,$V63))="Sì",CHAR(10)&amp;"◆ attenzione del supervisore",""))</f>
        <v/>
      </c>
      <c r="B63" s="116"/>
      <c r="C63" s="116"/>
      <c r="D63" s="27" t="str">
        <f>IF($V63="","",INDEX(Radar_Mosca!$AA$5:$AA$24,INDEX(Classifica!$U$5:$U$24,$V63))&amp;"")</f>
        <v/>
      </c>
      <c r="E63" s="115" t="str">
        <f t="shared" si="16"/>
        <v/>
      </c>
      <c r="F63" s="116"/>
      <c r="G63" s="116"/>
      <c r="H63" s="116"/>
      <c r="I63" s="115"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16"/>
      <c r="K63" s="116"/>
      <c r="L63" s="116"/>
      <c r="M63" s="116"/>
      <c r="N63" s="116"/>
      <c r="O63" s="116"/>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18" t="str">
        <f>IF($V64="","",INDEX(Classifica!$B$5:$B$24,$V64)&amp;CHAR(10)&amp;INDEX(Classifica!$C$5:$C$24,$V64)&amp;IF(INDEX(ANA_Attenzione_Supervisore,INDEX(Classifica!$U$5:$U$24,$V64))="Sì",CHAR(10)&amp;"◆ attenzione del supervisore",""))</f>
        <v/>
      </c>
      <c r="B64" s="116"/>
      <c r="C64" s="116"/>
      <c r="D64" s="27" t="str">
        <f>IF($V64="","",INDEX(Radar_Mosca!$AA$5:$AA$24,INDEX(Classifica!$U$5:$U$24,$V64))&amp;"")</f>
        <v/>
      </c>
      <c r="E64" s="115" t="str">
        <f t="shared" si="16"/>
        <v/>
      </c>
      <c r="F64" s="116"/>
      <c r="G64" s="116"/>
      <c r="H64" s="116"/>
      <c r="I64" s="115"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16"/>
      <c r="K64" s="116"/>
      <c r="L64" s="116"/>
      <c r="M64" s="116"/>
      <c r="N64" s="116"/>
      <c r="O64" s="116"/>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18" t="str">
        <f>IF($V65="","",INDEX(Classifica!$B$5:$B$24,$V65)&amp;CHAR(10)&amp;INDEX(Classifica!$C$5:$C$24,$V65)&amp;IF(INDEX(ANA_Attenzione_Supervisore,INDEX(Classifica!$U$5:$U$24,$V65))="Sì",CHAR(10)&amp;"◆ attenzione del supervisore",""))</f>
        <v/>
      </c>
      <c r="B65" s="116"/>
      <c r="C65" s="116"/>
      <c r="D65" s="27" t="str">
        <f>IF($V65="","",INDEX(Radar_Mosca!$AA$5:$AA$24,INDEX(Classifica!$U$5:$U$24,$V65))&amp;"")</f>
        <v/>
      </c>
      <c r="E65" s="115" t="str">
        <f t="shared" si="16"/>
        <v/>
      </c>
      <c r="F65" s="116"/>
      <c r="G65" s="116"/>
      <c r="H65" s="116"/>
      <c r="I65" s="115"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16"/>
      <c r="K65" s="116"/>
      <c r="L65" s="116"/>
      <c r="M65" s="116"/>
      <c r="N65" s="116"/>
      <c r="O65" s="116"/>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18" t="str">
        <f>IF($V66="","",INDEX(Classifica!$B$5:$B$24,$V66)&amp;CHAR(10)&amp;INDEX(Classifica!$C$5:$C$24,$V66)&amp;IF(INDEX(ANA_Attenzione_Supervisore,INDEX(Classifica!$U$5:$U$24,$V66))="Sì",CHAR(10)&amp;"◆ attenzione del supervisore",""))</f>
        <v/>
      </c>
      <c r="B66" s="116"/>
      <c r="C66" s="116"/>
      <c r="D66" s="27" t="str">
        <f>IF($V66="","",INDEX(Radar_Mosca!$AA$5:$AA$24,INDEX(Classifica!$U$5:$U$24,$V66))&amp;"")</f>
        <v/>
      </c>
      <c r="E66" s="115" t="str">
        <f t="shared" si="16"/>
        <v/>
      </c>
      <c r="F66" s="116"/>
      <c r="G66" s="116"/>
      <c r="H66" s="116"/>
      <c r="I66" s="115"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16"/>
      <c r="K66" s="116"/>
      <c r="L66" s="116"/>
      <c r="M66" s="116"/>
      <c r="N66" s="116"/>
      <c r="O66" s="116"/>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18" t="str">
        <f>IF($V67="","",INDEX(Classifica!$B$5:$B$24,$V67)&amp;CHAR(10)&amp;INDEX(Classifica!$C$5:$C$24,$V67)&amp;IF(INDEX(ANA_Attenzione_Supervisore,INDEX(Classifica!$U$5:$U$24,$V67))="Sì",CHAR(10)&amp;"◆ attenzione del supervisore",""))</f>
        <v/>
      </c>
      <c r="B67" s="116"/>
      <c r="C67" s="116"/>
      <c r="D67" s="27" t="str">
        <f>IF($V67="","",INDEX(Radar_Mosca!$AA$5:$AA$24,INDEX(Classifica!$U$5:$U$24,$V67))&amp;"")</f>
        <v/>
      </c>
      <c r="E67" s="115" t="str">
        <f t="shared" si="16"/>
        <v/>
      </c>
      <c r="F67" s="116"/>
      <c r="G67" s="116"/>
      <c r="H67" s="116"/>
      <c r="I67" s="115"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16"/>
      <c r="K67" s="116"/>
      <c r="L67" s="116"/>
      <c r="M67" s="116"/>
      <c r="N67" s="116"/>
      <c r="O67" s="116"/>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18" t="str">
        <f>IF($V68="","",INDEX(Classifica!$B$5:$B$24,$V68)&amp;CHAR(10)&amp;INDEX(Classifica!$C$5:$C$24,$V68)&amp;IF(INDEX(ANA_Attenzione_Supervisore,INDEX(Classifica!$U$5:$U$24,$V68))="Sì",CHAR(10)&amp;"◆ attenzione del supervisore",""))</f>
        <v/>
      </c>
      <c r="B68" s="116"/>
      <c r="C68" s="116"/>
      <c r="D68" s="27" t="str">
        <f>IF($V68="","",INDEX(Radar_Mosca!$AA$5:$AA$24,INDEX(Classifica!$U$5:$U$24,$V68))&amp;"")</f>
        <v/>
      </c>
      <c r="E68" s="115" t="str">
        <f t="shared" si="16"/>
        <v/>
      </c>
      <c r="F68" s="116"/>
      <c r="G68" s="116"/>
      <c r="H68" s="116"/>
      <c r="I68" s="115"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16"/>
      <c r="K68" s="116"/>
      <c r="L68" s="116"/>
      <c r="M68" s="116"/>
      <c r="N68" s="116"/>
      <c r="O68" s="116"/>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18" t="str">
        <f>IF($V69="","",INDEX(Classifica!$B$5:$B$24,$V69)&amp;CHAR(10)&amp;INDEX(Classifica!$C$5:$C$24,$V69)&amp;IF(INDEX(ANA_Attenzione_Supervisore,INDEX(Classifica!$U$5:$U$24,$V69))="Sì",CHAR(10)&amp;"◆ attenzione del supervisore",""))</f>
        <v/>
      </c>
      <c r="B69" s="116"/>
      <c r="C69" s="116"/>
      <c r="D69" s="27" t="str">
        <f>IF($V69="","",INDEX(Radar_Mosca!$AA$5:$AA$24,INDEX(Classifica!$U$5:$U$24,$V69))&amp;"")</f>
        <v/>
      </c>
      <c r="E69" s="115" t="str">
        <f t="shared" si="16"/>
        <v/>
      </c>
      <c r="F69" s="116"/>
      <c r="G69" s="116"/>
      <c r="H69" s="116"/>
      <c r="I69" s="115"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16"/>
      <c r="K69" s="116"/>
      <c r="L69" s="116"/>
      <c r="M69" s="116"/>
      <c r="N69" s="116"/>
      <c r="O69" s="116"/>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42" t="s">
        <v>47</v>
      </c>
      <c r="B71" s="116"/>
      <c r="C71" s="116"/>
      <c r="D71" s="116"/>
      <c r="E71" s="116"/>
      <c r="F71" s="116"/>
      <c r="G71" s="116"/>
      <c r="H71" s="116"/>
      <c r="I71" s="116"/>
      <c r="J71" s="116"/>
      <c r="K71" s="116"/>
      <c r="L71" s="116"/>
      <c r="M71" s="116"/>
      <c r="N71" s="116"/>
      <c r="O71" s="116"/>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37" customHeight="1" x14ac:dyDescent="0.4">
      <c r="A72" s="142" t="s">
        <v>48</v>
      </c>
      <c r="B72" s="116"/>
      <c r="C72" s="116"/>
      <c r="D72" s="116"/>
      <c r="E72" s="116"/>
      <c r="F72" s="116"/>
      <c r="G72" s="116"/>
      <c r="H72" s="116"/>
      <c r="I72" s="116"/>
      <c r="J72" s="116"/>
      <c r="K72" s="116"/>
      <c r="L72" s="116"/>
      <c r="M72" s="116"/>
      <c r="N72" s="116"/>
      <c r="O72" s="116"/>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71:O71"/>
    <mergeCell ref="A53:C53"/>
    <mergeCell ref="A68:C68"/>
    <mergeCell ref="E60:H60"/>
    <mergeCell ref="E69:H69"/>
    <mergeCell ref="A45:C45"/>
    <mergeCell ref="I58:O58"/>
    <mergeCell ref="K28:O28"/>
    <mergeCell ref="E59:H59"/>
    <mergeCell ref="K37:O37"/>
    <mergeCell ref="A65:C65"/>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B10:E10"/>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A2:O2"/>
    <mergeCell ref="A5:C5"/>
    <mergeCell ref="I60:O60"/>
    <mergeCell ref="A47:O47"/>
    <mergeCell ref="G4:I4"/>
    <mergeCell ref="K22:O22"/>
    <mergeCell ref="A4:C4"/>
    <mergeCell ref="K31:O31"/>
    <mergeCell ref="E67:H67"/>
    <mergeCell ref="A44:C44"/>
    <mergeCell ref="D5:F5"/>
    <mergeCell ref="E50:H50"/>
    <mergeCell ref="I65:O65"/>
    <mergeCell ref="A62:C62"/>
    <mergeCell ref="E55:H55"/>
    <mergeCell ref="I49:O49"/>
    <mergeCell ref="E52:H52"/>
    <mergeCell ref="D42:O42"/>
    <mergeCell ref="D44:O44"/>
    <mergeCell ref="A59:C59"/>
    <mergeCell ref="A8:H8"/>
    <mergeCell ref="A17:H17"/>
    <mergeCell ref="A64:C64"/>
    <mergeCell ref="I66:O66"/>
    <mergeCell ref="A6:C6"/>
    <mergeCell ref="M5:O5"/>
    <mergeCell ref="K19:O19"/>
    <mergeCell ref="A69:C69"/>
    <mergeCell ref="E49:H49"/>
    <mergeCell ref="K34:O34"/>
    <mergeCell ref="A66:C66"/>
    <mergeCell ref="G6:I6"/>
    <mergeCell ref="K25:O25"/>
    <mergeCell ref="D41:O41"/>
    <mergeCell ref="K36:O36"/>
    <mergeCell ref="A55:C55"/>
    <mergeCell ref="M6:O6"/>
    <mergeCell ref="I50:O50"/>
    <mergeCell ref="K20:O20"/>
    <mergeCell ref="D43:O43"/>
    <mergeCell ref="I59:O59"/>
    <mergeCell ref="K29:O29"/>
    <mergeCell ref="E68:H68"/>
    <mergeCell ref="I53:O53"/>
    <mergeCell ref="A61:C61"/>
    <mergeCell ref="B12:E12"/>
    <mergeCell ref="E51:H51"/>
    <mergeCell ref="I57:O57"/>
    <mergeCell ref="J17:O17"/>
    <mergeCell ref="K27:O27"/>
    <mergeCell ref="I54:O54"/>
    <mergeCell ref="A40:O40"/>
    <mergeCell ref="E63:H63"/>
    <mergeCell ref="B14:E14"/>
    <mergeCell ref="C16:O16"/>
    <mergeCell ref="A49:C49"/>
    <mergeCell ref="B13:E13"/>
    <mergeCell ref="I56:O56"/>
    <mergeCell ref="I52:O52"/>
    <mergeCell ref="K30:O30"/>
    <mergeCell ref="E61:H61"/>
    <mergeCell ref="A57:C57"/>
    <mergeCell ref="I69:O69"/>
    <mergeCell ref="K32:O32"/>
    <mergeCell ref="E62:H62"/>
    <mergeCell ref="A43:C43"/>
    <mergeCell ref="A52:C52"/>
    <mergeCell ref="A63:C63"/>
    <mergeCell ref="I61:O61"/>
    <mergeCell ref="E64:H64"/>
    <mergeCell ref="E65:H65"/>
  </mergeCells>
  <conditionalFormatting sqref="A50:O69">
    <cfRule type="expression" dxfId="128" priority="15">
      <formula>$V50&lt;&gt;""</formula>
    </cfRule>
  </conditionalFormatting>
  <conditionalFormatting sqref="D50:D69">
    <cfRule type="expression" dxfId="127" priority="12">
      <formula>D50="Attivazione"</formula>
    </cfRule>
    <cfRule type="expression" dxfId="126" priority="13">
      <formula>D50="Attenzione"</formula>
    </cfRule>
    <cfRule type="expression" dxfId="125" priority="14">
      <formula>D50="Monitoraggio"</formula>
    </cfRule>
  </conditionalFormatting>
  <conditionalFormatting sqref="D4:F6">
    <cfRule type="expression" dxfId="124" priority="1">
      <formula>$T$4=0</formula>
    </cfRule>
  </conditionalFormatting>
  <conditionalFormatting sqref="D44:O44">
    <cfRule type="expression" dxfId="123" priority="10">
      <formula>$D$44&lt;&gt;""</formula>
    </cfRule>
  </conditionalFormatting>
  <conditionalFormatting sqref="D45:O45">
    <cfRule type="expression" dxfId="122"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21" priority="5">
      <formula>AND(ISNUMBER(G10),G10&gt;0)</formula>
    </cfRule>
    <cfRule type="expression" dxfId="120" priority="6">
      <formula>AND(ISNUMBER(G10),G10&lt;0)</formula>
    </cfRule>
  </conditionalFormatting>
  <conditionalFormatting sqref="H10:H14">
    <cfRule type="expression" dxfId="119" priority="7">
      <formula>LEFT(H10,9)="AGIRE ORA"</formula>
    </cfRule>
    <cfRule type="expression" dxfId="118" priority="8">
      <formula>OR(LEFT(H10,11)="Agire entro",LEFT(H10,12)="Entro l'anno")</formula>
    </cfRule>
    <cfRule type="expression" dxfId="117" priority="9">
      <formula>LEFT(H10,7)="Margine"</formula>
    </cfRule>
  </conditionalFormatting>
  <conditionalFormatting sqref="J4:L6">
    <cfRule type="expression" dxfId="116" priority="2">
      <formula>$J$5=0</formula>
    </cfRule>
  </conditionalFormatting>
  <conditionalFormatting sqref="M4:O6">
    <cfRule type="expression" dxfId="115" priority="3">
      <formula>decisioniDaPrendere&gt;0</formula>
    </cfRule>
  </conditionalFormatting>
  <pageMargins left="0.4" right="0.4" top="0.5" bottom="0.5" header="0.2" footer="0.2"/>
  <pageSetup paperSize="9" scale="68"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46" t="str">
        <f>"Horizon Scan NFR — Classifica e lente di Mosca   ·   "&amp;etichettaCiclo</f>
        <v>Horizon Scan NFR — Classifica e lente di Mosca   ·   Ciclo 2026Q3 · dati al 30/09/2026 · da validare · Uso interno</v>
      </c>
      <c r="B1" s="147"/>
      <c r="C1" s="147"/>
      <c r="D1" s="147"/>
      <c r="E1" s="147"/>
      <c r="F1" s="147"/>
      <c r="G1" s="147"/>
      <c r="H1" s="147"/>
      <c r="I1" s="147"/>
      <c r="J1" s="147"/>
      <c r="K1" s="147"/>
    </row>
    <row r="2" spans="1:38" ht="45.55" customHeight="1" x14ac:dyDescent="0.4">
      <c r="A2" s="136" t="s">
        <v>158</v>
      </c>
      <c r="B2" s="116"/>
      <c r="C2" s="116"/>
      <c r="D2" s="116"/>
      <c r="E2" s="116"/>
      <c r="F2" s="116"/>
      <c r="G2" s="116"/>
      <c r="H2" s="116"/>
      <c r="I2" s="116"/>
      <c r="J2" s="116"/>
      <c r="K2" s="116"/>
      <c r="AL2" t="str">
        <f>IF(COUNTIF(H5:H24,"AGIRE ORA*")=0,"Nessun rischio da affrontare subito",COUNTIF(H5:H24,"AGIRE ORA*")&amp;" da affrontare subito: "&amp;_xlfn.TEXTJOIN(", ",TRUE,AB5:AB24))</f>
        <v>2 da affrontare subito: NFR-01, NFR-11</v>
      </c>
    </row>
    <row r="3" spans="1:38" x14ac:dyDescent="0.4">
      <c r="AL3" t="s">
        <v>159</v>
      </c>
    </row>
    <row r="4" spans="1:38" ht="30" customHeight="1" x14ac:dyDescent="0.4">
      <c r="A4" s="28" t="s">
        <v>160</v>
      </c>
      <c r="B4" s="28" t="s">
        <v>161</v>
      </c>
      <c r="C4" s="28" t="s">
        <v>162</v>
      </c>
      <c r="D4" s="28" t="s">
        <v>163</v>
      </c>
      <c r="E4" s="28" t="s">
        <v>164</v>
      </c>
      <c r="F4" s="28" t="s">
        <v>165</v>
      </c>
      <c r="G4" s="28" t="s">
        <v>166</v>
      </c>
      <c r="H4" s="28" t="s">
        <v>167</v>
      </c>
      <c r="I4" s="28" t="s">
        <v>168</v>
      </c>
      <c r="J4" s="28" t="s">
        <v>169</v>
      </c>
      <c r="K4" s="28" t="s">
        <v>170</v>
      </c>
      <c r="T4" t="s">
        <v>171</v>
      </c>
      <c r="U4" t="s">
        <v>172</v>
      </c>
      <c r="V4" t="s">
        <v>173</v>
      </c>
      <c r="W4" t="s">
        <v>174</v>
      </c>
      <c r="X4" t="s">
        <v>175</v>
      </c>
      <c r="Y4" t="s">
        <v>176</v>
      </c>
      <c r="Z4" t="s">
        <v>177</v>
      </c>
      <c r="AA4" t="s">
        <v>178</v>
      </c>
      <c r="AB4" t="s">
        <v>179</v>
      </c>
      <c r="AD4" t="s">
        <v>180</v>
      </c>
      <c r="AE4" t="s">
        <v>181</v>
      </c>
      <c r="AF4" t="s">
        <v>182</v>
      </c>
      <c r="AG4" t="s">
        <v>183</v>
      </c>
      <c r="AH4" t="s">
        <v>184</v>
      </c>
      <c r="AI4" t="s">
        <v>185</v>
      </c>
      <c r="AJ4" t="s">
        <v>186</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2</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0.75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0.5</v>
      </c>
      <c r="AA11">
        <f>IF($U11="",NA(),INDEX(Radar_Mosca!$H$5:$H$24,$U11))</f>
        <v>1.5</v>
      </c>
      <c r="AB11" t="str">
        <f t="shared" si="11"/>
        <v/>
      </c>
      <c r="AD11">
        <f>IF(ISNUMBER(I11),I11+7/100000,"")</f>
        <v>0.75007000000000001</v>
      </c>
      <c r="AE11">
        <f>IFERROR(MATCH(_xlfn.AGGREGATE(15,6,$AD$5:$AD$24,7),$AD$5:$AD$24,0),"")</f>
        <v>7</v>
      </c>
      <c r="AF11" t="str">
        <f t="shared" si="12"/>
        <v>NFR-06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10</v>
      </c>
      <c r="AF12" t="str">
        <f t="shared" si="12"/>
        <v>NFR-04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12</v>
      </c>
      <c r="AF15" t="str">
        <f t="shared" si="12"/>
        <v>NFR-08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Margine 1 anno</v>
      </c>
      <c r="I16" s="29">
        <f>IF($U16="","",IFERROR(INDEX(Radar_Mosca!$K$5:$K$24,$U16),""))</f>
        <v>1</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0</v>
      </c>
      <c r="X16" s="31">
        <f t="shared" si="10"/>
        <v>2.75</v>
      </c>
      <c r="Y16">
        <f>IF($U16="",NA(),INDEX(Radar_Mosca!$I$5:$I$24,$U16))</f>
        <v>0.25</v>
      </c>
      <c r="Z16">
        <f>IF($U16="",NA(),INDEX(Radar_Mosca!$J$5:$J$24,$U16))</f>
        <v>0.25</v>
      </c>
      <c r="AA16">
        <f>IF($U16="",NA(),INDEX(Radar_Mosca!$H$5:$H$24,$U16))</f>
        <v>1.5</v>
      </c>
      <c r="AB16" t="str">
        <f t="shared" si="11"/>
        <v/>
      </c>
      <c r="AD16">
        <f>IF(ISNUMBER(I16),I16+12/100000,"")</f>
        <v>1.0001199999999999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53" t="s">
        <v>187</v>
      </c>
      <c r="B53" s="116"/>
      <c r="C53" s="116"/>
      <c r="D53" s="116"/>
      <c r="E53" s="116"/>
      <c r="F53" s="116"/>
      <c r="G53" s="116"/>
      <c r="H53" s="116"/>
      <c r="I53" s="116"/>
      <c r="J53" s="116"/>
      <c r="K53" s="116"/>
    </row>
    <row r="54" spans="1:11" ht="26.05" customHeight="1" x14ac:dyDescent="0.4">
      <c r="A54" s="142" t="s">
        <v>188</v>
      </c>
      <c r="B54" s="116"/>
      <c r="C54" s="116"/>
      <c r="D54" s="116"/>
      <c r="E54" s="116"/>
      <c r="F54" s="116"/>
      <c r="G54" s="116"/>
      <c r="H54" s="116"/>
      <c r="I54" s="116"/>
      <c r="J54" s="116"/>
      <c r="K54" s="116"/>
    </row>
  </sheetData>
  <mergeCells count="4">
    <mergeCell ref="A2:K2"/>
    <mergeCell ref="A54:K54"/>
    <mergeCell ref="A53:K53"/>
    <mergeCell ref="A1:K1"/>
  </mergeCells>
  <conditionalFormatting sqref="F5:F24">
    <cfRule type="expression" dxfId="114" priority="4">
      <formula>AND(ISNUMBER(F5),F5&gt;0)</formula>
    </cfRule>
    <cfRule type="expression" dxfId="113" priority="5">
      <formula>AND(ISNUMBER(F5),F5&lt;0)</formula>
    </cfRule>
  </conditionalFormatting>
  <conditionalFormatting sqref="H5:H24">
    <cfRule type="expression" dxfId="112" priority="1">
      <formula>LEFT(H5,9)="AGIRE ORA"</formula>
    </cfRule>
    <cfRule type="expression" dxfId="111" priority="2">
      <formula>OR(LEFT(H5,11)="Agire entro",LEFT(H5,12)="Entro l'anno")</formula>
    </cfRule>
    <cfRule type="expression" dxfId="110"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30" max="94" width="13" hidden="1" customWidth="1"/>
  </cols>
  <sheetData>
    <row r="1" spans="1:94" ht="28" customHeight="1" x14ac:dyDescent="0.4">
      <c r="A1" s="146" t="str">
        <f>"Horizon Scan NFR — Radar di Mosca: quanto presto agire, e quanto e' grande ogni rischio   ·   "&amp;etichettaCiclo</f>
        <v>Horizon Scan NFR — Radar di Mosca: quanto presto agire, e quanto e' grande ogni rischio   ·   Ciclo 2026Q3 · dati al 30/09/2026 · da validare · Uso interno</v>
      </c>
      <c r="B1" s="147"/>
      <c r="C1" s="147"/>
      <c r="D1" s="147"/>
      <c r="E1" s="147"/>
      <c r="F1" s="147"/>
      <c r="G1" s="147"/>
      <c r="H1" s="147"/>
      <c r="I1" s="147"/>
      <c r="J1" s="147"/>
      <c r="K1" s="147"/>
      <c r="L1" s="147"/>
    </row>
    <row r="2" spans="1:94" ht="45.55" customHeight="1" x14ac:dyDescent="0.4">
      <c r="A2" s="136" t="s">
        <v>189</v>
      </c>
      <c r="B2" s="116"/>
      <c r="C2" s="116"/>
      <c r="D2" s="116"/>
      <c r="E2" s="116"/>
      <c r="F2" s="116"/>
      <c r="G2" s="116"/>
      <c r="H2" s="116"/>
      <c r="I2" s="116"/>
      <c r="J2" s="116"/>
      <c r="K2" s="116"/>
      <c r="L2" s="116"/>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161</v>
      </c>
      <c r="B4" s="28" t="s">
        <v>162</v>
      </c>
      <c r="C4" s="28" t="s">
        <v>190</v>
      </c>
      <c r="D4" s="28" t="s">
        <v>191</v>
      </c>
      <c r="E4" s="28" t="s">
        <v>192</v>
      </c>
      <c r="F4" s="28" t="s">
        <v>193</v>
      </c>
      <c r="G4" s="28" t="s">
        <v>194</v>
      </c>
      <c r="H4" s="28" t="s">
        <v>195</v>
      </c>
      <c r="I4" s="28" t="s">
        <v>196</v>
      </c>
      <c r="J4" s="28" t="s">
        <v>197</v>
      </c>
      <c r="K4" s="28" t="s">
        <v>198</v>
      </c>
      <c r="L4" s="28" t="s">
        <v>21</v>
      </c>
      <c r="M4" s="28" t="s">
        <v>199</v>
      </c>
      <c r="N4" s="28" t="s">
        <v>200</v>
      </c>
      <c r="O4" s="28" t="s">
        <v>201</v>
      </c>
      <c r="P4" s="28" t="s">
        <v>202</v>
      </c>
      <c r="Q4" s="28" t="s">
        <v>203</v>
      </c>
      <c r="R4" s="28" t="s">
        <v>204</v>
      </c>
      <c r="S4" s="28" t="s">
        <v>205</v>
      </c>
      <c r="T4" s="28" t="s">
        <v>206</v>
      </c>
      <c r="U4" s="28" t="s">
        <v>207</v>
      </c>
      <c r="V4" s="28" t="s">
        <v>208</v>
      </c>
      <c r="W4" s="28" t="s">
        <v>209</v>
      </c>
      <c r="X4" s="28" t="s">
        <v>210</v>
      </c>
      <c r="Y4" s="28" t="s">
        <v>211</v>
      </c>
      <c r="Z4" s="28" t="s">
        <v>212</v>
      </c>
      <c r="AA4" s="28" t="s">
        <v>213</v>
      </c>
      <c r="AB4" s="28" t="s">
        <v>214</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L1-02</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IF($A5="",NA(),MAX(IF(COUNTIFS(AZ_ID_Rischio,$A5,AZ_Ciclo,cicloCorrente,AZ_Stato,"&lt;&gt;Respinta",AZ_Mesi_Orizzonte,"&gt;0")=0,moscaYDefault,_xlfn.MAXIFS(AZ_Mesi_Orizzonte,AZ_ID_Rischio,$A5,AZ_Ciclo,cicloCorrente,AZ_Stato,"&lt;&gt;Respinta")/12),N(Parametri!$M4)))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1</v>
      </c>
      <c r="N5">
        <f>IF($A5="",NA(),COUNTIF($C$4:C4,C5))</f>
        <v>0</v>
      </c>
      <c r="O5">
        <f t="shared" ref="O5:O24" si="9">IF($A5="",NA(),COUNTIF(ANA_Event_Type,C5))</f>
        <v>1</v>
      </c>
      <c r="P5" s="29">
        <f t="shared" ref="P5:P24" si="10">IF($A5="",NA(),2*PI()*(M5+(N5+0.5)/O5)/ROWS(codiciL1))</f>
        <v>1.3463968515384828</v>
      </c>
      <c r="Q5" s="29">
        <f t="shared" ref="Q5:Q24" si="11">IF(ISNUMBER(K5),MAX(0.6,MIN(6,K5+2)),NA())</f>
        <v>1.75</v>
      </c>
      <c r="R5" s="29">
        <f t="shared" ref="R5:R24" si="12">IF(AND(ISNUMBER(Q5),ISNUMBER(P5)),Q5*SIN(P5),NA())</f>
        <v>1.7061238463181914</v>
      </c>
      <c r="S5" s="29">
        <f t="shared" ref="S5:S24" si="13">IF(AND(ISNUMBER(Q5),ISNUMBER(P5)),Q5*COS(P5),NA())</f>
        <v>0.38941163442355031</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D5">
        <f>2*PI()*0/72</f>
        <v>0</v>
      </c>
      <c r="AE5">
        <f t="shared" ref="AE5:AE36" si="20">2*SIN($AD5)</f>
        <v>0</v>
      </c>
      <c r="AF5">
        <f t="shared" ref="AF5:AF36" si="21">2*COS($AD5)</f>
        <v>2</v>
      </c>
      <c r="AG5">
        <f t="shared" ref="AG5:AG36" si="22">3*SIN($AD5)</f>
        <v>0</v>
      </c>
      <c r="AH5">
        <f t="shared" ref="AH5:AH36" si="23">3*COS($AD5)</f>
        <v>3</v>
      </c>
      <c r="AI5">
        <f t="shared" ref="AI5:AI36" si="24">4*SIN($AD5)</f>
        <v>0</v>
      </c>
      <c r="AJ5">
        <f t="shared" ref="AJ5:AJ36" si="25">4*COS($AD5)</f>
        <v>4</v>
      </c>
      <c r="AK5">
        <f t="shared" ref="AK5:AK36" si="26">5*SIN($AD5)</f>
        <v>0</v>
      </c>
      <c r="AL5">
        <f t="shared" ref="AL5:AL36" si="27">5*COS($AD5)</f>
        <v>5</v>
      </c>
      <c r="AN5">
        <v>0</v>
      </c>
      <c r="AO5">
        <v>0</v>
      </c>
      <c r="AQ5" t="s">
        <v>10</v>
      </c>
      <c r="AR5">
        <f>6.95*SIN(2*PI()*(0+0.5)/ROWS(codiciL1))</f>
        <v>3.0154919868670289</v>
      </c>
      <c r="AS5">
        <f>6.95*COS(2*PI()*(0+0.5)/ROWS(codiciL1))</f>
        <v>6.2617336319218131</v>
      </c>
      <c r="AU5" t="e">
        <f t="shared" ref="AU5:BD14" si="28">IF(AND(ISNUMBER($F5),ISNUMBER($S5)),IF(AND($F5=AU$4,$AA5=AU$3),$S5,NA()),NA())</f>
        <v>#N/A</v>
      </c>
      <c r="AV5" t="e">
        <f t="shared" si="28"/>
        <v>#N/A</v>
      </c>
      <c r="AW5" t="e">
        <f t="shared" si="28"/>
        <v>#N/A</v>
      </c>
      <c r="AX5" t="e">
        <f t="shared" si="28"/>
        <v>#N/A</v>
      </c>
      <c r="AY5" t="e">
        <f t="shared" si="28"/>
        <v>#N/A</v>
      </c>
      <c r="AZ5" t="e">
        <f t="shared" si="28"/>
        <v>#N/A</v>
      </c>
      <c r="BA5" t="e">
        <f t="shared" si="28"/>
        <v>#N/A</v>
      </c>
      <c r="BB5" t="e">
        <f t="shared" si="28"/>
        <v>#N/A</v>
      </c>
      <c r="BC5" t="e">
        <f t="shared" si="28"/>
        <v>#N/A</v>
      </c>
      <c r="BD5" t="e">
        <f t="shared" si="28"/>
        <v>#N/A</v>
      </c>
      <c r="BE5" t="e">
        <f t="shared" ref="BE5:BN14" si="29">IF(AND(ISNUMBER($F5),ISNUMBER($S5)),IF(AND($F5=BE$4,$AA5=BE$3),$S5,NA()),NA())</f>
        <v>#N/A</v>
      </c>
      <c r="BF5">
        <f t="shared" si="29"/>
        <v>0.38941163442355031</v>
      </c>
      <c r="BG5" t="e">
        <f t="shared" si="29"/>
        <v>#N/A</v>
      </c>
      <c r="BH5" t="e">
        <f t="shared" si="29"/>
        <v>#N/A</v>
      </c>
      <c r="BI5" t="e">
        <f t="shared" si="29"/>
        <v>#N/A</v>
      </c>
      <c r="BJ5" t="e">
        <f t="shared" si="29"/>
        <v>#N/A</v>
      </c>
      <c r="BK5" t="e">
        <f t="shared" si="29"/>
        <v>#N/A</v>
      </c>
      <c r="BL5" t="e">
        <f t="shared" si="29"/>
        <v>#N/A</v>
      </c>
      <c r="BM5" t="e">
        <f t="shared" si="29"/>
        <v>#N/A</v>
      </c>
      <c r="BN5" t="e">
        <f t="shared" si="29"/>
        <v>#N/A</v>
      </c>
      <c r="BO5" t="e">
        <f t="shared" ref="BO5:BX14" si="30">IF(AND(ISNUMBER($F5),ISNUMBER($S5)),IF(AND($F5=BO$4,$AA5=BO$3),$S5,NA()),NA())</f>
        <v>#N/A</v>
      </c>
      <c r="BP5" t="e">
        <f t="shared" si="30"/>
        <v>#N/A</v>
      </c>
      <c r="BQ5" t="e">
        <f t="shared" si="30"/>
        <v>#N/A</v>
      </c>
      <c r="BR5" t="e">
        <f t="shared" si="30"/>
        <v>#N/A</v>
      </c>
      <c r="BS5" t="e">
        <f t="shared" si="30"/>
        <v>#N/A</v>
      </c>
      <c r="BT5" t="e">
        <f t="shared" si="30"/>
        <v>#N/A</v>
      </c>
      <c r="BU5" t="e">
        <f t="shared" si="30"/>
        <v>#N/A</v>
      </c>
      <c r="BV5" t="e">
        <f t="shared" si="30"/>
        <v>#N/A</v>
      </c>
      <c r="BW5" t="e">
        <f t="shared" si="30"/>
        <v>#N/A</v>
      </c>
      <c r="BX5" t="e">
        <f t="shared" si="30"/>
        <v>#N/A</v>
      </c>
      <c r="BY5" t="e">
        <f t="shared" ref="BY5:CJ14" si="31">IF(AND(ISNUMBER($F5),ISNUMBER($S5)),IF(AND($F5=BY$4,$AA5=BY$3),$S5,NA()),NA())</f>
        <v>#N/A</v>
      </c>
      <c r="BZ5" t="e">
        <f t="shared" si="31"/>
        <v>#N/A</v>
      </c>
      <c r="CA5" t="e">
        <f t="shared" si="31"/>
        <v>#N/A</v>
      </c>
      <c r="CB5" t="e">
        <f t="shared" si="31"/>
        <v>#N/A</v>
      </c>
      <c r="CC5" t="e">
        <f t="shared" si="31"/>
        <v>#N/A</v>
      </c>
      <c r="CD5" t="e">
        <f t="shared" si="31"/>
        <v>#N/A</v>
      </c>
      <c r="CE5" t="e">
        <f t="shared" si="31"/>
        <v>#N/A</v>
      </c>
      <c r="CF5" t="e">
        <f t="shared" si="31"/>
        <v>#N/A</v>
      </c>
      <c r="CG5" t="e">
        <f t="shared" si="31"/>
        <v>#N/A</v>
      </c>
      <c r="CH5" t="e">
        <f t="shared" si="31"/>
        <v>#N/A</v>
      </c>
      <c r="CI5" t="e">
        <f t="shared" si="31"/>
        <v>#N/A</v>
      </c>
      <c r="CJ5" t="e">
        <f t="shared" si="31"/>
        <v>#N/A</v>
      </c>
      <c r="CK5">
        <f t="shared" ref="CK5:CK24" si="32">IF(ISNUMBER($R5),$R5,NA())</f>
        <v>1.7061238463181914</v>
      </c>
      <c r="CL5" t="str">
        <f t="shared" ref="CL5:CL24" si="33">IF($A5="","",$A5&amp;IF($T5="Sì"," ◆",""))</f>
        <v>NFR-01 ◆</v>
      </c>
      <c r="CM5">
        <f t="shared" ref="CM5:CM24" si="34">IF(ISNUMBER($S5),$S5,NA())</f>
        <v>0.38941163442355031</v>
      </c>
      <c r="CN5" t="s">
        <v>2</v>
      </c>
      <c r="CO5">
        <v>-6.9</v>
      </c>
      <c r="CP5">
        <v>-5.05</v>
      </c>
    </row>
    <row r="6" spans="1:94" x14ac:dyDescent="0.4">
      <c r="A6" t="str">
        <f>IF(Parametri!$H5="","",Parametri!$H5)</f>
        <v>NFR-02</v>
      </c>
      <c r="B6" t="str">
        <f>IF($A6="","",Parametri!$I5)</f>
        <v>Concentrazione su un fornitore cloud critico</v>
      </c>
      <c r="C6" t="str">
        <f>IF($A6="","",Parametri!$J5)</f>
        <v>L1-06</v>
      </c>
      <c r="D6">
        <f t="shared" si="0"/>
        <v>4</v>
      </c>
      <c r="E6">
        <f t="shared" si="1"/>
        <v>2</v>
      </c>
      <c r="F6">
        <f t="shared" si="2"/>
        <v>8</v>
      </c>
      <c r="G6">
        <f t="shared" si="3"/>
        <v>3</v>
      </c>
      <c r="H6" s="29">
        <f t="shared" si="4"/>
        <v>1.5</v>
      </c>
      <c r="I6" s="29">
        <f t="shared" si="5"/>
        <v>0.25</v>
      </c>
      <c r="J6" s="29">
        <f>IF($A6="",NA(),MAX(IF(COUNTIFS(AZ_ID_Rischio,$A6,AZ_Ciclo,cicloCorrente,AZ_Stato,"&lt;&gt;Respinta",AZ_Mesi_Orizzonte,"&gt;0")=0,moscaYDefault,_xlfn.MAXIFS(AZ_Mesi_Orizzonte,AZ_ID_Rischio,$A6,AZ_Ciclo,cicloCorrente,AZ_Stato,"&lt;&gt;Respinta")/12),N(Parametri!$M5)))</f>
        <v>1</v>
      </c>
      <c r="K6" s="29">
        <f t="shared" si="6"/>
        <v>0.25</v>
      </c>
      <c r="L6" t="str">
        <f t="shared" si="7"/>
        <v>Agire entro l'anno</v>
      </c>
      <c r="M6">
        <f t="shared" si="8"/>
        <v>5</v>
      </c>
      <c r="N6">
        <f>IF($A6="",NA(),COUNTIF($C$4:C5,C6))</f>
        <v>0</v>
      </c>
      <c r="O6">
        <f t="shared" si="9"/>
        <v>3</v>
      </c>
      <c r="P6" s="29">
        <f t="shared" si="10"/>
        <v>4.6375891552992181</v>
      </c>
      <c r="Q6" s="29">
        <f t="shared" si="11"/>
        <v>2.25</v>
      </c>
      <c r="R6" s="29">
        <f t="shared" si="12"/>
        <v>-2.2437085436576552</v>
      </c>
      <c r="S6" s="29">
        <f t="shared" si="13"/>
        <v>-0.16814271056945562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D6">
        <f>2*PI()*1/72</f>
        <v>8.7266462599716474E-2</v>
      </c>
      <c r="AE6">
        <f t="shared" si="20"/>
        <v>0.17431148549531633</v>
      </c>
      <c r="AF6">
        <f t="shared" si="21"/>
        <v>1.9923893961834911</v>
      </c>
      <c r="AG6">
        <f t="shared" si="22"/>
        <v>0.26146722824297453</v>
      </c>
      <c r="AH6">
        <f t="shared" si="23"/>
        <v>2.9885840942752369</v>
      </c>
      <c r="AI6">
        <f t="shared" si="24"/>
        <v>0.34862297099063266</v>
      </c>
      <c r="AJ6">
        <f t="shared" si="25"/>
        <v>3.9847787923669822</v>
      </c>
      <c r="AK6">
        <f t="shared" si="26"/>
        <v>0.4357787137382908</v>
      </c>
      <c r="AL6">
        <f t="shared" si="27"/>
        <v>4.9809734904587275</v>
      </c>
      <c r="AN6">
        <f>6.3*SIN(2*PI()*0/ROWS(codiciL1))</f>
        <v>0</v>
      </c>
      <c r="AO6">
        <f>6.3*COS(2*PI()*0/ROWS(codiciL1))</f>
        <v>6.3</v>
      </c>
      <c r="AQ6" t="s">
        <v>11</v>
      </c>
      <c r="AR6">
        <f>6.95*SIN(2*PI()*(1+0.5)/ROWS(codiciL1))</f>
        <v>6.7757489896636747</v>
      </c>
      <c r="AS6">
        <f>6.95*COS(2*PI()*(1+0.5)/ROWS(codiciL1))</f>
        <v>1.5465204909963854</v>
      </c>
      <c r="AU6" t="e">
        <f t="shared" si="28"/>
        <v>#N/A</v>
      </c>
      <c r="AV6" t="e">
        <f t="shared" si="28"/>
        <v>#N/A</v>
      </c>
      <c r="AW6" t="e">
        <f t="shared" si="28"/>
        <v>#N/A</v>
      </c>
      <c r="AX6" t="e">
        <f t="shared" si="28"/>
        <v>#N/A</v>
      </c>
      <c r="AY6" t="e">
        <f t="shared" si="28"/>
        <v>#N/A</v>
      </c>
      <c r="AZ6" t="e">
        <f t="shared" si="28"/>
        <v>#N/A</v>
      </c>
      <c r="BA6" t="e">
        <f t="shared" si="28"/>
        <v>#N/A</v>
      </c>
      <c r="BB6" t="e">
        <f t="shared" si="28"/>
        <v>#N/A</v>
      </c>
      <c r="BC6" t="e">
        <f t="shared" si="28"/>
        <v>#N/A</v>
      </c>
      <c r="BD6" t="e">
        <f t="shared" si="28"/>
        <v>#N/A</v>
      </c>
      <c r="BE6" t="e">
        <f t="shared" si="29"/>
        <v>#N/A</v>
      </c>
      <c r="BF6" t="e">
        <f t="shared" si="29"/>
        <v>#N/A</v>
      </c>
      <c r="BG6" t="e">
        <f t="shared" si="29"/>
        <v>#N/A</v>
      </c>
      <c r="BH6" t="e">
        <f t="shared" si="29"/>
        <v>#N/A</v>
      </c>
      <c r="BI6" t="e">
        <f t="shared" si="29"/>
        <v>#N/A</v>
      </c>
      <c r="BJ6" t="e">
        <f t="shared" si="29"/>
        <v>#N/A</v>
      </c>
      <c r="BK6" t="e">
        <f t="shared" si="29"/>
        <v>#N/A</v>
      </c>
      <c r="BL6" t="e">
        <f t="shared" si="29"/>
        <v>#N/A</v>
      </c>
      <c r="BM6" t="e">
        <f t="shared" si="29"/>
        <v>#N/A</v>
      </c>
      <c r="BN6" t="e">
        <f t="shared" si="29"/>
        <v>#N/A</v>
      </c>
      <c r="BO6">
        <f t="shared" si="30"/>
        <v>-0.16814271056945562</v>
      </c>
      <c r="BP6" t="e">
        <f t="shared" si="30"/>
        <v>#N/A</v>
      </c>
      <c r="BQ6" t="e">
        <f t="shared" si="30"/>
        <v>#N/A</v>
      </c>
      <c r="BR6" t="e">
        <f t="shared" si="30"/>
        <v>#N/A</v>
      </c>
      <c r="BS6" t="e">
        <f t="shared" si="30"/>
        <v>#N/A</v>
      </c>
      <c r="BT6" t="e">
        <f t="shared" si="30"/>
        <v>#N/A</v>
      </c>
      <c r="BU6" t="e">
        <f t="shared" si="30"/>
        <v>#N/A</v>
      </c>
      <c r="BV6" t="e">
        <f t="shared" si="30"/>
        <v>#N/A</v>
      </c>
      <c r="BW6" t="e">
        <f t="shared" si="30"/>
        <v>#N/A</v>
      </c>
      <c r="BX6" t="e">
        <f t="shared" si="30"/>
        <v>#N/A</v>
      </c>
      <c r="BY6" t="e">
        <f t="shared" si="31"/>
        <v>#N/A</v>
      </c>
      <c r="BZ6" t="e">
        <f t="shared" si="31"/>
        <v>#N/A</v>
      </c>
      <c r="CA6" t="e">
        <f t="shared" si="31"/>
        <v>#N/A</v>
      </c>
      <c r="CB6" t="e">
        <f t="shared" si="31"/>
        <v>#N/A</v>
      </c>
      <c r="CC6" t="e">
        <f t="shared" si="31"/>
        <v>#N/A</v>
      </c>
      <c r="CD6" t="e">
        <f t="shared" si="31"/>
        <v>#N/A</v>
      </c>
      <c r="CE6" t="e">
        <f t="shared" si="31"/>
        <v>#N/A</v>
      </c>
      <c r="CF6" t="e">
        <f t="shared" si="31"/>
        <v>#N/A</v>
      </c>
      <c r="CG6" t="e">
        <f t="shared" si="31"/>
        <v>#N/A</v>
      </c>
      <c r="CH6" t="e">
        <f t="shared" si="31"/>
        <v>#N/A</v>
      </c>
      <c r="CI6" t="e">
        <f t="shared" si="31"/>
        <v>#N/A</v>
      </c>
      <c r="CJ6" t="e">
        <f t="shared" si="31"/>
        <v>#N/A</v>
      </c>
      <c r="CK6">
        <f t="shared" si="32"/>
        <v>-2.2437085436576552</v>
      </c>
      <c r="CL6" t="str">
        <f t="shared" si="33"/>
        <v>NFR-02 ◆</v>
      </c>
      <c r="CM6">
        <f t="shared" si="34"/>
        <v>-0.16814271056945562</v>
      </c>
      <c r="CN6" t="s">
        <v>3</v>
      </c>
      <c r="CO6">
        <v>-6.9</v>
      </c>
      <c r="CP6">
        <v>-5.7</v>
      </c>
    </row>
    <row r="7" spans="1:94" x14ac:dyDescent="0.4">
      <c r="A7" t="str">
        <f>IF(Parametri!$H6="","",Parametri!$H6)</f>
        <v>NFR-03</v>
      </c>
      <c r="B7" t="str">
        <f>IF($A7="","",Parametri!$I6)</f>
        <v>Greenwashing nella commercializzazione di prodotti ESG</v>
      </c>
      <c r="C7" t="str">
        <f>IF($A7="","",Parametri!$J6)</f>
        <v>L1-04</v>
      </c>
      <c r="D7">
        <f t="shared" si="0"/>
        <v>3</v>
      </c>
      <c r="E7">
        <f t="shared" si="1"/>
        <v>3</v>
      </c>
      <c r="F7">
        <f t="shared" si="2"/>
        <v>9</v>
      </c>
      <c r="G7">
        <f t="shared" si="3"/>
        <v>4</v>
      </c>
      <c r="H7" s="29">
        <f t="shared" si="4"/>
        <v>0.5</v>
      </c>
      <c r="I7" s="29">
        <f t="shared" si="5"/>
        <v>0.25</v>
      </c>
      <c r="J7" s="29">
        <f>IF($A7="",NA(),MAX(IF(COUNTIFS(AZ_ID_Rischio,$A7,AZ_Ciclo,cicloCorrente,AZ_Stato,"&lt;&gt;Respinta",AZ_Mesi_Orizzonte,"&gt;0")=0,moscaYDefault,_xlfn.MAXIFS(AZ_Mesi_Orizzonte,AZ_ID_Rischio,$A7,AZ_Ciclo,cicloCorrente,AZ_Stato,"&lt;&gt;Respinta")/12),N(Parametri!$M6)))</f>
        <v>0.25</v>
      </c>
      <c r="K7" s="29">
        <f t="shared" si="6"/>
        <v>0</v>
      </c>
      <c r="L7" t="str">
        <f t="shared" si="7"/>
        <v>Agire entro l'anno</v>
      </c>
      <c r="M7">
        <f t="shared" si="8"/>
        <v>3</v>
      </c>
      <c r="N7">
        <f>IF($A7="",NA(),COUNTIF($C$4:C6,C7))</f>
        <v>0</v>
      </c>
      <c r="O7">
        <f t="shared" si="9"/>
        <v>3</v>
      </c>
      <c r="P7" s="29">
        <f t="shared" si="10"/>
        <v>2.8423933532479078</v>
      </c>
      <c r="Q7" s="29">
        <f t="shared" si="11"/>
        <v>2</v>
      </c>
      <c r="R7" s="29">
        <f t="shared" si="12"/>
        <v>0.58951034882180919</v>
      </c>
      <c r="S7" s="29">
        <f t="shared" si="13"/>
        <v>-1.9111456115722811</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D7">
        <f>2*PI()*2/72</f>
        <v>0.17453292519943295</v>
      </c>
      <c r="AE7">
        <f t="shared" si="20"/>
        <v>0.34729635533386066</v>
      </c>
      <c r="AF7">
        <f t="shared" si="21"/>
        <v>1.969615506024416</v>
      </c>
      <c r="AG7">
        <f t="shared" si="22"/>
        <v>0.52094453300079102</v>
      </c>
      <c r="AH7">
        <f t="shared" si="23"/>
        <v>2.9544232590366239</v>
      </c>
      <c r="AI7">
        <f t="shared" si="24"/>
        <v>0.69459271066772132</v>
      </c>
      <c r="AJ7">
        <f t="shared" si="25"/>
        <v>3.9392310120488321</v>
      </c>
      <c r="AK7">
        <f t="shared" si="26"/>
        <v>0.86824088833465163</v>
      </c>
      <c r="AL7">
        <f t="shared" si="27"/>
        <v>4.9240387650610398</v>
      </c>
      <c r="AN7">
        <v>0</v>
      </c>
      <c r="AO7">
        <v>0</v>
      </c>
      <c r="AQ7" t="s">
        <v>12</v>
      </c>
      <c r="AR7">
        <f>6.95*SIN(2*PI()*(2+0.5)/ROWS(codiciL1))</f>
        <v>5.4337288031528077</v>
      </c>
      <c r="AS7">
        <f>6.95*COS(2*PI()*(2+0.5)/ROWS(codiciL1))</f>
        <v>-4.3332541229181976</v>
      </c>
      <c r="AU7" t="e">
        <f t="shared" si="28"/>
        <v>#N/A</v>
      </c>
      <c r="AV7" t="e">
        <f t="shared" si="28"/>
        <v>#N/A</v>
      </c>
      <c r="AW7" t="e">
        <f t="shared" si="28"/>
        <v>#N/A</v>
      </c>
      <c r="AX7" t="e">
        <f t="shared" si="28"/>
        <v>#N/A</v>
      </c>
      <c r="AY7" t="e">
        <f t="shared" si="28"/>
        <v>#N/A</v>
      </c>
      <c r="AZ7" t="e">
        <f t="shared" si="28"/>
        <v>#N/A</v>
      </c>
      <c r="BA7" t="e">
        <f t="shared" si="28"/>
        <v>#N/A</v>
      </c>
      <c r="BB7" t="e">
        <f t="shared" si="28"/>
        <v>#N/A</v>
      </c>
      <c r="BC7" t="e">
        <f t="shared" si="28"/>
        <v>#N/A</v>
      </c>
      <c r="BD7" t="e">
        <f t="shared" si="28"/>
        <v>#N/A</v>
      </c>
      <c r="BE7" t="e">
        <f t="shared" si="29"/>
        <v>#N/A</v>
      </c>
      <c r="BF7" t="e">
        <f t="shared" si="29"/>
        <v>#N/A</v>
      </c>
      <c r="BG7" t="e">
        <f t="shared" si="29"/>
        <v>#N/A</v>
      </c>
      <c r="BH7" t="e">
        <f t="shared" si="29"/>
        <v>#N/A</v>
      </c>
      <c r="BI7" t="e">
        <f t="shared" si="29"/>
        <v>#N/A</v>
      </c>
      <c r="BJ7" t="e">
        <f t="shared" si="29"/>
        <v>#N/A</v>
      </c>
      <c r="BK7" t="e">
        <f t="shared" si="29"/>
        <v>#N/A</v>
      </c>
      <c r="BL7" t="e">
        <f t="shared" si="29"/>
        <v>#N/A</v>
      </c>
      <c r="BM7" t="e">
        <f t="shared" si="29"/>
        <v>#N/A</v>
      </c>
      <c r="BN7" t="e">
        <f t="shared" si="29"/>
        <v>#N/A</v>
      </c>
      <c r="BO7" t="e">
        <f t="shared" si="30"/>
        <v>#N/A</v>
      </c>
      <c r="BP7">
        <f t="shared" si="30"/>
        <v>-1.9111456115722811</v>
      </c>
      <c r="BQ7" t="e">
        <f t="shared" si="30"/>
        <v>#N/A</v>
      </c>
      <c r="BR7" t="e">
        <f t="shared" si="30"/>
        <v>#N/A</v>
      </c>
      <c r="BS7" t="e">
        <f t="shared" si="30"/>
        <v>#N/A</v>
      </c>
      <c r="BT7" t="e">
        <f t="shared" si="30"/>
        <v>#N/A</v>
      </c>
      <c r="BU7" t="e">
        <f t="shared" si="30"/>
        <v>#N/A</v>
      </c>
      <c r="BV7" t="e">
        <f t="shared" si="30"/>
        <v>#N/A</v>
      </c>
      <c r="BW7" t="e">
        <f t="shared" si="30"/>
        <v>#N/A</v>
      </c>
      <c r="BX7" t="e">
        <f t="shared" si="30"/>
        <v>#N/A</v>
      </c>
      <c r="BY7" t="e">
        <f t="shared" si="31"/>
        <v>#N/A</v>
      </c>
      <c r="BZ7" t="e">
        <f t="shared" si="31"/>
        <v>#N/A</v>
      </c>
      <c r="CA7" t="e">
        <f t="shared" si="31"/>
        <v>#N/A</v>
      </c>
      <c r="CB7" t="e">
        <f t="shared" si="31"/>
        <v>#N/A</v>
      </c>
      <c r="CC7" t="e">
        <f t="shared" si="31"/>
        <v>#N/A</v>
      </c>
      <c r="CD7" t="e">
        <f t="shared" si="31"/>
        <v>#N/A</v>
      </c>
      <c r="CE7" t="e">
        <f t="shared" si="31"/>
        <v>#N/A</v>
      </c>
      <c r="CF7" t="e">
        <f t="shared" si="31"/>
        <v>#N/A</v>
      </c>
      <c r="CG7" t="e">
        <f t="shared" si="31"/>
        <v>#N/A</v>
      </c>
      <c r="CH7" t="e">
        <f t="shared" si="31"/>
        <v>#N/A</v>
      </c>
      <c r="CI7" t="e">
        <f t="shared" si="31"/>
        <v>#N/A</v>
      </c>
      <c r="CJ7" t="e">
        <f t="shared" si="31"/>
        <v>#N/A</v>
      </c>
      <c r="CK7">
        <f t="shared" si="32"/>
        <v>0.58951034882180919</v>
      </c>
      <c r="CL7" t="str">
        <f t="shared" si="33"/>
        <v>NFR-03</v>
      </c>
      <c r="CM7">
        <f t="shared" si="34"/>
        <v>-1.9111456115722811</v>
      </c>
      <c r="CN7" t="s">
        <v>4</v>
      </c>
      <c r="CO7">
        <v>-6.9</v>
      </c>
      <c r="CP7">
        <v>-6.35</v>
      </c>
    </row>
    <row r="8" spans="1:94" x14ac:dyDescent="0.4">
      <c r="A8" t="str">
        <f>IF(Parametri!$H7="","",Parametri!$H7)</f>
        <v>NFR-04</v>
      </c>
      <c r="B8" t="str">
        <f>IF($A8="","",Parametri!$I7)</f>
        <v>Eventi climatici estremi su sedi e data center</v>
      </c>
      <c r="C8" t="str">
        <f>IF($A8="","",Parametri!$J7)</f>
        <v>L1-05</v>
      </c>
      <c r="D8">
        <f t="shared" si="0"/>
        <v>3</v>
      </c>
      <c r="E8">
        <f t="shared" si="1"/>
        <v>3</v>
      </c>
      <c r="F8">
        <f t="shared" si="2"/>
        <v>9</v>
      </c>
      <c r="G8">
        <f t="shared" si="3"/>
        <v>3</v>
      </c>
      <c r="H8" s="29">
        <f t="shared" si="4"/>
        <v>1.5</v>
      </c>
      <c r="I8" s="29">
        <f t="shared" si="5"/>
        <v>0.25</v>
      </c>
      <c r="J8" s="29">
        <f>IF($A8="",NA(),MAX(IF(COUNTIFS(AZ_ID_Rischio,$A8,AZ_Ciclo,cicloCorrente,AZ_Stato,"&lt;&gt;Respinta",AZ_Mesi_Orizzonte,"&gt;0")=0,moscaYDefault,_xlfn.MAXIFS(AZ_Mesi_Orizzonte,AZ_ID_Rischio,$A8,AZ_Ciclo,cicloCorrente,AZ_Stato,"&lt;&gt;Respinta")/12),N(Parametri!$M7)))</f>
        <v>0.5</v>
      </c>
      <c r="K8" s="29">
        <f t="shared" si="6"/>
        <v>0.75</v>
      </c>
      <c r="L8" t="str">
        <f t="shared" si="7"/>
        <v>Agire entro l'anno</v>
      </c>
      <c r="M8">
        <f t="shared" si="8"/>
        <v>4</v>
      </c>
      <c r="N8">
        <f>IF($A8="",NA(),COUNTIF($C$4:C7,C8))</f>
        <v>0</v>
      </c>
      <c r="O8">
        <f t="shared" si="9"/>
        <v>1</v>
      </c>
      <c r="P8" s="29">
        <f t="shared" si="10"/>
        <v>4.0391905546154483</v>
      </c>
      <c r="Q8" s="29">
        <f t="shared" si="11"/>
        <v>2.75</v>
      </c>
      <c r="R8" s="29">
        <f t="shared" si="12"/>
        <v>-2.1500365767870817</v>
      </c>
      <c r="S8" s="29">
        <f t="shared" si="13"/>
        <v>-1.7145969551115177</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D8">
        <f>2*PI()*3/72</f>
        <v>0.26179938779914941</v>
      </c>
      <c r="AE8">
        <f t="shared" si="20"/>
        <v>0.51763809020504148</v>
      </c>
      <c r="AF8">
        <f t="shared" si="21"/>
        <v>1.9318516525781366</v>
      </c>
      <c r="AG8">
        <f t="shared" si="22"/>
        <v>0.77645713530756222</v>
      </c>
      <c r="AH8">
        <f t="shared" si="23"/>
        <v>2.897777478867205</v>
      </c>
      <c r="AI8">
        <f t="shared" si="24"/>
        <v>1.035276180410083</v>
      </c>
      <c r="AJ8">
        <f t="shared" si="25"/>
        <v>3.8637033051562732</v>
      </c>
      <c r="AK8">
        <f t="shared" si="26"/>
        <v>1.2940952255126037</v>
      </c>
      <c r="AL8">
        <f t="shared" si="27"/>
        <v>4.8296291314453415</v>
      </c>
      <c r="AN8">
        <f>6.3*SIN(2*PI()*1/ROWS(codiciL1))</f>
        <v>4.9255383395485879</v>
      </c>
      <c r="AO8">
        <f>6.3*COS(2*PI()*1/ROWS(codiciL1))</f>
        <v>3.9279857517100214</v>
      </c>
      <c r="AQ8" t="s">
        <v>15</v>
      </c>
      <c r="AR8">
        <f>6.95*SIN(2*PI()*(3+0.5)/ROWS(codiciL1))</f>
        <v>8.5147817616149091E-16</v>
      </c>
      <c r="AS8">
        <f>6.95*COS(2*PI()*(3+0.5)/ROWS(codiciL1))</f>
        <v>-6.95</v>
      </c>
      <c r="AU8" t="e">
        <f t="shared" si="28"/>
        <v>#N/A</v>
      </c>
      <c r="AV8" t="e">
        <f t="shared" si="28"/>
        <v>#N/A</v>
      </c>
      <c r="AW8" t="e">
        <f t="shared" si="28"/>
        <v>#N/A</v>
      </c>
      <c r="AX8" t="e">
        <f t="shared" si="28"/>
        <v>#N/A</v>
      </c>
      <c r="AY8" t="e">
        <f t="shared" si="28"/>
        <v>#N/A</v>
      </c>
      <c r="AZ8" t="e">
        <f t="shared" si="28"/>
        <v>#N/A</v>
      </c>
      <c r="BA8" t="e">
        <f t="shared" si="28"/>
        <v>#N/A</v>
      </c>
      <c r="BB8" t="e">
        <f t="shared" si="28"/>
        <v>#N/A</v>
      </c>
      <c r="BC8" t="e">
        <f t="shared" si="28"/>
        <v>#N/A</v>
      </c>
      <c r="BD8" t="e">
        <f t="shared" si="28"/>
        <v>#N/A</v>
      </c>
      <c r="BE8" t="e">
        <f t="shared" si="29"/>
        <v>#N/A</v>
      </c>
      <c r="BF8" t="e">
        <f t="shared" si="29"/>
        <v>#N/A</v>
      </c>
      <c r="BG8" t="e">
        <f t="shared" si="29"/>
        <v>#N/A</v>
      </c>
      <c r="BH8" t="e">
        <f t="shared" si="29"/>
        <v>#N/A</v>
      </c>
      <c r="BI8" t="e">
        <f t="shared" si="29"/>
        <v>#N/A</v>
      </c>
      <c r="BJ8" t="e">
        <f t="shared" si="29"/>
        <v>#N/A</v>
      </c>
      <c r="BK8" t="e">
        <f t="shared" si="29"/>
        <v>#N/A</v>
      </c>
      <c r="BL8" t="e">
        <f t="shared" si="29"/>
        <v>#N/A</v>
      </c>
      <c r="BM8" t="e">
        <f t="shared" si="29"/>
        <v>#N/A</v>
      </c>
      <c r="BN8" t="e">
        <f t="shared" si="29"/>
        <v>#N/A</v>
      </c>
      <c r="BO8" t="e">
        <f t="shared" si="30"/>
        <v>#N/A</v>
      </c>
      <c r="BP8">
        <f t="shared" si="30"/>
        <v>-1.7145969551115177</v>
      </c>
      <c r="BQ8" t="e">
        <f t="shared" si="30"/>
        <v>#N/A</v>
      </c>
      <c r="BR8" t="e">
        <f t="shared" si="30"/>
        <v>#N/A</v>
      </c>
      <c r="BS8" t="e">
        <f t="shared" si="30"/>
        <v>#N/A</v>
      </c>
      <c r="BT8" t="e">
        <f t="shared" si="30"/>
        <v>#N/A</v>
      </c>
      <c r="BU8" t="e">
        <f t="shared" si="30"/>
        <v>#N/A</v>
      </c>
      <c r="BV8" t="e">
        <f t="shared" si="30"/>
        <v>#N/A</v>
      </c>
      <c r="BW8" t="e">
        <f t="shared" si="30"/>
        <v>#N/A</v>
      </c>
      <c r="BX8" t="e">
        <f t="shared" si="30"/>
        <v>#N/A</v>
      </c>
      <c r="BY8" t="e">
        <f t="shared" si="31"/>
        <v>#N/A</v>
      </c>
      <c r="BZ8" t="e">
        <f t="shared" si="31"/>
        <v>#N/A</v>
      </c>
      <c r="CA8" t="e">
        <f t="shared" si="31"/>
        <v>#N/A</v>
      </c>
      <c r="CB8" t="e">
        <f t="shared" si="31"/>
        <v>#N/A</v>
      </c>
      <c r="CC8" t="e">
        <f t="shared" si="31"/>
        <v>#N/A</v>
      </c>
      <c r="CD8" t="e">
        <f t="shared" si="31"/>
        <v>#N/A</v>
      </c>
      <c r="CE8" t="e">
        <f t="shared" si="31"/>
        <v>#N/A</v>
      </c>
      <c r="CF8" t="e">
        <f t="shared" si="31"/>
        <v>#N/A</v>
      </c>
      <c r="CG8" t="e">
        <f t="shared" si="31"/>
        <v>#N/A</v>
      </c>
      <c r="CH8" t="e">
        <f t="shared" si="31"/>
        <v>#N/A</v>
      </c>
      <c r="CI8" t="e">
        <f t="shared" si="31"/>
        <v>#N/A</v>
      </c>
      <c r="CJ8" t="e">
        <f t="shared" si="31"/>
        <v>#N/A</v>
      </c>
      <c r="CK8">
        <f t="shared" si="32"/>
        <v>-2.1500365767870817</v>
      </c>
      <c r="CL8" t="str">
        <f t="shared" si="33"/>
        <v>NFR-04</v>
      </c>
      <c r="CM8">
        <f t="shared" si="34"/>
        <v>-1.7145969551115177</v>
      </c>
      <c r="CN8" t="s">
        <v>215</v>
      </c>
      <c r="CO8">
        <v>-7.35</v>
      </c>
      <c r="CP8">
        <v>-7.35</v>
      </c>
    </row>
    <row r="9" spans="1:94" x14ac:dyDescent="0.4">
      <c r="A9" t="str">
        <f>IF(Parametri!$H8="","",Parametri!$H8)</f>
        <v>NFR-05</v>
      </c>
      <c r="B9" t="str">
        <f>IF($A9="","",Parametri!$I8)</f>
        <v>Errori di processo nella migrazione del core banking</v>
      </c>
      <c r="C9" t="str">
        <f>IF($A9="","",Parametri!$J8)</f>
        <v>L1-07</v>
      </c>
      <c r="D9">
        <f t="shared" si="0"/>
        <v>3</v>
      </c>
      <c r="E9">
        <f t="shared" si="1"/>
        <v>3</v>
      </c>
      <c r="F9">
        <f t="shared" si="2"/>
        <v>9</v>
      </c>
      <c r="G9">
        <f t="shared" si="3"/>
        <v>3</v>
      </c>
      <c r="H9" s="29">
        <f t="shared" si="4"/>
        <v>1.5</v>
      </c>
      <c r="I9" s="29">
        <f t="shared" si="5"/>
        <v>0.25</v>
      </c>
      <c r="J9" s="29">
        <f>IF($A9="",NA(),MAX(IF(COUNTIFS(AZ_ID_Rischio,$A9,AZ_Ciclo,cicloCorrente,AZ_Stato,"&lt;&gt;Respinta",AZ_Mesi_Orizzonte,"&gt;0")=0,moscaYDefault,_xlfn.MAXIFS(AZ_Mesi_Orizzonte,AZ_ID_Rischio,$A9,AZ_Ciclo,cicloCorrente,AZ_Stato,"&lt;&gt;Respinta")/12),N(Parametri!$M8)))</f>
        <v>0.25</v>
      </c>
      <c r="K9" s="29">
        <f t="shared" si="6"/>
        <v>1</v>
      </c>
      <c r="L9" t="str">
        <f t="shared" si="7"/>
        <v>Margine 1 anno</v>
      </c>
      <c r="M9">
        <f t="shared" si="8"/>
        <v>6</v>
      </c>
      <c r="N9">
        <f>IF($A9="",NA(),COUNTIF($C$4:C8,C9))</f>
        <v>0</v>
      </c>
      <c r="O9">
        <f t="shared" si="9"/>
        <v>2</v>
      </c>
      <c r="P9" s="29">
        <f t="shared" si="10"/>
        <v>5.6099868814103448</v>
      </c>
      <c r="Q9" s="29">
        <f t="shared" si="11"/>
        <v>3</v>
      </c>
      <c r="R9" s="29">
        <f t="shared" si="12"/>
        <v>-1.870469405576201</v>
      </c>
      <c r="S9" s="29">
        <f t="shared" si="13"/>
        <v>2.3454944474040893</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D9">
        <f>2*PI()*4/72</f>
        <v>0.3490658503988659</v>
      </c>
      <c r="AE9">
        <f t="shared" si="20"/>
        <v>0.68404028665133743</v>
      </c>
      <c r="AF9">
        <f t="shared" si="21"/>
        <v>1.8793852415718169</v>
      </c>
      <c r="AG9">
        <f t="shared" si="22"/>
        <v>1.0260604299770062</v>
      </c>
      <c r="AH9">
        <f t="shared" si="23"/>
        <v>2.8190778623577253</v>
      </c>
      <c r="AI9">
        <f t="shared" si="24"/>
        <v>1.3680805733026749</v>
      </c>
      <c r="AJ9">
        <f t="shared" si="25"/>
        <v>3.7587704831436337</v>
      </c>
      <c r="AK9">
        <f t="shared" si="26"/>
        <v>1.7101007166283435</v>
      </c>
      <c r="AL9">
        <f t="shared" si="27"/>
        <v>4.6984631039295426</v>
      </c>
      <c r="AN9">
        <v>0</v>
      </c>
      <c r="AO9">
        <v>0</v>
      </c>
      <c r="AQ9" t="s">
        <v>23</v>
      </c>
      <c r="AR9">
        <f>6.95*SIN(2*PI()*(4+0.5)/ROWS(codiciL1))</f>
        <v>-5.4337288031528068</v>
      </c>
      <c r="AS9">
        <f>6.95*COS(2*PI()*(4+0.5)/ROWS(codiciL1))</f>
        <v>-4.3332541229181993</v>
      </c>
      <c r="AU9" t="e">
        <f t="shared" si="28"/>
        <v>#N/A</v>
      </c>
      <c r="AV9" t="e">
        <f t="shared" si="28"/>
        <v>#N/A</v>
      </c>
      <c r="AW9" t="e">
        <f t="shared" si="28"/>
        <v>#N/A</v>
      </c>
      <c r="AX9" t="e">
        <f t="shared" si="28"/>
        <v>#N/A</v>
      </c>
      <c r="AY9" t="e">
        <f t="shared" si="28"/>
        <v>#N/A</v>
      </c>
      <c r="AZ9" t="e">
        <f t="shared" si="28"/>
        <v>#N/A</v>
      </c>
      <c r="BA9" t="e">
        <f t="shared" si="28"/>
        <v>#N/A</v>
      </c>
      <c r="BB9" t="e">
        <f t="shared" si="28"/>
        <v>#N/A</v>
      </c>
      <c r="BC9" t="e">
        <f t="shared" si="28"/>
        <v>#N/A</v>
      </c>
      <c r="BD9" t="e">
        <f t="shared" si="28"/>
        <v>#N/A</v>
      </c>
      <c r="BE9" t="e">
        <f t="shared" si="29"/>
        <v>#N/A</v>
      </c>
      <c r="BF9" t="e">
        <f t="shared" si="29"/>
        <v>#N/A</v>
      </c>
      <c r="BG9" t="e">
        <f t="shared" si="29"/>
        <v>#N/A</v>
      </c>
      <c r="BH9" t="e">
        <f t="shared" si="29"/>
        <v>#N/A</v>
      </c>
      <c r="BI9" t="e">
        <f t="shared" si="29"/>
        <v>#N/A</v>
      </c>
      <c r="BJ9" t="e">
        <f t="shared" si="29"/>
        <v>#N/A</v>
      </c>
      <c r="BK9" t="e">
        <f t="shared" si="29"/>
        <v>#N/A</v>
      </c>
      <c r="BL9" t="e">
        <f t="shared" si="29"/>
        <v>#N/A</v>
      </c>
      <c r="BM9" t="e">
        <f t="shared" si="29"/>
        <v>#N/A</v>
      </c>
      <c r="BN9" t="e">
        <f t="shared" si="29"/>
        <v>#N/A</v>
      </c>
      <c r="BO9" t="e">
        <f t="shared" si="30"/>
        <v>#N/A</v>
      </c>
      <c r="BP9" t="e">
        <f t="shared" si="30"/>
        <v>#N/A</v>
      </c>
      <c r="BQ9" t="e">
        <f t="shared" si="30"/>
        <v>#N/A</v>
      </c>
      <c r="BR9" t="e">
        <f t="shared" si="30"/>
        <v>#N/A</v>
      </c>
      <c r="BS9" t="e">
        <f t="shared" si="30"/>
        <v>#N/A</v>
      </c>
      <c r="BT9" t="e">
        <f t="shared" si="30"/>
        <v>#N/A</v>
      </c>
      <c r="BU9" t="e">
        <f t="shared" si="30"/>
        <v>#N/A</v>
      </c>
      <c r="BV9" t="e">
        <f t="shared" si="30"/>
        <v>#N/A</v>
      </c>
      <c r="BW9" t="e">
        <f t="shared" si="30"/>
        <v>#N/A</v>
      </c>
      <c r="BX9" t="e">
        <f t="shared" si="30"/>
        <v>#N/A</v>
      </c>
      <c r="BY9" t="e">
        <f t="shared" si="31"/>
        <v>#N/A</v>
      </c>
      <c r="BZ9" t="e">
        <f t="shared" si="31"/>
        <v>#N/A</v>
      </c>
      <c r="CA9" t="e">
        <f t="shared" si="31"/>
        <v>#N/A</v>
      </c>
      <c r="CB9" t="e">
        <f t="shared" si="31"/>
        <v>#N/A</v>
      </c>
      <c r="CC9" t="e">
        <f t="shared" si="31"/>
        <v>#N/A</v>
      </c>
      <c r="CD9">
        <f t="shared" si="31"/>
        <v>2.3454944474040893</v>
      </c>
      <c r="CE9" t="e">
        <f t="shared" si="31"/>
        <v>#N/A</v>
      </c>
      <c r="CF9" t="e">
        <f t="shared" si="31"/>
        <v>#N/A</v>
      </c>
      <c r="CG9" t="e">
        <f t="shared" si="31"/>
        <v>#N/A</v>
      </c>
      <c r="CH9" t="e">
        <f t="shared" si="31"/>
        <v>#N/A</v>
      </c>
      <c r="CI9" t="e">
        <f t="shared" si="31"/>
        <v>#N/A</v>
      </c>
      <c r="CJ9" t="e">
        <f t="shared" si="31"/>
        <v>#N/A</v>
      </c>
      <c r="CK9">
        <f t="shared" si="32"/>
        <v>-1.870469405576201</v>
      </c>
      <c r="CL9" t="str">
        <f t="shared" si="33"/>
        <v>NFR-05</v>
      </c>
      <c r="CM9">
        <f t="shared" si="34"/>
        <v>2.3454944474040893</v>
      </c>
      <c r="CO9">
        <v>-6.45</v>
      </c>
      <c r="CP9">
        <v>-7.35</v>
      </c>
    </row>
    <row r="10" spans="1:94" x14ac:dyDescent="0.4">
      <c r="A10" t="str">
        <f>IF(Parametri!$H9="","",Parametri!$H9)</f>
        <v>NFR-06</v>
      </c>
      <c r="B10" t="str">
        <f>IF($A10="","",Parametri!$I9)</f>
        <v>Esfiltrazione di dati tramite strumenti di AI non autorizzati</v>
      </c>
      <c r="C10" t="str">
        <f>IF($A10="","",Parametri!$J9)</f>
        <v>L1-01</v>
      </c>
      <c r="D10">
        <f t="shared" si="0"/>
        <v>3</v>
      </c>
      <c r="E10">
        <f t="shared" si="1"/>
        <v>3</v>
      </c>
      <c r="F10">
        <f t="shared" si="2"/>
        <v>9</v>
      </c>
      <c r="G10">
        <f t="shared" si="3"/>
        <v>3</v>
      </c>
      <c r="H10" s="29">
        <f t="shared" si="4"/>
        <v>1.5</v>
      </c>
      <c r="I10" s="29">
        <f t="shared" si="5"/>
        <v>0.25</v>
      </c>
      <c r="J10" s="29">
        <f>IF($A10="",NA(),MAX(IF(COUNTIFS(AZ_ID_Rischio,$A10,AZ_Ciclo,cicloCorrente,AZ_Stato,"&lt;&gt;Respinta",AZ_Mesi_Orizzonte,"&gt;0")=0,moscaYDefault,_xlfn.MAXIFS(AZ_Mesi_Orizzonte,AZ_ID_Rischio,$A10,AZ_Ciclo,cicloCorrente,AZ_Stato,"&lt;&gt;Respinta")/12),N(Parametri!$M9)))</f>
        <v>0.5</v>
      </c>
      <c r="K10" s="29">
        <f t="shared" si="6"/>
        <v>0.75</v>
      </c>
      <c r="L10" t="str">
        <f t="shared" si="7"/>
        <v>Agire entro l'anno</v>
      </c>
      <c r="M10">
        <f t="shared" si="8"/>
        <v>0</v>
      </c>
      <c r="N10">
        <f>IF($A10="",NA(),COUNTIF($C$4:C9,C10))</f>
        <v>0</v>
      </c>
      <c r="O10">
        <f t="shared" si="9"/>
        <v>2</v>
      </c>
      <c r="P10" s="29">
        <f t="shared" si="10"/>
        <v>0.22439947525641379</v>
      </c>
      <c r="Q10" s="29">
        <f t="shared" si="11"/>
        <v>2.75</v>
      </c>
      <c r="R10" s="29">
        <f t="shared" si="12"/>
        <v>0.61193256837986454</v>
      </c>
      <c r="S10" s="29">
        <f t="shared" si="13"/>
        <v>2.6810517585000149</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D10">
        <f>2*PI()*5/72</f>
        <v>0.43633231299858238</v>
      </c>
      <c r="AE10">
        <f t="shared" si="20"/>
        <v>0.84523652348139888</v>
      </c>
      <c r="AF10">
        <f t="shared" si="21"/>
        <v>1.8126155740732999</v>
      </c>
      <c r="AG10">
        <f t="shared" si="22"/>
        <v>1.2678547852220983</v>
      </c>
      <c r="AH10">
        <f t="shared" si="23"/>
        <v>2.7189233611099497</v>
      </c>
      <c r="AI10">
        <f t="shared" si="24"/>
        <v>1.6904730469627978</v>
      </c>
      <c r="AJ10">
        <f t="shared" si="25"/>
        <v>3.6252311481465997</v>
      </c>
      <c r="AK10">
        <f t="shared" si="26"/>
        <v>2.1130913087034973</v>
      </c>
      <c r="AL10">
        <f t="shared" si="27"/>
        <v>4.5315389351832494</v>
      </c>
      <c r="AN10">
        <f>6.3*SIN(2*PI()*2/ROWS(codiciL1))</f>
        <v>6.1420458467454884</v>
      </c>
      <c r="AO10">
        <f>6.3*COS(2*PI()*2/ROWS(codiciL1))</f>
        <v>-1.4018818839247802</v>
      </c>
      <c r="AQ10" t="s">
        <v>24</v>
      </c>
      <c r="AR10">
        <f>6.95*SIN(2*PI()*(5+0.5)/ROWS(codiciL1))</f>
        <v>-6.7757489896636756</v>
      </c>
      <c r="AS10">
        <f>6.95*COS(2*PI()*(5+0.5)/ROWS(codiciL1))</f>
        <v>1.5465204909963777</v>
      </c>
      <c r="AU10" t="e">
        <f t="shared" si="28"/>
        <v>#N/A</v>
      </c>
      <c r="AV10" t="e">
        <f t="shared" si="28"/>
        <v>#N/A</v>
      </c>
      <c r="AW10" t="e">
        <f t="shared" si="28"/>
        <v>#N/A</v>
      </c>
      <c r="AX10" t="e">
        <f t="shared" si="28"/>
        <v>#N/A</v>
      </c>
      <c r="AY10" t="e">
        <f t="shared" si="28"/>
        <v>#N/A</v>
      </c>
      <c r="AZ10" t="e">
        <f t="shared" si="28"/>
        <v>#N/A</v>
      </c>
      <c r="BA10" t="e">
        <f t="shared" si="28"/>
        <v>#N/A</v>
      </c>
      <c r="BB10" t="e">
        <f t="shared" si="28"/>
        <v>#N/A</v>
      </c>
      <c r="BC10" t="e">
        <f t="shared" si="28"/>
        <v>#N/A</v>
      </c>
      <c r="BD10" t="e">
        <f t="shared" si="28"/>
        <v>#N/A</v>
      </c>
      <c r="BE10" t="e">
        <f t="shared" si="29"/>
        <v>#N/A</v>
      </c>
      <c r="BF10" t="e">
        <f t="shared" si="29"/>
        <v>#N/A</v>
      </c>
      <c r="BG10" t="e">
        <f t="shared" si="29"/>
        <v>#N/A</v>
      </c>
      <c r="BH10" t="e">
        <f t="shared" si="29"/>
        <v>#N/A</v>
      </c>
      <c r="BI10" t="e">
        <f t="shared" si="29"/>
        <v>#N/A</v>
      </c>
      <c r="BJ10" t="e">
        <f t="shared" si="29"/>
        <v>#N/A</v>
      </c>
      <c r="BK10" t="e">
        <f t="shared" si="29"/>
        <v>#N/A</v>
      </c>
      <c r="BL10" t="e">
        <f t="shared" si="29"/>
        <v>#N/A</v>
      </c>
      <c r="BM10" t="e">
        <f t="shared" si="29"/>
        <v>#N/A</v>
      </c>
      <c r="BN10" t="e">
        <f t="shared" si="29"/>
        <v>#N/A</v>
      </c>
      <c r="BO10" t="e">
        <f t="shared" si="30"/>
        <v>#N/A</v>
      </c>
      <c r="BP10">
        <f t="shared" si="30"/>
        <v>2.6810517585000149</v>
      </c>
      <c r="BQ10" t="e">
        <f t="shared" si="30"/>
        <v>#N/A</v>
      </c>
      <c r="BR10" t="e">
        <f t="shared" si="30"/>
        <v>#N/A</v>
      </c>
      <c r="BS10" t="e">
        <f t="shared" si="30"/>
        <v>#N/A</v>
      </c>
      <c r="BT10" t="e">
        <f t="shared" si="30"/>
        <v>#N/A</v>
      </c>
      <c r="BU10" t="e">
        <f t="shared" si="30"/>
        <v>#N/A</v>
      </c>
      <c r="BV10" t="e">
        <f t="shared" si="30"/>
        <v>#N/A</v>
      </c>
      <c r="BW10" t="e">
        <f t="shared" si="30"/>
        <v>#N/A</v>
      </c>
      <c r="BX10" t="e">
        <f t="shared" si="30"/>
        <v>#N/A</v>
      </c>
      <c r="BY10" t="e">
        <f t="shared" si="31"/>
        <v>#N/A</v>
      </c>
      <c r="BZ10" t="e">
        <f t="shared" si="31"/>
        <v>#N/A</v>
      </c>
      <c r="CA10" t="e">
        <f t="shared" si="31"/>
        <v>#N/A</v>
      </c>
      <c r="CB10" t="e">
        <f t="shared" si="31"/>
        <v>#N/A</v>
      </c>
      <c r="CC10" t="e">
        <f t="shared" si="31"/>
        <v>#N/A</v>
      </c>
      <c r="CD10" t="e">
        <f t="shared" si="31"/>
        <v>#N/A</v>
      </c>
      <c r="CE10" t="e">
        <f t="shared" si="31"/>
        <v>#N/A</v>
      </c>
      <c r="CF10" t="e">
        <f t="shared" si="31"/>
        <v>#N/A</v>
      </c>
      <c r="CG10" t="e">
        <f t="shared" si="31"/>
        <v>#N/A</v>
      </c>
      <c r="CH10" t="e">
        <f t="shared" si="31"/>
        <v>#N/A</v>
      </c>
      <c r="CI10" t="e">
        <f t="shared" si="31"/>
        <v>#N/A</v>
      </c>
      <c r="CJ10" t="e">
        <f t="shared" si="31"/>
        <v>#N/A</v>
      </c>
      <c r="CK10">
        <f t="shared" si="32"/>
        <v>0.61193256837986454</v>
      </c>
      <c r="CL10" t="str">
        <f t="shared" si="33"/>
        <v>NFR-06</v>
      </c>
      <c r="CM10">
        <f t="shared" si="34"/>
        <v>2.6810517585000149</v>
      </c>
      <c r="CN10" t="s">
        <v>25</v>
      </c>
      <c r="CO10">
        <v>4.4000000000000004</v>
      </c>
      <c r="CP10">
        <v>-5.6</v>
      </c>
    </row>
    <row r="11" spans="1:94" x14ac:dyDescent="0.4">
      <c r="A11" t="str">
        <f>IF(Parametri!$H10="","",Parametri!$H10)</f>
        <v>NFR-07</v>
      </c>
      <c r="B11" t="str">
        <f>IF($A11="","",Parametri!$I10)</f>
        <v>Ransomware presso un fornitore di servizi di pagamento</v>
      </c>
      <c r="C11" t="str">
        <f>IF($A11="","",Parametri!$J10)</f>
        <v>L1-06</v>
      </c>
      <c r="D11">
        <f t="shared" si="0"/>
        <v>4</v>
      </c>
      <c r="E11">
        <f t="shared" si="1"/>
        <v>3</v>
      </c>
      <c r="F11">
        <f t="shared" si="2"/>
        <v>12</v>
      </c>
      <c r="G11">
        <f t="shared" si="3"/>
        <v>3</v>
      </c>
      <c r="H11" s="29">
        <f t="shared" si="4"/>
        <v>1.5</v>
      </c>
      <c r="I11" s="29">
        <f t="shared" si="5"/>
        <v>0.25</v>
      </c>
      <c r="J11" s="29">
        <f>IF($A11="",NA(),MAX(IF(COUNTIFS(AZ_ID_Rischio,$A11,AZ_Ciclo,cicloCorrente,AZ_Stato,"&lt;&gt;Respinta",AZ_Mesi_Orizzonte,"&gt;0")=0,moscaYDefault,_xlfn.MAXIFS(AZ_Mesi_Orizzonte,AZ_ID_Rischio,$A11,AZ_Ciclo,cicloCorrente,AZ_Stato,"&lt;&gt;Respinta")/12),N(Parametri!$M10)))</f>
        <v>0.5</v>
      </c>
      <c r="K11" s="29">
        <f t="shared" si="6"/>
        <v>0.75</v>
      </c>
      <c r="L11" t="str">
        <f t="shared" si="7"/>
        <v>Agire entro l'anno</v>
      </c>
      <c r="M11">
        <f t="shared" si="8"/>
        <v>5</v>
      </c>
      <c r="N11">
        <f>IF($A11="",NA(),COUNTIF($C$4:C10,C11))</f>
        <v>1</v>
      </c>
      <c r="O11">
        <f t="shared" si="9"/>
        <v>3</v>
      </c>
      <c r="P11" s="29">
        <f t="shared" si="10"/>
        <v>4.9367884556411026</v>
      </c>
      <c r="Q11" s="29">
        <f t="shared" si="11"/>
        <v>2.75</v>
      </c>
      <c r="R11" s="29">
        <f t="shared" si="12"/>
        <v>-2.6810517585000158</v>
      </c>
      <c r="S11" s="29">
        <f t="shared" si="13"/>
        <v>0.61193256837986165</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D11">
        <f>2*PI()*6/72</f>
        <v>0.52359877559829882</v>
      </c>
      <c r="AE11">
        <f t="shared" si="20"/>
        <v>0.99999999999999989</v>
      </c>
      <c r="AF11">
        <f t="shared" si="21"/>
        <v>1.7320508075688774</v>
      </c>
      <c r="AG11">
        <f t="shared" si="22"/>
        <v>1.4999999999999998</v>
      </c>
      <c r="AH11">
        <f t="shared" si="23"/>
        <v>2.598076211353316</v>
      </c>
      <c r="AI11">
        <f t="shared" si="24"/>
        <v>1.9999999999999998</v>
      </c>
      <c r="AJ11">
        <f t="shared" si="25"/>
        <v>3.4641016151377548</v>
      </c>
      <c r="AK11">
        <f t="shared" si="26"/>
        <v>2.4999999999999996</v>
      </c>
      <c r="AL11">
        <f t="shared" si="27"/>
        <v>4.3301270189221936</v>
      </c>
      <c r="AN11">
        <v>0</v>
      </c>
      <c r="AO11">
        <v>0</v>
      </c>
      <c r="AQ11" t="s">
        <v>26</v>
      </c>
      <c r="AR11">
        <f>6.95*SIN(2*PI()*(6+0.5)/ROWS(codiciL1))</f>
        <v>-3.0154919868670249</v>
      </c>
      <c r="AS11">
        <f>6.95*COS(2*PI()*(6+0.5)/ROWS(codiciL1))</f>
        <v>6.2617336319218149</v>
      </c>
      <c r="AU11" t="e">
        <f t="shared" si="28"/>
        <v>#N/A</v>
      </c>
      <c r="AV11" t="e">
        <f t="shared" si="28"/>
        <v>#N/A</v>
      </c>
      <c r="AW11" t="e">
        <f t="shared" si="28"/>
        <v>#N/A</v>
      </c>
      <c r="AX11" t="e">
        <f t="shared" si="28"/>
        <v>#N/A</v>
      </c>
      <c r="AY11" t="e">
        <f t="shared" si="28"/>
        <v>#N/A</v>
      </c>
      <c r="AZ11" t="e">
        <f t="shared" si="28"/>
        <v>#N/A</v>
      </c>
      <c r="BA11" t="e">
        <f t="shared" si="28"/>
        <v>#N/A</v>
      </c>
      <c r="BB11" t="e">
        <f t="shared" si="28"/>
        <v>#N/A</v>
      </c>
      <c r="BC11" t="e">
        <f t="shared" si="28"/>
        <v>#N/A</v>
      </c>
      <c r="BD11" t="e">
        <f t="shared" si="28"/>
        <v>#N/A</v>
      </c>
      <c r="BE11" t="e">
        <f t="shared" si="29"/>
        <v>#N/A</v>
      </c>
      <c r="BF11" t="e">
        <f t="shared" si="29"/>
        <v>#N/A</v>
      </c>
      <c r="BG11" t="e">
        <f t="shared" si="29"/>
        <v>#N/A</v>
      </c>
      <c r="BH11" t="e">
        <f t="shared" si="29"/>
        <v>#N/A</v>
      </c>
      <c r="BI11" t="e">
        <f t="shared" si="29"/>
        <v>#N/A</v>
      </c>
      <c r="BJ11" t="e">
        <f t="shared" si="29"/>
        <v>#N/A</v>
      </c>
      <c r="BK11" t="e">
        <f t="shared" si="29"/>
        <v>#N/A</v>
      </c>
      <c r="BL11" t="e">
        <f t="shared" si="29"/>
        <v>#N/A</v>
      </c>
      <c r="BM11" t="e">
        <f t="shared" si="29"/>
        <v>#N/A</v>
      </c>
      <c r="BN11" t="e">
        <f t="shared" si="29"/>
        <v>#N/A</v>
      </c>
      <c r="BO11" t="e">
        <f t="shared" si="30"/>
        <v>#N/A</v>
      </c>
      <c r="BP11" t="e">
        <f t="shared" si="30"/>
        <v>#N/A</v>
      </c>
      <c r="BQ11" t="e">
        <f t="shared" si="30"/>
        <v>#N/A</v>
      </c>
      <c r="BR11">
        <f t="shared" si="30"/>
        <v>0.61193256837986165</v>
      </c>
      <c r="BS11" t="e">
        <f t="shared" si="30"/>
        <v>#N/A</v>
      </c>
      <c r="BT11" t="e">
        <f t="shared" si="30"/>
        <v>#N/A</v>
      </c>
      <c r="BU11" t="e">
        <f t="shared" si="30"/>
        <v>#N/A</v>
      </c>
      <c r="BV11" t="e">
        <f t="shared" si="30"/>
        <v>#N/A</v>
      </c>
      <c r="BW11" t="e">
        <f t="shared" si="30"/>
        <v>#N/A</v>
      </c>
      <c r="BX11" t="e">
        <f t="shared" si="30"/>
        <v>#N/A</v>
      </c>
      <c r="BY11" t="e">
        <f t="shared" si="31"/>
        <v>#N/A</v>
      </c>
      <c r="BZ11" t="e">
        <f t="shared" si="31"/>
        <v>#N/A</v>
      </c>
      <c r="CA11" t="e">
        <f t="shared" si="31"/>
        <v>#N/A</v>
      </c>
      <c r="CB11" t="e">
        <f t="shared" si="31"/>
        <v>#N/A</v>
      </c>
      <c r="CC11" t="e">
        <f t="shared" si="31"/>
        <v>#N/A</v>
      </c>
      <c r="CD11" t="e">
        <f t="shared" si="31"/>
        <v>#N/A</v>
      </c>
      <c r="CE11" t="e">
        <f t="shared" si="31"/>
        <v>#N/A</v>
      </c>
      <c r="CF11" t="e">
        <f t="shared" si="31"/>
        <v>#N/A</v>
      </c>
      <c r="CG11" t="e">
        <f t="shared" si="31"/>
        <v>#N/A</v>
      </c>
      <c r="CH11" t="e">
        <f t="shared" si="31"/>
        <v>#N/A</v>
      </c>
      <c r="CI11" t="e">
        <f t="shared" si="31"/>
        <v>#N/A</v>
      </c>
      <c r="CJ11" t="e">
        <f t="shared" si="31"/>
        <v>#N/A</v>
      </c>
      <c r="CK11">
        <f t="shared" si="32"/>
        <v>-2.6810517585000158</v>
      </c>
      <c r="CL11" t="str">
        <f t="shared" si="33"/>
        <v>NFR-07 ◆</v>
      </c>
      <c r="CM11">
        <f t="shared" si="34"/>
        <v>0.61193256837986165</v>
      </c>
      <c r="CN11" t="s">
        <v>27</v>
      </c>
      <c r="CO11">
        <v>3.5</v>
      </c>
      <c r="CP11">
        <v>-6.6</v>
      </c>
    </row>
    <row r="12" spans="1:94" x14ac:dyDescent="0.4">
      <c r="A12" t="str">
        <f>IF(Parametri!$H11="","",Parametri!$H11)</f>
        <v>NFR-08</v>
      </c>
      <c r="B12" t="str">
        <f>IF($A12="","",Parametri!$I11)</f>
        <v>Accessi impropri di dipendenti ai dati dei clienti</v>
      </c>
      <c r="C12" t="str">
        <f>IF($A12="","",Parametri!$J11)</f>
        <v>L1-01</v>
      </c>
      <c r="D12">
        <f t="shared" si="0"/>
        <v>3</v>
      </c>
      <c r="E12">
        <f t="shared" si="1"/>
        <v>2</v>
      </c>
      <c r="F12">
        <f t="shared" si="2"/>
        <v>6</v>
      </c>
      <c r="G12">
        <f t="shared" si="3"/>
        <v>3</v>
      </c>
      <c r="H12" s="29">
        <f t="shared" si="4"/>
        <v>1.5</v>
      </c>
      <c r="I12" s="29">
        <f t="shared" si="5"/>
        <v>0.25</v>
      </c>
      <c r="J12" s="29">
        <f>IF($A12="",NA(),MAX(IF(COUNTIFS(AZ_ID_Rischio,$A12,AZ_Ciclo,cicloCorrente,AZ_Stato,"&lt;&gt;Respinta",AZ_Mesi_Orizzonte,"&gt;0")=0,moscaYDefault,_xlfn.MAXIFS(AZ_Mesi_Orizzonte,AZ_ID_Rischio,$A12,AZ_Ciclo,cicloCorrente,AZ_Stato,"&lt;&gt;Respinta")/12),N(Parametri!$M11)))</f>
        <v>0.25</v>
      </c>
      <c r="K12" s="29">
        <f t="shared" si="6"/>
        <v>1</v>
      </c>
      <c r="L12" t="str">
        <f t="shared" si="7"/>
        <v>Margine 1 anno</v>
      </c>
      <c r="M12">
        <f t="shared" si="8"/>
        <v>0</v>
      </c>
      <c r="N12">
        <f>IF($A12="",NA(),COUNTIF($C$4:C11,C12))</f>
        <v>1</v>
      </c>
      <c r="O12">
        <f t="shared" si="9"/>
        <v>2</v>
      </c>
      <c r="P12" s="29">
        <f t="shared" si="10"/>
        <v>0.67319842576924138</v>
      </c>
      <c r="Q12" s="29">
        <f t="shared" si="11"/>
        <v>3</v>
      </c>
      <c r="R12" s="29">
        <f t="shared" si="12"/>
        <v>1.8704694055762006</v>
      </c>
      <c r="S12" s="29">
        <f t="shared" si="13"/>
        <v>2.3454944474040893</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Monitoraggio</v>
      </c>
      <c r="AB12" t="str">
        <f t="shared" si="19"/>
        <v>nessun segnale forte</v>
      </c>
      <c r="AD12">
        <f>2*PI()*7/72</f>
        <v>0.6108652381980153</v>
      </c>
      <c r="AE12">
        <f t="shared" si="20"/>
        <v>1.1471528727020921</v>
      </c>
      <c r="AF12">
        <f t="shared" si="21"/>
        <v>1.6383040885779836</v>
      </c>
      <c r="AG12">
        <f t="shared" si="22"/>
        <v>1.7207293090531381</v>
      </c>
      <c r="AH12">
        <f t="shared" si="23"/>
        <v>2.4574561328669753</v>
      </c>
      <c r="AI12">
        <f t="shared" si="24"/>
        <v>2.2943057454041842</v>
      </c>
      <c r="AJ12">
        <f t="shared" si="25"/>
        <v>3.2766081771559672</v>
      </c>
      <c r="AK12">
        <f t="shared" si="26"/>
        <v>2.8678821817552302</v>
      </c>
      <c r="AL12">
        <f t="shared" si="27"/>
        <v>4.0957602214449587</v>
      </c>
      <c r="AN12">
        <f>6.3*SIN(2*PI()*3/ROWS(codiciL1))</f>
        <v>2.7334675564406168</v>
      </c>
      <c r="AO12">
        <f>6.3*COS(2*PI()*3/ROWS(codiciL1))</f>
        <v>-5.6761038677852396</v>
      </c>
      <c r="AU12" t="e">
        <f t="shared" si="28"/>
        <v>#N/A</v>
      </c>
      <c r="AV12" t="e">
        <f t="shared" si="28"/>
        <v>#N/A</v>
      </c>
      <c r="AW12" t="e">
        <f t="shared" si="28"/>
        <v>#N/A</v>
      </c>
      <c r="AX12" t="e">
        <f t="shared" si="28"/>
        <v>#N/A</v>
      </c>
      <c r="AY12" t="e">
        <f t="shared" si="28"/>
        <v>#N/A</v>
      </c>
      <c r="AZ12" t="e">
        <f t="shared" si="28"/>
        <v>#N/A</v>
      </c>
      <c r="BA12" t="e">
        <f t="shared" si="28"/>
        <v>#N/A</v>
      </c>
      <c r="BB12" t="e">
        <f t="shared" si="28"/>
        <v>#N/A</v>
      </c>
      <c r="BC12" t="e">
        <f t="shared" si="28"/>
        <v>#N/A</v>
      </c>
      <c r="BD12" t="e">
        <f t="shared" si="28"/>
        <v>#N/A</v>
      </c>
      <c r="BE12" t="e">
        <f t="shared" si="29"/>
        <v>#N/A</v>
      </c>
      <c r="BF12" t="e">
        <f t="shared" si="29"/>
        <v>#N/A</v>
      </c>
      <c r="BG12" t="e">
        <f t="shared" si="29"/>
        <v>#N/A</v>
      </c>
      <c r="BH12" t="e">
        <f t="shared" si="29"/>
        <v>#N/A</v>
      </c>
      <c r="BI12" t="e">
        <f t="shared" si="29"/>
        <v>#N/A</v>
      </c>
      <c r="BJ12" t="e">
        <f t="shared" si="29"/>
        <v>#N/A</v>
      </c>
      <c r="BK12" t="e">
        <f t="shared" si="29"/>
        <v>#N/A</v>
      </c>
      <c r="BL12" t="e">
        <f t="shared" si="29"/>
        <v>#N/A</v>
      </c>
      <c r="BM12" t="e">
        <f t="shared" si="29"/>
        <v>#N/A</v>
      </c>
      <c r="BN12" t="e">
        <f t="shared" si="29"/>
        <v>#N/A</v>
      </c>
      <c r="BO12" t="e">
        <f t="shared" si="30"/>
        <v>#N/A</v>
      </c>
      <c r="BP12" t="e">
        <f t="shared" si="30"/>
        <v>#N/A</v>
      </c>
      <c r="BQ12" t="e">
        <f t="shared" si="30"/>
        <v>#N/A</v>
      </c>
      <c r="BR12" t="e">
        <f t="shared" si="30"/>
        <v>#N/A</v>
      </c>
      <c r="BS12" t="e">
        <f t="shared" si="30"/>
        <v>#N/A</v>
      </c>
      <c r="BT12" t="e">
        <f t="shared" si="30"/>
        <v>#N/A</v>
      </c>
      <c r="BU12" t="e">
        <f t="shared" si="30"/>
        <v>#N/A</v>
      </c>
      <c r="BV12" t="e">
        <f t="shared" si="30"/>
        <v>#N/A</v>
      </c>
      <c r="BW12" t="e">
        <f t="shared" si="30"/>
        <v>#N/A</v>
      </c>
      <c r="BX12" t="e">
        <f t="shared" si="30"/>
        <v>#N/A</v>
      </c>
      <c r="BY12" t="e">
        <f t="shared" si="31"/>
        <v>#N/A</v>
      </c>
      <c r="BZ12" t="e">
        <f t="shared" si="31"/>
        <v>#N/A</v>
      </c>
      <c r="CA12" t="e">
        <f t="shared" si="31"/>
        <v>#N/A</v>
      </c>
      <c r="CB12">
        <f t="shared" si="31"/>
        <v>2.3454944474040893</v>
      </c>
      <c r="CC12" t="e">
        <f t="shared" si="31"/>
        <v>#N/A</v>
      </c>
      <c r="CD12" t="e">
        <f t="shared" si="31"/>
        <v>#N/A</v>
      </c>
      <c r="CE12" t="e">
        <f t="shared" si="31"/>
        <v>#N/A</v>
      </c>
      <c r="CF12" t="e">
        <f t="shared" si="31"/>
        <v>#N/A</v>
      </c>
      <c r="CG12" t="e">
        <f t="shared" si="31"/>
        <v>#N/A</v>
      </c>
      <c r="CH12" t="e">
        <f t="shared" si="31"/>
        <v>#N/A</v>
      </c>
      <c r="CI12" t="e">
        <f t="shared" si="31"/>
        <v>#N/A</v>
      </c>
      <c r="CJ12" t="e">
        <f t="shared" si="31"/>
        <v>#N/A</v>
      </c>
      <c r="CK12">
        <f t="shared" si="32"/>
        <v>1.8704694055762006</v>
      </c>
      <c r="CL12" t="str">
        <f t="shared" si="33"/>
        <v>NFR-08</v>
      </c>
      <c r="CM12">
        <f t="shared" si="34"/>
        <v>2.3454944474040893</v>
      </c>
      <c r="CN12" t="s">
        <v>28</v>
      </c>
      <c r="CO12">
        <v>4.8</v>
      </c>
      <c r="CP12">
        <v>-6.6</v>
      </c>
    </row>
    <row r="13" spans="1:94" x14ac:dyDescent="0.4">
      <c r="A13" t="str">
        <f>IF(Parametri!$H12="","",Parametri!$H12)</f>
        <v>NFR-09</v>
      </c>
      <c r="B13" t="str">
        <f>IF($A13="","",Parametri!$I12)</f>
        <v>Violazione di sanzioni internazionali tramite triangolazioni</v>
      </c>
      <c r="C13" t="str">
        <f>IF($A13="","",Parametri!$J12)</f>
        <v>L1-04</v>
      </c>
      <c r="D13">
        <f t="shared" si="0"/>
        <v>4</v>
      </c>
      <c r="E13">
        <f t="shared" si="1"/>
        <v>2</v>
      </c>
      <c r="F13">
        <f t="shared" si="2"/>
        <v>8</v>
      </c>
      <c r="G13">
        <f t="shared" si="3"/>
        <v>2</v>
      </c>
      <c r="H13" s="29">
        <f t="shared" si="4"/>
        <v>2.5</v>
      </c>
      <c r="I13" s="29">
        <f t="shared" si="5"/>
        <v>0.25</v>
      </c>
      <c r="J13" s="29">
        <f>IF($A13="",NA(),MAX(IF(COUNTIFS(AZ_ID_Rischio,$A13,AZ_Ciclo,cicloCorrente,AZ_Stato,"&lt;&gt;Respinta",AZ_Mesi_Orizzonte,"&gt;0")=0,moscaYDefault,_xlfn.MAXIFS(AZ_Mesi_Orizzonte,AZ_ID_Rischio,$A13,AZ_Ciclo,cicloCorrente,AZ_Stato,"&lt;&gt;Respinta")/12),N(Parametri!$M12)))</f>
        <v>1</v>
      </c>
      <c r="K13" s="29">
        <f t="shared" si="6"/>
        <v>1.25</v>
      </c>
      <c r="L13" t="str">
        <f t="shared" si="7"/>
        <v>Margine 1,3 anni</v>
      </c>
      <c r="M13">
        <f t="shared" si="8"/>
        <v>3</v>
      </c>
      <c r="N13">
        <f>IF($A13="",NA(),COUNTIF($C$4:C12,C13))</f>
        <v>1</v>
      </c>
      <c r="O13">
        <f t="shared" si="9"/>
        <v>3</v>
      </c>
      <c r="P13" s="29">
        <f t="shared" si="10"/>
        <v>3.1415926535897931</v>
      </c>
      <c r="Q13" s="29">
        <f t="shared" si="11"/>
        <v>3.25</v>
      </c>
      <c r="R13" s="29">
        <f t="shared" si="12"/>
        <v>3.981732478453015E-16</v>
      </c>
      <c r="S13" s="29">
        <f t="shared" si="13"/>
        <v>-3.25</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D13">
        <f>2*PI()*8/72</f>
        <v>0.69813170079773179</v>
      </c>
      <c r="AE13">
        <f t="shared" si="20"/>
        <v>1.2855752193730785</v>
      </c>
      <c r="AF13">
        <f t="shared" si="21"/>
        <v>1.532088886237956</v>
      </c>
      <c r="AG13">
        <f t="shared" si="22"/>
        <v>1.9283628290596178</v>
      </c>
      <c r="AH13">
        <f t="shared" si="23"/>
        <v>2.2981333293569342</v>
      </c>
      <c r="AI13">
        <f t="shared" si="24"/>
        <v>2.571150438746157</v>
      </c>
      <c r="AJ13">
        <f t="shared" si="25"/>
        <v>3.0641777724759121</v>
      </c>
      <c r="AK13">
        <f t="shared" si="26"/>
        <v>3.2139380484326963</v>
      </c>
      <c r="AL13">
        <f t="shared" si="27"/>
        <v>3.83022221559489</v>
      </c>
      <c r="AN13">
        <v>0</v>
      </c>
      <c r="AO13">
        <v>0</v>
      </c>
      <c r="AU13" t="e">
        <f t="shared" si="28"/>
        <v>#N/A</v>
      </c>
      <c r="AV13" t="e">
        <f t="shared" si="28"/>
        <v>#N/A</v>
      </c>
      <c r="AW13" t="e">
        <f t="shared" si="28"/>
        <v>#N/A</v>
      </c>
      <c r="AX13" t="e">
        <f t="shared" si="28"/>
        <v>#N/A</v>
      </c>
      <c r="AY13" t="e">
        <f t="shared" si="28"/>
        <v>#N/A</v>
      </c>
      <c r="AZ13" t="e">
        <f t="shared" si="28"/>
        <v>#N/A</v>
      </c>
      <c r="BA13" t="e">
        <f t="shared" si="28"/>
        <v>#N/A</v>
      </c>
      <c r="BB13" t="e">
        <f t="shared" si="28"/>
        <v>#N/A</v>
      </c>
      <c r="BC13" t="e">
        <f t="shared" si="28"/>
        <v>#N/A</v>
      </c>
      <c r="BD13" t="e">
        <f t="shared" si="28"/>
        <v>#N/A</v>
      </c>
      <c r="BE13" t="e">
        <f t="shared" si="29"/>
        <v>#N/A</v>
      </c>
      <c r="BF13" t="e">
        <f t="shared" si="29"/>
        <v>#N/A</v>
      </c>
      <c r="BG13" t="e">
        <f t="shared" si="29"/>
        <v>#N/A</v>
      </c>
      <c r="BH13" t="e">
        <f t="shared" si="29"/>
        <v>#N/A</v>
      </c>
      <c r="BI13" t="e">
        <f t="shared" si="29"/>
        <v>#N/A</v>
      </c>
      <c r="BJ13" t="e">
        <f t="shared" si="29"/>
        <v>#N/A</v>
      </c>
      <c r="BK13" t="e">
        <f t="shared" si="29"/>
        <v>#N/A</v>
      </c>
      <c r="BL13" t="e">
        <f t="shared" si="29"/>
        <v>#N/A</v>
      </c>
      <c r="BM13" t="e">
        <f t="shared" si="29"/>
        <v>#N/A</v>
      </c>
      <c r="BN13" t="e">
        <f t="shared" si="29"/>
        <v>#N/A</v>
      </c>
      <c r="BO13" t="e">
        <f t="shared" si="30"/>
        <v>#N/A</v>
      </c>
      <c r="BP13" t="e">
        <f t="shared" si="30"/>
        <v>#N/A</v>
      </c>
      <c r="BQ13" t="e">
        <f t="shared" si="30"/>
        <v>#N/A</v>
      </c>
      <c r="BR13" t="e">
        <f t="shared" si="30"/>
        <v>#N/A</v>
      </c>
      <c r="BS13" t="e">
        <f t="shared" si="30"/>
        <v>#N/A</v>
      </c>
      <c r="BT13" t="e">
        <f t="shared" si="30"/>
        <v>#N/A</v>
      </c>
      <c r="BU13" t="e">
        <f t="shared" si="30"/>
        <v>#N/A</v>
      </c>
      <c r="BV13" t="e">
        <f t="shared" si="30"/>
        <v>#N/A</v>
      </c>
      <c r="BW13" t="e">
        <f t="shared" si="30"/>
        <v>#N/A</v>
      </c>
      <c r="BX13" t="e">
        <f t="shared" si="30"/>
        <v>#N/A</v>
      </c>
      <c r="BY13" t="e">
        <f t="shared" si="31"/>
        <v>#N/A</v>
      </c>
      <c r="BZ13" t="e">
        <f t="shared" si="31"/>
        <v>#N/A</v>
      </c>
      <c r="CA13" t="e">
        <f t="shared" si="31"/>
        <v>#N/A</v>
      </c>
      <c r="CB13" t="e">
        <f t="shared" si="31"/>
        <v>#N/A</v>
      </c>
      <c r="CC13">
        <f t="shared" si="31"/>
        <v>-3.25</v>
      </c>
      <c r="CD13" t="e">
        <f t="shared" si="31"/>
        <v>#N/A</v>
      </c>
      <c r="CE13" t="e">
        <f t="shared" si="31"/>
        <v>#N/A</v>
      </c>
      <c r="CF13" t="e">
        <f t="shared" si="31"/>
        <v>#N/A</v>
      </c>
      <c r="CG13" t="e">
        <f t="shared" si="31"/>
        <v>#N/A</v>
      </c>
      <c r="CH13" t="e">
        <f t="shared" si="31"/>
        <v>#N/A</v>
      </c>
      <c r="CI13" t="e">
        <f t="shared" si="31"/>
        <v>#N/A</v>
      </c>
      <c r="CJ13" t="e">
        <f t="shared" si="31"/>
        <v>#N/A</v>
      </c>
      <c r="CK13">
        <f t="shared" si="32"/>
        <v>3.981732478453015E-16</v>
      </c>
      <c r="CL13" t="str">
        <f t="shared" si="33"/>
        <v>NFR-09 ◆</v>
      </c>
      <c r="CM13">
        <f t="shared" si="34"/>
        <v>-3.25</v>
      </c>
      <c r="CN13" t="s">
        <v>29</v>
      </c>
      <c r="CO13">
        <v>6.5</v>
      </c>
      <c r="CP13">
        <v>-6.6</v>
      </c>
    </row>
    <row r="14" spans="1:94" x14ac:dyDescent="0.4">
      <c r="A14" t="str">
        <f>IF(Parametri!$H13="","",Parametri!$H13)</f>
        <v>NFR-10</v>
      </c>
      <c r="B14" t="str">
        <f>IF($A14="","",Parametri!$I13)</f>
        <v>Informazioni errate ai clienti da assistenti di AI generativa</v>
      </c>
      <c r="C14" t="str">
        <f>IF($A14="","",Parametri!$J13)</f>
        <v>L1-04</v>
      </c>
      <c r="D14">
        <f t="shared" si="0"/>
        <v>3</v>
      </c>
      <c r="E14">
        <f t="shared" si="1"/>
        <v>3</v>
      </c>
      <c r="F14">
        <f t="shared" si="2"/>
        <v>9</v>
      </c>
      <c r="G14">
        <f t="shared" si="3"/>
        <v>3</v>
      </c>
      <c r="H14" s="29">
        <f t="shared" si="4"/>
        <v>1.5</v>
      </c>
      <c r="I14" s="29">
        <f t="shared" si="5"/>
        <v>0.25</v>
      </c>
      <c r="J14" s="29">
        <f>IF($A14="",NA(),MAX(IF(COUNTIFS(AZ_ID_Rischio,$A14,AZ_Ciclo,cicloCorrente,AZ_Stato,"&lt;&gt;Respinta",AZ_Mesi_Orizzonte,"&gt;0")=0,moscaYDefault,_xlfn.MAXIFS(AZ_Mesi_Orizzonte,AZ_ID_Rischio,$A14,AZ_Ciclo,cicloCorrente,AZ_Stato,"&lt;&gt;Respinta")/12),N(Parametri!$M13)))</f>
        <v>0.25</v>
      </c>
      <c r="K14" s="29">
        <f t="shared" si="6"/>
        <v>1</v>
      </c>
      <c r="L14" t="str">
        <f t="shared" si="7"/>
        <v>Margine 1 anno</v>
      </c>
      <c r="M14">
        <f t="shared" si="8"/>
        <v>3</v>
      </c>
      <c r="N14">
        <f>IF($A14="",NA(),COUNTIF($C$4:C13,C14))</f>
        <v>2</v>
      </c>
      <c r="O14">
        <f t="shared" si="9"/>
        <v>3</v>
      </c>
      <c r="P14" s="29">
        <f t="shared" si="10"/>
        <v>3.4407919539316785</v>
      </c>
      <c r="Q14" s="29">
        <f t="shared" si="11"/>
        <v>3</v>
      </c>
      <c r="R14" s="29">
        <f t="shared" si="12"/>
        <v>-0.88426552323271312</v>
      </c>
      <c r="S14" s="29">
        <f t="shared" si="13"/>
        <v>-2.8667184173584221</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D14">
        <f>2*PI()*9/72</f>
        <v>0.78539816339744828</v>
      </c>
      <c r="AE14">
        <f t="shared" si="20"/>
        <v>1.4142135623730949</v>
      </c>
      <c r="AF14">
        <f t="shared" si="21"/>
        <v>1.4142135623730951</v>
      </c>
      <c r="AG14">
        <f t="shared" si="22"/>
        <v>2.1213203435596424</v>
      </c>
      <c r="AH14">
        <f t="shared" si="23"/>
        <v>2.1213203435596428</v>
      </c>
      <c r="AI14">
        <f t="shared" si="24"/>
        <v>2.8284271247461898</v>
      </c>
      <c r="AJ14">
        <f t="shared" si="25"/>
        <v>2.8284271247461903</v>
      </c>
      <c r="AK14">
        <f t="shared" si="26"/>
        <v>3.5355339059327373</v>
      </c>
      <c r="AL14">
        <f t="shared" si="27"/>
        <v>3.5355339059327378</v>
      </c>
      <c r="AN14">
        <f>6.3*SIN(2*PI()*4/ROWS(codiciL1))</f>
        <v>-2.7334675564406155</v>
      </c>
      <c r="AO14">
        <f>6.3*COS(2*PI()*4/ROWS(codiciL1))</f>
        <v>-5.6761038677852405</v>
      </c>
      <c r="AU14" t="e">
        <f t="shared" si="28"/>
        <v>#N/A</v>
      </c>
      <c r="AV14" t="e">
        <f t="shared" si="28"/>
        <v>#N/A</v>
      </c>
      <c r="AW14" t="e">
        <f t="shared" si="28"/>
        <v>#N/A</v>
      </c>
      <c r="AX14" t="e">
        <f t="shared" si="28"/>
        <v>#N/A</v>
      </c>
      <c r="AY14" t="e">
        <f t="shared" si="28"/>
        <v>#N/A</v>
      </c>
      <c r="AZ14" t="e">
        <f t="shared" si="28"/>
        <v>#N/A</v>
      </c>
      <c r="BA14" t="e">
        <f t="shared" si="28"/>
        <v>#N/A</v>
      </c>
      <c r="BB14" t="e">
        <f t="shared" si="28"/>
        <v>#N/A</v>
      </c>
      <c r="BC14" t="e">
        <f t="shared" si="28"/>
        <v>#N/A</v>
      </c>
      <c r="BD14" t="e">
        <f t="shared" si="28"/>
        <v>#N/A</v>
      </c>
      <c r="BE14" t="e">
        <f t="shared" si="29"/>
        <v>#N/A</v>
      </c>
      <c r="BF14" t="e">
        <f t="shared" si="29"/>
        <v>#N/A</v>
      </c>
      <c r="BG14" t="e">
        <f t="shared" si="29"/>
        <v>#N/A</v>
      </c>
      <c r="BH14" t="e">
        <f t="shared" si="29"/>
        <v>#N/A</v>
      </c>
      <c r="BI14" t="e">
        <f t="shared" si="29"/>
        <v>#N/A</v>
      </c>
      <c r="BJ14" t="e">
        <f t="shared" si="29"/>
        <v>#N/A</v>
      </c>
      <c r="BK14" t="e">
        <f t="shared" si="29"/>
        <v>#N/A</v>
      </c>
      <c r="BL14" t="e">
        <f t="shared" si="29"/>
        <v>#N/A</v>
      </c>
      <c r="BM14" t="e">
        <f t="shared" si="29"/>
        <v>#N/A</v>
      </c>
      <c r="BN14" t="e">
        <f t="shared" si="29"/>
        <v>#N/A</v>
      </c>
      <c r="BO14" t="e">
        <f t="shared" si="30"/>
        <v>#N/A</v>
      </c>
      <c r="BP14" t="e">
        <f t="shared" si="30"/>
        <v>#N/A</v>
      </c>
      <c r="BQ14" t="e">
        <f t="shared" si="30"/>
        <v>#N/A</v>
      </c>
      <c r="BR14" t="e">
        <f t="shared" si="30"/>
        <v>#N/A</v>
      </c>
      <c r="BS14" t="e">
        <f t="shared" si="30"/>
        <v>#N/A</v>
      </c>
      <c r="BT14" t="e">
        <f t="shared" si="30"/>
        <v>#N/A</v>
      </c>
      <c r="BU14" t="e">
        <f t="shared" si="30"/>
        <v>#N/A</v>
      </c>
      <c r="BV14" t="e">
        <f t="shared" si="30"/>
        <v>#N/A</v>
      </c>
      <c r="BW14" t="e">
        <f t="shared" si="30"/>
        <v>#N/A</v>
      </c>
      <c r="BX14" t="e">
        <f t="shared" si="30"/>
        <v>#N/A</v>
      </c>
      <c r="BY14" t="e">
        <f t="shared" si="31"/>
        <v>#N/A</v>
      </c>
      <c r="BZ14" t="e">
        <f t="shared" si="31"/>
        <v>#N/A</v>
      </c>
      <c r="CA14" t="e">
        <f t="shared" si="31"/>
        <v>#N/A</v>
      </c>
      <c r="CB14" t="e">
        <f t="shared" si="31"/>
        <v>#N/A</v>
      </c>
      <c r="CC14" t="e">
        <f t="shared" si="31"/>
        <v>#N/A</v>
      </c>
      <c r="CD14">
        <f t="shared" si="31"/>
        <v>-2.8667184173584221</v>
      </c>
      <c r="CE14" t="e">
        <f t="shared" si="31"/>
        <v>#N/A</v>
      </c>
      <c r="CF14" t="e">
        <f t="shared" si="31"/>
        <v>#N/A</v>
      </c>
      <c r="CG14" t="e">
        <f t="shared" si="31"/>
        <v>#N/A</v>
      </c>
      <c r="CH14" t="e">
        <f t="shared" si="31"/>
        <v>#N/A</v>
      </c>
      <c r="CI14" t="e">
        <f t="shared" si="31"/>
        <v>#N/A</v>
      </c>
      <c r="CJ14" t="e">
        <f t="shared" si="31"/>
        <v>#N/A</v>
      </c>
      <c r="CK14">
        <f t="shared" si="32"/>
        <v>-0.88426552323271312</v>
      </c>
      <c r="CL14" t="str">
        <f t="shared" si="33"/>
        <v>NFR-10</v>
      </c>
      <c r="CM14">
        <f t="shared" si="34"/>
        <v>-2.8667184173584221</v>
      </c>
    </row>
    <row r="15" spans="1:94" x14ac:dyDescent="0.4">
      <c r="A15" t="str">
        <f>IF(Parametri!$H14="","",Parametri!$H14)</f>
        <v>NFR-11</v>
      </c>
      <c r="B15" t="str">
        <f>IF($A15="","",Parametri!$I14)</f>
        <v>Fine del supporto dei sistemi di pagamento legacy</v>
      </c>
      <c r="C15" t="str">
        <f>IF($A15="","",Parametri!$J14)</f>
        <v>L1-06</v>
      </c>
      <c r="D15">
        <f t="shared" si="0"/>
        <v>3</v>
      </c>
      <c r="E15">
        <f t="shared" si="1"/>
        <v>3</v>
      </c>
      <c r="F15">
        <f t="shared" si="2"/>
        <v>9</v>
      </c>
      <c r="G15">
        <f t="shared" si="3"/>
        <v>3</v>
      </c>
      <c r="H15" s="29">
        <f t="shared" si="4"/>
        <v>1.5</v>
      </c>
      <c r="I15" s="29">
        <f t="shared" si="5"/>
        <v>0.25</v>
      </c>
      <c r="J15" s="29">
        <f>IF($A15="",NA(),MAX(IF(COUNTIFS(AZ_ID_Rischio,$A15,AZ_Ciclo,cicloCorrente,AZ_Stato,"&lt;&gt;Respinta",AZ_Mesi_Orizzonte,"&gt;0")=0,moscaYDefault,_xlfn.MAXIFS(AZ_Mesi_Orizzonte,AZ_ID_Rischio,$A15,AZ_Ciclo,cicloCorrente,AZ_Stato,"&lt;&gt;Respinta")/12),N(Parametri!$M14)))</f>
        <v>3</v>
      </c>
      <c r="K15" s="29">
        <f t="shared" si="6"/>
        <v>-1.75</v>
      </c>
      <c r="L15" t="str">
        <f t="shared" si="7"/>
        <v>AGIRE ORA: X+Y &gt; Z</v>
      </c>
      <c r="M15">
        <f t="shared" si="8"/>
        <v>5</v>
      </c>
      <c r="N15">
        <f>IF($A15="",NA(),COUNTIF($C$4:C14,C15))</f>
        <v>2</v>
      </c>
      <c r="O15">
        <f t="shared" si="9"/>
        <v>3</v>
      </c>
      <c r="P15" s="29">
        <f t="shared" si="10"/>
        <v>5.2359877559829888</v>
      </c>
      <c r="Q15" s="29">
        <f t="shared" si="11"/>
        <v>0.6</v>
      </c>
      <c r="R15" s="29">
        <f t="shared" si="12"/>
        <v>-0.51961524227066314</v>
      </c>
      <c r="S15" s="29">
        <f t="shared" si="13"/>
        <v>0.30000000000000004</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D15">
        <f>2*PI()*10/72</f>
        <v>0.87266462599716477</v>
      </c>
      <c r="AE15">
        <f t="shared" si="20"/>
        <v>1.532088886237956</v>
      </c>
      <c r="AF15">
        <f t="shared" si="21"/>
        <v>1.2855752193730787</v>
      </c>
      <c r="AG15">
        <f t="shared" si="22"/>
        <v>2.2981333293569342</v>
      </c>
      <c r="AH15">
        <f t="shared" si="23"/>
        <v>1.9283628290596182</v>
      </c>
      <c r="AI15">
        <f t="shared" si="24"/>
        <v>3.0641777724759121</v>
      </c>
      <c r="AJ15">
        <f t="shared" si="25"/>
        <v>2.5711504387461575</v>
      </c>
      <c r="AK15">
        <f t="shared" si="26"/>
        <v>3.83022221559489</v>
      </c>
      <c r="AL15">
        <f t="shared" si="27"/>
        <v>3.2139380484326967</v>
      </c>
      <c r="AN15">
        <v>0</v>
      </c>
      <c r="AO15">
        <v>0</v>
      </c>
      <c r="AU15" t="e">
        <f t="shared" ref="AU15:BD24" si="35">IF(AND(ISNUMBER($F15),ISNUMBER($S15)),IF(AND($F15=AU$4,$AA15=AU$3),$S15,NA()),NA())</f>
        <v>#N/A</v>
      </c>
      <c r="AV15" t="e">
        <f t="shared" si="35"/>
        <v>#N/A</v>
      </c>
      <c r="AW15" t="e">
        <f t="shared" si="35"/>
        <v>#N/A</v>
      </c>
      <c r="AX15" t="e">
        <f t="shared" si="35"/>
        <v>#N/A</v>
      </c>
      <c r="AY15" t="e">
        <f t="shared" si="35"/>
        <v>#N/A</v>
      </c>
      <c r="AZ15" t="e">
        <f t="shared" si="35"/>
        <v>#N/A</v>
      </c>
      <c r="BA15" t="e">
        <f t="shared" si="35"/>
        <v>#N/A</v>
      </c>
      <c r="BB15" t="e">
        <f t="shared" si="35"/>
        <v>#N/A</v>
      </c>
      <c r="BC15" t="e">
        <f t="shared" si="35"/>
        <v>#N/A</v>
      </c>
      <c r="BD15" t="e">
        <f t="shared" si="35"/>
        <v>#N/A</v>
      </c>
      <c r="BE15" t="e">
        <f t="shared" ref="BE15:BN24" si="36">IF(AND(ISNUMBER($F15),ISNUMBER($S15)),IF(AND($F15=BE$4,$AA15=BE$3),$S15,NA()),NA())</f>
        <v>#N/A</v>
      </c>
      <c r="BF15" t="e">
        <f t="shared" si="36"/>
        <v>#N/A</v>
      </c>
      <c r="BG15" t="e">
        <f t="shared" si="36"/>
        <v>#N/A</v>
      </c>
      <c r="BH15" t="e">
        <f t="shared" si="36"/>
        <v>#N/A</v>
      </c>
      <c r="BI15" t="e">
        <f t="shared" si="36"/>
        <v>#N/A</v>
      </c>
      <c r="BJ15" t="e">
        <f t="shared" si="36"/>
        <v>#N/A</v>
      </c>
      <c r="BK15" t="e">
        <f t="shared" si="36"/>
        <v>#N/A</v>
      </c>
      <c r="BL15" t="e">
        <f t="shared" si="36"/>
        <v>#N/A</v>
      </c>
      <c r="BM15" t="e">
        <f t="shared" si="36"/>
        <v>#N/A</v>
      </c>
      <c r="BN15" t="e">
        <f t="shared" si="36"/>
        <v>#N/A</v>
      </c>
      <c r="BO15" t="e">
        <f t="shared" ref="BO15:BX24" si="37">IF(AND(ISNUMBER($F15),ISNUMBER($S15)),IF(AND($F15=BO$4,$AA15=BO$3),$S15,NA()),NA())</f>
        <v>#N/A</v>
      </c>
      <c r="BP15">
        <f t="shared" si="37"/>
        <v>0.30000000000000004</v>
      </c>
      <c r="BQ15" t="e">
        <f t="shared" si="37"/>
        <v>#N/A</v>
      </c>
      <c r="BR15" t="e">
        <f t="shared" si="37"/>
        <v>#N/A</v>
      </c>
      <c r="BS15" t="e">
        <f t="shared" si="37"/>
        <v>#N/A</v>
      </c>
      <c r="BT15" t="e">
        <f t="shared" si="37"/>
        <v>#N/A</v>
      </c>
      <c r="BU15" t="e">
        <f t="shared" si="37"/>
        <v>#N/A</v>
      </c>
      <c r="BV15" t="e">
        <f t="shared" si="37"/>
        <v>#N/A</v>
      </c>
      <c r="BW15" t="e">
        <f t="shared" si="37"/>
        <v>#N/A</v>
      </c>
      <c r="BX15" t="e">
        <f t="shared" si="37"/>
        <v>#N/A</v>
      </c>
      <c r="BY15" t="e">
        <f t="shared" ref="BY15:CJ24" si="38">IF(AND(ISNUMBER($F15),ISNUMBER($S15)),IF(AND($F15=BY$4,$AA15=BY$3),$S15,NA()),NA())</f>
        <v>#N/A</v>
      </c>
      <c r="BZ15" t="e">
        <f t="shared" si="38"/>
        <v>#N/A</v>
      </c>
      <c r="CA15" t="e">
        <f t="shared" si="38"/>
        <v>#N/A</v>
      </c>
      <c r="CB15" t="e">
        <f t="shared" si="38"/>
        <v>#N/A</v>
      </c>
      <c r="CC15" t="e">
        <f t="shared" si="38"/>
        <v>#N/A</v>
      </c>
      <c r="CD15" t="e">
        <f t="shared" si="38"/>
        <v>#N/A</v>
      </c>
      <c r="CE15" t="e">
        <f t="shared" si="38"/>
        <v>#N/A</v>
      </c>
      <c r="CF15" t="e">
        <f t="shared" si="38"/>
        <v>#N/A</v>
      </c>
      <c r="CG15" t="e">
        <f t="shared" si="38"/>
        <v>#N/A</v>
      </c>
      <c r="CH15" t="e">
        <f t="shared" si="38"/>
        <v>#N/A</v>
      </c>
      <c r="CI15" t="e">
        <f t="shared" si="38"/>
        <v>#N/A</v>
      </c>
      <c r="CJ15" t="e">
        <f t="shared" si="38"/>
        <v>#N/A</v>
      </c>
      <c r="CK15">
        <f t="shared" si="32"/>
        <v>-0.51961524227066314</v>
      </c>
      <c r="CL15" t="str">
        <f t="shared" si="33"/>
        <v>NFR-11</v>
      </c>
      <c r="CM15">
        <f t="shared" si="34"/>
        <v>0.30000000000000004</v>
      </c>
    </row>
    <row r="16" spans="1:94" x14ac:dyDescent="0.4">
      <c r="A16" t="str">
        <f>IF(Parametri!$H15="","",Parametri!$H15)</f>
        <v>NFR-12</v>
      </c>
      <c r="B16" t="str">
        <f>IF($A16="","",Parametri!$I15)</f>
        <v>Errori operativi nei pagamenti istantanei obbligatori</v>
      </c>
      <c r="C16" t="str">
        <f>IF($A16="","",Parametri!$J15)</f>
        <v>L1-07</v>
      </c>
      <c r="D16">
        <f t="shared" si="0"/>
        <v>3</v>
      </c>
      <c r="E16">
        <f t="shared" si="1"/>
        <v>4</v>
      </c>
      <c r="F16">
        <f t="shared" si="2"/>
        <v>12</v>
      </c>
      <c r="G16">
        <f t="shared" si="3"/>
        <v>4</v>
      </c>
      <c r="H16" s="29">
        <f t="shared" si="4"/>
        <v>0.5</v>
      </c>
      <c r="I16" s="29">
        <f t="shared" si="5"/>
        <v>0.25</v>
      </c>
      <c r="J16" s="29">
        <f>IF($A16="",NA(),MAX(IF(COUNTIFS(AZ_ID_Rischio,$A16,AZ_Ciclo,cicloCorrente,AZ_Stato,"&lt;&gt;Respinta",AZ_Mesi_Orizzonte,"&gt;0")=0,moscaYDefault,_xlfn.MAXIFS(AZ_Mesi_Orizzonte,AZ_ID_Rischio,$A16,AZ_Ciclo,cicloCorrente,AZ_Stato,"&lt;&gt;Respinta")/12),N(Parametri!$M15)))</f>
        <v>0.25</v>
      </c>
      <c r="K16" s="29">
        <f t="shared" si="6"/>
        <v>0</v>
      </c>
      <c r="L16" t="str">
        <f t="shared" si="7"/>
        <v>Agire entro l'anno</v>
      </c>
      <c r="M16">
        <f t="shared" si="8"/>
        <v>6</v>
      </c>
      <c r="N16">
        <f>IF($A16="",NA(),COUNTIF($C$4:C15,C16))</f>
        <v>1</v>
      </c>
      <c r="O16">
        <f t="shared" si="9"/>
        <v>2</v>
      </c>
      <c r="P16" s="29">
        <f t="shared" si="10"/>
        <v>6.0587858319231724</v>
      </c>
      <c r="Q16" s="29">
        <f t="shared" si="11"/>
        <v>2</v>
      </c>
      <c r="R16" s="29">
        <f t="shared" si="12"/>
        <v>-0.44504186791262929</v>
      </c>
      <c r="S16" s="29">
        <f t="shared" si="13"/>
        <v>1.949855824363647</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D16">
        <f>2*PI()*11/72</f>
        <v>0.95993108859688114</v>
      </c>
      <c r="AE16">
        <f t="shared" si="20"/>
        <v>1.6383040885779834</v>
      </c>
      <c r="AF16">
        <f t="shared" si="21"/>
        <v>1.1471528727020923</v>
      </c>
      <c r="AG16">
        <f t="shared" si="22"/>
        <v>2.4574561328669748</v>
      </c>
      <c r="AH16">
        <f t="shared" si="23"/>
        <v>1.7207293090531386</v>
      </c>
      <c r="AI16">
        <f t="shared" si="24"/>
        <v>3.2766081771559668</v>
      </c>
      <c r="AJ16">
        <f t="shared" si="25"/>
        <v>2.2943057454041846</v>
      </c>
      <c r="AK16">
        <f t="shared" si="26"/>
        <v>4.0957602214449587</v>
      </c>
      <c r="AL16">
        <f t="shared" si="27"/>
        <v>2.8678821817552307</v>
      </c>
      <c r="AN16">
        <f>6.3*SIN(2*PI()*5/ROWS(codiciL1))</f>
        <v>-6.1420458467454884</v>
      </c>
      <c r="AO16">
        <f>6.3*COS(2*PI()*5/ROWS(codiciL1))</f>
        <v>-1.401881883924782</v>
      </c>
      <c r="AU16" t="e">
        <f t="shared" si="35"/>
        <v>#N/A</v>
      </c>
      <c r="AV16" t="e">
        <f t="shared" si="35"/>
        <v>#N/A</v>
      </c>
      <c r="AW16" t="e">
        <f t="shared" si="35"/>
        <v>#N/A</v>
      </c>
      <c r="AX16" t="e">
        <f t="shared" si="35"/>
        <v>#N/A</v>
      </c>
      <c r="AY16" t="e">
        <f t="shared" si="35"/>
        <v>#N/A</v>
      </c>
      <c r="AZ16" t="e">
        <f t="shared" si="35"/>
        <v>#N/A</v>
      </c>
      <c r="BA16" t="e">
        <f t="shared" si="35"/>
        <v>#N/A</v>
      </c>
      <c r="BB16" t="e">
        <f t="shared" si="35"/>
        <v>#N/A</v>
      </c>
      <c r="BC16" t="e">
        <f t="shared" si="35"/>
        <v>#N/A</v>
      </c>
      <c r="BD16" t="e">
        <f t="shared" si="35"/>
        <v>#N/A</v>
      </c>
      <c r="BE16" t="e">
        <f t="shared" si="36"/>
        <v>#N/A</v>
      </c>
      <c r="BF16" t="e">
        <f t="shared" si="36"/>
        <v>#N/A</v>
      </c>
      <c r="BG16" t="e">
        <f t="shared" si="36"/>
        <v>#N/A</v>
      </c>
      <c r="BH16" t="e">
        <f t="shared" si="36"/>
        <v>#N/A</v>
      </c>
      <c r="BI16" t="e">
        <f t="shared" si="36"/>
        <v>#N/A</v>
      </c>
      <c r="BJ16" t="e">
        <f t="shared" si="36"/>
        <v>#N/A</v>
      </c>
      <c r="BK16" t="e">
        <f t="shared" si="36"/>
        <v>#N/A</v>
      </c>
      <c r="BL16" t="e">
        <f t="shared" si="36"/>
        <v>#N/A</v>
      </c>
      <c r="BM16" t="e">
        <f t="shared" si="36"/>
        <v>#N/A</v>
      </c>
      <c r="BN16" t="e">
        <f t="shared" si="36"/>
        <v>#N/A</v>
      </c>
      <c r="BO16" t="e">
        <f t="shared" si="37"/>
        <v>#N/A</v>
      </c>
      <c r="BP16" t="e">
        <f t="shared" si="37"/>
        <v>#N/A</v>
      </c>
      <c r="BQ16" t="e">
        <f t="shared" si="37"/>
        <v>#N/A</v>
      </c>
      <c r="BR16">
        <f t="shared" si="37"/>
        <v>1.949855824363647</v>
      </c>
      <c r="BS16" t="e">
        <f t="shared" si="37"/>
        <v>#N/A</v>
      </c>
      <c r="BT16" t="e">
        <f t="shared" si="37"/>
        <v>#N/A</v>
      </c>
      <c r="BU16" t="e">
        <f t="shared" si="37"/>
        <v>#N/A</v>
      </c>
      <c r="BV16" t="e">
        <f t="shared" si="37"/>
        <v>#N/A</v>
      </c>
      <c r="BW16" t="e">
        <f t="shared" si="37"/>
        <v>#N/A</v>
      </c>
      <c r="BX16" t="e">
        <f t="shared" si="37"/>
        <v>#N/A</v>
      </c>
      <c r="BY16" t="e">
        <f t="shared" si="38"/>
        <v>#N/A</v>
      </c>
      <c r="BZ16" t="e">
        <f t="shared" si="38"/>
        <v>#N/A</v>
      </c>
      <c r="CA16" t="e">
        <f t="shared" si="38"/>
        <v>#N/A</v>
      </c>
      <c r="CB16" t="e">
        <f t="shared" si="38"/>
        <v>#N/A</v>
      </c>
      <c r="CC16" t="e">
        <f t="shared" si="38"/>
        <v>#N/A</v>
      </c>
      <c r="CD16" t="e">
        <f t="shared" si="38"/>
        <v>#N/A</v>
      </c>
      <c r="CE16" t="e">
        <f t="shared" si="38"/>
        <v>#N/A</v>
      </c>
      <c r="CF16" t="e">
        <f t="shared" si="38"/>
        <v>#N/A</v>
      </c>
      <c r="CG16" t="e">
        <f t="shared" si="38"/>
        <v>#N/A</v>
      </c>
      <c r="CH16" t="e">
        <f t="shared" si="38"/>
        <v>#N/A</v>
      </c>
      <c r="CI16" t="e">
        <f t="shared" si="38"/>
        <v>#N/A</v>
      </c>
      <c r="CJ16" t="e">
        <f t="shared" si="38"/>
        <v>#N/A</v>
      </c>
      <c r="CK16">
        <f t="shared" si="32"/>
        <v>-0.44504186791262929</v>
      </c>
      <c r="CL16" t="str">
        <f t="shared" si="33"/>
        <v>NFR-12</v>
      </c>
      <c r="CM16">
        <f t="shared" si="34"/>
        <v>1.949855824363647</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IF($A17="",NA(),MAX(IF(COUNTIFS(AZ_ID_Rischio,$A17,AZ_Ciclo,cicloCorrente,AZ_Stato,"&lt;&gt;Respinta",AZ_Mesi_Orizzonte,"&gt;0")=0,moscaYDefault,_xlfn.MAXIFS(AZ_Mesi_Orizzonte,AZ_ID_Rischio,$A17,AZ_Ciclo,cicloCorrente,AZ_Stato,"&lt;&gt;Respinta")/12),N(Parametri!$M16)))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D17">
        <f>2*PI()*12/72</f>
        <v>1.0471975511965976</v>
      </c>
      <c r="AE17">
        <f t="shared" si="20"/>
        <v>1.7320508075688772</v>
      </c>
      <c r="AF17">
        <f t="shared" si="21"/>
        <v>1.0000000000000002</v>
      </c>
      <c r="AG17">
        <f t="shared" si="22"/>
        <v>2.598076211353316</v>
      </c>
      <c r="AH17">
        <f t="shared" si="23"/>
        <v>1.5000000000000004</v>
      </c>
      <c r="AI17">
        <f t="shared" si="24"/>
        <v>3.4641016151377544</v>
      </c>
      <c r="AJ17">
        <f t="shared" si="25"/>
        <v>2.0000000000000004</v>
      </c>
      <c r="AK17">
        <f t="shared" si="26"/>
        <v>4.3301270189221928</v>
      </c>
      <c r="AL17">
        <f t="shared" si="27"/>
        <v>2.5000000000000004</v>
      </c>
      <c r="AN17">
        <v>0</v>
      </c>
      <c r="AO17">
        <v>0</v>
      </c>
      <c r="AU17" t="e">
        <f t="shared" si="35"/>
        <v>#N/A</v>
      </c>
      <c r="AV17" t="e">
        <f t="shared" si="35"/>
        <v>#N/A</v>
      </c>
      <c r="AW17" t="e">
        <f t="shared" si="35"/>
        <v>#N/A</v>
      </c>
      <c r="AX17" t="e">
        <f t="shared" si="35"/>
        <v>#N/A</v>
      </c>
      <c r="AY17" t="e">
        <f t="shared" si="35"/>
        <v>#N/A</v>
      </c>
      <c r="AZ17" t="e">
        <f t="shared" si="35"/>
        <v>#N/A</v>
      </c>
      <c r="BA17" t="e">
        <f t="shared" si="35"/>
        <v>#N/A</v>
      </c>
      <c r="BB17" t="e">
        <f t="shared" si="35"/>
        <v>#N/A</v>
      </c>
      <c r="BC17" t="e">
        <f t="shared" si="35"/>
        <v>#N/A</v>
      </c>
      <c r="BD17" t="e">
        <f t="shared" si="35"/>
        <v>#N/A</v>
      </c>
      <c r="BE17" t="e">
        <f t="shared" si="36"/>
        <v>#N/A</v>
      </c>
      <c r="BF17" t="e">
        <f t="shared" si="36"/>
        <v>#N/A</v>
      </c>
      <c r="BG17" t="e">
        <f t="shared" si="36"/>
        <v>#N/A</v>
      </c>
      <c r="BH17" t="e">
        <f t="shared" si="36"/>
        <v>#N/A</v>
      </c>
      <c r="BI17" t="e">
        <f t="shared" si="36"/>
        <v>#N/A</v>
      </c>
      <c r="BJ17" t="e">
        <f t="shared" si="36"/>
        <v>#N/A</v>
      </c>
      <c r="BK17" t="e">
        <f t="shared" si="36"/>
        <v>#N/A</v>
      </c>
      <c r="BL17" t="e">
        <f t="shared" si="36"/>
        <v>#N/A</v>
      </c>
      <c r="BM17" t="e">
        <f t="shared" si="36"/>
        <v>#N/A</v>
      </c>
      <c r="BN17" t="e">
        <f t="shared" si="36"/>
        <v>#N/A</v>
      </c>
      <c r="BO17" t="e">
        <f t="shared" si="37"/>
        <v>#N/A</v>
      </c>
      <c r="BP17" t="e">
        <f t="shared" si="37"/>
        <v>#N/A</v>
      </c>
      <c r="BQ17" t="e">
        <f t="shared" si="37"/>
        <v>#N/A</v>
      </c>
      <c r="BR17" t="e">
        <f t="shared" si="37"/>
        <v>#N/A</v>
      </c>
      <c r="BS17" t="e">
        <f t="shared" si="37"/>
        <v>#N/A</v>
      </c>
      <c r="BT17" t="e">
        <f t="shared" si="37"/>
        <v>#N/A</v>
      </c>
      <c r="BU17" t="e">
        <f t="shared" si="37"/>
        <v>#N/A</v>
      </c>
      <c r="BV17" t="e">
        <f t="shared" si="37"/>
        <v>#N/A</v>
      </c>
      <c r="BW17" t="e">
        <f t="shared" si="37"/>
        <v>#N/A</v>
      </c>
      <c r="BX17" t="e">
        <f t="shared" si="37"/>
        <v>#N/A</v>
      </c>
      <c r="BY17" t="e">
        <f t="shared" si="38"/>
        <v>#N/A</v>
      </c>
      <c r="BZ17" t="e">
        <f t="shared" si="38"/>
        <v>#N/A</v>
      </c>
      <c r="CA17" t="e">
        <f t="shared" si="38"/>
        <v>#N/A</v>
      </c>
      <c r="CB17" t="e">
        <f t="shared" si="38"/>
        <v>#N/A</v>
      </c>
      <c r="CC17" t="e">
        <f t="shared" si="38"/>
        <v>#N/A</v>
      </c>
      <c r="CD17" t="e">
        <f t="shared" si="38"/>
        <v>#N/A</v>
      </c>
      <c r="CE17" t="e">
        <f t="shared" si="38"/>
        <v>#N/A</v>
      </c>
      <c r="CF17" t="e">
        <f t="shared" si="38"/>
        <v>#N/A</v>
      </c>
      <c r="CG17" t="e">
        <f t="shared" si="38"/>
        <v>#N/A</v>
      </c>
      <c r="CH17" t="e">
        <f t="shared" si="38"/>
        <v>#N/A</v>
      </c>
      <c r="CI17" t="e">
        <f t="shared" si="38"/>
        <v>#N/A</v>
      </c>
      <c r="CJ17" t="e">
        <f t="shared" si="38"/>
        <v>#N/A</v>
      </c>
      <c r="CK17" t="e">
        <f t="shared" si="32"/>
        <v>#N/A</v>
      </c>
      <c r="CL17" t="str">
        <f t="shared" si="33"/>
        <v/>
      </c>
      <c r="CM17" t="e">
        <f t="shared" si="34"/>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IF($A18="",NA(),MAX(IF(COUNTIFS(AZ_ID_Rischio,$A18,AZ_Ciclo,cicloCorrente,AZ_Stato,"&lt;&gt;Respinta",AZ_Mesi_Orizzonte,"&gt;0")=0,moscaYDefault,_xlfn.MAXIFS(AZ_Mesi_Orizzonte,AZ_ID_Rischio,$A18,AZ_Ciclo,cicloCorrente,AZ_Stato,"&lt;&gt;Respinta")/12),N(Parametri!$M17)))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D18">
        <f>2*PI()*13/72</f>
        <v>1.1344640137963142</v>
      </c>
      <c r="AE18">
        <f t="shared" si="20"/>
        <v>1.8126155740732999</v>
      </c>
      <c r="AF18">
        <f t="shared" si="21"/>
        <v>0.84523652348139888</v>
      </c>
      <c r="AG18">
        <f t="shared" si="22"/>
        <v>2.7189233611099497</v>
      </c>
      <c r="AH18">
        <f t="shared" si="23"/>
        <v>1.2678547852220983</v>
      </c>
      <c r="AI18">
        <f t="shared" si="24"/>
        <v>3.6252311481465997</v>
      </c>
      <c r="AJ18">
        <f t="shared" si="25"/>
        <v>1.6904730469627978</v>
      </c>
      <c r="AK18">
        <f t="shared" si="26"/>
        <v>4.5315389351832494</v>
      </c>
      <c r="AL18">
        <f t="shared" si="27"/>
        <v>2.1130913087034973</v>
      </c>
      <c r="AN18">
        <f>6.3*SIN(2*PI()*6/ROWS(codiciL1))</f>
        <v>-4.9255383395485879</v>
      </c>
      <c r="AO18">
        <f>6.3*COS(2*PI()*6/ROWS(codiciL1))</f>
        <v>3.9279857517100201</v>
      </c>
      <c r="AU18" t="e">
        <f t="shared" si="35"/>
        <v>#N/A</v>
      </c>
      <c r="AV18" t="e">
        <f t="shared" si="35"/>
        <v>#N/A</v>
      </c>
      <c r="AW18" t="e">
        <f t="shared" si="35"/>
        <v>#N/A</v>
      </c>
      <c r="AX18" t="e">
        <f t="shared" si="35"/>
        <v>#N/A</v>
      </c>
      <c r="AY18" t="e">
        <f t="shared" si="35"/>
        <v>#N/A</v>
      </c>
      <c r="AZ18" t="e">
        <f t="shared" si="35"/>
        <v>#N/A</v>
      </c>
      <c r="BA18" t="e">
        <f t="shared" si="35"/>
        <v>#N/A</v>
      </c>
      <c r="BB18" t="e">
        <f t="shared" si="35"/>
        <v>#N/A</v>
      </c>
      <c r="BC18" t="e">
        <f t="shared" si="35"/>
        <v>#N/A</v>
      </c>
      <c r="BD18" t="e">
        <f t="shared" si="35"/>
        <v>#N/A</v>
      </c>
      <c r="BE18" t="e">
        <f t="shared" si="36"/>
        <v>#N/A</v>
      </c>
      <c r="BF18" t="e">
        <f t="shared" si="36"/>
        <v>#N/A</v>
      </c>
      <c r="BG18" t="e">
        <f t="shared" si="36"/>
        <v>#N/A</v>
      </c>
      <c r="BH18" t="e">
        <f t="shared" si="36"/>
        <v>#N/A</v>
      </c>
      <c r="BI18" t="e">
        <f t="shared" si="36"/>
        <v>#N/A</v>
      </c>
      <c r="BJ18" t="e">
        <f t="shared" si="36"/>
        <v>#N/A</v>
      </c>
      <c r="BK18" t="e">
        <f t="shared" si="36"/>
        <v>#N/A</v>
      </c>
      <c r="BL18" t="e">
        <f t="shared" si="36"/>
        <v>#N/A</v>
      </c>
      <c r="BM18" t="e">
        <f t="shared" si="36"/>
        <v>#N/A</v>
      </c>
      <c r="BN18" t="e">
        <f t="shared" si="36"/>
        <v>#N/A</v>
      </c>
      <c r="BO18" t="e">
        <f t="shared" si="37"/>
        <v>#N/A</v>
      </c>
      <c r="BP18" t="e">
        <f t="shared" si="37"/>
        <v>#N/A</v>
      </c>
      <c r="BQ18" t="e">
        <f t="shared" si="37"/>
        <v>#N/A</v>
      </c>
      <c r="BR18" t="e">
        <f t="shared" si="37"/>
        <v>#N/A</v>
      </c>
      <c r="BS18" t="e">
        <f t="shared" si="37"/>
        <v>#N/A</v>
      </c>
      <c r="BT18" t="e">
        <f t="shared" si="37"/>
        <v>#N/A</v>
      </c>
      <c r="BU18" t="e">
        <f t="shared" si="37"/>
        <v>#N/A</v>
      </c>
      <c r="BV18" t="e">
        <f t="shared" si="37"/>
        <v>#N/A</v>
      </c>
      <c r="BW18" t="e">
        <f t="shared" si="37"/>
        <v>#N/A</v>
      </c>
      <c r="BX18" t="e">
        <f t="shared" si="37"/>
        <v>#N/A</v>
      </c>
      <c r="BY18" t="e">
        <f t="shared" si="38"/>
        <v>#N/A</v>
      </c>
      <c r="BZ18" t="e">
        <f t="shared" si="38"/>
        <v>#N/A</v>
      </c>
      <c r="CA18" t="e">
        <f t="shared" si="38"/>
        <v>#N/A</v>
      </c>
      <c r="CB18" t="e">
        <f t="shared" si="38"/>
        <v>#N/A</v>
      </c>
      <c r="CC18" t="e">
        <f t="shared" si="38"/>
        <v>#N/A</v>
      </c>
      <c r="CD18" t="e">
        <f t="shared" si="38"/>
        <v>#N/A</v>
      </c>
      <c r="CE18" t="e">
        <f t="shared" si="38"/>
        <v>#N/A</v>
      </c>
      <c r="CF18" t="e">
        <f t="shared" si="38"/>
        <v>#N/A</v>
      </c>
      <c r="CG18" t="e">
        <f t="shared" si="38"/>
        <v>#N/A</v>
      </c>
      <c r="CH18" t="e">
        <f t="shared" si="38"/>
        <v>#N/A</v>
      </c>
      <c r="CI18" t="e">
        <f t="shared" si="38"/>
        <v>#N/A</v>
      </c>
      <c r="CJ18" t="e">
        <f t="shared" si="38"/>
        <v>#N/A</v>
      </c>
      <c r="CK18" t="e">
        <f t="shared" si="32"/>
        <v>#N/A</v>
      </c>
      <c r="CL18" t="str">
        <f t="shared" si="33"/>
        <v/>
      </c>
      <c r="CM18" t="e">
        <f t="shared" si="34"/>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IF($A19="",NA(),MAX(IF(COUNTIFS(AZ_ID_Rischio,$A19,AZ_Ciclo,cicloCorrente,AZ_Stato,"&lt;&gt;Respinta",AZ_Mesi_Orizzonte,"&gt;0")=0,moscaYDefault,_xlfn.MAXIFS(AZ_Mesi_Orizzonte,AZ_ID_Rischio,$A19,AZ_Ciclo,cicloCorrente,AZ_Stato,"&lt;&gt;Respinta")/12),N(Parametri!$M18)))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D19">
        <f>2*PI()*14/72</f>
        <v>1.2217304763960306</v>
      </c>
      <c r="AE19">
        <f t="shared" si="20"/>
        <v>1.8793852415718166</v>
      </c>
      <c r="AF19">
        <f t="shared" si="21"/>
        <v>0.68404028665133765</v>
      </c>
      <c r="AG19">
        <f t="shared" si="22"/>
        <v>2.8190778623577248</v>
      </c>
      <c r="AH19">
        <f t="shared" si="23"/>
        <v>1.0260604299770064</v>
      </c>
      <c r="AI19">
        <f t="shared" si="24"/>
        <v>3.7587704831436333</v>
      </c>
      <c r="AJ19">
        <f t="shared" si="25"/>
        <v>1.3680805733026753</v>
      </c>
      <c r="AK19">
        <f t="shared" si="26"/>
        <v>4.6984631039295417</v>
      </c>
      <c r="AL19">
        <f t="shared" si="27"/>
        <v>1.7101007166283442</v>
      </c>
      <c r="AU19" t="e">
        <f t="shared" si="35"/>
        <v>#N/A</v>
      </c>
      <c r="AV19" t="e">
        <f t="shared" si="35"/>
        <v>#N/A</v>
      </c>
      <c r="AW19" t="e">
        <f t="shared" si="35"/>
        <v>#N/A</v>
      </c>
      <c r="AX19" t="e">
        <f t="shared" si="35"/>
        <v>#N/A</v>
      </c>
      <c r="AY19" t="e">
        <f t="shared" si="35"/>
        <v>#N/A</v>
      </c>
      <c r="AZ19" t="e">
        <f t="shared" si="35"/>
        <v>#N/A</v>
      </c>
      <c r="BA19" t="e">
        <f t="shared" si="35"/>
        <v>#N/A</v>
      </c>
      <c r="BB19" t="e">
        <f t="shared" si="35"/>
        <v>#N/A</v>
      </c>
      <c r="BC19" t="e">
        <f t="shared" si="35"/>
        <v>#N/A</v>
      </c>
      <c r="BD19" t="e">
        <f t="shared" si="35"/>
        <v>#N/A</v>
      </c>
      <c r="BE19" t="e">
        <f t="shared" si="36"/>
        <v>#N/A</v>
      </c>
      <c r="BF19" t="e">
        <f t="shared" si="36"/>
        <v>#N/A</v>
      </c>
      <c r="BG19" t="e">
        <f t="shared" si="36"/>
        <v>#N/A</v>
      </c>
      <c r="BH19" t="e">
        <f t="shared" si="36"/>
        <v>#N/A</v>
      </c>
      <c r="BI19" t="e">
        <f t="shared" si="36"/>
        <v>#N/A</v>
      </c>
      <c r="BJ19" t="e">
        <f t="shared" si="36"/>
        <v>#N/A</v>
      </c>
      <c r="BK19" t="e">
        <f t="shared" si="36"/>
        <v>#N/A</v>
      </c>
      <c r="BL19" t="e">
        <f t="shared" si="36"/>
        <v>#N/A</v>
      </c>
      <c r="BM19" t="e">
        <f t="shared" si="36"/>
        <v>#N/A</v>
      </c>
      <c r="BN19" t="e">
        <f t="shared" si="36"/>
        <v>#N/A</v>
      </c>
      <c r="BO19" t="e">
        <f t="shared" si="37"/>
        <v>#N/A</v>
      </c>
      <c r="BP19" t="e">
        <f t="shared" si="37"/>
        <v>#N/A</v>
      </c>
      <c r="BQ19" t="e">
        <f t="shared" si="37"/>
        <v>#N/A</v>
      </c>
      <c r="BR19" t="e">
        <f t="shared" si="37"/>
        <v>#N/A</v>
      </c>
      <c r="BS19" t="e">
        <f t="shared" si="37"/>
        <v>#N/A</v>
      </c>
      <c r="BT19" t="e">
        <f t="shared" si="37"/>
        <v>#N/A</v>
      </c>
      <c r="BU19" t="e">
        <f t="shared" si="37"/>
        <v>#N/A</v>
      </c>
      <c r="BV19" t="e">
        <f t="shared" si="37"/>
        <v>#N/A</v>
      </c>
      <c r="BW19" t="e">
        <f t="shared" si="37"/>
        <v>#N/A</v>
      </c>
      <c r="BX19" t="e">
        <f t="shared" si="37"/>
        <v>#N/A</v>
      </c>
      <c r="BY19" t="e">
        <f t="shared" si="38"/>
        <v>#N/A</v>
      </c>
      <c r="BZ19" t="e">
        <f t="shared" si="38"/>
        <v>#N/A</v>
      </c>
      <c r="CA19" t="e">
        <f t="shared" si="38"/>
        <v>#N/A</v>
      </c>
      <c r="CB19" t="e">
        <f t="shared" si="38"/>
        <v>#N/A</v>
      </c>
      <c r="CC19" t="e">
        <f t="shared" si="38"/>
        <v>#N/A</v>
      </c>
      <c r="CD19" t="e">
        <f t="shared" si="38"/>
        <v>#N/A</v>
      </c>
      <c r="CE19" t="e">
        <f t="shared" si="38"/>
        <v>#N/A</v>
      </c>
      <c r="CF19" t="e">
        <f t="shared" si="38"/>
        <v>#N/A</v>
      </c>
      <c r="CG19" t="e">
        <f t="shared" si="38"/>
        <v>#N/A</v>
      </c>
      <c r="CH19" t="e">
        <f t="shared" si="38"/>
        <v>#N/A</v>
      </c>
      <c r="CI19" t="e">
        <f t="shared" si="38"/>
        <v>#N/A</v>
      </c>
      <c r="CJ19" t="e">
        <f t="shared" si="38"/>
        <v>#N/A</v>
      </c>
      <c r="CK19" t="e">
        <f t="shared" si="32"/>
        <v>#N/A</v>
      </c>
      <c r="CL19" t="str">
        <f t="shared" si="33"/>
        <v/>
      </c>
      <c r="CM19" t="e">
        <f t="shared" si="34"/>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IF($A20="",NA(),MAX(IF(COUNTIFS(AZ_ID_Rischio,$A20,AZ_Ciclo,cicloCorrente,AZ_Stato,"&lt;&gt;Respinta",AZ_Mesi_Orizzonte,"&gt;0")=0,moscaYDefault,_xlfn.MAXIFS(AZ_Mesi_Orizzonte,AZ_ID_Rischio,$A20,AZ_Ciclo,cicloCorrente,AZ_Stato,"&lt;&gt;Respinta")/12),N(Parametri!$M19)))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D20">
        <f>2*PI()*15/72</f>
        <v>1.308996938995747</v>
      </c>
      <c r="AE20">
        <f t="shared" si="20"/>
        <v>1.9318516525781364</v>
      </c>
      <c r="AF20">
        <f t="shared" si="21"/>
        <v>0.51763809020504192</v>
      </c>
      <c r="AG20">
        <f t="shared" si="22"/>
        <v>2.8977774788672046</v>
      </c>
      <c r="AH20">
        <f t="shared" si="23"/>
        <v>0.77645713530756288</v>
      </c>
      <c r="AI20">
        <f t="shared" si="24"/>
        <v>3.8637033051562728</v>
      </c>
      <c r="AJ20">
        <f t="shared" si="25"/>
        <v>1.0352761804100838</v>
      </c>
      <c r="AK20">
        <f t="shared" si="26"/>
        <v>4.8296291314453406</v>
      </c>
      <c r="AL20">
        <f t="shared" si="27"/>
        <v>1.2940952255126048</v>
      </c>
      <c r="AU20" t="e">
        <f t="shared" si="35"/>
        <v>#N/A</v>
      </c>
      <c r="AV20" t="e">
        <f t="shared" si="35"/>
        <v>#N/A</v>
      </c>
      <c r="AW20" t="e">
        <f t="shared" si="35"/>
        <v>#N/A</v>
      </c>
      <c r="AX20" t="e">
        <f t="shared" si="35"/>
        <v>#N/A</v>
      </c>
      <c r="AY20" t="e">
        <f t="shared" si="35"/>
        <v>#N/A</v>
      </c>
      <c r="AZ20" t="e">
        <f t="shared" si="35"/>
        <v>#N/A</v>
      </c>
      <c r="BA20" t="e">
        <f t="shared" si="35"/>
        <v>#N/A</v>
      </c>
      <c r="BB20" t="e">
        <f t="shared" si="35"/>
        <v>#N/A</v>
      </c>
      <c r="BC20" t="e">
        <f t="shared" si="35"/>
        <v>#N/A</v>
      </c>
      <c r="BD20" t="e">
        <f t="shared" si="35"/>
        <v>#N/A</v>
      </c>
      <c r="BE20" t="e">
        <f t="shared" si="36"/>
        <v>#N/A</v>
      </c>
      <c r="BF20" t="e">
        <f t="shared" si="36"/>
        <v>#N/A</v>
      </c>
      <c r="BG20" t="e">
        <f t="shared" si="36"/>
        <v>#N/A</v>
      </c>
      <c r="BH20" t="e">
        <f t="shared" si="36"/>
        <v>#N/A</v>
      </c>
      <c r="BI20" t="e">
        <f t="shared" si="36"/>
        <v>#N/A</v>
      </c>
      <c r="BJ20" t="e">
        <f t="shared" si="36"/>
        <v>#N/A</v>
      </c>
      <c r="BK20" t="e">
        <f t="shared" si="36"/>
        <v>#N/A</v>
      </c>
      <c r="BL20" t="e">
        <f t="shared" si="36"/>
        <v>#N/A</v>
      </c>
      <c r="BM20" t="e">
        <f t="shared" si="36"/>
        <v>#N/A</v>
      </c>
      <c r="BN20" t="e">
        <f t="shared" si="36"/>
        <v>#N/A</v>
      </c>
      <c r="BO20" t="e">
        <f t="shared" si="37"/>
        <v>#N/A</v>
      </c>
      <c r="BP20" t="e">
        <f t="shared" si="37"/>
        <v>#N/A</v>
      </c>
      <c r="BQ20" t="e">
        <f t="shared" si="37"/>
        <v>#N/A</v>
      </c>
      <c r="BR20" t="e">
        <f t="shared" si="37"/>
        <v>#N/A</v>
      </c>
      <c r="BS20" t="e">
        <f t="shared" si="37"/>
        <v>#N/A</v>
      </c>
      <c r="BT20" t="e">
        <f t="shared" si="37"/>
        <v>#N/A</v>
      </c>
      <c r="BU20" t="e">
        <f t="shared" si="37"/>
        <v>#N/A</v>
      </c>
      <c r="BV20" t="e">
        <f t="shared" si="37"/>
        <v>#N/A</v>
      </c>
      <c r="BW20" t="e">
        <f t="shared" si="37"/>
        <v>#N/A</v>
      </c>
      <c r="BX20" t="e">
        <f t="shared" si="37"/>
        <v>#N/A</v>
      </c>
      <c r="BY20" t="e">
        <f t="shared" si="38"/>
        <v>#N/A</v>
      </c>
      <c r="BZ20" t="e">
        <f t="shared" si="38"/>
        <v>#N/A</v>
      </c>
      <c r="CA20" t="e">
        <f t="shared" si="38"/>
        <v>#N/A</v>
      </c>
      <c r="CB20" t="e">
        <f t="shared" si="38"/>
        <v>#N/A</v>
      </c>
      <c r="CC20" t="e">
        <f t="shared" si="38"/>
        <v>#N/A</v>
      </c>
      <c r="CD20" t="e">
        <f t="shared" si="38"/>
        <v>#N/A</v>
      </c>
      <c r="CE20" t="e">
        <f t="shared" si="38"/>
        <v>#N/A</v>
      </c>
      <c r="CF20" t="e">
        <f t="shared" si="38"/>
        <v>#N/A</v>
      </c>
      <c r="CG20" t="e">
        <f t="shared" si="38"/>
        <v>#N/A</v>
      </c>
      <c r="CH20" t="e">
        <f t="shared" si="38"/>
        <v>#N/A</v>
      </c>
      <c r="CI20" t="e">
        <f t="shared" si="38"/>
        <v>#N/A</v>
      </c>
      <c r="CJ20" t="e">
        <f t="shared" si="38"/>
        <v>#N/A</v>
      </c>
      <c r="CK20" t="e">
        <f t="shared" si="32"/>
        <v>#N/A</v>
      </c>
      <c r="CL20" t="str">
        <f t="shared" si="33"/>
        <v/>
      </c>
      <c r="CM20" t="e">
        <f t="shared" si="34"/>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IF($A21="",NA(),MAX(IF(COUNTIFS(AZ_ID_Rischio,$A21,AZ_Ciclo,cicloCorrente,AZ_Stato,"&lt;&gt;Respinta",AZ_Mesi_Orizzonte,"&gt;0")=0,moscaYDefault,_xlfn.MAXIFS(AZ_Mesi_Orizzonte,AZ_ID_Rischio,$A21,AZ_Ciclo,cicloCorrente,AZ_Stato,"&lt;&gt;Respinta")/12),N(Parametri!$M20)))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D21">
        <f>2*PI()*16/72</f>
        <v>1.3962634015954636</v>
      </c>
      <c r="AE21">
        <f t="shared" si="20"/>
        <v>1.969615506024416</v>
      </c>
      <c r="AF21">
        <f t="shared" si="21"/>
        <v>0.34729635533386083</v>
      </c>
      <c r="AG21">
        <f t="shared" si="22"/>
        <v>2.9544232590366239</v>
      </c>
      <c r="AH21">
        <f t="shared" si="23"/>
        <v>0.52094453300079124</v>
      </c>
      <c r="AI21">
        <f t="shared" si="24"/>
        <v>3.9392310120488321</v>
      </c>
      <c r="AJ21">
        <f t="shared" si="25"/>
        <v>0.69459271066772166</v>
      </c>
      <c r="AK21">
        <f t="shared" si="26"/>
        <v>4.9240387650610398</v>
      </c>
      <c r="AL21">
        <f t="shared" si="27"/>
        <v>0.86824088833465207</v>
      </c>
      <c r="AU21" t="e">
        <f t="shared" si="35"/>
        <v>#N/A</v>
      </c>
      <c r="AV21" t="e">
        <f t="shared" si="35"/>
        <v>#N/A</v>
      </c>
      <c r="AW21" t="e">
        <f t="shared" si="35"/>
        <v>#N/A</v>
      </c>
      <c r="AX21" t="e">
        <f t="shared" si="35"/>
        <v>#N/A</v>
      </c>
      <c r="AY21" t="e">
        <f t="shared" si="35"/>
        <v>#N/A</v>
      </c>
      <c r="AZ21" t="e">
        <f t="shared" si="35"/>
        <v>#N/A</v>
      </c>
      <c r="BA21" t="e">
        <f t="shared" si="35"/>
        <v>#N/A</v>
      </c>
      <c r="BB21" t="e">
        <f t="shared" si="35"/>
        <v>#N/A</v>
      </c>
      <c r="BC21" t="e">
        <f t="shared" si="35"/>
        <v>#N/A</v>
      </c>
      <c r="BD21" t="e">
        <f t="shared" si="35"/>
        <v>#N/A</v>
      </c>
      <c r="BE21" t="e">
        <f t="shared" si="36"/>
        <v>#N/A</v>
      </c>
      <c r="BF21" t="e">
        <f t="shared" si="36"/>
        <v>#N/A</v>
      </c>
      <c r="BG21" t="e">
        <f t="shared" si="36"/>
        <v>#N/A</v>
      </c>
      <c r="BH21" t="e">
        <f t="shared" si="36"/>
        <v>#N/A</v>
      </c>
      <c r="BI21" t="e">
        <f t="shared" si="36"/>
        <v>#N/A</v>
      </c>
      <c r="BJ21" t="e">
        <f t="shared" si="36"/>
        <v>#N/A</v>
      </c>
      <c r="BK21" t="e">
        <f t="shared" si="36"/>
        <v>#N/A</v>
      </c>
      <c r="BL21" t="e">
        <f t="shared" si="36"/>
        <v>#N/A</v>
      </c>
      <c r="BM21" t="e">
        <f t="shared" si="36"/>
        <v>#N/A</v>
      </c>
      <c r="BN21" t="e">
        <f t="shared" si="36"/>
        <v>#N/A</v>
      </c>
      <c r="BO21" t="e">
        <f t="shared" si="37"/>
        <v>#N/A</v>
      </c>
      <c r="BP21" t="e">
        <f t="shared" si="37"/>
        <v>#N/A</v>
      </c>
      <c r="BQ21" t="e">
        <f t="shared" si="37"/>
        <v>#N/A</v>
      </c>
      <c r="BR21" t="e">
        <f t="shared" si="37"/>
        <v>#N/A</v>
      </c>
      <c r="BS21" t="e">
        <f t="shared" si="37"/>
        <v>#N/A</v>
      </c>
      <c r="BT21" t="e">
        <f t="shared" si="37"/>
        <v>#N/A</v>
      </c>
      <c r="BU21" t="e">
        <f t="shared" si="37"/>
        <v>#N/A</v>
      </c>
      <c r="BV21" t="e">
        <f t="shared" si="37"/>
        <v>#N/A</v>
      </c>
      <c r="BW21" t="e">
        <f t="shared" si="37"/>
        <v>#N/A</v>
      </c>
      <c r="BX21" t="e">
        <f t="shared" si="37"/>
        <v>#N/A</v>
      </c>
      <c r="BY21" t="e">
        <f t="shared" si="38"/>
        <v>#N/A</v>
      </c>
      <c r="BZ21" t="e">
        <f t="shared" si="38"/>
        <v>#N/A</v>
      </c>
      <c r="CA21" t="e">
        <f t="shared" si="38"/>
        <v>#N/A</v>
      </c>
      <c r="CB21" t="e">
        <f t="shared" si="38"/>
        <v>#N/A</v>
      </c>
      <c r="CC21" t="e">
        <f t="shared" si="38"/>
        <v>#N/A</v>
      </c>
      <c r="CD21" t="e">
        <f t="shared" si="38"/>
        <v>#N/A</v>
      </c>
      <c r="CE21" t="e">
        <f t="shared" si="38"/>
        <v>#N/A</v>
      </c>
      <c r="CF21" t="e">
        <f t="shared" si="38"/>
        <v>#N/A</v>
      </c>
      <c r="CG21" t="e">
        <f t="shared" si="38"/>
        <v>#N/A</v>
      </c>
      <c r="CH21" t="e">
        <f t="shared" si="38"/>
        <v>#N/A</v>
      </c>
      <c r="CI21" t="e">
        <f t="shared" si="38"/>
        <v>#N/A</v>
      </c>
      <c r="CJ21" t="e">
        <f t="shared" si="38"/>
        <v>#N/A</v>
      </c>
      <c r="CK21" t="e">
        <f t="shared" si="32"/>
        <v>#N/A</v>
      </c>
      <c r="CL21" t="str">
        <f t="shared" si="33"/>
        <v/>
      </c>
      <c r="CM21" t="e">
        <f t="shared" si="34"/>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IF($A22="",NA(),MAX(IF(COUNTIFS(AZ_ID_Rischio,$A22,AZ_Ciclo,cicloCorrente,AZ_Stato,"&lt;&gt;Respinta",AZ_Mesi_Orizzonte,"&gt;0")=0,moscaYDefault,_xlfn.MAXIFS(AZ_Mesi_Orizzonte,AZ_ID_Rischio,$A22,AZ_Ciclo,cicloCorrente,AZ_Stato,"&lt;&gt;Respinta")/12),N(Parametri!$M21)))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D22">
        <f>2*PI()*17/72</f>
        <v>1.4835298641951802</v>
      </c>
      <c r="AE22">
        <f t="shared" si="20"/>
        <v>1.9923893961834911</v>
      </c>
      <c r="AF22">
        <f t="shared" si="21"/>
        <v>0.17431148549531628</v>
      </c>
      <c r="AG22">
        <f t="shared" si="22"/>
        <v>2.9885840942752369</v>
      </c>
      <c r="AH22">
        <f t="shared" si="23"/>
        <v>0.26146722824297441</v>
      </c>
      <c r="AI22">
        <f t="shared" si="24"/>
        <v>3.9847787923669822</v>
      </c>
      <c r="AJ22">
        <f t="shared" si="25"/>
        <v>0.34862297099063255</v>
      </c>
      <c r="AK22">
        <f t="shared" si="26"/>
        <v>4.9809734904587275</v>
      </c>
      <c r="AL22">
        <f t="shared" si="27"/>
        <v>0.43577871373829069</v>
      </c>
      <c r="AU22" t="e">
        <f t="shared" si="35"/>
        <v>#N/A</v>
      </c>
      <c r="AV22" t="e">
        <f t="shared" si="35"/>
        <v>#N/A</v>
      </c>
      <c r="AW22" t="e">
        <f t="shared" si="35"/>
        <v>#N/A</v>
      </c>
      <c r="AX22" t="e">
        <f t="shared" si="35"/>
        <v>#N/A</v>
      </c>
      <c r="AY22" t="e">
        <f t="shared" si="35"/>
        <v>#N/A</v>
      </c>
      <c r="AZ22" t="e">
        <f t="shared" si="35"/>
        <v>#N/A</v>
      </c>
      <c r="BA22" t="e">
        <f t="shared" si="35"/>
        <v>#N/A</v>
      </c>
      <c r="BB22" t="e">
        <f t="shared" si="35"/>
        <v>#N/A</v>
      </c>
      <c r="BC22" t="e">
        <f t="shared" si="35"/>
        <v>#N/A</v>
      </c>
      <c r="BD22" t="e">
        <f t="shared" si="35"/>
        <v>#N/A</v>
      </c>
      <c r="BE22" t="e">
        <f t="shared" si="36"/>
        <v>#N/A</v>
      </c>
      <c r="BF22" t="e">
        <f t="shared" si="36"/>
        <v>#N/A</v>
      </c>
      <c r="BG22" t="e">
        <f t="shared" si="36"/>
        <v>#N/A</v>
      </c>
      <c r="BH22" t="e">
        <f t="shared" si="36"/>
        <v>#N/A</v>
      </c>
      <c r="BI22" t="e">
        <f t="shared" si="36"/>
        <v>#N/A</v>
      </c>
      <c r="BJ22" t="e">
        <f t="shared" si="36"/>
        <v>#N/A</v>
      </c>
      <c r="BK22" t="e">
        <f t="shared" si="36"/>
        <v>#N/A</v>
      </c>
      <c r="BL22" t="e">
        <f t="shared" si="36"/>
        <v>#N/A</v>
      </c>
      <c r="BM22" t="e">
        <f t="shared" si="36"/>
        <v>#N/A</v>
      </c>
      <c r="BN22" t="e">
        <f t="shared" si="36"/>
        <v>#N/A</v>
      </c>
      <c r="BO22" t="e">
        <f t="shared" si="37"/>
        <v>#N/A</v>
      </c>
      <c r="BP22" t="e">
        <f t="shared" si="37"/>
        <v>#N/A</v>
      </c>
      <c r="BQ22" t="e">
        <f t="shared" si="37"/>
        <v>#N/A</v>
      </c>
      <c r="BR22" t="e">
        <f t="shared" si="37"/>
        <v>#N/A</v>
      </c>
      <c r="BS22" t="e">
        <f t="shared" si="37"/>
        <v>#N/A</v>
      </c>
      <c r="BT22" t="e">
        <f t="shared" si="37"/>
        <v>#N/A</v>
      </c>
      <c r="BU22" t="e">
        <f t="shared" si="37"/>
        <v>#N/A</v>
      </c>
      <c r="BV22" t="e">
        <f t="shared" si="37"/>
        <v>#N/A</v>
      </c>
      <c r="BW22" t="e">
        <f t="shared" si="37"/>
        <v>#N/A</v>
      </c>
      <c r="BX22" t="e">
        <f t="shared" si="37"/>
        <v>#N/A</v>
      </c>
      <c r="BY22" t="e">
        <f t="shared" si="38"/>
        <v>#N/A</v>
      </c>
      <c r="BZ22" t="e">
        <f t="shared" si="38"/>
        <v>#N/A</v>
      </c>
      <c r="CA22" t="e">
        <f t="shared" si="38"/>
        <v>#N/A</v>
      </c>
      <c r="CB22" t="e">
        <f t="shared" si="38"/>
        <v>#N/A</v>
      </c>
      <c r="CC22" t="e">
        <f t="shared" si="38"/>
        <v>#N/A</v>
      </c>
      <c r="CD22" t="e">
        <f t="shared" si="38"/>
        <v>#N/A</v>
      </c>
      <c r="CE22" t="e">
        <f t="shared" si="38"/>
        <v>#N/A</v>
      </c>
      <c r="CF22" t="e">
        <f t="shared" si="38"/>
        <v>#N/A</v>
      </c>
      <c r="CG22" t="e">
        <f t="shared" si="38"/>
        <v>#N/A</v>
      </c>
      <c r="CH22" t="e">
        <f t="shared" si="38"/>
        <v>#N/A</v>
      </c>
      <c r="CI22" t="e">
        <f t="shared" si="38"/>
        <v>#N/A</v>
      </c>
      <c r="CJ22" t="e">
        <f t="shared" si="38"/>
        <v>#N/A</v>
      </c>
      <c r="CK22" t="e">
        <f t="shared" si="32"/>
        <v>#N/A</v>
      </c>
      <c r="CL22" t="str">
        <f t="shared" si="33"/>
        <v/>
      </c>
      <c r="CM22" t="e">
        <f t="shared" si="34"/>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IF($A23="",NA(),MAX(IF(COUNTIFS(AZ_ID_Rischio,$A23,AZ_Ciclo,cicloCorrente,AZ_Stato,"&lt;&gt;Respinta",AZ_Mesi_Orizzonte,"&gt;0")=0,moscaYDefault,_xlfn.MAXIFS(AZ_Mesi_Orizzonte,AZ_ID_Rischio,$A23,AZ_Ciclo,cicloCorrente,AZ_Stato,"&lt;&gt;Respinta")/12),N(Parametri!$M22)))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D23">
        <f>2*PI()*18/72</f>
        <v>1.5707963267948966</v>
      </c>
      <c r="AE23">
        <f t="shared" si="20"/>
        <v>2</v>
      </c>
      <c r="AF23">
        <f t="shared" si="21"/>
        <v>1.22514845490862E-16</v>
      </c>
      <c r="AG23">
        <f t="shared" si="22"/>
        <v>3</v>
      </c>
      <c r="AH23">
        <f t="shared" si="23"/>
        <v>1.83772268236293E-16</v>
      </c>
      <c r="AI23">
        <f t="shared" si="24"/>
        <v>4</v>
      </c>
      <c r="AJ23">
        <f t="shared" si="25"/>
        <v>2.45029690981724E-16</v>
      </c>
      <c r="AK23">
        <f t="shared" si="26"/>
        <v>5</v>
      </c>
      <c r="AL23">
        <f t="shared" si="27"/>
        <v>3.06287113727155E-16</v>
      </c>
      <c r="AU23" t="e">
        <f t="shared" si="35"/>
        <v>#N/A</v>
      </c>
      <c r="AV23" t="e">
        <f t="shared" si="35"/>
        <v>#N/A</v>
      </c>
      <c r="AW23" t="e">
        <f t="shared" si="35"/>
        <v>#N/A</v>
      </c>
      <c r="AX23" t="e">
        <f t="shared" si="35"/>
        <v>#N/A</v>
      </c>
      <c r="AY23" t="e">
        <f t="shared" si="35"/>
        <v>#N/A</v>
      </c>
      <c r="AZ23" t="e">
        <f t="shared" si="35"/>
        <v>#N/A</v>
      </c>
      <c r="BA23" t="e">
        <f t="shared" si="35"/>
        <v>#N/A</v>
      </c>
      <c r="BB23" t="e">
        <f t="shared" si="35"/>
        <v>#N/A</v>
      </c>
      <c r="BC23" t="e">
        <f t="shared" si="35"/>
        <v>#N/A</v>
      </c>
      <c r="BD23" t="e">
        <f t="shared" si="35"/>
        <v>#N/A</v>
      </c>
      <c r="BE23" t="e">
        <f t="shared" si="36"/>
        <v>#N/A</v>
      </c>
      <c r="BF23" t="e">
        <f t="shared" si="36"/>
        <v>#N/A</v>
      </c>
      <c r="BG23" t="e">
        <f t="shared" si="36"/>
        <v>#N/A</v>
      </c>
      <c r="BH23" t="e">
        <f t="shared" si="36"/>
        <v>#N/A</v>
      </c>
      <c r="BI23" t="e">
        <f t="shared" si="36"/>
        <v>#N/A</v>
      </c>
      <c r="BJ23" t="e">
        <f t="shared" si="36"/>
        <v>#N/A</v>
      </c>
      <c r="BK23" t="e">
        <f t="shared" si="36"/>
        <v>#N/A</v>
      </c>
      <c r="BL23" t="e">
        <f t="shared" si="36"/>
        <v>#N/A</v>
      </c>
      <c r="BM23" t="e">
        <f t="shared" si="36"/>
        <v>#N/A</v>
      </c>
      <c r="BN23" t="e">
        <f t="shared" si="36"/>
        <v>#N/A</v>
      </c>
      <c r="BO23" t="e">
        <f t="shared" si="37"/>
        <v>#N/A</v>
      </c>
      <c r="BP23" t="e">
        <f t="shared" si="37"/>
        <v>#N/A</v>
      </c>
      <c r="BQ23" t="e">
        <f t="shared" si="37"/>
        <v>#N/A</v>
      </c>
      <c r="BR23" t="e">
        <f t="shared" si="37"/>
        <v>#N/A</v>
      </c>
      <c r="BS23" t="e">
        <f t="shared" si="37"/>
        <v>#N/A</v>
      </c>
      <c r="BT23" t="e">
        <f t="shared" si="37"/>
        <v>#N/A</v>
      </c>
      <c r="BU23" t="e">
        <f t="shared" si="37"/>
        <v>#N/A</v>
      </c>
      <c r="BV23" t="e">
        <f t="shared" si="37"/>
        <v>#N/A</v>
      </c>
      <c r="BW23" t="e">
        <f t="shared" si="37"/>
        <v>#N/A</v>
      </c>
      <c r="BX23" t="e">
        <f t="shared" si="37"/>
        <v>#N/A</v>
      </c>
      <c r="BY23" t="e">
        <f t="shared" si="38"/>
        <v>#N/A</v>
      </c>
      <c r="BZ23" t="e">
        <f t="shared" si="38"/>
        <v>#N/A</v>
      </c>
      <c r="CA23" t="e">
        <f t="shared" si="38"/>
        <v>#N/A</v>
      </c>
      <c r="CB23" t="e">
        <f t="shared" si="38"/>
        <v>#N/A</v>
      </c>
      <c r="CC23" t="e">
        <f t="shared" si="38"/>
        <v>#N/A</v>
      </c>
      <c r="CD23" t="e">
        <f t="shared" si="38"/>
        <v>#N/A</v>
      </c>
      <c r="CE23" t="e">
        <f t="shared" si="38"/>
        <v>#N/A</v>
      </c>
      <c r="CF23" t="e">
        <f t="shared" si="38"/>
        <v>#N/A</v>
      </c>
      <c r="CG23" t="e">
        <f t="shared" si="38"/>
        <v>#N/A</v>
      </c>
      <c r="CH23" t="e">
        <f t="shared" si="38"/>
        <v>#N/A</v>
      </c>
      <c r="CI23" t="e">
        <f t="shared" si="38"/>
        <v>#N/A</v>
      </c>
      <c r="CJ23" t="e">
        <f t="shared" si="38"/>
        <v>#N/A</v>
      </c>
      <c r="CK23" t="e">
        <f t="shared" si="32"/>
        <v>#N/A</v>
      </c>
      <c r="CL23" t="str">
        <f t="shared" si="33"/>
        <v/>
      </c>
      <c r="CM23" t="e">
        <f t="shared" si="34"/>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IF($A24="",NA(),MAX(IF(COUNTIFS(AZ_ID_Rischio,$A24,AZ_Ciclo,cicloCorrente,AZ_Stato,"&lt;&gt;Respinta",AZ_Mesi_Orizzonte,"&gt;0")=0,moscaYDefault,_xlfn.MAXIFS(AZ_Mesi_Orizzonte,AZ_ID_Rischio,$A24,AZ_Ciclo,cicloCorrente,AZ_Stato,"&lt;&gt;Respinta")/12),N(Parametri!$M23)))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D24">
        <f>2*PI()*19/72</f>
        <v>1.6580627893946129</v>
      </c>
      <c r="AE24">
        <f t="shared" si="20"/>
        <v>1.9923893961834911</v>
      </c>
      <c r="AF24">
        <f t="shared" si="21"/>
        <v>-0.17431148549531603</v>
      </c>
      <c r="AG24">
        <f t="shared" si="22"/>
        <v>2.9885840942752369</v>
      </c>
      <c r="AH24">
        <f t="shared" si="23"/>
        <v>-0.26146722824297403</v>
      </c>
      <c r="AI24">
        <f t="shared" si="24"/>
        <v>3.9847787923669822</v>
      </c>
      <c r="AJ24">
        <f t="shared" si="25"/>
        <v>-0.34862297099063205</v>
      </c>
      <c r="AK24">
        <f t="shared" si="26"/>
        <v>4.9809734904587275</v>
      </c>
      <c r="AL24">
        <f t="shared" si="27"/>
        <v>-0.43577871373829008</v>
      </c>
      <c r="AU24" t="e">
        <f t="shared" si="35"/>
        <v>#N/A</v>
      </c>
      <c r="AV24" t="e">
        <f t="shared" si="35"/>
        <v>#N/A</v>
      </c>
      <c r="AW24" t="e">
        <f t="shared" si="35"/>
        <v>#N/A</v>
      </c>
      <c r="AX24" t="e">
        <f t="shared" si="35"/>
        <v>#N/A</v>
      </c>
      <c r="AY24" t="e">
        <f t="shared" si="35"/>
        <v>#N/A</v>
      </c>
      <c r="AZ24" t="e">
        <f t="shared" si="35"/>
        <v>#N/A</v>
      </c>
      <c r="BA24" t="e">
        <f t="shared" si="35"/>
        <v>#N/A</v>
      </c>
      <c r="BB24" t="e">
        <f t="shared" si="35"/>
        <v>#N/A</v>
      </c>
      <c r="BC24" t="e">
        <f t="shared" si="35"/>
        <v>#N/A</v>
      </c>
      <c r="BD24" t="e">
        <f t="shared" si="35"/>
        <v>#N/A</v>
      </c>
      <c r="BE24" t="e">
        <f t="shared" si="36"/>
        <v>#N/A</v>
      </c>
      <c r="BF24" t="e">
        <f t="shared" si="36"/>
        <v>#N/A</v>
      </c>
      <c r="BG24" t="e">
        <f t="shared" si="36"/>
        <v>#N/A</v>
      </c>
      <c r="BH24" t="e">
        <f t="shared" si="36"/>
        <v>#N/A</v>
      </c>
      <c r="BI24" t="e">
        <f t="shared" si="36"/>
        <v>#N/A</v>
      </c>
      <c r="BJ24" t="e">
        <f t="shared" si="36"/>
        <v>#N/A</v>
      </c>
      <c r="BK24" t="e">
        <f t="shared" si="36"/>
        <v>#N/A</v>
      </c>
      <c r="BL24" t="e">
        <f t="shared" si="36"/>
        <v>#N/A</v>
      </c>
      <c r="BM24" t="e">
        <f t="shared" si="36"/>
        <v>#N/A</v>
      </c>
      <c r="BN24" t="e">
        <f t="shared" si="36"/>
        <v>#N/A</v>
      </c>
      <c r="BO24" t="e">
        <f t="shared" si="37"/>
        <v>#N/A</v>
      </c>
      <c r="BP24" t="e">
        <f t="shared" si="37"/>
        <v>#N/A</v>
      </c>
      <c r="BQ24" t="e">
        <f t="shared" si="37"/>
        <v>#N/A</v>
      </c>
      <c r="BR24" t="e">
        <f t="shared" si="37"/>
        <v>#N/A</v>
      </c>
      <c r="BS24" t="e">
        <f t="shared" si="37"/>
        <v>#N/A</v>
      </c>
      <c r="BT24" t="e">
        <f t="shared" si="37"/>
        <v>#N/A</v>
      </c>
      <c r="BU24" t="e">
        <f t="shared" si="37"/>
        <v>#N/A</v>
      </c>
      <c r="BV24" t="e">
        <f t="shared" si="37"/>
        <v>#N/A</v>
      </c>
      <c r="BW24" t="e">
        <f t="shared" si="37"/>
        <v>#N/A</v>
      </c>
      <c r="BX24" t="e">
        <f t="shared" si="37"/>
        <v>#N/A</v>
      </c>
      <c r="BY24" t="e">
        <f t="shared" si="38"/>
        <v>#N/A</v>
      </c>
      <c r="BZ24" t="e">
        <f t="shared" si="38"/>
        <v>#N/A</v>
      </c>
      <c r="CA24" t="e">
        <f t="shared" si="38"/>
        <v>#N/A</v>
      </c>
      <c r="CB24" t="e">
        <f t="shared" si="38"/>
        <v>#N/A</v>
      </c>
      <c r="CC24" t="e">
        <f t="shared" si="38"/>
        <v>#N/A</v>
      </c>
      <c r="CD24" t="e">
        <f t="shared" si="38"/>
        <v>#N/A</v>
      </c>
      <c r="CE24" t="e">
        <f t="shared" si="38"/>
        <v>#N/A</v>
      </c>
      <c r="CF24" t="e">
        <f t="shared" si="38"/>
        <v>#N/A</v>
      </c>
      <c r="CG24" t="e">
        <f t="shared" si="38"/>
        <v>#N/A</v>
      </c>
      <c r="CH24" t="e">
        <f t="shared" si="38"/>
        <v>#N/A</v>
      </c>
      <c r="CI24" t="e">
        <f t="shared" si="38"/>
        <v>#N/A</v>
      </c>
      <c r="CJ24" t="e">
        <f t="shared" si="38"/>
        <v>#N/A</v>
      </c>
      <c r="CK24" t="e">
        <f t="shared" si="32"/>
        <v>#N/A</v>
      </c>
      <c r="CL24" t="str">
        <f t="shared" si="33"/>
        <v/>
      </c>
      <c r="CM24" t="e">
        <f t="shared" si="34"/>
        <v>#N/A</v>
      </c>
    </row>
    <row r="25" spans="1:91" x14ac:dyDescent="0.4">
      <c r="AD25">
        <f>2*PI()*20/72</f>
        <v>1.7453292519943295</v>
      </c>
      <c r="AE25">
        <f t="shared" si="20"/>
        <v>1.969615506024416</v>
      </c>
      <c r="AF25">
        <f t="shared" si="21"/>
        <v>-0.34729635533386061</v>
      </c>
      <c r="AG25">
        <f t="shared" si="22"/>
        <v>2.9544232590366239</v>
      </c>
      <c r="AH25">
        <f t="shared" si="23"/>
        <v>-0.52094453300079091</v>
      </c>
      <c r="AI25">
        <f t="shared" si="24"/>
        <v>3.9392310120488321</v>
      </c>
      <c r="AJ25">
        <f t="shared" si="25"/>
        <v>-0.69459271066772121</v>
      </c>
      <c r="AK25">
        <f t="shared" si="26"/>
        <v>4.9240387650610398</v>
      </c>
      <c r="AL25">
        <f t="shared" si="27"/>
        <v>-0.86824088833465152</v>
      </c>
    </row>
    <row r="26" spans="1:91" ht="48" customHeight="1" x14ac:dyDescent="0.4">
      <c r="A26" s="142" t="s">
        <v>216</v>
      </c>
      <c r="B26" s="116"/>
      <c r="C26" s="116"/>
      <c r="D26" s="116"/>
      <c r="E26" s="116"/>
      <c r="F26" s="116"/>
      <c r="G26" s="116"/>
      <c r="H26" s="116"/>
      <c r="I26" s="116"/>
      <c r="J26" s="116"/>
      <c r="K26" s="116"/>
      <c r="L26" s="116"/>
      <c r="AD26">
        <f>2*PI()*21/72</f>
        <v>1.8325957145940461</v>
      </c>
      <c r="AE26">
        <f t="shared" si="20"/>
        <v>1.9318516525781366</v>
      </c>
      <c r="AF26">
        <f t="shared" si="21"/>
        <v>-0.5176380902050417</v>
      </c>
      <c r="AG26">
        <f t="shared" si="22"/>
        <v>2.897777478867205</v>
      </c>
      <c r="AH26">
        <f t="shared" si="23"/>
        <v>-0.77645713530756255</v>
      </c>
      <c r="AI26">
        <f t="shared" si="24"/>
        <v>3.8637033051562732</v>
      </c>
      <c r="AJ26">
        <f t="shared" si="25"/>
        <v>-1.0352761804100834</v>
      </c>
      <c r="AK26">
        <f t="shared" si="26"/>
        <v>4.8296291314453415</v>
      </c>
      <c r="AL26">
        <f t="shared" si="27"/>
        <v>-1.2940952255126041</v>
      </c>
    </row>
    <row r="27" spans="1:91" x14ac:dyDescent="0.4">
      <c r="AD27">
        <f>2*PI()*22/72</f>
        <v>1.9198621771937623</v>
      </c>
      <c r="AE27">
        <f t="shared" si="20"/>
        <v>1.8793852415718169</v>
      </c>
      <c r="AF27">
        <f t="shared" si="21"/>
        <v>-0.68404028665133698</v>
      </c>
      <c r="AG27">
        <f t="shared" si="22"/>
        <v>2.8190778623577253</v>
      </c>
      <c r="AH27">
        <f t="shared" si="23"/>
        <v>-1.0260604299770055</v>
      </c>
      <c r="AI27">
        <f t="shared" si="24"/>
        <v>3.7587704831436337</v>
      </c>
      <c r="AJ27">
        <f t="shared" si="25"/>
        <v>-1.368080573302674</v>
      </c>
      <c r="AK27">
        <f t="shared" si="26"/>
        <v>4.6984631039295426</v>
      </c>
      <c r="AL27">
        <f t="shared" si="27"/>
        <v>-1.7101007166283424</v>
      </c>
    </row>
    <row r="28" spans="1:91" x14ac:dyDescent="0.4">
      <c r="AD28">
        <f>2*PI()*23/72</f>
        <v>2.0071286397934789</v>
      </c>
      <c r="AE28">
        <f t="shared" si="20"/>
        <v>1.8126155740733001</v>
      </c>
      <c r="AF28">
        <f t="shared" si="21"/>
        <v>-0.84523652348139866</v>
      </c>
      <c r="AG28">
        <f t="shared" si="22"/>
        <v>2.7189233611099501</v>
      </c>
      <c r="AH28">
        <f t="shared" si="23"/>
        <v>-1.267854785222098</v>
      </c>
      <c r="AI28">
        <f t="shared" si="24"/>
        <v>3.6252311481466002</v>
      </c>
      <c r="AJ28">
        <f t="shared" si="25"/>
        <v>-1.6904730469627973</v>
      </c>
      <c r="AK28">
        <f t="shared" si="26"/>
        <v>4.5315389351832502</v>
      </c>
      <c r="AL28">
        <f t="shared" si="27"/>
        <v>-2.1130913087034968</v>
      </c>
    </row>
    <row r="29" spans="1:91" x14ac:dyDescent="0.4">
      <c r="AD29">
        <f>2*PI()*24/72</f>
        <v>2.0943951023931953</v>
      </c>
      <c r="AE29">
        <f t="shared" si="20"/>
        <v>1.7320508075688774</v>
      </c>
      <c r="AF29">
        <f t="shared" si="21"/>
        <v>-0.99999999999999956</v>
      </c>
      <c r="AG29">
        <f t="shared" si="22"/>
        <v>2.598076211353316</v>
      </c>
      <c r="AH29">
        <f t="shared" si="23"/>
        <v>-1.4999999999999993</v>
      </c>
      <c r="AI29">
        <f t="shared" si="24"/>
        <v>3.4641016151377548</v>
      </c>
      <c r="AJ29">
        <f t="shared" si="25"/>
        <v>-1.9999999999999991</v>
      </c>
      <c r="AK29">
        <f t="shared" si="26"/>
        <v>4.3301270189221936</v>
      </c>
      <c r="AL29">
        <f t="shared" si="27"/>
        <v>-2.4999999999999991</v>
      </c>
    </row>
    <row r="30" spans="1:91" x14ac:dyDescent="0.4">
      <c r="AD30">
        <f>2*PI()*25/72</f>
        <v>2.1816615649929121</v>
      </c>
      <c r="AE30">
        <f t="shared" si="20"/>
        <v>1.6383040885779834</v>
      </c>
      <c r="AF30">
        <f t="shared" si="21"/>
        <v>-1.1471528727020923</v>
      </c>
      <c r="AG30">
        <f t="shared" si="22"/>
        <v>2.4574561328669748</v>
      </c>
      <c r="AH30">
        <f t="shared" si="23"/>
        <v>-1.7207293090531386</v>
      </c>
      <c r="AI30">
        <f t="shared" si="24"/>
        <v>3.2766081771559668</v>
      </c>
      <c r="AJ30">
        <f t="shared" si="25"/>
        <v>-2.2943057454041846</v>
      </c>
      <c r="AK30">
        <f t="shared" si="26"/>
        <v>4.0957602214449587</v>
      </c>
      <c r="AL30">
        <f t="shared" si="27"/>
        <v>-2.8678821817552307</v>
      </c>
    </row>
    <row r="31" spans="1:91" x14ac:dyDescent="0.4">
      <c r="AD31">
        <f>2*PI()*26/72</f>
        <v>2.2689280275926285</v>
      </c>
      <c r="AE31">
        <f t="shared" si="20"/>
        <v>1.532088886237956</v>
      </c>
      <c r="AF31">
        <f t="shared" si="21"/>
        <v>-1.2855752193730787</v>
      </c>
      <c r="AG31">
        <f t="shared" si="22"/>
        <v>2.2981333293569342</v>
      </c>
      <c r="AH31">
        <f t="shared" si="23"/>
        <v>-1.9283628290596182</v>
      </c>
      <c r="AI31">
        <f t="shared" si="24"/>
        <v>3.0641777724759121</v>
      </c>
      <c r="AJ31">
        <f t="shared" si="25"/>
        <v>-2.5711504387461575</v>
      </c>
      <c r="AK31">
        <f t="shared" si="26"/>
        <v>3.83022221559489</v>
      </c>
      <c r="AL31">
        <f t="shared" si="27"/>
        <v>-3.2139380484326967</v>
      </c>
    </row>
    <row r="32" spans="1:91" x14ac:dyDescent="0.4">
      <c r="AD32">
        <f>2*PI()*27/72</f>
        <v>2.3561944901923448</v>
      </c>
      <c r="AE32">
        <f t="shared" si="20"/>
        <v>1.4142135623730951</v>
      </c>
      <c r="AF32">
        <f t="shared" si="21"/>
        <v>-1.4142135623730949</v>
      </c>
      <c r="AG32">
        <f t="shared" si="22"/>
        <v>2.1213203435596428</v>
      </c>
      <c r="AH32">
        <f t="shared" si="23"/>
        <v>-2.1213203435596424</v>
      </c>
      <c r="AI32">
        <f t="shared" si="24"/>
        <v>2.8284271247461903</v>
      </c>
      <c r="AJ32">
        <f t="shared" si="25"/>
        <v>-2.8284271247461898</v>
      </c>
      <c r="AK32">
        <f t="shared" si="26"/>
        <v>3.5355339059327378</v>
      </c>
      <c r="AL32">
        <f t="shared" si="27"/>
        <v>-3.5355339059327373</v>
      </c>
    </row>
    <row r="33" spans="30:38" x14ac:dyDescent="0.4">
      <c r="AD33">
        <f>2*PI()*28/72</f>
        <v>2.4434609527920612</v>
      </c>
      <c r="AE33">
        <f t="shared" si="20"/>
        <v>1.2855752193730789</v>
      </c>
      <c r="AF33">
        <f t="shared" si="21"/>
        <v>-1.5320888862379558</v>
      </c>
      <c r="AG33">
        <f t="shared" si="22"/>
        <v>1.9283628290596184</v>
      </c>
      <c r="AH33">
        <f t="shared" si="23"/>
        <v>-2.2981333293569337</v>
      </c>
      <c r="AI33">
        <f t="shared" si="24"/>
        <v>2.5711504387461579</v>
      </c>
      <c r="AJ33">
        <f t="shared" si="25"/>
        <v>-3.0641777724759116</v>
      </c>
      <c r="AK33">
        <f t="shared" si="26"/>
        <v>3.2139380484326976</v>
      </c>
      <c r="AL33">
        <f t="shared" si="27"/>
        <v>-3.8302222155948895</v>
      </c>
    </row>
    <row r="34" spans="30:38" x14ac:dyDescent="0.4">
      <c r="AD34">
        <f>2*PI()*29/72</f>
        <v>2.530727415391778</v>
      </c>
      <c r="AE34">
        <f t="shared" si="20"/>
        <v>1.1471528727020919</v>
      </c>
      <c r="AF34">
        <f t="shared" si="21"/>
        <v>-1.6383040885779838</v>
      </c>
      <c r="AG34">
        <f t="shared" si="22"/>
        <v>1.7207293090531377</v>
      </c>
      <c r="AH34">
        <f t="shared" si="23"/>
        <v>-2.4574561328669757</v>
      </c>
      <c r="AI34">
        <f t="shared" si="24"/>
        <v>2.2943057454041837</v>
      </c>
      <c r="AJ34">
        <f t="shared" si="25"/>
        <v>-3.2766081771559676</v>
      </c>
      <c r="AK34">
        <f t="shared" si="26"/>
        <v>2.8678821817552298</v>
      </c>
      <c r="AL34">
        <f t="shared" si="27"/>
        <v>-4.0957602214449595</v>
      </c>
    </row>
    <row r="35" spans="30:38" x14ac:dyDescent="0.4">
      <c r="AD35">
        <f>2*PI()*30/72</f>
        <v>2.617993877991494</v>
      </c>
      <c r="AE35">
        <f t="shared" si="20"/>
        <v>1.0000000000000007</v>
      </c>
      <c r="AF35">
        <f t="shared" si="21"/>
        <v>-1.732050807568877</v>
      </c>
      <c r="AG35">
        <f t="shared" si="22"/>
        <v>1.5000000000000009</v>
      </c>
      <c r="AH35">
        <f t="shared" si="23"/>
        <v>-2.5980762113533156</v>
      </c>
      <c r="AI35">
        <f t="shared" si="24"/>
        <v>2.0000000000000013</v>
      </c>
      <c r="AJ35">
        <f t="shared" si="25"/>
        <v>-3.4641016151377539</v>
      </c>
      <c r="AK35">
        <f t="shared" si="26"/>
        <v>2.5000000000000018</v>
      </c>
      <c r="AL35">
        <f t="shared" si="27"/>
        <v>-4.3301270189221928</v>
      </c>
    </row>
    <row r="36" spans="30:38" x14ac:dyDescent="0.4">
      <c r="AD36">
        <f>2*PI()*31/72</f>
        <v>2.7052603405912108</v>
      </c>
      <c r="AE36">
        <f t="shared" si="20"/>
        <v>0.84523652348139899</v>
      </c>
      <c r="AF36">
        <f t="shared" si="21"/>
        <v>-1.8126155740732999</v>
      </c>
      <c r="AG36">
        <f t="shared" si="22"/>
        <v>1.2678547852220985</v>
      </c>
      <c r="AH36">
        <f t="shared" si="23"/>
        <v>-2.7189233611099497</v>
      </c>
      <c r="AI36">
        <f t="shared" si="24"/>
        <v>1.690473046962798</v>
      </c>
      <c r="AJ36">
        <f t="shared" si="25"/>
        <v>-3.6252311481465997</v>
      </c>
      <c r="AK36">
        <f t="shared" si="26"/>
        <v>2.1130913087034973</v>
      </c>
      <c r="AL36">
        <f t="shared" si="27"/>
        <v>-4.5315389351832494</v>
      </c>
    </row>
    <row r="37" spans="30:38" x14ac:dyDescent="0.4">
      <c r="AD37">
        <f>2*PI()*32/72</f>
        <v>2.7925268031909272</v>
      </c>
      <c r="AE37">
        <f t="shared" ref="AE37:AE68" si="39">2*SIN($AD37)</f>
        <v>0.68404028665133776</v>
      </c>
      <c r="AF37">
        <f t="shared" ref="AF37:AF68" si="40">2*COS($AD37)</f>
        <v>-1.8793852415718166</v>
      </c>
      <c r="AG37">
        <f t="shared" ref="AG37:AG68" si="41">3*SIN($AD37)</f>
        <v>1.0260604299770066</v>
      </c>
      <c r="AH37">
        <f t="shared" ref="AH37:AH68" si="42">3*COS($AD37)</f>
        <v>-2.8190778623577248</v>
      </c>
      <c r="AI37">
        <f t="shared" ref="AI37:AI68" si="43">4*SIN($AD37)</f>
        <v>1.3680805733026755</v>
      </c>
      <c r="AJ37">
        <f t="shared" ref="AJ37:AJ68" si="44">4*COS($AD37)</f>
        <v>-3.7587704831436333</v>
      </c>
      <c r="AK37">
        <f t="shared" ref="AK37:AK68" si="45">5*SIN($AD37)</f>
        <v>1.7101007166283444</v>
      </c>
      <c r="AL37">
        <f t="shared" ref="AL37:AL68" si="46">5*COS($AD37)</f>
        <v>-4.6984631039295417</v>
      </c>
    </row>
    <row r="38" spans="30:38" x14ac:dyDescent="0.4">
      <c r="AD38">
        <f>2*PI()*33/72</f>
        <v>2.879793265790644</v>
      </c>
      <c r="AE38">
        <f t="shared" si="39"/>
        <v>0.51763809020504115</v>
      </c>
      <c r="AF38">
        <f t="shared" si="40"/>
        <v>-1.9318516525781366</v>
      </c>
      <c r="AG38">
        <f t="shared" si="41"/>
        <v>0.77645713530756177</v>
      </c>
      <c r="AH38">
        <f t="shared" si="42"/>
        <v>-2.897777478867205</v>
      </c>
      <c r="AI38">
        <f t="shared" si="43"/>
        <v>1.0352761804100823</v>
      </c>
      <c r="AJ38">
        <f t="shared" si="44"/>
        <v>-3.8637033051562732</v>
      </c>
      <c r="AK38">
        <f t="shared" si="45"/>
        <v>1.2940952255126028</v>
      </c>
      <c r="AL38">
        <f t="shared" si="46"/>
        <v>-4.8296291314453415</v>
      </c>
    </row>
    <row r="39" spans="30:38" x14ac:dyDescent="0.4">
      <c r="AD39">
        <f>2*PI()*34/72</f>
        <v>2.9670597283903604</v>
      </c>
      <c r="AE39">
        <f t="shared" si="39"/>
        <v>0.34729635533386055</v>
      </c>
      <c r="AF39">
        <f t="shared" si="40"/>
        <v>-1.969615506024416</v>
      </c>
      <c r="AG39">
        <f t="shared" si="41"/>
        <v>0.5209445330007908</v>
      </c>
      <c r="AH39">
        <f t="shared" si="42"/>
        <v>-2.9544232590366239</v>
      </c>
      <c r="AI39">
        <f t="shared" si="43"/>
        <v>0.6945927106677211</v>
      </c>
      <c r="AJ39">
        <f t="shared" si="44"/>
        <v>-3.9392310120488321</v>
      </c>
      <c r="AK39">
        <f t="shared" si="45"/>
        <v>0.86824088833465141</v>
      </c>
      <c r="AL39">
        <f t="shared" si="46"/>
        <v>-4.9240387650610398</v>
      </c>
    </row>
    <row r="40" spans="30:38" x14ac:dyDescent="0.4">
      <c r="AD40">
        <f>2*PI()*35/72</f>
        <v>3.0543261909900767</v>
      </c>
      <c r="AE40">
        <f t="shared" si="39"/>
        <v>0.17431148549531639</v>
      </c>
      <c r="AF40">
        <f t="shared" si="40"/>
        <v>-1.9923893961834911</v>
      </c>
      <c r="AG40">
        <f t="shared" si="41"/>
        <v>0.26146722824297458</v>
      </c>
      <c r="AH40">
        <f t="shared" si="42"/>
        <v>-2.9885840942752369</v>
      </c>
      <c r="AI40">
        <f t="shared" si="43"/>
        <v>0.34862297099063277</v>
      </c>
      <c r="AJ40">
        <f t="shared" si="44"/>
        <v>-3.9847787923669822</v>
      </c>
      <c r="AK40">
        <f t="shared" si="45"/>
        <v>0.43577871373829097</v>
      </c>
      <c r="AL40">
        <f t="shared" si="46"/>
        <v>-4.9809734904587275</v>
      </c>
    </row>
    <row r="41" spans="30:38" x14ac:dyDescent="0.4">
      <c r="AD41">
        <f>2*PI()*36/72</f>
        <v>3.1415926535897931</v>
      </c>
      <c r="AE41">
        <f t="shared" si="39"/>
        <v>2.45029690981724E-16</v>
      </c>
      <c r="AF41">
        <f t="shared" si="40"/>
        <v>-2</v>
      </c>
      <c r="AG41">
        <f t="shared" si="41"/>
        <v>3.67544536472586E-16</v>
      </c>
      <c r="AH41">
        <f t="shared" si="42"/>
        <v>-3</v>
      </c>
      <c r="AI41">
        <f t="shared" si="43"/>
        <v>4.90059381963448E-16</v>
      </c>
      <c r="AJ41">
        <f t="shared" si="44"/>
        <v>-4</v>
      </c>
      <c r="AK41">
        <f t="shared" si="45"/>
        <v>6.1257422745431001E-16</v>
      </c>
      <c r="AL41">
        <f t="shared" si="46"/>
        <v>-5</v>
      </c>
    </row>
    <row r="42" spans="30:38" x14ac:dyDescent="0.4">
      <c r="AD42">
        <f>2*PI()*37/72</f>
        <v>3.2288591161895095</v>
      </c>
      <c r="AE42">
        <f t="shared" si="39"/>
        <v>-0.17431148549531589</v>
      </c>
      <c r="AF42">
        <f t="shared" si="40"/>
        <v>-1.9923893961834911</v>
      </c>
      <c r="AG42">
        <f t="shared" si="41"/>
        <v>-0.26146722824297386</v>
      </c>
      <c r="AH42">
        <f t="shared" si="42"/>
        <v>-2.9885840942752369</v>
      </c>
      <c r="AI42">
        <f t="shared" si="43"/>
        <v>-0.34862297099063178</v>
      </c>
      <c r="AJ42">
        <f t="shared" si="44"/>
        <v>-3.9847787923669822</v>
      </c>
      <c r="AK42">
        <f t="shared" si="45"/>
        <v>-0.43577871373828969</v>
      </c>
      <c r="AL42">
        <f t="shared" si="46"/>
        <v>-4.9809734904587275</v>
      </c>
    </row>
    <row r="43" spans="30:38" x14ac:dyDescent="0.4">
      <c r="AD43">
        <f>2*PI()*38/72</f>
        <v>3.3161255787892259</v>
      </c>
      <c r="AE43">
        <f t="shared" si="39"/>
        <v>-0.34729635533386005</v>
      </c>
      <c r="AF43">
        <f t="shared" si="40"/>
        <v>-1.9696155060244163</v>
      </c>
      <c r="AG43">
        <f t="shared" si="41"/>
        <v>-0.52094453300079002</v>
      </c>
      <c r="AH43">
        <f t="shared" si="42"/>
        <v>-2.9544232590366244</v>
      </c>
      <c r="AI43">
        <f t="shared" si="43"/>
        <v>-0.6945927106677201</v>
      </c>
      <c r="AJ43">
        <f t="shared" si="44"/>
        <v>-3.9392310120488325</v>
      </c>
      <c r="AK43">
        <f t="shared" si="45"/>
        <v>-0.86824088833465018</v>
      </c>
      <c r="AL43">
        <f t="shared" si="46"/>
        <v>-4.9240387650610407</v>
      </c>
    </row>
    <row r="44" spans="30:38" x14ac:dyDescent="0.4">
      <c r="AD44">
        <f>2*PI()*39/72</f>
        <v>3.4033920413889422</v>
      </c>
      <c r="AE44">
        <f t="shared" si="39"/>
        <v>-0.5176380902050407</v>
      </c>
      <c r="AF44">
        <f t="shared" si="40"/>
        <v>-1.9318516525781368</v>
      </c>
      <c r="AG44">
        <f t="shared" si="41"/>
        <v>-0.77645713530756111</v>
      </c>
      <c r="AH44">
        <f t="shared" si="42"/>
        <v>-2.897777478867205</v>
      </c>
      <c r="AI44">
        <f t="shared" si="43"/>
        <v>-1.0352761804100814</v>
      </c>
      <c r="AJ44">
        <f t="shared" si="44"/>
        <v>-3.8637033051562737</v>
      </c>
      <c r="AK44">
        <f t="shared" si="45"/>
        <v>-1.2940952255126017</v>
      </c>
      <c r="AL44">
        <f t="shared" si="46"/>
        <v>-4.8296291314453423</v>
      </c>
    </row>
    <row r="45" spans="30:38" x14ac:dyDescent="0.4">
      <c r="AD45">
        <f>2*PI()*40/72</f>
        <v>3.4906585039886591</v>
      </c>
      <c r="AE45">
        <f t="shared" si="39"/>
        <v>-0.68404028665133731</v>
      </c>
      <c r="AF45">
        <f t="shared" si="40"/>
        <v>-1.8793852415718169</v>
      </c>
      <c r="AG45">
        <f t="shared" si="41"/>
        <v>-1.026060429977006</v>
      </c>
      <c r="AH45">
        <f t="shared" si="42"/>
        <v>-2.8190778623577253</v>
      </c>
      <c r="AI45">
        <f t="shared" si="43"/>
        <v>-1.3680805733026746</v>
      </c>
      <c r="AJ45">
        <f t="shared" si="44"/>
        <v>-3.7587704831436337</v>
      </c>
      <c r="AK45">
        <f t="shared" si="45"/>
        <v>-1.7101007166283433</v>
      </c>
      <c r="AL45">
        <f t="shared" si="46"/>
        <v>-4.6984631039295426</v>
      </c>
    </row>
    <row r="46" spans="30:38" x14ac:dyDescent="0.4">
      <c r="AD46">
        <f>2*PI()*41/72</f>
        <v>3.577924966588375</v>
      </c>
      <c r="AE46">
        <f t="shared" si="39"/>
        <v>-0.84523652348139777</v>
      </c>
      <c r="AF46">
        <f t="shared" si="40"/>
        <v>-1.8126155740733005</v>
      </c>
      <c r="AG46">
        <f t="shared" si="41"/>
        <v>-1.2678547852220967</v>
      </c>
      <c r="AH46">
        <f t="shared" si="42"/>
        <v>-2.718923361109951</v>
      </c>
      <c r="AI46">
        <f t="shared" si="43"/>
        <v>-1.6904730469627955</v>
      </c>
      <c r="AJ46">
        <f t="shared" si="44"/>
        <v>-3.6252311481466011</v>
      </c>
      <c r="AK46">
        <f t="shared" si="45"/>
        <v>-2.1130913087034946</v>
      </c>
      <c r="AL46">
        <f t="shared" si="46"/>
        <v>-4.5315389351832511</v>
      </c>
    </row>
    <row r="47" spans="30:38" x14ac:dyDescent="0.4">
      <c r="AD47">
        <f>2*PI()*42/72</f>
        <v>3.6651914291880923</v>
      </c>
      <c r="AE47">
        <f t="shared" si="39"/>
        <v>-1.0000000000000002</v>
      </c>
      <c r="AF47">
        <f t="shared" si="40"/>
        <v>-1.7320508075688772</v>
      </c>
      <c r="AG47">
        <f t="shared" si="41"/>
        <v>-1.5000000000000004</v>
      </c>
      <c r="AH47">
        <f t="shared" si="42"/>
        <v>-2.598076211353316</v>
      </c>
      <c r="AI47">
        <f t="shared" si="43"/>
        <v>-2.0000000000000004</v>
      </c>
      <c r="AJ47">
        <f t="shared" si="44"/>
        <v>-3.4641016151377544</v>
      </c>
      <c r="AK47">
        <f t="shared" si="45"/>
        <v>-2.5000000000000004</v>
      </c>
      <c r="AL47">
        <f t="shared" si="46"/>
        <v>-4.3301270189221928</v>
      </c>
    </row>
    <row r="48" spans="30:38" x14ac:dyDescent="0.4">
      <c r="AD48">
        <f>2*PI()*43/72</f>
        <v>3.7524578917878082</v>
      </c>
      <c r="AE48">
        <f t="shared" si="39"/>
        <v>-1.1471528727020917</v>
      </c>
      <c r="AF48">
        <f t="shared" si="40"/>
        <v>-1.638304088577984</v>
      </c>
      <c r="AG48">
        <f t="shared" si="41"/>
        <v>-1.7207293090531375</v>
      </c>
      <c r="AH48">
        <f t="shared" si="42"/>
        <v>-2.4574561328669762</v>
      </c>
      <c r="AI48">
        <f t="shared" si="43"/>
        <v>-2.2943057454041833</v>
      </c>
      <c r="AJ48">
        <f t="shared" si="44"/>
        <v>-3.2766081771559681</v>
      </c>
      <c r="AK48">
        <f t="shared" si="45"/>
        <v>-2.8678821817552294</v>
      </c>
      <c r="AL48">
        <f t="shared" si="46"/>
        <v>-4.0957602214449604</v>
      </c>
    </row>
    <row r="49" spans="30:38" x14ac:dyDescent="0.4">
      <c r="AD49">
        <f>2*PI()*44/72</f>
        <v>3.8397243543875246</v>
      </c>
      <c r="AE49">
        <f t="shared" si="39"/>
        <v>-1.2855752193730778</v>
      </c>
      <c r="AF49">
        <f t="shared" si="40"/>
        <v>-1.5320888862379567</v>
      </c>
      <c r="AG49">
        <f t="shared" si="41"/>
        <v>-1.9283628290596169</v>
      </c>
      <c r="AH49">
        <f t="shared" si="42"/>
        <v>-2.298133329356935</v>
      </c>
      <c r="AI49">
        <f t="shared" si="43"/>
        <v>-2.5711504387461557</v>
      </c>
      <c r="AJ49">
        <f t="shared" si="44"/>
        <v>-3.0641777724759134</v>
      </c>
      <c r="AK49">
        <f t="shared" si="45"/>
        <v>-3.2139380484326945</v>
      </c>
      <c r="AL49">
        <f t="shared" si="46"/>
        <v>-3.8302222155948917</v>
      </c>
    </row>
    <row r="50" spans="30:38" x14ac:dyDescent="0.4">
      <c r="AD50">
        <f>2*PI()*45/72</f>
        <v>3.9269908169872414</v>
      </c>
      <c r="AE50">
        <f t="shared" si="39"/>
        <v>-1.4142135623730949</v>
      </c>
      <c r="AF50">
        <f t="shared" si="40"/>
        <v>-1.4142135623730954</v>
      </c>
      <c r="AG50">
        <f t="shared" si="41"/>
        <v>-2.1213203435596424</v>
      </c>
      <c r="AH50">
        <f t="shared" si="42"/>
        <v>-2.1213203435596428</v>
      </c>
      <c r="AI50">
        <f t="shared" si="43"/>
        <v>-2.8284271247461898</v>
      </c>
      <c r="AJ50">
        <f t="shared" si="44"/>
        <v>-2.8284271247461907</v>
      </c>
      <c r="AK50">
        <f t="shared" si="45"/>
        <v>-3.5355339059327373</v>
      </c>
      <c r="AL50">
        <f t="shared" si="46"/>
        <v>-3.5355339059327386</v>
      </c>
    </row>
    <row r="51" spans="30:38" x14ac:dyDescent="0.4">
      <c r="AD51">
        <f>2*PI()*46/72</f>
        <v>4.0142572795869578</v>
      </c>
      <c r="AE51">
        <f t="shared" si="39"/>
        <v>-1.5320888862379558</v>
      </c>
      <c r="AF51">
        <f t="shared" si="40"/>
        <v>-1.2855752193730789</v>
      </c>
      <c r="AG51">
        <f t="shared" si="41"/>
        <v>-2.2981333293569337</v>
      </c>
      <c r="AH51">
        <f t="shared" si="42"/>
        <v>-1.9283628290596184</v>
      </c>
      <c r="AI51">
        <f t="shared" si="43"/>
        <v>-3.0641777724759116</v>
      </c>
      <c r="AJ51">
        <f t="shared" si="44"/>
        <v>-2.5711504387461579</v>
      </c>
      <c r="AK51">
        <f t="shared" si="45"/>
        <v>-3.8302222155948895</v>
      </c>
      <c r="AL51">
        <f t="shared" si="46"/>
        <v>-3.2139380484326976</v>
      </c>
    </row>
    <row r="52" spans="30:38" x14ac:dyDescent="0.4">
      <c r="AD52">
        <f>2*PI()*47/72</f>
        <v>4.101523742186675</v>
      </c>
      <c r="AE52">
        <f t="shared" si="39"/>
        <v>-1.6383040885779843</v>
      </c>
      <c r="AF52">
        <f t="shared" si="40"/>
        <v>-1.1471528727020914</v>
      </c>
      <c r="AG52">
        <f t="shared" si="41"/>
        <v>-2.4574561328669766</v>
      </c>
      <c r="AH52">
        <f t="shared" si="42"/>
        <v>-1.7207293090531373</v>
      </c>
      <c r="AI52">
        <f t="shared" si="43"/>
        <v>-3.2766081771559685</v>
      </c>
      <c r="AJ52">
        <f t="shared" si="44"/>
        <v>-2.2943057454041829</v>
      </c>
      <c r="AK52">
        <f t="shared" si="45"/>
        <v>-4.0957602214449604</v>
      </c>
      <c r="AL52">
        <f t="shared" si="46"/>
        <v>-2.8678821817552285</v>
      </c>
    </row>
    <row r="53" spans="30:38" x14ac:dyDescent="0.4">
      <c r="AD53">
        <f>2*PI()*48/72</f>
        <v>4.1887902047863905</v>
      </c>
      <c r="AE53">
        <f t="shared" si="39"/>
        <v>-1.7320508075688767</v>
      </c>
      <c r="AF53">
        <f t="shared" si="40"/>
        <v>-1.0000000000000009</v>
      </c>
      <c r="AG53">
        <f t="shared" si="41"/>
        <v>-2.5980762113533151</v>
      </c>
      <c r="AH53">
        <f t="shared" si="42"/>
        <v>-1.5000000000000013</v>
      </c>
      <c r="AI53">
        <f t="shared" si="43"/>
        <v>-3.4641016151377535</v>
      </c>
      <c r="AJ53">
        <f t="shared" si="44"/>
        <v>-2.0000000000000018</v>
      </c>
      <c r="AK53">
        <f t="shared" si="45"/>
        <v>-4.3301270189221919</v>
      </c>
      <c r="AL53">
        <f t="shared" si="46"/>
        <v>-2.5000000000000022</v>
      </c>
    </row>
    <row r="54" spans="30:38" x14ac:dyDescent="0.4">
      <c r="AD54">
        <f>2*PI()*49/72</f>
        <v>4.2760566673861069</v>
      </c>
      <c r="AE54">
        <f t="shared" si="39"/>
        <v>-1.8126155740732994</v>
      </c>
      <c r="AF54">
        <f t="shared" si="40"/>
        <v>-0.84523652348139988</v>
      </c>
      <c r="AG54">
        <f t="shared" si="41"/>
        <v>-2.7189233611099493</v>
      </c>
      <c r="AH54">
        <f t="shared" si="42"/>
        <v>-1.2678547852220998</v>
      </c>
      <c r="AI54">
        <f t="shared" si="43"/>
        <v>-3.6252311481465989</v>
      </c>
      <c r="AJ54">
        <f t="shared" si="44"/>
        <v>-1.6904730469627998</v>
      </c>
      <c r="AK54">
        <f t="shared" si="45"/>
        <v>-4.5315389351832485</v>
      </c>
      <c r="AL54">
        <f t="shared" si="46"/>
        <v>-2.1130913087034999</v>
      </c>
    </row>
    <row r="55" spans="30:38" x14ac:dyDescent="0.4">
      <c r="AD55">
        <f>2*PI()*50/72</f>
        <v>4.3633231299858242</v>
      </c>
      <c r="AE55">
        <f t="shared" si="39"/>
        <v>-1.8793852415718169</v>
      </c>
      <c r="AF55">
        <f t="shared" si="40"/>
        <v>-0.68404028665133709</v>
      </c>
      <c r="AG55">
        <f t="shared" si="41"/>
        <v>-2.8190778623577253</v>
      </c>
      <c r="AH55">
        <f t="shared" si="42"/>
        <v>-1.0260604299770058</v>
      </c>
      <c r="AI55">
        <f t="shared" si="43"/>
        <v>-3.7587704831436337</v>
      </c>
      <c r="AJ55">
        <f t="shared" si="44"/>
        <v>-1.3680805733026742</v>
      </c>
      <c r="AK55">
        <f t="shared" si="45"/>
        <v>-4.6984631039295426</v>
      </c>
      <c r="AL55">
        <f t="shared" si="46"/>
        <v>-1.7101007166283426</v>
      </c>
    </row>
    <row r="56" spans="30:38" x14ac:dyDescent="0.4">
      <c r="AD56">
        <f>2*PI()*51/72</f>
        <v>4.4505895925855405</v>
      </c>
      <c r="AE56">
        <f t="shared" si="39"/>
        <v>-1.9318516525781366</v>
      </c>
      <c r="AF56">
        <f t="shared" si="40"/>
        <v>-0.51763809020504126</v>
      </c>
      <c r="AG56">
        <f t="shared" si="41"/>
        <v>-2.897777478867205</v>
      </c>
      <c r="AH56">
        <f t="shared" si="42"/>
        <v>-0.77645713530756189</v>
      </c>
      <c r="AI56">
        <f t="shared" si="43"/>
        <v>-3.8637033051562732</v>
      </c>
      <c r="AJ56">
        <f t="shared" si="44"/>
        <v>-1.0352761804100825</v>
      </c>
      <c r="AK56">
        <f t="shared" si="45"/>
        <v>-4.8296291314453415</v>
      </c>
      <c r="AL56">
        <f t="shared" si="46"/>
        <v>-1.2940952255126033</v>
      </c>
    </row>
    <row r="57" spans="30:38" x14ac:dyDescent="0.4">
      <c r="AD57">
        <f>2*PI()*52/72</f>
        <v>4.5378560551852569</v>
      </c>
      <c r="AE57">
        <f t="shared" si="39"/>
        <v>-1.969615506024416</v>
      </c>
      <c r="AF57">
        <f t="shared" si="40"/>
        <v>-0.34729635533386066</v>
      </c>
      <c r="AG57">
        <f t="shared" si="41"/>
        <v>-2.9544232590366239</v>
      </c>
      <c r="AH57">
        <f t="shared" si="42"/>
        <v>-0.52094453300079102</v>
      </c>
      <c r="AI57">
        <f t="shared" si="43"/>
        <v>-3.9392310120488321</v>
      </c>
      <c r="AJ57">
        <f t="shared" si="44"/>
        <v>-0.69459271066772132</v>
      </c>
      <c r="AK57">
        <f t="shared" si="45"/>
        <v>-4.9240387650610398</v>
      </c>
      <c r="AL57">
        <f t="shared" si="46"/>
        <v>-0.86824088833465163</v>
      </c>
    </row>
    <row r="58" spans="30:38" x14ac:dyDescent="0.4">
      <c r="AD58">
        <f>2*PI()*53/72</f>
        <v>4.6251225177849733</v>
      </c>
      <c r="AE58">
        <f t="shared" si="39"/>
        <v>-1.9923893961834911</v>
      </c>
      <c r="AF58">
        <f t="shared" si="40"/>
        <v>-0.1743114854953165</v>
      </c>
      <c r="AG58">
        <f t="shared" si="41"/>
        <v>-2.9885840942752369</v>
      </c>
      <c r="AH58">
        <f t="shared" si="42"/>
        <v>-0.26146722824297475</v>
      </c>
      <c r="AI58">
        <f t="shared" si="43"/>
        <v>-3.9847787923669822</v>
      </c>
      <c r="AJ58">
        <f t="shared" si="44"/>
        <v>-0.348622970990633</v>
      </c>
      <c r="AK58">
        <f t="shared" si="45"/>
        <v>-4.9809734904587275</v>
      </c>
      <c r="AL58">
        <f t="shared" si="46"/>
        <v>-0.43577871373829125</v>
      </c>
    </row>
    <row r="59" spans="30:38" x14ac:dyDescent="0.4">
      <c r="AD59">
        <f>2*PI()*54/72</f>
        <v>4.7123889803846897</v>
      </c>
      <c r="AE59">
        <f t="shared" si="39"/>
        <v>-2</v>
      </c>
      <c r="AF59">
        <f t="shared" si="40"/>
        <v>-3.67544536472586E-16</v>
      </c>
      <c r="AG59">
        <f t="shared" si="41"/>
        <v>-3</v>
      </c>
      <c r="AH59">
        <f t="shared" si="42"/>
        <v>-5.51316804708879E-16</v>
      </c>
      <c r="AI59">
        <f t="shared" si="43"/>
        <v>-4</v>
      </c>
      <c r="AJ59">
        <f t="shared" si="44"/>
        <v>-7.3508907294517201E-16</v>
      </c>
      <c r="AK59">
        <f t="shared" si="45"/>
        <v>-5</v>
      </c>
      <c r="AL59">
        <f t="shared" si="46"/>
        <v>-9.1886134118146501E-16</v>
      </c>
    </row>
    <row r="60" spans="30:38" x14ac:dyDescent="0.4">
      <c r="AD60">
        <f>2*PI()*55/72</f>
        <v>4.7996554429844061</v>
      </c>
      <c r="AE60">
        <f t="shared" si="39"/>
        <v>-1.9923893961834911</v>
      </c>
      <c r="AF60">
        <f t="shared" si="40"/>
        <v>0.17431148549531578</v>
      </c>
      <c r="AG60">
        <f t="shared" si="41"/>
        <v>-2.9885840942752369</v>
      </c>
      <c r="AH60">
        <f t="shared" si="42"/>
        <v>0.26146722824297364</v>
      </c>
      <c r="AI60">
        <f t="shared" si="43"/>
        <v>-3.9847787923669822</v>
      </c>
      <c r="AJ60">
        <f t="shared" si="44"/>
        <v>0.34862297099063155</v>
      </c>
      <c r="AK60">
        <f t="shared" si="45"/>
        <v>-4.9809734904587275</v>
      </c>
      <c r="AL60">
        <f t="shared" si="46"/>
        <v>0.43577871373828947</v>
      </c>
    </row>
    <row r="61" spans="30:38" x14ac:dyDescent="0.4">
      <c r="AD61">
        <f>2*PI()*56/72</f>
        <v>4.8869219055841224</v>
      </c>
      <c r="AE61">
        <f t="shared" si="39"/>
        <v>-1.9696155060244163</v>
      </c>
      <c r="AF61">
        <f t="shared" si="40"/>
        <v>0.34729635533385994</v>
      </c>
      <c r="AG61">
        <f t="shared" si="41"/>
        <v>-2.9544232590366244</v>
      </c>
      <c r="AH61">
        <f t="shared" si="42"/>
        <v>0.52094453300078991</v>
      </c>
      <c r="AI61">
        <f t="shared" si="43"/>
        <v>-3.9392310120488325</v>
      </c>
      <c r="AJ61">
        <f t="shared" si="44"/>
        <v>0.69459271066771988</v>
      </c>
      <c r="AK61">
        <f t="shared" si="45"/>
        <v>-4.9240387650610407</v>
      </c>
      <c r="AL61">
        <f t="shared" si="46"/>
        <v>0.86824088833464985</v>
      </c>
    </row>
    <row r="62" spans="30:38" x14ac:dyDescent="0.4">
      <c r="AD62">
        <f>2*PI()*57/72</f>
        <v>4.9741883681838388</v>
      </c>
      <c r="AE62">
        <f t="shared" si="39"/>
        <v>-1.9318516525781368</v>
      </c>
      <c r="AF62">
        <f t="shared" si="40"/>
        <v>0.51763809020504059</v>
      </c>
      <c r="AG62">
        <f t="shared" si="41"/>
        <v>-2.897777478867205</v>
      </c>
      <c r="AH62">
        <f t="shared" si="42"/>
        <v>0.77645713530756089</v>
      </c>
      <c r="AI62">
        <f t="shared" si="43"/>
        <v>-3.8637033051562737</v>
      </c>
      <c r="AJ62">
        <f t="shared" si="44"/>
        <v>1.0352761804100812</v>
      </c>
      <c r="AK62">
        <f t="shared" si="45"/>
        <v>-4.8296291314453423</v>
      </c>
      <c r="AL62">
        <f t="shared" si="46"/>
        <v>1.2940952255126015</v>
      </c>
    </row>
    <row r="63" spans="30:38" x14ac:dyDescent="0.4">
      <c r="AD63">
        <f>2*PI()*58/72</f>
        <v>5.0614548307835561</v>
      </c>
      <c r="AE63">
        <f t="shared" si="39"/>
        <v>-1.8793852415718166</v>
      </c>
      <c r="AF63">
        <f t="shared" si="40"/>
        <v>0.68404028665133798</v>
      </c>
      <c r="AG63">
        <f t="shared" si="41"/>
        <v>-2.8190778623577248</v>
      </c>
      <c r="AH63">
        <f t="shared" si="42"/>
        <v>1.0260604299770071</v>
      </c>
      <c r="AI63">
        <f t="shared" si="43"/>
        <v>-3.7587704831436333</v>
      </c>
      <c r="AJ63">
        <f t="shared" si="44"/>
        <v>1.368080573302676</v>
      </c>
      <c r="AK63">
        <f t="shared" si="45"/>
        <v>-4.6984631039295417</v>
      </c>
      <c r="AL63">
        <f t="shared" si="46"/>
        <v>1.7101007166283448</v>
      </c>
    </row>
    <row r="64" spans="30:38" x14ac:dyDescent="0.4">
      <c r="AD64">
        <f>2*PI()*59/72</f>
        <v>5.1487212933832716</v>
      </c>
      <c r="AE64">
        <f t="shared" si="39"/>
        <v>-1.8126155740733005</v>
      </c>
      <c r="AF64">
        <f t="shared" si="40"/>
        <v>0.84523652348139766</v>
      </c>
      <c r="AG64">
        <f t="shared" si="41"/>
        <v>-2.718923361109951</v>
      </c>
      <c r="AH64">
        <f t="shared" si="42"/>
        <v>1.2678547852220965</v>
      </c>
      <c r="AI64">
        <f t="shared" si="43"/>
        <v>-3.6252311481466011</v>
      </c>
      <c r="AJ64">
        <f t="shared" si="44"/>
        <v>1.6904730469627953</v>
      </c>
      <c r="AK64">
        <f t="shared" si="45"/>
        <v>-4.5315389351832511</v>
      </c>
      <c r="AL64">
        <f t="shared" si="46"/>
        <v>2.1130913087034942</v>
      </c>
    </row>
    <row r="65" spans="30:38" x14ac:dyDescent="0.4">
      <c r="AD65">
        <f>2*PI()*60/72</f>
        <v>5.2359877559829879</v>
      </c>
      <c r="AE65">
        <f t="shared" si="39"/>
        <v>-1.7320508075688781</v>
      </c>
      <c r="AF65">
        <f t="shared" si="40"/>
        <v>0.99999999999999867</v>
      </c>
      <c r="AG65">
        <f t="shared" si="41"/>
        <v>-2.5980762113533169</v>
      </c>
      <c r="AH65">
        <f t="shared" si="42"/>
        <v>1.499999999999998</v>
      </c>
      <c r="AI65">
        <f t="shared" si="43"/>
        <v>-3.4641016151377562</v>
      </c>
      <c r="AJ65">
        <f t="shared" si="44"/>
        <v>1.9999999999999973</v>
      </c>
      <c r="AK65">
        <f t="shared" si="45"/>
        <v>-4.3301270189221954</v>
      </c>
      <c r="AL65">
        <f t="shared" si="46"/>
        <v>2.4999999999999964</v>
      </c>
    </row>
    <row r="66" spans="30:38" x14ac:dyDescent="0.4">
      <c r="AD66">
        <f>2*PI()*61/72</f>
        <v>5.3232542185827052</v>
      </c>
      <c r="AE66">
        <f t="shared" si="39"/>
        <v>-1.6383040885779836</v>
      </c>
      <c r="AF66">
        <f t="shared" si="40"/>
        <v>1.1471528727020921</v>
      </c>
      <c r="AG66">
        <f t="shared" si="41"/>
        <v>-2.4574561328669753</v>
      </c>
      <c r="AH66">
        <f t="shared" si="42"/>
        <v>1.7207293090531381</v>
      </c>
      <c r="AI66">
        <f t="shared" si="43"/>
        <v>-3.2766081771559672</v>
      </c>
      <c r="AJ66">
        <f t="shared" si="44"/>
        <v>2.2943057454041842</v>
      </c>
      <c r="AK66">
        <f t="shared" si="45"/>
        <v>-4.0957602214449587</v>
      </c>
      <c r="AL66">
        <f t="shared" si="46"/>
        <v>2.8678821817552302</v>
      </c>
    </row>
    <row r="67" spans="30:38" x14ac:dyDescent="0.4">
      <c r="AD67">
        <f>2*PI()*62/72</f>
        <v>5.4105206811824216</v>
      </c>
      <c r="AE67">
        <f t="shared" si="39"/>
        <v>-1.5320888862379562</v>
      </c>
      <c r="AF67">
        <f t="shared" si="40"/>
        <v>1.2855752193730785</v>
      </c>
      <c r="AG67">
        <f t="shared" si="41"/>
        <v>-2.2981333293569346</v>
      </c>
      <c r="AH67">
        <f t="shared" si="42"/>
        <v>1.9283628290596178</v>
      </c>
      <c r="AI67">
        <f t="shared" si="43"/>
        <v>-3.0641777724759125</v>
      </c>
      <c r="AJ67">
        <f t="shared" si="44"/>
        <v>2.571150438746157</v>
      </c>
      <c r="AK67">
        <f t="shared" si="45"/>
        <v>-3.8302222155948904</v>
      </c>
      <c r="AL67">
        <f t="shared" si="46"/>
        <v>3.2139380484326963</v>
      </c>
    </row>
    <row r="68" spans="30:38" x14ac:dyDescent="0.4">
      <c r="AD68">
        <f>2*PI()*63/72</f>
        <v>5.497787143782138</v>
      </c>
      <c r="AE68">
        <f t="shared" si="39"/>
        <v>-1.4142135623730954</v>
      </c>
      <c r="AF68">
        <f t="shared" si="40"/>
        <v>1.4142135623730947</v>
      </c>
      <c r="AG68">
        <f t="shared" si="41"/>
        <v>-2.1213203435596428</v>
      </c>
      <c r="AH68">
        <f t="shared" si="42"/>
        <v>2.1213203435596419</v>
      </c>
      <c r="AI68">
        <f t="shared" si="43"/>
        <v>-2.8284271247461907</v>
      </c>
      <c r="AJ68">
        <f t="shared" si="44"/>
        <v>2.8284271247461894</v>
      </c>
      <c r="AK68">
        <f t="shared" si="45"/>
        <v>-3.5355339059327386</v>
      </c>
      <c r="AL68">
        <f t="shared" si="46"/>
        <v>3.5355339059327369</v>
      </c>
    </row>
    <row r="69" spans="30:38" x14ac:dyDescent="0.4">
      <c r="AD69">
        <f>2*PI()*64/72</f>
        <v>5.5850536063818543</v>
      </c>
      <c r="AE69">
        <f t="shared" ref="AE69:AE77" si="47">2*SIN($AD69)</f>
        <v>-1.2855752193730792</v>
      </c>
      <c r="AF69">
        <f t="shared" ref="AF69:AF77" si="48">2*COS($AD69)</f>
        <v>1.5320888862379556</v>
      </c>
      <c r="AG69">
        <f t="shared" ref="AG69:AG77" si="49">3*SIN($AD69)</f>
        <v>-1.9283628290596186</v>
      </c>
      <c r="AH69">
        <f t="shared" ref="AH69:AH77" si="50">3*COS($AD69)</f>
        <v>2.2981333293569333</v>
      </c>
      <c r="AI69">
        <f t="shared" ref="AI69:AI77" si="51">4*SIN($AD69)</f>
        <v>-2.5711504387461583</v>
      </c>
      <c r="AJ69">
        <f t="shared" ref="AJ69:AJ77" si="52">4*COS($AD69)</f>
        <v>3.0641777724759112</v>
      </c>
      <c r="AK69">
        <f t="shared" ref="AK69:AK77" si="53">5*SIN($AD69)</f>
        <v>-3.213938048432698</v>
      </c>
      <c r="AL69">
        <f t="shared" ref="AL69:AL77" si="54">5*COS($AD69)</f>
        <v>3.8302222155948891</v>
      </c>
    </row>
    <row r="70" spans="30:38" x14ac:dyDescent="0.4">
      <c r="AD70">
        <f>2*PI()*65/72</f>
        <v>5.6723200689815707</v>
      </c>
      <c r="AE70">
        <f t="shared" si="47"/>
        <v>-1.147152872702093</v>
      </c>
      <c r="AF70">
        <f t="shared" si="48"/>
        <v>1.6383040885779832</v>
      </c>
      <c r="AG70">
        <f t="shared" si="49"/>
        <v>-1.7207293090531395</v>
      </c>
      <c r="AH70">
        <f t="shared" si="50"/>
        <v>2.4574561328669748</v>
      </c>
      <c r="AI70">
        <f t="shared" si="51"/>
        <v>-2.294305745404186</v>
      </c>
      <c r="AJ70">
        <f t="shared" si="52"/>
        <v>3.2766081771559663</v>
      </c>
      <c r="AK70">
        <f t="shared" si="53"/>
        <v>-2.8678821817552325</v>
      </c>
      <c r="AL70">
        <f t="shared" si="54"/>
        <v>4.0957602214449578</v>
      </c>
    </row>
    <row r="71" spans="30:38" x14ac:dyDescent="0.4">
      <c r="AD71">
        <f>2*PI()*66/72</f>
        <v>5.759586531581288</v>
      </c>
      <c r="AE71">
        <f t="shared" si="47"/>
        <v>-0.99999999999999933</v>
      </c>
      <c r="AF71">
        <f t="shared" si="48"/>
        <v>1.7320508075688776</v>
      </c>
      <c r="AG71">
        <f t="shared" si="49"/>
        <v>-1.4999999999999991</v>
      </c>
      <c r="AH71">
        <f t="shared" si="50"/>
        <v>2.5980762113533165</v>
      </c>
      <c r="AI71">
        <f t="shared" si="51"/>
        <v>-1.9999999999999987</v>
      </c>
      <c r="AJ71">
        <f t="shared" si="52"/>
        <v>3.4641016151377553</v>
      </c>
      <c r="AK71">
        <f t="shared" si="53"/>
        <v>-2.4999999999999982</v>
      </c>
      <c r="AL71">
        <f t="shared" si="54"/>
        <v>4.3301270189221945</v>
      </c>
    </row>
    <row r="72" spans="30:38" x14ac:dyDescent="0.4">
      <c r="AD72">
        <f>2*PI()*67/72</f>
        <v>5.8468529941810035</v>
      </c>
      <c r="AE72">
        <f t="shared" si="47"/>
        <v>-0.84523652348139999</v>
      </c>
      <c r="AF72">
        <f t="shared" si="48"/>
        <v>1.8126155740732994</v>
      </c>
      <c r="AG72">
        <f t="shared" si="49"/>
        <v>-1.2678547852221</v>
      </c>
      <c r="AH72">
        <f t="shared" si="50"/>
        <v>2.7189233611099493</v>
      </c>
      <c r="AI72">
        <f t="shared" si="51"/>
        <v>-1.6904730469628</v>
      </c>
      <c r="AJ72">
        <f t="shared" si="52"/>
        <v>3.6252311481465989</v>
      </c>
      <c r="AK72">
        <f t="shared" si="53"/>
        <v>-2.1130913087034999</v>
      </c>
      <c r="AL72">
        <f t="shared" si="54"/>
        <v>4.5315389351832485</v>
      </c>
    </row>
    <row r="73" spans="30:38" x14ac:dyDescent="0.4">
      <c r="AD73">
        <f>2*PI()*68/72</f>
        <v>5.9341194567807207</v>
      </c>
      <c r="AE73">
        <f t="shared" si="47"/>
        <v>-0.6840402866513372</v>
      </c>
      <c r="AF73">
        <f t="shared" si="48"/>
        <v>1.8793852415718169</v>
      </c>
      <c r="AG73">
        <f t="shared" si="49"/>
        <v>-1.0260604299770058</v>
      </c>
      <c r="AH73">
        <f t="shared" si="50"/>
        <v>2.8190778623577253</v>
      </c>
      <c r="AI73">
        <f t="shared" si="51"/>
        <v>-1.3680805733026744</v>
      </c>
      <c r="AJ73">
        <f t="shared" si="52"/>
        <v>3.7587704831436337</v>
      </c>
      <c r="AK73">
        <f t="shared" si="53"/>
        <v>-1.7101007166283431</v>
      </c>
      <c r="AL73">
        <f t="shared" si="54"/>
        <v>4.6984631039295426</v>
      </c>
    </row>
    <row r="74" spans="30:38" x14ac:dyDescent="0.4">
      <c r="AD74">
        <f>2*PI()*69/72</f>
        <v>6.0213859193804371</v>
      </c>
      <c r="AE74">
        <f t="shared" si="47"/>
        <v>-0.51763809020504137</v>
      </c>
      <c r="AF74">
        <f t="shared" si="48"/>
        <v>1.9318516525781366</v>
      </c>
      <c r="AG74">
        <f t="shared" si="49"/>
        <v>-0.776457135307562</v>
      </c>
      <c r="AH74">
        <f t="shared" si="50"/>
        <v>2.897777478867205</v>
      </c>
      <c r="AI74">
        <f t="shared" si="51"/>
        <v>-1.0352761804100827</v>
      </c>
      <c r="AJ74">
        <f t="shared" si="52"/>
        <v>3.8637033051562732</v>
      </c>
      <c r="AK74">
        <f t="shared" si="53"/>
        <v>-1.2940952255126035</v>
      </c>
      <c r="AL74">
        <f t="shared" si="54"/>
        <v>4.8296291314453415</v>
      </c>
    </row>
    <row r="75" spans="30:38" x14ac:dyDescent="0.4">
      <c r="AD75">
        <f>2*PI()*70/72</f>
        <v>6.1086523819801535</v>
      </c>
      <c r="AE75">
        <f t="shared" si="47"/>
        <v>-0.34729635533386077</v>
      </c>
      <c r="AF75">
        <f t="shared" si="48"/>
        <v>1.969615506024416</v>
      </c>
      <c r="AG75">
        <f t="shared" si="49"/>
        <v>-0.52094453300079113</v>
      </c>
      <c r="AH75">
        <f t="shared" si="50"/>
        <v>2.9544232590366239</v>
      </c>
      <c r="AI75">
        <f t="shared" si="51"/>
        <v>-0.69459271066772155</v>
      </c>
      <c r="AJ75">
        <f t="shared" si="52"/>
        <v>3.9392310120488321</v>
      </c>
      <c r="AK75">
        <f t="shared" si="53"/>
        <v>-0.86824088833465196</v>
      </c>
      <c r="AL75">
        <f t="shared" si="54"/>
        <v>4.9240387650610398</v>
      </c>
    </row>
    <row r="76" spans="30:38" x14ac:dyDescent="0.4">
      <c r="AD76">
        <f>2*PI()*71/72</f>
        <v>6.1959188445798699</v>
      </c>
      <c r="AE76">
        <f t="shared" si="47"/>
        <v>-0.17431148549531664</v>
      </c>
      <c r="AF76">
        <f t="shared" si="48"/>
        <v>1.9923893961834911</v>
      </c>
      <c r="AG76">
        <f t="shared" si="49"/>
        <v>-0.26146722824297497</v>
      </c>
      <c r="AH76">
        <f t="shared" si="50"/>
        <v>2.9885840942752369</v>
      </c>
      <c r="AI76">
        <f t="shared" si="51"/>
        <v>-0.34862297099063327</v>
      </c>
      <c r="AJ76">
        <f t="shared" si="52"/>
        <v>3.9847787923669822</v>
      </c>
      <c r="AK76">
        <f t="shared" si="53"/>
        <v>-0.43577871373829158</v>
      </c>
      <c r="AL76">
        <f t="shared" si="54"/>
        <v>4.9809734904587275</v>
      </c>
    </row>
    <row r="77" spans="30:38" x14ac:dyDescent="0.4">
      <c r="AD77">
        <f>2*PI()*72/72</f>
        <v>6.2831853071795862</v>
      </c>
      <c r="AE77">
        <f t="shared" si="47"/>
        <v>-4.90059381963448E-16</v>
      </c>
      <c r="AF77">
        <f t="shared" si="48"/>
        <v>2</v>
      </c>
      <c r="AG77">
        <f t="shared" si="49"/>
        <v>-7.3508907294517201E-16</v>
      </c>
      <c r="AH77">
        <f t="shared" si="50"/>
        <v>3</v>
      </c>
      <c r="AI77">
        <f t="shared" si="51"/>
        <v>-9.8011876392689601E-16</v>
      </c>
      <c r="AJ77">
        <f t="shared" si="52"/>
        <v>4</v>
      </c>
      <c r="AK77">
        <f t="shared" si="53"/>
        <v>-1.22514845490862E-15</v>
      </c>
      <c r="AL77">
        <f t="shared" si="54"/>
        <v>5</v>
      </c>
    </row>
  </sheetData>
  <mergeCells count="3">
    <mergeCell ref="A26:L26"/>
    <mergeCell ref="A2:L2"/>
    <mergeCell ref="A1:L1"/>
  </mergeCells>
  <conditionalFormatting sqref="D5:S24">
    <cfRule type="expression" dxfId="109" priority="7">
      <formula>ISNA(D5)</formula>
    </cfRule>
  </conditionalFormatting>
  <conditionalFormatting sqref="L5:L24">
    <cfRule type="expression" dxfId="108" priority="1">
      <formula>LEFT(L5,9)="AGIRE ORA"</formula>
    </cfRule>
    <cfRule type="expression" dxfId="107" priority="2">
      <formula>OR(LEFT(L5,11)="Agire entro",LEFT(L5,12)="Entro l'anno")</formula>
    </cfRule>
    <cfRule type="expression" dxfId="106" priority="3">
      <formula>LEFT(L5,7)="Margine"</formula>
    </cfRule>
  </conditionalFormatting>
  <conditionalFormatting sqref="AA5:AA24">
    <cfRule type="expression" dxfId="105" priority="4">
      <formula>AA5="Attivazione"</formula>
    </cfRule>
    <cfRule type="expression" dxfId="104" priority="5">
      <formula>AA5="Attenzione"</formula>
    </cfRule>
    <cfRule type="expression" dxfId="103"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46" t="str">
        <f>"Horizon Scan NFR — Matrice di gravita'   ·   "&amp;etichettaCiclo</f>
        <v>Horizon Scan NFR — Matrice di gravita'   ·   Ciclo 2026Q3 · dati al 30/09/2026 · da validare · Uso interno</v>
      </c>
      <c r="B1" s="147"/>
      <c r="C1" s="147"/>
      <c r="D1" s="147"/>
      <c r="E1" s="147"/>
      <c r="F1" s="147"/>
      <c r="G1" s="147"/>
    </row>
    <row r="2" spans="1:43" ht="45.55" customHeight="1" x14ac:dyDescent="0.4">
      <c r="A2" s="136" t="s">
        <v>217</v>
      </c>
      <c r="B2" s="116"/>
      <c r="C2" s="116"/>
      <c r="D2" s="116"/>
      <c r="E2" s="116"/>
      <c r="F2" s="116"/>
      <c r="G2" s="116"/>
    </row>
    <row r="4" spans="1:43" x14ac:dyDescent="0.4">
      <c r="A4" s="32" t="s">
        <v>192</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218</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219</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220</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221</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222</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223</v>
      </c>
      <c r="D11" s="39" t="s">
        <v>224</v>
      </c>
      <c r="E11" s="39" t="s">
        <v>225</v>
      </c>
      <c r="F11" s="39" t="s">
        <v>226</v>
      </c>
      <c r="G11" s="39" t="s">
        <v>227</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191</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22" t="s">
        <v>228</v>
      </c>
      <c r="B14" s="123"/>
      <c r="C14" s="123"/>
      <c r="D14" s="123"/>
      <c r="E14" s="123"/>
      <c r="F14" s="123"/>
      <c r="G14" s="123"/>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56" t="s">
        <v>161</v>
      </c>
      <c r="B15" s="116"/>
      <c r="C15" s="156" t="s">
        <v>18</v>
      </c>
      <c r="D15" s="116"/>
      <c r="E15" s="116"/>
      <c r="F15" s="40" t="s">
        <v>229</v>
      </c>
      <c r="G15" s="40" t="s">
        <v>193</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55" t="str">
        <f>IF($Q$5="","",INDEX(posID,$Q$5))</f>
        <v>NFR-01</v>
      </c>
      <c r="B16" s="121"/>
      <c r="C16" s="154" t="str">
        <f>IF($Q$5="","",INDEX(posNome,$Q$5)&amp;IF(INDEX(ANA_Attenzione_Supervisore,$Q$5)="Sì","  ◆",""))</f>
        <v>Frodi su pagamenti istantanei abilitate da AI generativa  ◆</v>
      </c>
      <c r="D16" s="121"/>
      <c r="E16" s="121"/>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55" t="str">
        <f>IF($Q$6="","",INDEX(posID,$Q$6))</f>
        <v>NFR-07</v>
      </c>
      <c r="B17" s="121"/>
      <c r="C17" s="154" t="str">
        <f>IF($Q$6="","",INDEX(posNome,$Q$6)&amp;IF(INDEX(ANA_Attenzione_Supervisore,$Q$6)="Sì","  ◆",""))</f>
        <v>Ransomware presso un fornitore di servizi di pagamento  ◆</v>
      </c>
      <c r="D17" s="121"/>
      <c r="E17" s="121"/>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55" t="str">
        <f>IF($Q$7="","",INDEX(posID,$Q$7))</f>
        <v>NFR-12</v>
      </c>
      <c r="B18" s="121"/>
      <c r="C18" s="154" t="str">
        <f>IF($Q$7="","",INDEX(posNome,$Q$7)&amp;IF(INDEX(ANA_Attenzione_Supervisore,$Q$7)="Sì","  ◆",""))</f>
        <v>Errori operativi nei pagamenti istantanei obbligatori</v>
      </c>
      <c r="D18" s="121"/>
      <c r="E18" s="121"/>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55" t="str">
        <f>IF($Q$8="","",INDEX(posID,$Q$8))</f>
        <v>NFR-03</v>
      </c>
      <c r="B19" s="121"/>
      <c r="C19" s="154" t="str">
        <f>IF($Q$8="","",INDEX(posNome,$Q$8)&amp;IF(INDEX(ANA_Attenzione_Supervisore,$Q$8)="Sì","  ◆",""))</f>
        <v>Greenwashing nella commercializzazione di prodotti ESG</v>
      </c>
      <c r="D19" s="121"/>
      <c r="E19" s="121"/>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55" t="str">
        <f>IF($Q$9="","",INDEX(posID,$Q$9))</f>
        <v>NFR-04</v>
      </c>
      <c r="B20" s="121"/>
      <c r="C20" s="154" t="str">
        <f>IF($Q$9="","",INDEX(posNome,$Q$9)&amp;IF(INDEX(ANA_Attenzione_Supervisore,$Q$9)="Sì","  ◆",""))</f>
        <v>Eventi climatici estremi su sedi e data center</v>
      </c>
      <c r="D20" s="121"/>
      <c r="E20" s="121"/>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55" t="str">
        <f>IF($Q$10="","",INDEX(posID,$Q$10))</f>
        <v>NFR-05</v>
      </c>
      <c r="B21" s="121"/>
      <c r="C21" s="154" t="str">
        <f>IF($Q$10="","",INDEX(posNome,$Q$10)&amp;IF(INDEX(ANA_Attenzione_Supervisore,$Q$10)="Sì","  ◆",""))</f>
        <v>Errori di processo nella migrazione del core banking</v>
      </c>
      <c r="D21" s="121"/>
      <c r="E21" s="121"/>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55" t="str">
        <f>IF($Q$11="","",INDEX(posID,$Q$11))</f>
        <v>NFR-06</v>
      </c>
      <c r="B22" s="121"/>
      <c r="C22" s="154" t="str">
        <f>IF($Q$11="","",INDEX(posNome,$Q$11)&amp;IF(INDEX(ANA_Attenzione_Supervisore,$Q$11)="Sì","  ◆",""))</f>
        <v>Esfiltrazione di dati tramite strumenti di AI non autorizzati</v>
      </c>
      <c r="D22" s="121"/>
      <c r="E22" s="121"/>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55" t="str">
        <f>IF($Q$12="","",INDEX(posID,$Q$12))</f>
        <v>NFR-10</v>
      </c>
      <c r="B23" s="121"/>
      <c r="C23" s="154" t="str">
        <f>IF($Q$12="","",INDEX(posNome,$Q$12)&amp;IF(INDEX(ANA_Attenzione_Supervisore,$Q$12)="Sì","  ◆",""))</f>
        <v>Informazioni errate ai clienti da assistenti di AI generativa</v>
      </c>
      <c r="D23" s="121"/>
      <c r="E23" s="121"/>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55" t="str">
        <f>IF($Q$13="","",INDEX(posID,$Q$13))</f>
        <v>NFR-11</v>
      </c>
      <c r="B24" s="121"/>
      <c r="C24" s="154" t="str">
        <f>IF($Q$13="","",INDEX(posNome,$Q$13)&amp;IF(INDEX(ANA_Attenzione_Supervisore,$Q$13)="Sì","  ◆",""))</f>
        <v>Fine del supporto dei sistemi di pagamento legacy</v>
      </c>
      <c r="D24" s="121"/>
      <c r="E24" s="121"/>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55" t="str">
        <f>IF($Q$14="","",INDEX(posID,$Q$14))</f>
        <v>NFR-02</v>
      </c>
      <c r="B25" s="121"/>
      <c r="C25" s="154" t="str">
        <f>IF($Q$14="","",INDEX(posNome,$Q$14)&amp;IF(INDEX(ANA_Attenzione_Supervisore,$Q$14)="Sì","  ◆",""))</f>
        <v>Concentrazione su un fornitore cloud critico  ◆</v>
      </c>
      <c r="D25" s="121"/>
      <c r="E25" s="121"/>
      <c r="F25" s="41" t="str">
        <f>IF($Q$14="","",INDEX(posProbabilita,$Q$14)&amp;" · "&amp;INDEX(posImpatto,$Q$14))</f>
        <v>2 · 4</v>
      </c>
      <c r="G25" s="41">
        <f>IF($Q$14="","",INDEX($N$5:$N$24,$Q$14))</f>
        <v>8</v>
      </c>
    </row>
    <row r="26" spans="1:43" x14ac:dyDescent="0.4">
      <c r="A26" s="155" t="str">
        <f>IF($Q$15="","",INDEX(posID,$Q$15))</f>
        <v>NFR-09</v>
      </c>
      <c r="B26" s="121"/>
      <c r="C26" s="154" t="str">
        <f>IF($Q$15="","",INDEX(posNome,$Q$15)&amp;IF(INDEX(ANA_Attenzione_Supervisore,$Q$15)="Sì","  ◆",""))</f>
        <v>Violazione di sanzioni internazionali tramite triangolazioni  ◆</v>
      </c>
      <c r="D26" s="121"/>
      <c r="E26" s="121"/>
      <c r="F26" s="41" t="str">
        <f>IF($Q$15="","",INDEX(posProbabilita,$Q$15)&amp;" · "&amp;INDEX(posImpatto,$Q$15))</f>
        <v>2 · 4</v>
      </c>
      <c r="G26" s="41">
        <f>IF($Q$15="","",INDEX($N$5:$N$24,$Q$15))</f>
        <v>8</v>
      </c>
    </row>
    <row r="27" spans="1:43" x14ac:dyDescent="0.4">
      <c r="A27" s="155" t="str">
        <f>IF($Q$16="","",INDEX(posID,$Q$16))</f>
        <v>NFR-08</v>
      </c>
      <c r="B27" s="121"/>
      <c r="C27" s="154" t="str">
        <f>IF($Q$16="","",INDEX(posNome,$Q$16)&amp;IF(INDEX(ANA_Attenzione_Supervisore,$Q$16)="Sì","  ◆",""))</f>
        <v>Accessi impropri di dipendenti ai dati dei clienti</v>
      </c>
      <c r="D27" s="121"/>
      <c r="E27" s="121"/>
      <c r="F27" s="41" t="str">
        <f>IF($Q$16="","",INDEX(posProbabilita,$Q$16)&amp;" · "&amp;INDEX(posImpatto,$Q$16))</f>
        <v>2 · 3</v>
      </c>
      <c r="G27" s="41">
        <f>IF($Q$16="","",INDEX($N$5:$N$24,$Q$16))</f>
        <v>6</v>
      </c>
    </row>
    <row r="28" spans="1:43" x14ac:dyDescent="0.4">
      <c r="A28" s="155" t="str">
        <f>IF($Q$17="","",INDEX(posID,$Q$17))</f>
        <v/>
      </c>
      <c r="B28" s="121"/>
      <c r="C28" s="154" t="str">
        <f>IF($Q$17="","",INDEX(posNome,$Q$17)&amp;IF(INDEX(ANA_Attenzione_Supervisore,$Q$17)="Sì","  ◆",""))</f>
        <v/>
      </c>
      <c r="D28" s="121"/>
      <c r="E28" s="121"/>
      <c r="F28" s="41" t="str">
        <f>IF($Q$17="","",INDEX(posProbabilita,$Q$17)&amp;" · "&amp;INDEX(posImpatto,$Q$17))</f>
        <v/>
      </c>
      <c r="G28" s="41" t="str">
        <f>IF($Q$17="","",INDEX($N$5:$N$24,$Q$17))</f>
        <v/>
      </c>
    </row>
    <row r="29" spans="1:43" x14ac:dyDescent="0.4">
      <c r="A29" s="155" t="str">
        <f>IF($Q$18="","",INDEX(posID,$Q$18))</f>
        <v/>
      </c>
      <c r="B29" s="121"/>
      <c r="C29" s="154" t="str">
        <f>IF($Q$18="","",INDEX(posNome,$Q$18)&amp;IF(INDEX(ANA_Attenzione_Supervisore,$Q$18)="Sì","  ◆",""))</f>
        <v/>
      </c>
      <c r="D29" s="121"/>
      <c r="E29" s="121"/>
      <c r="F29" s="41" t="str">
        <f>IF($Q$18="","",INDEX(posProbabilita,$Q$18)&amp;" · "&amp;INDEX(posImpatto,$Q$18))</f>
        <v/>
      </c>
      <c r="G29" s="41" t="str">
        <f>IF($Q$18="","",INDEX($N$5:$N$24,$Q$18))</f>
        <v/>
      </c>
    </row>
    <row r="30" spans="1:43" x14ac:dyDescent="0.4">
      <c r="A30" s="155" t="str">
        <f>IF($Q$19="","",INDEX(posID,$Q$19))</f>
        <v/>
      </c>
      <c r="B30" s="121"/>
      <c r="C30" s="154" t="str">
        <f>IF($Q$19="","",INDEX(posNome,$Q$19)&amp;IF(INDEX(ANA_Attenzione_Supervisore,$Q$19)="Sì","  ◆",""))</f>
        <v/>
      </c>
      <c r="D30" s="121"/>
      <c r="E30" s="121"/>
      <c r="F30" s="41" t="str">
        <f>IF($Q$19="","",INDEX(posProbabilita,$Q$19)&amp;" · "&amp;INDEX(posImpatto,$Q$19))</f>
        <v/>
      </c>
      <c r="G30" s="41" t="str">
        <f>IF($Q$19="","",INDEX($N$5:$N$24,$Q$19))</f>
        <v/>
      </c>
    </row>
    <row r="31" spans="1:43" x14ac:dyDescent="0.4">
      <c r="A31" s="155" t="str">
        <f>IF($Q$20="","",INDEX(posID,$Q$20))</f>
        <v/>
      </c>
      <c r="B31" s="121"/>
      <c r="C31" s="154" t="str">
        <f>IF($Q$20="","",INDEX(posNome,$Q$20)&amp;IF(INDEX(ANA_Attenzione_Supervisore,$Q$20)="Sì","  ◆",""))</f>
        <v/>
      </c>
      <c r="D31" s="121"/>
      <c r="E31" s="121"/>
      <c r="F31" s="41" t="str">
        <f>IF($Q$20="","",INDEX(posProbabilita,$Q$20)&amp;" · "&amp;INDEX(posImpatto,$Q$20))</f>
        <v/>
      </c>
      <c r="G31" s="41" t="str">
        <f>IF($Q$20="","",INDEX($N$5:$N$24,$Q$20))</f>
        <v/>
      </c>
    </row>
    <row r="32" spans="1:43" x14ac:dyDescent="0.4">
      <c r="A32" s="155" t="str">
        <f>IF($Q$21="","",INDEX(posID,$Q$21))</f>
        <v/>
      </c>
      <c r="B32" s="121"/>
      <c r="C32" s="154" t="str">
        <f>IF($Q$21="","",INDEX(posNome,$Q$21)&amp;IF(INDEX(ANA_Attenzione_Supervisore,$Q$21)="Sì","  ◆",""))</f>
        <v/>
      </c>
      <c r="D32" s="121"/>
      <c r="E32" s="121"/>
      <c r="F32" s="41" t="str">
        <f>IF($Q$21="","",INDEX(posProbabilita,$Q$21)&amp;" · "&amp;INDEX(posImpatto,$Q$21))</f>
        <v/>
      </c>
      <c r="G32" s="41" t="str">
        <f>IF($Q$21="","",INDEX($N$5:$N$24,$Q$21))</f>
        <v/>
      </c>
    </row>
    <row r="33" spans="1:7" x14ac:dyDescent="0.4">
      <c r="A33" s="155" t="str">
        <f>IF($Q$22="","",INDEX(posID,$Q$22))</f>
        <v/>
      </c>
      <c r="B33" s="121"/>
      <c r="C33" s="154" t="str">
        <f>IF($Q$22="","",INDEX(posNome,$Q$22)&amp;IF(INDEX(ANA_Attenzione_Supervisore,$Q$22)="Sì","  ◆",""))</f>
        <v/>
      </c>
      <c r="D33" s="121"/>
      <c r="E33" s="121"/>
      <c r="F33" s="41" t="str">
        <f>IF($Q$22="","",INDEX(posProbabilita,$Q$22)&amp;" · "&amp;INDEX(posImpatto,$Q$22))</f>
        <v/>
      </c>
      <c r="G33" s="41" t="str">
        <f>IF($Q$22="","",INDEX($N$5:$N$24,$Q$22))</f>
        <v/>
      </c>
    </row>
    <row r="34" spans="1:7" x14ac:dyDescent="0.4">
      <c r="A34" s="155" t="str">
        <f>IF($Q$23="","",INDEX(posID,$Q$23))</f>
        <v/>
      </c>
      <c r="B34" s="121"/>
      <c r="C34" s="154" t="str">
        <f>IF($Q$23="","",INDEX(posNome,$Q$23)&amp;IF(INDEX(ANA_Attenzione_Supervisore,$Q$23)="Sì","  ◆",""))</f>
        <v/>
      </c>
      <c r="D34" s="121"/>
      <c r="E34" s="121"/>
      <c r="F34" s="41" t="str">
        <f>IF($Q$23="","",INDEX(posProbabilita,$Q$23)&amp;" · "&amp;INDEX(posImpatto,$Q$23))</f>
        <v/>
      </c>
      <c r="G34" s="41" t="str">
        <f>IF($Q$23="","",INDEX($N$5:$N$24,$Q$23))</f>
        <v/>
      </c>
    </row>
    <row r="35" spans="1:7" x14ac:dyDescent="0.4">
      <c r="A35" s="155" t="str">
        <f>IF($Q$24="","",INDEX(posID,$Q$24))</f>
        <v/>
      </c>
      <c r="B35" s="121"/>
      <c r="C35" s="154" t="str">
        <f>IF($Q$24="","",INDEX(posNome,$Q$24)&amp;IF(INDEX(ANA_Attenzione_Supervisore,$Q$24)="Sì","  ◆",""))</f>
        <v/>
      </c>
      <c r="D35" s="121"/>
      <c r="E35" s="121"/>
      <c r="F35" s="41" t="str">
        <f>IF($Q$24="","",INDEX(posProbabilita,$Q$24)&amp;" · "&amp;INDEX(posImpatto,$Q$24))</f>
        <v/>
      </c>
      <c r="G35" s="41" t="str">
        <f>IF($Q$24="","",INDEX($N$5:$N$24,$Q$24))</f>
        <v/>
      </c>
    </row>
    <row r="37" spans="1:7" ht="26.05" customHeight="1" x14ac:dyDescent="0.4">
      <c r="A37" s="142" t="s">
        <v>230</v>
      </c>
      <c r="B37" s="116"/>
      <c r="C37" s="116"/>
      <c r="D37" s="116"/>
      <c r="E37" s="116"/>
      <c r="F37" s="116"/>
      <c r="G37" s="116"/>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C15:E15"/>
    <mergeCell ref="A22:B22"/>
    <mergeCell ref="C24:E24"/>
    <mergeCell ref="A35:B35"/>
    <mergeCell ref="A33:B33"/>
    <mergeCell ref="C18:E18"/>
    <mergeCell ref="A32:B32"/>
    <mergeCell ref="A23:B23"/>
    <mergeCell ref="A17:B17"/>
    <mergeCell ref="C30:E30"/>
    <mergeCell ref="C32:E32"/>
    <mergeCell ref="A26:B26"/>
    <mergeCell ref="A21:B21"/>
    <mergeCell ref="C28:E28"/>
    <mergeCell ref="A1:G1"/>
    <mergeCell ref="C19:E19"/>
    <mergeCell ref="A2:G2"/>
    <mergeCell ref="C16:E16"/>
    <mergeCell ref="A14:G14"/>
    <mergeCell ref="A24:B24"/>
    <mergeCell ref="A30:B30"/>
    <mergeCell ref="A31:B31"/>
    <mergeCell ref="A15:B15"/>
    <mergeCell ref="C31:E31"/>
    <mergeCell ref="C22:E22"/>
    <mergeCell ref="C21:E21"/>
    <mergeCell ref="A16:B16"/>
    <mergeCell ref="C27:E27"/>
    <mergeCell ref="A25:B25"/>
    <mergeCell ref="C23:E23"/>
    <mergeCell ref="C17:E17"/>
    <mergeCell ref="A18:B18"/>
    <mergeCell ref="A27:B27"/>
  </mergeCells>
  <conditionalFormatting sqref="G16:G35">
    <cfRule type="expression" dxfId="102" priority="1">
      <formula>AND(ISNUMBER(G16),G16&gt;=15)</formula>
    </cfRule>
    <cfRule type="expression" dxfId="101" priority="2">
      <formula>AND(ISNUMBER(G16),G16&gt;=8,G16&lt;15)</formula>
    </cfRule>
    <cfRule type="expression" dxfId="100"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46" t="str">
        <f>"Horizon Scan NFR — Delta: che cosa e' cambiato dal ciclo precedente   ·   "&amp;etichettaCiclo</f>
        <v>Horizon Scan NFR — Delta: che cosa e' cambiato dal ciclo precedente   ·   Ciclo 2026Q3 · dati al 30/09/2026 · da validare · Uso interno</v>
      </c>
      <c r="B1" s="147"/>
      <c r="C1" s="147"/>
      <c r="D1" s="147"/>
      <c r="E1" s="147"/>
      <c r="F1" s="147"/>
      <c r="G1" s="147"/>
      <c r="H1" s="147"/>
      <c r="I1" s="147"/>
      <c r="J1" s="147"/>
      <c r="K1" s="147"/>
      <c r="L1" s="147"/>
      <c r="M1" s="147"/>
      <c r="N1" s="147"/>
      <c r="O1" s="147"/>
      <c r="P1" s="147"/>
      <c r="Q1" s="147"/>
    </row>
    <row r="2" spans="1:46" ht="45.55" customHeight="1" x14ac:dyDescent="0.4">
      <c r="A2" s="136" t="s">
        <v>231</v>
      </c>
      <c r="B2" s="116"/>
      <c r="C2" s="116"/>
      <c r="D2" s="116"/>
      <c r="E2" s="116"/>
      <c r="F2" s="116"/>
      <c r="G2" s="116"/>
      <c r="H2" s="116"/>
      <c r="I2" s="116"/>
      <c r="J2" s="116"/>
      <c r="K2" s="116"/>
      <c r="L2" s="116"/>
      <c r="M2" s="116"/>
      <c r="N2" s="116"/>
      <c r="O2" s="116"/>
      <c r="P2" s="116"/>
      <c r="Q2" s="116"/>
      <c r="AT2" t="str">
        <f>COUNTIF($AI$5:$AI$24,"&gt;0")&amp;" in aumento, "&amp;COUNTIF($AI$5:$AI$24,"&lt;0")&amp;" in diminuzione, "&amp;COUNTIF($AI$5:$AI$24,0)&amp;" invariati"</f>
        <v>1 in aumento, 0 in diminuzione, 11 invariati</v>
      </c>
    </row>
    <row r="4" spans="1:46" ht="15.9" x14ac:dyDescent="0.45">
      <c r="K4" s="122" t="s">
        <v>232</v>
      </c>
      <c r="L4" s="123"/>
      <c r="M4" s="123"/>
      <c r="N4" s="123"/>
      <c r="O4" s="123"/>
      <c r="P4" s="123"/>
      <c r="Q4" s="123"/>
      <c r="AD4" t="s">
        <v>161</v>
      </c>
      <c r="AE4" t="s">
        <v>233</v>
      </c>
      <c r="AF4" t="s">
        <v>234</v>
      </c>
      <c r="AG4" t="s">
        <v>235</v>
      </c>
      <c r="AH4" t="s">
        <v>236</v>
      </c>
      <c r="AI4" t="s">
        <v>237</v>
      </c>
      <c r="AJ4" t="s">
        <v>238</v>
      </c>
      <c r="AK4" t="s">
        <v>160</v>
      </c>
      <c r="AL4" t="s">
        <v>239</v>
      </c>
      <c r="AM4" t="s">
        <v>240</v>
      </c>
      <c r="AN4" t="s">
        <v>241</v>
      </c>
      <c r="AO4" t="s">
        <v>242</v>
      </c>
    </row>
    <row r="5" spans="1:46" x14ac:dyDescent="0.4">
      <c r="K5" s="40" t="s">
        <v>18</v>
      </c>
      <c r="L5" s="40" t="s">
        <v>243</v>
      </c>
      <c r="M5" s="156" t="s">
        <v>244</v>
      </c>
      <c r="N5" s="116"/>
      <c r="O5" s="116"/>
      <c r="P5" s="116"/>
      <c r="Q5" s="116"/>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57"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50"/>
      <c r="O6" s="150"/>
      <c r="P6" s="150"/>
      <c r="Q6" s="150"/>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57"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50"/>
      <c r="O7" s="150"/>
      <c r="P7" s="150"/>
      <c r="Q7" s="150"/>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57"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50"/>
      <c r="O8" s="150"/>
      <c r="P8" s="150"/>
      <c r="Q8" s="150"/>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57"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50"/>
      <c r="O9" s="150"/>
      <c r="P9" s="150"/>
      <c r="Q9" s="150"/>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57"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50"/>
      <c r="O10" s="150"/>
      <c r="P10" s="150"/>
      <c r="Q10" s="150"/>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57"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50"/>
      <c r="O11" s="150"/>
      <c r="P11" s="150"/>
      <c r="Q11" s="150"/>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57"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50"/>
      <c r="O12" s="150"/>
      <c r="P12" s="150"/>
      <c r="Q12" s="150"/>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57"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50"/>
      <c r="O13" s="150"/>
      <c r="P13" s="150"/>
      <c r="Q13" s="150"/>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57"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50"/>
      <c r="O14" s="150"/>
      <c r="P14" s="150"/>
      <c r="Q14" s="150"/>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16.5" customHeight="1" x14ac:dyDescent="0.4">
      <c r="K15" s="43" t="str">
        <f>IF($AK$14="","",INDEX(posID,$AK$14))</f>
        <v>NFR-10</v>
      </c>
      <c r="L15" s="44">
        <f>IF($AK$14="","",IFERROR(INDEX($AI$5:$AI$24,$AK$14),"nuovo"))</f>
        <v>0</v>
      </c>
      <c r="M15" s="157"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50"/>
      <c r="O15" s="150"/>
      <c r="P15" s="150"/>
      <c r="Q15" s="150"/>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57"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50"/>
      <c r="O16" s="150"/>
      <c r="P16" s="150"/>
      <c r="Q16" s="150"/>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57"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50"/>
      <c r="O17" s="150"/>
      <c r="P17" s="150"/>
      <c r="Q17" s="150"/>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57"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50"/>
      <c r="O18" s="150"/>
      <c r="P18" s="150"/>
      <c r="Q18" s="150"/>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57"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50"/>
      <c r="O19" s="150"/>
      <c r="P19" s="150"/>
      <c r="Q19" s="150"/>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57"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50"/>
      <c r="O20" s="150"/>
      <c r="P20" s="150"/>
      <c r="Q20" s="150"/>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57"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50"/>
      <c r="O21" s="150"/>
      <c r="P21" s="150"/>
      <c r="Q21" s="150"/>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57"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50"/>
      <c r="O22" s="150"/>
      <c r="P22" s="150"/>
      <c r="Q22" s="150"/>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57"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50"/>
      <c r="O23" s="150"/>
      <c r="P23" s="150"/>
      <c r="Q23" s="150"/>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57"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50"/>
      <c r="O24" s="150"/>
      <c r="P24" s="150"/>
      <c r="Q24" s="150"/>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57"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50"/>
      <c r="O25" s="150"/>
      <c r="P25" s="150"/>
      <c r="Q25" s="150"/>
    </row>
    <row r="26" spans="1:41" ht="71.900000000000006" customHeight="1" x14ac:dyDescent="0.4"/>
    <row r="27" spans="1:41" ht="56.05" customHeight="1" x14ac:dyDescent="0.4">
      <c r="A27" s="158"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16"/>
      <c r="C27" s="116"/>
      <c r="D27" s="116"/>
      <c r="E27" s="116"/>
      <c r="F27" s="116"/>
      <c r="G27" s="116"/>
      <c r="H27" s="116"/>
      <c r="I27" s="116"/>
      <c r="J27" s="116"/>
      <c r="K27" s="116"/>
      <c r="L27" s="116"/>
      <c r="M27" s="116"/>
      <c r="N27" s="116"/>
      <c r="O27" s="116"/>
      <c r="P27" s="116"/>
      <c r="Q27" s="116"/>
    </row>
    <row r="29" spans="1:41" ht="15.9" x14ac:dyDescent="0.45">
      <c r="A29" s="122" t="s">
        <v>245</v>
      </c>
      <c r="B29" s="123"/>
      <c r="C29" s="123"/>
      <c r="D29" s="123"/>
      <c r="E29" s="123"/>
      <c r="F29" s="123"/>
      <c r="G29" s="123"/>
      <c r="H29" s="123"/>
      <c r="I29" s="123"/>
      <c r="J29" s="123"/>
    </row>
    <row r="30" spans="1:41" ht="28" customHeight="1" x14ac:dyDescent="0.4">
      <c r="A30" s="45" t="s">
        <v>161</v>
      </c>
      <c r="B30" s="45" t="s">
        <v>162</v>
      </c>
      <c r="C30" s="45" t="s">
        <v>246</v>
      </c>
      <c r="D30" s="45" t="s">
        <v>247</v>
      </c>
      <c r="E30" s="45" t="s">
        <v>248</v>
      </c>
      <c r="F30" s="45" t="s">
        <v>249</v>
      </c>
      <c r="G30" s="45" t="s">
        <v>237</v>
      </c>
      <c r="H30" s="45"/>
      <c r="I30" s="45"/>
      <c r="J30" s="45" t="s">
        <v>250</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16"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16"/>
      <c r="M31" s="116"/>
      <c r="N31" s="116"/>
      <c r="O31" s="116"/>
      <c r="P31" s="116"/>
      <c r="Q31" s="116"/>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16" t="str">
        <f t="shared" si="9"/>
        <v/>
      </c>
      <c r="L32" s="116"/>
      <c r="M32" s="116"/>
      <c r="N32" s="116"/>
      <c r="O32" s="116"/>
      <c r="P32" s="116"/>
      <c r="Q32" s="116"/>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16" t="str">
        <f t="shared" si="9"/>
        <v/>
      </c>
      <c r="L33" s="116"/>
      <c r="M33" s="116"/>
      <c r="N33" s="116"/>
      <c r="O33" s="116"/>
      <c r="P33" s="116"/>
      <c r="Q33" s="116"/>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16" t="str">
        <f t="shared" si="9"/>
        <v/>
      </c>
      <c r="L34" s="116"/>
      <c r="M34" s="116"/>
      <c r="N34" s="116"/>
      <c r="O34" s="116"/>
      <c r="P34" s="116"/>
      <c r="Q34" s="116"/>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16" t="str">
        <f t="shared" si="9"/>
        <v/>
      </c>
      <c r="L35" s="116"/>
      <c r="M35" s="116"/>
      <c r="N35" s="116"/>
      <c r="O35" s="116"/>
      <c r="P35" s="116"/>
      <c r="Q35" s="116"/>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16" t="str">
        <f t="shared" si="9"/>
        <v/>
      </c>
      <c r="L36" s="116"/>
      <c r="M36" s="116"/>
      <c r="N36" s="116"/>
      <c r="O36" s="116"/>
      <c r="P36" s="116"/>
      <c r="Q36" s="116"/>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16" t="str">
        <f t="shared" si="9"/>
        <v/>
      </c>
      <c r="L37" s="116"/>
      <c r="M37" s="116"/>
      <c r="N37" s="116"/>
      <c r="O37" s="116"/>
      <c r="P37" s="116"/>
      <c r="Q37" s="116"/>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16" t="str">
        <f t="shared" si="9"/>
        <v/>
      </c>
      <c r="L38" s="116"/>
      <c r="M38" s="116"/>
      <c r="N38" s="116"/>
      <c r="O38" s="116"/>
      <c r="P38" s="116"/>
      <c r="Q38" s="116"/>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16" t="str">
        <f t="shared" si="9"/>
        <v/>
      </c>
      <c r="L39" s="116"/>
      <c r="M39" s="116"/>
      <c r="N39" s="116"/>
      <c r="O39" s="116"/>
      <c r="P39" s="116"/>
      <c r="Q39" s="116"/>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16" t="str">
        <f t="shared" si="9"/>
        <v>Velocity non valutata in uno dei due cicli: lo score ridistribuisce i pesi</v>
      </c>
      <c r="L40" s="116"/>
      <c r="M40" s="116"/>
      <c r="N40" s="116"/>
      <c r="O40" s="116"/>
      <c r="P40" s="116"/>
      <c r="Q40" s="116"/>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16" t="str">
        <f t="shared" si="9"/>
        <v/>
      </c>
      <c r="L41" s="116"/>
      <c r="M41" s="116"/>
      <c r="N41" s="116"/>
      <c r="O41" s="116"/>
      <c r="P41" s="116"/>
      <c r="Q41" s="116"/>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16" t="str">
        <f t="shared" si="9"/>
        <v/>
      </c>
      <c r="L42" s="116"/>
      <c r="M42" s="116"/>
      <c r="N42" s="116"/>
      <c r="O42" s="116"/>
      <c r="P42" s="116"/>
      <c r="Q42" s="116"/>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16" t="str">
        <f t="shared" si="9"/>
        <v/>
      </c>
      <c r="L43" s="116"/>
      <c r="M43" s="116"/>
      <c r="N43" s="116"/>
      <c r="O43" s="116"/>
      <c r="P43" s="116"/>
      <c r="Q43" s="116"/>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16" t="str">
        <f t="shared" si="9"/>
        <v/>
      </c>
      <c r="L44" s="116"/>
      <c r="M44" s="116"/>
      <c r="N44" s="116"/>
      <c r="O44" s="116"/>
      <c r="P44" s="116"/>
      <c r="Q44" s="116"/>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16" t="str">
        <f t="shared" si="9"/>
        <v/>
      </c>
      <c r="L45" s="116"/>
      <c r="M45" s="116"/>
      <c r="N45" s="116"/>
      <c r="O45" s="116"/>
      <c r="P45" s="116"/>
      <c r="Q45" s="116"/>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16" t="str">
        <f t="shared" si="9"/>
        <v/>
      </c>
      <c r="L46" s="116"/>
      <c r="M46" s="116"/>
      <c r="N46" s="116"/>
      <c r="O46" s="116"/>
      <c r="P46" s="116"/>
      <c r="Q46" s="116"/>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16" t="str">
        <f t="shared" si="9"/>
        <v/>
      </c>
      <c r="L47" s="116"/>
      <c r="M47" s="116"/>
      <c r="N47" s="116"/>
      <c r="O47" s="116"/>
      <c r="P47" s="116"/>
      <c r="Q47" s="116"/>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16" t="str">
        <f t="shared" si="9"/>
        <v/>
      </c>
      <c r="L48" s="116"/>
      <c r="M48" s="116"/>
      <c r="N48" s="116"/>
      <c r="O48" s="116"/>
      <c r="P48" s="116"/>
      <c r="Q48" s="116"/>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16" t="str">
        <f t="shared" si="9"/>
        <v/>
      </c>
      <c r="L49" s="116"/>
      <c r="M49" s="116"/>
      <c r="N49" s="116"/>
      <c r="O49" s="116"/>
      <c r="P49" s="116"/>
      <c r="Q49" s="116"/>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16" t="str">
        <f t="shared" si="9"/>
        <v/>
      </c>
      <c r="L50" s="116"/>
      <c r="M50" s="116"/>
      <c r="N50" s="116"/>
      <c r="O50" s="116"/>
      <c r="P50" s="116"/>
      <c r="Q50" s="116"/>
    </row>
    <row r="52" spans="1:17" ht="15" customHeight="1" x14ac:dyDescent="0.4">
      <c r="A52" s="142" t="s">
        <v>251</v>
      </c>
      <c r="B52" s="116"/>
      <c r="C52" s="116"/>
      <c r="D52" s="116"/>
      <c r="E52" s="116"/>
      <c r="F52" s="116"/>
      <c r="G52" s="116"/>
      <c r="H52" s="116"/>
      <c r="I52" s="116"/>
      <c r="J52" s="116"/>
      <c r="K52" s="116"/>
      <c r="L52" s="116"/>
      <c r="M52" s="116"/>
      <c r="N52" s="116"/>
      <c r="O52" s="116"/>
      <c r="P52" s="116"/>
      <c r="Q52" s="116"/>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K40:Q40"/>
    <mergeCell ref="M23:Q23"/>
    <mergeCell ref="M14:Q14"/>
    <mergeCell ref="A1:Q1"/>
    <mergeCell ref="K37:Q37"/>
    <mergeCell ref="M20:Q20"/>
    <mergeCell ref="K4:Q4"/>
    <mergeCell ref="K49:Q49"/>
    <mergeCell ref="M11:Q11"/>
    <mergeCell ref="M10:Q10"/>
    <mergeCell ref="K34:Q34"/>
    <mergeCell ref="M22:Q22"/>
    <mergeCell ref="M13:Q13"/>
    <mergeCell ref="K33:Q33"/>
    <mergeCell ref="M7:Q7"/>
    <mergeCell ref="M16:Q16"/>
    <mergeCell ref="M12:Q12"/>
    <mergeCell ref="A27:Q27"/>
    <mergeCell ref="M25:Q25"/>
    <mergeCell ref="K39:Q39"/>
    <mergeCell ref="K48:Q48"/>
    <mergeCell ref="A29:J29"/>
    <mergeCell ref="M9:Q9"/>
    <mergeCell ref="M5:Q5"/>
    <mergeCell ref="K38:Q38"/>
    <mergeCell ref="K36:Q36"/>
    <mergeCell ref="M15:Q15"/>
    <mergeCell ref="M21:Q21"/>
    <mergeCell ref="K45:Q45"/>
    <mergeCell ref="M6:Q6"/>
    <mergeCell ref="K35:Q35"/>
  </mergeCells>
  <conditionalFormatting sqref="C31:G50">
    <cfRule type="expression" dxfId="99" priority="4">
      <formula>ISNA(C31)</formula>
    </cfRule>
  </conditionalFormatting>
  <conditionalFormatting sqref="G31:G50">
    <cfRule type="expression" dxfId="98" priority="5">
      <formula>AND(ISNUMBER(G31),G31&gt;=sogliaDelta)</formula>
    </cfRule>
    <cfRule type="expression" dxfId="97" priority="6">
      <formula>AND(ISNUMBER(G31),G31&lt;=-sogliaDelta)</formula>
    </cfRule>
  </conditionalFormatting>
  <conditionalFormatting sqref="K6:Q25">
    <cfRule type="expression" dxfId="96" priority="3">
      <formula>$K6&lt;&gt;""</formula>
    </cfRule>
  </conditionalFormatting>
  <conditionalFormatting sqref="L6:L25">
    <cfRule type="expression" dxfId="95" priority="1">
      <formula>AND(ISNUMBER(L6),L6&gt;0)</formula>
    </cfRule>
    <cfRule type="expression" dxfId="94"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B103"/>
  <sheetViews>
    <sheetView showGridLines="0" workbookViewId="0"/>
  </sheetViews>
  <sheetFormatPr defaultRowHeight="14.6" x14ac:dyDescent="0.4"/>
  <cols>
    <col min="1" max="1" width="34" customWidth="1"/>
    <col min="2" max="2" width="120" customWidth="1"/>
  </cols>
  <sheetData>
    <row r="1" spans="1:2" ht="28" customHeight="1" x14ac:dyDescent="0.4">
      <c r="A1" s="146" t="str">
        <f>"Horizon Scan NFR — Metodologia: come si leggono i numeri   ·   "&amp;etichettaCiclo</f>
        <v>Horizon Scan NFR — Metodologia: come si leggono i numeri   ·   Ciclo 2026Q3 · dati al 30/09/2026 · da validare · Uso interno</v>
      </c>
      <c r="B1" s="147"/>
    </row>
    <row r="2" spans="1:2" ht="32.049999999999997" customHeight="1" x14ac:dyDescent="0.4">
      <c r="A2" s="159" t="s">
        <v>252</v>
      </c>
      <c r="B2" s="116"/>
    </row>
    <row r="4" spans="1:2" x14ac:dyDescent="0.4">
      <c r="A4" s="4" t="s">
        <v>253</v>
      </c>
      <c r="B4" s="47"/>
    </row>
    <row r="5" spans="1:2" ht="43.75" x14ac:dyDescent="0.4">
      <c r="A5" s="2" t="s">
        <v>254</v>
      </c>
      <c r="B5" s="48" t="s">
        <v>255</v>
      </c>
    </row>
    <row r="6" spans="1:2" x14ac:dyDescent="0.4">
      <c r="A6" s="2" t="s">
        <v>256</v>
      </c>
      <c r="B6" s="48" t="s">
        <v>257</v>
      </c>
    </row>
    <row r="7" spans="1:2" ht="29.15" x14ac:dyDescent="0.4">
      <c r="A7" s="2" t="s">
        <v>258</v>
      </c>
      <c r="B7" s="48" t="s">
        <v>259</v>
      </c>
    </row>
    <row r="8" spans="1:2" ht="29.15" x14ac:dyDescent="0.4">
      <c r="A8" s="2" t="s">
        <v>260</v>
      </c>
      <c r="B8" s="48" t="s">
        <v>261</v>
      </c>
    </row>
    <row r="10" spans="1:2" x14ac:dyDescent="0.4">
      <c r="A10" s="4" t="s">
        <v>262</v>
      </c>
      <c r="B10" s="47"/>
    </row>
    <row r="11" spans="1:2" ht="29.15" x14ac:dyDescent="0.4">
      <c r="A11" s="2" t="s">
        <v>263</v>
      </c>
      <c r="B11" s="48" t="s">
        <v>264</v>
      </c>
    </row>
    <row r="12" spans="1:2" ht="29.15" x14ac:dyDescent="0.4">
      <c r="A12" s="2" t="s">
        <v>265</v>
      </c>
      <c r="B12" s="48" t="s">
        <v>266</v>
      </c>
    </row>
    <row r="13" spans="1:2" ht="29.15" x14ac:dyDescent="0.4">
      <c r="A13" s="2" t="s">
        <v>267</v>
      </c>
      <c r="B13" s="48" t="s">
        <v>268</v>
      </c>
    </row>
    <row r="14" spans="1:2" ht="43.75" x14ac:dyDescent="0.4">
      <c r="A14" s="2" t="s">
        <v>269</v>
      </c>
      <c r="B14" s="48" t="s">
        <v>270</v>
      </c>
    </row>
    <row r="16" spans="1:2" x14ac:dyDescent="0.4">
      <c r="A16" s="4" t="s">
        <v>271</v>
      </c>
      <c r="B16" s="47"/>
    </row>
    <row r="17" spans="1:2" ht="43.75" x14ac:dyDescent="0.4">
      <c r="A17" s="2" t="s">
        <v>272</v>
      </c>
      <c r="B17" s="48" t="s">
        <v>273</v>
      </c>
    </row>
    <row r="18" spans="1:2" x14ac:dyDescent="0.4">
      <c r="A18" s="2" t="s">
        <v>191</v>
      </c>
      <c r="B18" s="48" t="s">
        <v>274</v>
      </c>
    </row>
    <row r="19" spans="1:2" x14ac:dyDescent="0.4">
      <c r="A19" s="2" t="s">
        <v>192</v>
      </c>
      <c r="B19" s="48" t="s">
        <v>275</v>
      </c>
    </row>
    <row r="20" spans="1:2" ht="29.15" x14ac:dyDescent="0.4">
      <c r="A20" s="2" t="s">
        <v>194</v>
      </c>
      <c r="B20" s="48" t="s">
        <v>276</v>
      </c>
    </row>
    <row r="21" spans="1:2" ht="29.15" x14ac:dyDescent="0.4">
      <c r="A21" s="2" t="s">
        <v>277</v>
      </c>
      <c r="B21" s="48" t="s">
        <v>278</v>
      </c>
    </row>
    <row r="22" spans="1:2" ht="29.15" x14ac:dyDescent="0.4">
      <c r="A22" s="2" t="s">
        <v>279</v>
      </c>
      <c r="B22" s="48" t="s">
        <v>280</v>
      </c>
    </row>
    <row r="23" spans="1:2" ht="29.15" x14ac:dyDescent="0.4">
      <c r="A23" s="2" t="s">
        <v>281</v>
      </c>
      <c r="B23" s="48" t="s">
        <v>282</v>
      </c>
    </row>
    <row r="25" spans="1:2" x14ac:dyDescent="0.4">
      <c r="A25" s="49" t="s">
        <v>283</v>
      </c>
      <c r="B25" s="50"/>
    </row>
    <row r="26" spans="1:2" ht="29.15" x14ac:dyDescent="0.4">
      <c r="A26" s="2" t="s">
        <v>284</v>
      </c>
      <c r="B26" s="48" t="s">
        <v>285</v>
      </c>
    </row>
    <row r="27" spans="1:2" x14ac:dyDescent="0.4">
      <c r="A27" s="2" t="s">
        <v>286</v>
      </c>
      <c r="B27" s="51">
        <f>pesoImpatto</f>
        <v>0.35</v>
      </c>
    </row>
    <row r="28" spans="1:2" x14ac:dyDescent="0.4">
      <c r="A28" s="2" t="s">
        <v>287</v>
      </c>
      <c r="B28" s="51">
        <f>pesoProbabilita</f>
        <v>0.25</v>
      </c>
    </row>
    <row r="29" spans="1:2" x14ac:dyDescent="0.4">
      <c r="A29" s="2" t="s">
        <v>288</v>
      </c>
      <c r="B29" s="51">
        <f>pesoProssimita</f>
        <v>0.2</v>
      </c>
    </row>
    <row r="30" spans="1:2" x14ac:dyDescent="0.4">
      <c r="A30" s="2" t="s">
        <v>289</v>
      </c>
      <c r="B30" s="51">
        <f>pesoVelocity</f>
        <v>0.2</v>
      </c>
    </row>
    <row r="31" spans="1:2" x14ac:dyDescent="0.4">
      <c r="A31" s="2" t="s">
        <v>290</v>
      </c>
      <c r="B31" s="48" t="str">
        <f>FIXED(Parametri!B8,2)&amp;" — "&amp;Parametri!C8</f>
        <v>1,00 — OK</v>
      </c>
    </row>
    <row r="33" spans="1:2" x14ac:dyDescent="0.4">
      <c r="A33" s="4" t="s">
        <v>291</v>
      </c>
      <c r="B33" s="47"/>
    </row>
    <row r="34" spans="1:2" ht="29.15" x14ac:dyDescent="0.4">
      <c r="A34" s="7" t="s">
        <v>292</v>
      </c>
    </row>
    <row r="35" spans="1:2" x14ac:dyDescent="0.4">
      <c r="A35" s="2" t="s">
        <v>293</v>
      </c>
      <c r="B35" s="48" t="s">
        <v>294</v>
      </c>
    </row>
    <row r="36" spans="1:2" x14ac:dyDescent="0.4">
      <c r="A36" s="2" t="s">
        <v>295</v>
      </c>
      <c r="B36" s="48" t="s">
        <v>296</v>
      </c>
    </row>
    <row r="37" spans="1:2" x14ac:dyDescent="0.4">
      <c r="A37" s="2" t="s">
        <v>297</v>
      </c>
      <c r="B37" s="48" t="s">
        <v>298</v>
      </c>
    </row>
    <row r="38" spans="1:2" x14ac:dyDescent="0.4">
      <c r="A38" s="2" t="s">
        <v>299</v>
      </c>
      <c r="B38" s="48" t="s">
        <v>300</v>
      </c>
    </row>
    <row r="39" spans="1:2" x14ac:dyDescent="0.4">
      <c r="A39" s="2" t="s">
        <v>301</v>
      </c>
      <c r="B39" s="48" t="s">
        <v>302</v>
      </c>
    </row>
    <row r="40" spans="1:2" x14ac:dyDescent="0.4">
      <c r="A40" s="7" t="s">
        <v>303</v>
      </c>
    </row>
    <row r="41" spans="1:2" x14ac:dyDescent="0.4">
      <c r="A41" s="2" t="s">
        <v>293</v>
      </c>
      <c r="B41" s="48" t="s">
        <v>304</v>
      </c>
    </row>
    <row r="42" spans="1:2" x14ac:dyDescent="0.4">
      <c r="A42" s="2" t="s">
        <v>295</v>
      </c>
      <c r="B42" s="48" t="s">
        <v>305</v>
      </c>
    </row>
    <row r="43" spans="1:2" x14ac:dyDescent="0.4">
      <c r="A43" s="2" t="s">
        <v>297</v>
      </c>
      <c r="B43" s="48" t="s">
        <v>306</v>
      </c>
    </row>
    <row r="44" spans="1:2" x14ac:dyDescent="0.4">
      <c r="A44" s="2" t="s">
        <v>299</v>
      </c>
      <c r="B44" s="48" t="s">
        <v>307</v>
      </c>
    </row>
    <row r="45" spans="1:2" x14ac:dyDescent="0.4">
      <c r="A45" s="2" t="s">
        <v>301</v>
      </c>
      <c r="B45" s="48" t="s">
        <v>308</v>
      </c>
    </row>
    <row r="46" spans="1:2" x14ac:dyDescent="0.4">
      <c r="A46" s="7" t="s">
        <v>309</v>
      </c>
    </row>
    <row r="47" spans="1:2" x14ac:dyDescent="0.4">
      <c r="A47" s="2" t="s">
        <v>293</v>
      </c>
      <c r="B47" s="48" t="s">
        <v>310</v>
      </c>
    </row>
    <row r="48" spans="1:2" x14ac:dyDescent="0.4">
      <c r="A48" s="2" t="s">
        <v>295</v>
      </c>
      <c r="B48" s="48" t="s">
        <v>311</v>
      </c>
    </row>
    <row r="49" spans="1:2" x14ac:dyDescent="0.4">
      <c r="A49" s="2" t="s">
        <v>297</v>
      </c>
      <c r="B49" s="48" t="s">
        <v>312</v>
      </c>
    </row>
    <row r="50" spans="1:2" x14ac:dyDescent="0.4">
      <c r="A50" s="2" t="s">
        <v>299</v>
      </c>
      <c r="B50" s="48" t="s">
        <v>313</v>
      </c>
    </row>
    <row r="51" spans="1:2" x14ac:dyDescent="0.4">
      <c r="A51" s="2" t="s">
        <v>301</v>
      </c>
      <c r="B51" s="48" t="s">
        <v>314</v>
      </c>
    </row>
    <row r="52" spans="1:2" ht="29.15" x14ac:dyDescent="0.4">
      <c r="A52" s="7" t="s">
        <v>315</v>
      </c>
    </row>
    <row r="53" spans="1:2" x14ac:dyDescent="0.4">
      <c r="A53" s="2" t="s">
        <v>293</v>
      </c>
      <c r="B53" s="48" t="s">
        <v>316</v>
      </c>
    </row>
    <row r="54" spans="1:2" x14ac:dyDescent="0.4">
      <c r="A54" s="2" t="s">
        <v>295</v>
      </c>
      <c r="B54" s="48" t="s">
        <v>317</v>
      </c>
    </row>
    <row r="55" spans="1:2" x14ac:dyDescent="0.4">
      <c r="A55" s="2" t="s">
        <v>297</v>
      </c>
      <c r="B55" s="48" t="s">
        <v>318</v>
      </c>
    </row>
    <row r="56" spans="1:2" x14ac:dyDescent="0.4">
      <c r="A56" s="2" t="s">
        <v>299</v>
      </c>
      <c r="B56" s="48" t="s">
        <v>319</v>
      </c>
    </row>
    <row r="57" spans="1:2" x14ac:dyDescent="0.4">
      <c r="A57" s="2" t="s">
        <v>301</v>
      </c>
      <c r="B57" s="48" t="s">
        <v>320</v>
      </c>
    </row>
    <row r="58" spans="1:2" ht="29.15" x14ac:dyDescent="0.4">
      <c r="A58" s="7" t="s">
        <v>321</v>
      </c>
    </row>
    <row r="59" spans="1:2" x14ac:dyDescent="0.4">
      <c r="A59" s="2" t="s">
        <v>293</v>
      </c>
      <c r="B59" s="48" t="s">
        <v>322</v>
      </c>
    </row>
    <row r="60" spans="1:2" x14ac:dyDescent="0.4">
      <c r="A60" s="2" t="s">
        <v>295</v>
      </c>
      <c r="B60" s="48" t="s">
        <v>323</v>
      </c>
    </row>
    <row r="61" spans="1:2" x14ac:dyDescent="0.4">
      <c r="A61" s="2" t="s">
        <v>297</v>
      </c>
      <c r="B61" s="48" t="s">
        <v>324</v>
      </c>
    </row>
    <row r="63" spans="1:2" x14ac:dyDescent="0.4">
      <c r="A63" s="4" t="s">
        <v>325</v>
      </c>
      <c r="B63" s="47"/>
    </row>
    <row r="64" spans="1:2" x14ac:dyDescent="0.4">
      <c r="A64" s="2"/>
      <c r="B64" s="48" t="s">
        <v>326</v>
      </c>
    </row>
    <row r="65" spans="1:2" x14ac:dyDescent="0.4">
      <c r="A65" s="2"/>
      <c r="B65" s="48" t="s">
        <v>327</v>
      </c>
    </row>
    <row r="66" spans="1:2" x14ac:dyDescent="0.4">
      <c r="A66" s="2"/>
      <c r="B66" s="48" t="s">
        <v>328</v>
      </c>
    </row>
    <row r="67" spans="1:2" x14ac:dyDescent="0.4">
      <c r="A67" s="2"/>
      <c r="B67" s="48" t="s">
        <v>329</v>
      </c>
    </row>
    <row r="68" spans="1:2" x14ac:dyDescent="0.4">
      <c r="A68" s="2"/>
      <c r="B68" s="48" t="s">
        <v>330</v>
      </c>
    </row>
    <row r="69" spans="1:2" x14ac:dyDescent="0.4">
      <c r="A69" s="2"/>
      <c r="B69" s="48" t="s">
        <v>331</v>
      </c>
    </row>
    <row r="70" spans="1:2" x14ac:dyDescent="0.4">
      <c r="A70" s="2"/>
      <c r="B70" s="48" t="s">
        <v>332</v>
      </c>
    </row>
    <row r="72" spans="1:2" ht="29.15" x14ac:dyDescent="0.4">
      <c r="A72" s="49" t="s">
        <v>333</v>
      </c>
      <c r="B72" s="50"/>
    </row>
    <row r="73" spans="1:2" ht="29.15" x14ac:dyDescent="0.4">
      <c r="A73" s="2" t="s">
        <v>272</v>
      </c>
      <c r="B73" s="48" t="s">
        <v>334</v>
      </c>
    </row>
    <row r="74" spans="1:2" x14ac:dyDescent="0.4">
      <c r="A74" s="2" t="s">
        <v>335</v>
      </c>
      <c r="B74" s="51">
        <f>moscaX</f>
        <v>0.25</v>
      </c>
    </row>
    <row r="75" spans="1:2" ht="29.15" x14ac:dyDescent="0.4">
      <c r="A75" s="2" t="s">
        <v>336</v>
      </c>
      <c r="B75" s="48" t="s">
        <v>337</v>
      </c>
    </row>
    <row r="76" spans="1:2" x14ac:dyDescent="0.4">
      <c r="A76" s="2" t="s">
        <v>338</v>
      </c>
      <c r="B76" s="51">
        <f>moscaYDefault</f>
        <v>1</v>
      </c>
    </row>
    <row r="77" spans="1:2" ht="29.15" x14ac:dyDescent="0.4">
      <c r="A77" s="2" t="s">
        <v>339</v>
      </c>
      <c r="B77" s="51">
        <f>INDEX(anniProssimita,1)</f>
        <v>3.5</v>
      </c>
    </row>
    <row r="78" spans="1:2" ht="29.15" x14ac:dyDescent="0.4">
      <c r="A78" s="2" t="s">
        <v>340</v>
      </c>
      <c r="B78" s="51">
        <f>INDEX(anniProssimita,2)</f>
        <v>2.5</v>
      </c>
    </row>
    <row r="79" spans="1:2" ht="29.15" x14ac:dyDescent="0.4">
      <c r="A79" s="2" t="s">
        <v>341</v>
      </c>
      <c r="B79" s="51">
        <f>INDEX(anniProssimita,3)</f>
        <v>1.5</v>
      </c>
    </row>
    <row r="80" spans="1:2" ht="29.15" x14ac:dyDescent="0.4">
      <c r="A80" s="2" t="s">
        <v>342</v>
      </c>
      <c r="B80" s="51">
        <f>INDEX(anniProssimita,4)</f>
        <v>0.5</v>
      </c>
    </row>
    <row r="81" spans="1:2" ht="29.15" x14ac:dyDescent="0.4">
      <c r="A81" s="2" t="s">
        <v>343</v>
      </c>
      <c r="B81" s="51">
        <f>INDEX(anniProssimita,5)</f>
        <v>0</v>
      </c>
    </row>
    <row r="82" spans="1:2" x14ac:dyDescent="0.4">
      <c r="A82" s="2" t="s">
        <v>166</v>
      </c>
      <c r="B82" s="48" t="s">
        <v>344</v>
      </c>
    </row>
    <row r="83" spans="1:2" ht="29.15" x14ac:dyDescent="0.4">
      <c r="A83" s="2" t="s">
        <v>345</v>
      </c>
      <c r="B83" s="48" t="s">
        <v>346</v>
      </c>
    </row>
    <row r="85" spans="1:2" x14ac:dyDescent="0.4">
      <c r="A85" s="49" t="s">
        <v>347</v>
      </c>
      <c r="B85" s="50"/>
    </row>
    <row r="86" spans="1:2" ht="43.75" x14ac:dyDescent="0.4">
      <c r="A86" s="2" t="s">
        <v>272</v>
      </c>
      <c r="B86" s="48" t="s">
        <v>348</v>
      </c>
    </row>
    <row r="87" spans="1:2" x14ac:dyDescent="0.4">
      <c r="A87" s="2" t="s">
        <v>349</v>
      </c>
      <c r="B87" s="48" t="str">
        <f>"Almeno "&amp;livelloForti&amp;" segnali forti: al comitato con un piano d'azione."</f>
        <v>Almeno 2 segnali forti: al comitato con un piano d'azione.</v>
      </c>
    </row>
    <row r="88" spans="1:2" ht="29.15" x14ac:dyDescent="0.4">
      <c r="A88" s="2" t="s">
        <v>350</v>
      </c>
      <c r="B88" s="48"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351</v>
      </c>
      <c r="B89" s="48" t="s">
        <v>352</v>
      </c>
    </row>
    <row r="91" spans="1:2" x14ac:dyDescent="0.4">
      <c r="A91" s="4" t="s">
        <v>114</v>
      </c>
      <c r="B91" s="47"/>
    </row>
    <row r="92" spans="1:2" ht="72.900000000000006" x14ac:dyDescent="0.4">
      <c r="A92" s="2" t="s">
        <v>353</v>
      </c>
      <c r="B92" s="48" t="s">
        <v>354</v>
      </c>
    </row>
    <row r="93" spans="1:2" x14ac:dyDescent="0.4">
      <c r="A93" s="2" t="s">
        <v>355</v>
      </c>
      <c r="B93" s="48" t="s">
        <v>356</v>
      </c>
    </row>
    <row r="95" spans="1:2" x14ac:dyDescent="0.4">
      <c r="A95" s="49" t="s">
        <v>357</v>
      </c>
      <c r="B95" s="50"/>
    </row>
    <row r="96" spans="1:2" x14ac:dyDescent="0.4">
      <c r="A96" s="2" t="s">
        <v>62</v>
      </c>
      <c r="B96" s="48" t="s">
        <v>358</v>
      </c>
    </row>
    <row r="97" spans="1:2" x14ac:dyDescent="0.4">
      <c r="A97" s="2" t="s">
        <v>359</v>
      </c>
      <c r="B97" s="48" t="s">
        <v>360</v>
      </c>
    </row>
    <row r="98" spans="1:2" ht="43.75" x14ac:dyDescent="0.4">
      <c r="A98" s="2" t="s">
        <v>361</v>
      </c>
      <c r="B98" s="48" t="s">
        <v>362</v>
      </c>
    </row>
    <row r="99" spans="1:2" x14ac:dyDescent="0.4">
      <c r="A99" s="2" t="s">
        <v>71</v>
      </c>
      <c r="B99" s="48" t="s">
        <v>363</v>
      </c>
    </row>
    <row r="100" spans="1:2" ht="43.75" x14ac:dyDescent="0.4">
      <c r="A100" s="2" t="s">
        <v>74</v>
      </c>
      <c r="B100" s="48" t="s">
        <v>364</v>
      </c>
    </row>
    <row r="102" spans="1:2" x14ac:dyDescent="0.4">
      <c r="A102" s="5" t="s">
        <v>365</v>
      </c>
      <c r="B102" s="52"/>
    </row>
    <row r="103" spans="1:2" ht="43.75" x14ac:dyDescent="0.4">
      <c r="A103" s="2"/>
      <c r="B103" s="48" t="s">
        <v>366</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7"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46" t="str">
        <f>"Horizon Scan NFR — Registro: il ciclo corrente   ·   "&amp;etichettaCiclo</f>
        <v>Horizon Scan NFR — Registro: il ciclo corrente   ·   Ciclo 2026Q3 · dati al 30/09/2026 · da validare · Uso interno</v>
      </c>
      <c r="B1" s="147"/>
      <c r="C1" s="147"/>
      <c r="D1" s="147"/>
      <c r="E1" s="147"/>
      <c r="F1" s="147"/>
      <c r="G1" s="147"/>
      <c r="H1" s="147"/>
      <c r="I1" s="147"/>
      <c r="J1" s="147"/>
      <c r="K1" s="147"/>
      <c r="L1" s="147"/>
      <c r="M1" s="147"/>
      <c r="N1" s="147"/>
      <c r="O1" s="147"/>
      <c r="P1" s="147"/>
      <c r="Q1" s="147"/>
      <c r="R1" s="147"/>
      <c r="S1" s="147"/>
      <c r="T1" s="147"/>
    </row>
    <row r="2" spans="1:40" ht="59.05" customHeight="1" x14ac:dyDescent="0.4">
      <c r="A2" s="163" t="s">
        <v>367</v>
      </c>
      <c r="B2" s="116"/>
      <c r="C2" s="116"/>
      <c r="D2" s="116"/>
      <c r="E2" s="116"/>
      <c r="F2" s="116"/>
      <c r="G2" s="116"/>
      <c r="H2" s="116"/>
      <c r="I2" s="116"/>
      <c r="J2" s="116"/>
      <c r="K2" s="116"/>
      <c r="L2" s="116"/>
      <c r="M2" s="116"/>
      <c r="N2" s="116"/>
      <c r="O2" s="116"/>
      <c r="P2" s="116"/>
      <c r="Q2" s="116"/>
      <c r="R2" s="116"/>
      <c r="S2" s="116"/>
      <c r="T2" s="116"/>
      <c r="U2" s="116"/>
    </row>
    <row r="4" spans="1:40" x14ac:dyDescent="0.4">
      <c r="A4" s="53" t="s">
        <v>368</v>
      </c>
      <c r="B4" t="s">
        <v>369</v>
      </c>
      <c r="D4">
        <f>COUNTIFS(VAL_Periodo,cicloCorrente,VAL_Stato,"Da decidere",VAL_Oggetto,"Rischio",VAL_Campo,"Impatto")+COUNTIFS(VAL_Periodo,cicloCorrente,VAL_Stato,"Da decidere",VAL_Oggetto,"KRI",VAL_Campo,"Valore_Corrente")+COUNTIFS(VAL_Periodo,cicloCorrente,VAL_Stato,"Da decidere",VAL_Oggetto,"Azione",VAL_Campo,"Owner")</f>
        <v>52</v>
      </c>
      <c r="E4" t="s">
        <v>370</v>
      </c>
      <c r="G4">
        <f>COUNTIFS(VAL_Periodo,cicloCorrente,VAL_Decisione,"Rettificato",VAL_Stato,"Applicata")</f>
        <v>0</v>
      </c>
      <c r="H4" s="160" t="str">
        <f>IF(D4&gt;0,"CICLO NON ANCORA VALIDATO — vedi foglio Validazione","Ciclo validato")</f>
        <v>CICLO NON ANCORA VALIDATO — vedi foglio Validazione</v>
      </c>
      <c r="I4" s="116"/>
      <c r="J4" s="116"/>
      <c r="K4" s="116"/>
      <c r="L4" s="116"/>
      <c r="M4" s="116"/>
      <c r="N4" s="116"/>
    </row>
    <row r="5" spans="1:40" x14ac:dyDescent="0.4">
      <c r="A5" s="55" t="s">
        <v>371</v>
      </c>
      <c r="B5" t="s">
        <v>372</v>
      </c>
      <c r="D5">
        <f>COUNTIF(ANA_ID,"NFR-*")</f>
        <v>12</v>
      </c>
      <c r="E5" t="s">
        <v>373</v>
      </c>
      <c r="G5">
        <f>SUMPRODUCT((ANA_ID&lt;&gt;"")*(COUNTIFS(RR_ID_Rischio,ANA_ID,RR_Ciclo,cicloCorrente)&gt;0))</f>
        <v>12</v>
      </c>
      <c r="H5" s="160" t="str">
        <f>IF(D5=G5,"Ciclo completo","CICLO INCOMPLETO — i rischi mancanti non sono valutazioni")</f>
        <v>Ciclo completo</v>
      </c>
      <c r="I5" s="116"/>
      <c r="J5" s="116"/>
      <c r="K5" s="116"/>
      <c r="L5" s="116"/>
      <c r="M5" s="116"/>
      <c r="N5" s="116"/>
    </row>
    <row r="7" spans="1:40" ht="26.05" customHeight="1" x14ac:dyDescent="0.4">
      <c r="A7" s="164" t="s">
        <v>18</v>
      </c>
      <c r="B7" s="165"/>
      <c r="C7" s="165"/>
      <c r="D7" s="161" t="s">
        <v>374</v>
      </c>
      <c r="E7" s="162"/>
      <c r="F7" s="162"/>
      <c r="G7" s="162"/>
      <c r="H7" s="164" t="s">
        <v>375</v>
      </c>
      <c r="I7" s="165"/>
      <c r="J7" s="165"/>
      <c r="K7" s="165"/>
      <c r="L7" s="165"/>
      <c r="M7" s="57" t="s">
        <v>376</v>
      </c>
      <c r="N7" s="161" t="s">
        <v>377</v>
      </c>
      <c r="O7" s="162"/>
      <c r="P7" s="162"/>
      <c r="Q7" s="58" t="s">
        <v>378</v>
      </c>
      <c r="R7" s="57" t="s">
        <v>379</v>
      </c>
      <c r="S7" s="56" t="s">
        <v>380</v>
      </c>
      <c r="T7" s="57" t="s">
        <v>381</v>
      </c>
    </row>
    <row r="8" spans="1:40" ht="28" customHeight="1" x14ac:dyDescent="0.4">
      <c r="A8" s="59" t="s">
        <v>161</v>
      </c>
      <c r="B8" s="59" t="s">
        <v>162</v>
      </c>
      <c r="C8" s="60" t="s">
        <v>190</v>
      </c>
      <c r="D8" s="60" t="s">
        <v>382</v>
      </c>
      <c r="E8" s="60" t="s">
        <v>383</v>
      </c>
      <c r="F8" s="60" t="s">
        <v>384</v>
      </c>
      <c r="G8" s="60" t="s">
        <v>385</v>
      </c>
      <c r="H8" s="60" t="s">
        <v>19</v>
      </c>
      <c r="I8" s="60" t="s">
        <v>386</v>
      </c>
      <c r="J8" s="60" t="s">
        <v>387</v>
      </c>
      <c r="K8" s="60" t="s">
        <v>21</v>
      </c>
      <c r="L8" s="60" t="s">
        <v>388</v>
      </c>
      <c r="M8" s="61" t="s">
        <v>389</v>
      </c>
      <c r="N8" s="60" t="s">
        <v>390</v>
      </c>
      <c r="O8" s="60" t="s">
        <v>391</v>
      </c>
      <c r="P8" s="60" t="s">
        <v>392</v>
      </c>
      <c r="Q8" s="60" t="s">
        <v>393</v>
      </c>
      <c r="R8" s="60" t="s">
        <v>394</v>
      </c>
      <c r="S8" s="60" t="s">
        <v>395</v>
      </c>
      <c r="T8" s="60" t="s">
        <v>169</v>
      </c>
      <c r="AA8" t="s">
        <v>161</v>
      </c>
      <c r="AB8" t="s">
        <v>162</v>
      </c>
      <c r="AC8" t="s">
        <v>191</v>
      </c>
      <c r="AD8" t="s">
        <v>192</v>
      </c>
      <c r="AE8" t="s">
        <v>194</v>
      </c>
      <c r="AF8" t="s">
        <v>277</v>
      </c>
      <c r="AG8" t="s">
        <v>19</v>
      </c>
      <c r="AH8" t="s">
        <v>396</v>
      </c>
      <c r="AI8" t="s">
        <v>397</v>
      </c>
      <c r="AJ8" t="s">
        <v>398</v>
      </c>
      <c r="AK8" t="s">
        <v>399</v>
      </c>
      <c r="AL8" t="s">
        <v>171</v>
      </c>
      <c r="AM8" t="s">
        <v>400</v>
      </c>
      <c r="AN8" t="s">
        <v>44</v>
      </c>
    </row>
    <row r="9" spans="1:40" ht="20.05" customHeight="1" x14ac:dyDescent="0.4">
      <c r="A9" s="62" t="str">
        <f t="shared" ref="A9:A28" si="0">IF($AM9="","",INDEX(posID,$AM9))</f>
        <v>NFR-01</v>
      </c>
      <c r="B9" s="62" t="str">
        <f t="shared" ref="B9:B28" si="1">IF($AM9="","",INDEX(posNome,$AM9))</f>
        <v>Frodi su pagamenti istantanei abilitate da AI generativa</v>
      </c>
      <c r="C9" s="63" t="str">
        <f t="shared" ref="C9:C28" si="2">IF($AM9="","",INDEX(ANA_Event_Type,$AM9)&amp;"")</f>
        <v>L1-02</v>
      </c>
      <c r="D9" s="63">
        <f t="shared" ref="D9:D28" si="3">IF($AM9="","",IF(ISNUMBER(INDEX(posImpatto,$AM9)),INDEX(posImpatto,$AM9),NA()))</f>
        <v>4</v>
      </c>
      <c r="E9" s="63">
        <f t="shared" ref="E9:E28" si="4">IF($AM9="","",IF(ISNUMBER(INDEX(posProbabilita,$AM9)),INDEX(posProbabilita,$AM9),NA()))</f>
        <v>4</v>
      </c>
      <c r="F9" s="63">
        <f t="shared" ref="F9:F28" si="5">IF($AM9="","",IF(ISNUMBER(INDEX(posProssimita,$AM9)),INDEX(posProssimita,$AM9),NA()))</f>
        <v>4</v>
      </c>
      <c r="G9" s="63">
        <f t="shared" ref="G9:G28" si="6">IF($AM9="","",IF(ISNUMBER(INDEX(posVelocity,$AM9)),INDEX(posVelocity,$AM9),"n.v."))</f>
        <v>5</v>
      </c>
      <c r="H9" s="64">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63" t="str">
        <f>IF($AM9="","",INDEX(Radar_Mosca!$L$5:$L$24,$AM9)&amp;"")</f>
        <v>AGIRE ORA: X+Y &gt; Z</v>
      </c>
      <c r="L9" s="65">
        <f>IF($AM9="","",IFERROR(INDEX(Radar_Mosca!$K$5:$K$24,$AM9),""))</f>
        <v>-0.25</v>
      </c>
      <c r="M9" s="63" t="str">
        <f t="shared" ref="M9:M28" si="10">IF($AM9="","",IF(INDEX(ANA_Attenzione_Supervisore,$AM9)="Sì","◆",""))</f>
        <v>◆</v>
      </c>
      <c r="N9" s="66">
        <f t="shared" ref="N9:N28" si="11">IF($A9="","",COUNTIFS(KRI_ID_Rischio,$A9,KRI_Ciclo,cicloCorrente,KRI_In_Vigore,"Sì",KRI_Stato,"Rosso"))</f>
        <v>0</v>
      </c>
      <c r="O9" s="66">
        <f t="shared" ref="O9:O28" si="12">IF($A9="","",COUNTIFS(KRI_ID_Rischio,$A9,KRI_Ciclo,cicloCorrente,KRI_In_Vigore,"Sì",KRI_Stato,"Ambra"))</f>
        <v>1</v>
      </c>
      <c r="P9" s="66">
        <f t="shared" ref="P9:P28" si="13">IF($A9="","",COUNTIFS(KRI_ID_Rischio,$A9,KRI_Ciclo,cicloCorrente,KRI_In_Vigore,"Sì",KRI_Stato,"Verde"))</f>
        <v>1</v>
      </c>
      <c r="Q9" s="63" t="str">
        <f t="shared" ref="Q9:Q28" si="14">IF($AM9="","",INDEX(posBadge,$AM9))</f>
        <v>▲ +3</v>
      </c>
      <c r="R9" s="63" t="str">
        <f t="shared" ref="R9:R28" si="15">IF($AM9="","",INDEX(ANA_Presidio_Controlli,$AM9)&amp;"")</f>
        <v>Parziale</v>
      </c>
      <c r="S9" s="63"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63"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2" t="str">
        <f t="shared" si="0"/>
        <v>NFR-07</v>
      </c>
      <c r="B10" s="62" t="str">
        <f t="shared" si="1"/>
        <v>Ransomware presso un fornitore di servizi di pagamento</v>
      </c>
      <c r="C10" s="63" t="str">
        <f t="shared" si="2"/>
        <v>L1-06</v>
      </c>
      <c r="D10" s="63">
        <f t="shared" si="3"/>
        <v>4</v>
      </c>
      <c r="E10" s="63">
        <f t="shared" si="4"/>
        <v>3</v>
      </c>
      <c r="F10" s="63">
        <f t="shared" si="5"/>
        <v>3</v>
      </c>
      <c r="G10" s="63">
        <f t="shared" si="6"/>
        <v>5</v>
      </c>
      <c r="H10" s="64">
        <f t="shared" si="7"/>
        <v>3.75</v>
      </c>
      <c r="I10" s="18">
        <f t="shared" si="8"/>
        <v>0</v>
      </c>
      <c r="J10" s="18">
        <f t="shared" si="9"/>
        <v>0</v>
      </c>
      <c r="K10" s="63" t="str">
        <f>IF($AM10="","",INDEX(Radar_Mosca!$L$5:$L$24,$AM10)&amp;"")</f>
        <v>Agire entro l'anno</v>
      </c>
      <c r="L10" s="65">
        <f>IF($AM10="","",IFERROR(INDEX(Radar_Mosca!$K$5:$K$24,$AM10),""))</f>
        <v>0.75</v>
      </c>
      <c r="M10" s="63" t="str">
        <f t="shared" si="10"/>
        <v>◆</v>
      </c>
      <c r="N10" s="66">
        <f t="shared" si="11"/>
        <v>0</v>
      </c>
      <c r="O10" s="66">
        <f t="shared" si="12"/>
        <v>1</v>
      </c>
      <c r="P10" s="66">
        <f t="shared" si="13"/>
        <v>1</v>
      </c>
      <c r="Q10" s="63" t="str">
        <f t="shared" si="14"/>
        <v>● 0</v>
      </c>
      <c r="R10" s="63" t="str">
        <f t="shared" si="15"/>
        <v>Parziale</v>
      </c>
      <c r="S10" s="63" t="str">
        <f t="shared" si="16"/>
        <v/>
      </c>
      <c r="T10" s="63"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0</v>
      </c>
      <c r="AK10" t="str">
        <f t="shared" si="26"/>
        <v>● 0</v>
      </c>
      <c r="AL10">
        <f>IF($AA10="","",IF(ISNUMBER(AG10),AG10,-1)-2/100000)</f>
        <v>3.2999799999999997</v>
      </c>
      <c r="AM10">
        <f>IFERROR(MATCH(_xlfn.AGGREGATE(14,6,$AL$9:$AL$28,2),$AL$9:$AL$28,0),"")</f>
        <v>7</v>
      </c>
      <c r="AN10" t="str">
        <f>IF($AA10="","",Radar_Mosca!$AA$6&amp;"")</f>
        <v>Attenzione</v>
      </c>
    </row>
    <row r="11" spans="1:40" ht="20.05" customHeight="1" x14ac:dyDescent="0.4">
      <c r="A11" s="62" t="str">
        <f t="shared" si="0"/>
        <v>NFR-12</v>
      </c>
      <c r="B11" s="62" t="str">
        <f t="shared" si="1"/>
        <v>Errori operativi nei pagamenti istantanei obbligatori</v>
      </c>
      <c r="C11" s="63" t="str">
        <f t="shared" si="2"/>
        <v>L1-07</v>
      </c>
      <c r="D11" s="63">
        <f t="shared" si="3"/>
        <v>3</v>
      </c>
      <c r="E11" s="63">
        <f t="shared" si="4"/>
        <v>4</v>
      </c>
      <c r="F11" s="63">
        <f t="shared" si="5"/>
        <v>4</v>
      </c>
      <c r="G11" s="63">
        <f t="shared" si="6"/>
        <v>4</v>
      </c>
      <c r="H11" s="64">
        <f t="shared" si="7"/>
        <v>3.65</v>
      </c>
      <c r="I11" s="18">
        <f t="shared" si="8"/>
        <v>0</v>
      </c>
      <c r="J11" s="18">
        <f t="shared" si="9"/>
        <v>0.19999999999999973</v>
      </c>
      <c r="K11" s="63" t="str">
        <f>IF($AM11="","",INDEX(Radar_Mosca!$L$5:$L$24,$AM11)&amp;"")</f>
        <v>Agire entro l'anno</v>
      </c>
      <c r="L11" s="65">
        <f>IF($AM11="","",IFERROR(INDEX(Radar_Mosca!$K$5:$K$24,$AM11),""))</f>
        <v>0</v>
      </c>
      <c r="M11" s="63" t="str">
        <f t="shared" si="10"/>
        <v/>
      </c>
      <c r="N11" s="66">
        <f t="shared" si="11"/>
        <v>0</v>
      </c>
      <c r="O11" s="66">
        <f t="shared" si="12"/>
        <v>2</v>
      </c>
      <c r="P11" s="66">
        <f t="shared" si="13"/>
        <v>0</v>
      </c>
      <c r="Q11" s="63" t="str">
        <f t="shared" si="14"/>
        <v>● 0</v>
      </c>
      <c r="R11" s="63" t="str">
        <f t="shared" si="15"/>
        <v>Parziale</v>
      </c>
      <c r="S11" s="63" t="str">
        <f t="shared" si="16"/>
        <v/>
      </c>
      <c r="T11" s="63"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2" t="str">
        <f t="shared" si="0"/>
        <v>NFR-02</v>
      </c>
      <c r="B12" s="62" t="str">
        <f t="shared" si="1"/>
        <v>Concentrazione su un fornitore cloud critico</v>
      </c>
      <c r="C12" s="63" t="str">
        <f t="shared" si="2"/>
        <v>L1-06</v>
      </c>
      <c r="D12" s="63">
        <f t="shared" si="3"/>
        <v>4</v>
      </c>
      <c r="E12" s="63">
        <f t="shared" si="4"/>
        <v>2</v>
      </c>
      <c r="F12" s="63">
        <f t="shared" si="5"/>
        <v>3</v>
      </c>
      <c r="G12" s="63">
        <f t="shared" si="6"/>
        <v>4</v>
      </c>
      <c r="H12" s="64">
        <f t="shared" si="7"/>
        <v>3.3</v>
      </c>
      <c r="I12" s="18">
        <f t="shared" si="8"/>
        <v>0</v>
      </c>
      <c r="J12" s="18">
        <f t="shared" si="9"/>
        <v>0</v>
      </c>
      <c r="K12" s="63" t="str">
        <f>IF($AM12="","",INDEX(Radar_Mosca!$L$5:$L$24,$AM12)&amp;"")</f>
        <v>Agire entro l'anno</v>
      </c>
      <c r="L12" s="65">
        <f>IF($AM12="","",IFERROR(INDEX(Radar_Mosca!$K$5:$K$24,$AM12),""))</f>
        <v>0.25</v>
      </c>
      <c r="M12" s="63" t="str">
        <f t="shared" si="10"/>
        <v>◆</v>
      </c>
      <c r="N12" s="66">
        <f t="shared" si="11"/>
        <v>0</v>
      </c>
      <c r="O12" s="66">
        <f t="shared" si="12"/>
        <v>1</v>
      </c>
      <c r="P12" s="66">
        <f t="shared" si="13"/>
        <v>0</v>
      </c>
      <c r="Q12" s="63" t="str">
        <f t="shared" si="14"/>
        <v>● 0</v>
      </c>
      <c r="R12" s="63" t="str">
        <f t="shared" si="15"/>
        <v>Non verificato</v>
      </c>
      <c r="S12" s="63" t="str">
        <f t="shared" si="16"/>
        <v>1 oss.</v>
      </c>
      <c r="T12" s="63"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2" t="str">
        <f t="shared" si="0"/>
        <v>NFR-03</v>
      </c>
      <c r="B13" s="62" t="str">
        <f t="shared" si="1"/>
        <v>Greenwashing nella commercializzazione di prodotti ESG</v>
      </c>
      <c r="C13" s="63" t="str">
        <f t="shared" si="2"/>
        <v>L1-04</v>
      </c>
      <c r="D13" s="63">
        <f t="shared" si="3"/>
        <v>3</v>
      </c>
      <c r="E13" s="63">
        <f t="shared" si="4"/>
        <v>3</v>
      </c>
      <c r="F13" s="63">
        <f t="shared" si="5"/>
        <v>4</v>
      </c>
      <c r="G13" s="63">
        <f t="shared" si="6"/>
        <v>2</v>
      </c>
      <c r="H13" s="64">
        <f t="shared" si="7"/>
        <v>3</v>
      </c>
      <c r="I13" s="18">
        <f t="shared" si="8"/>
        <v>0.20000000000000018</v>
      </c>
      <c r="J13" s="18">
        <f t="shared" si="9"/>
        <v>0.20000000000000018</v>
      </c>
      <c r="K13" s="63" t="str">
        <f>IF($AM13="","",INDEX(Radar_Mosca!$L$5:$L$24,$AM13)&amp;"")</f>
        <v>Agire entro l'anno</v>
      </c>
      <c r="L13" s="65">
        <f>IF($AM13="","",IFERROR(INDEX(Radar_Mosca!$K$5:$K$24,$AM13),""))</f>
        <v>0</v>
      </c>
      <c r="M13" s="63" t="str">
        <f t="shared" si="10"/>
        <v/>
      </c>
      <c r="N13" s="66">
        <f t="shared" si="11"/>
        <v>0</v>
      </c>
      <c r="O13" s="66">
        <f t="shared" si="12"/>
        <v>1</v>
      </c>
      <c r="P13" s="66">
        <f t="shared" si="13"/>
        <v>0</v>
      </c>
      <c r="Q13" s="63" t="str">
        <f t="shared" si="14"/>
        <v>● 0</v>
      </c>
      <c r="R13" s="63" t="str">
        <f t="shared" si="15"/>
        <v>Non verificato</v>
      </c>
      <c r="S13" s="63" t="str">
        <f t="shared" si="16"/>
        <v/>
      </c>
      <c r="T13" s="63"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-3</v>
      </c>
      <c r="AK13" t="str">
        <f t="shared" si="26"/>
        <v>▼ -3</v>
      </c>
      <c r="AL13">
        <f>IF($AA13="","",IF(ISNUMBER(AG13),AG13,-1)-5/100000)</f>
        <v>2.9999500000000001</v>
      </c>
      <c r="AM13">
        <f>IFERROR(MATCH(_xlfn.AGGREGATE(14,6,$AL$9:$AL$28,5),$AL$9:$AL$28,0),"")</f>
        <v>3</v>
      </c>
      <c r="AN13" t="str">
        <f>IF($AA13="","",Radar_Mosca!$AA$9&amp;"")</f>
        <v>Monitoraggio</v>
      </c>
    </row>
    <row r="14" spans="1:40" ht="20.05" customHeight="1" x14ac:dyDescent="0.4">
      <c r="A14" s="62" t="str">
        <f t="shared" si="0"/>
        <v>NFR-05</v>
      </c>
      <c r="B14" s="62" t="str">
        <f t="shared" si="1"/>
        <v>Errori di processo nella migrazione del core banking</v>
      </c>
      <c r="C14" s="63" t="str">
        <f t="shared" si="2"/>
        <v>L1-07</v>
      </c>
      <c r="D14" s="63">
        <f t="shared" si="3"/>
        <v>3</v>
      </c>
      <c r="E14" s="63">
        <f t="shared" si="4"/>
        <v>3</v>
      </c>
      <c r="F14" s="63">
        <f t="shared" si="5"/>
        <v>3</v>
      </c>
      <c r="G14" s="63">
        <f t="shared" si="6"/>
        <v>3</v>
      </c>
      <c r="H14" s="64">
        <f t="shared" si="7"/>
        <v>3</v>
      </c>
      <c r="I14" s="18">
        <f t="shared" si="8"/>
        <v>0</v>
      </c>
      <c r="J14" s="18">
        <f t="shared" si="9"/>
        <v>-0.20000000000000018</v>
      </c>
      <c r="K14" s="63" t="str">
        <f>IF($AM14="","",INDEX(Radar_Mosca!$L$5:$L$24,$AM14)&amp;"")</f>
        <v>Margine 1 anno</v>
      </c>
      <c r="L14" s="65">
        <f>IF($AM14="","",IFERROR(INDEX(Radar_Mosca!$K$5:$K$24,$AM14),""))</f>
        <v>1</v>
      </c>
      <c r="M14" s="63" t="str">
        <f t="shared" si="10"/>
        <v/>
      </c>
      <c r="N14" s="66">
        <f t="shared" si="11"/>
        <v>0</v>
      </c>
      <c r="O14" s="66">
        <f t="shared" si="12"/>
        <v>1</v>
      </c>
      <c r="P14" s="66">
        <f t="shared" si="13"/>
        <v>1</v>
      </c>
      <c r="Q14" s="63" t="str">
        <f t="shared" si="14"/>
        <v>▼ -3</v>
      </c>
      <c r="R14" s="63" t="str">
        <f t="shared" si="15"/>
        <v>Adeguato</v>
      </c>
      <c r="S14" s="63" t="str">
        <f t="shared" si="16"/>
        <v/>
      </c>
      <c r="T14" s="63"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2" t="str">
        <f t="shared" si="0"/>
        <v>NFR-06</v>
      </c>
      <c r="B15" s="62" t="str">
        <f t="shared" si="1"/>
        <v>Esfiltrazione di dati tramite strumenti di AI non autorizzati</v>
      </c>
      <c r="C15" s="63" t="str">
        <f t="shared" si="2"/>
        <v>L1-01</v>
      </c>
      <c r="D15" s="63">
        <f t="shared" si="3"/>
        <v>3</v>
      </c>
      <c r="E15" s="63">
        <f t="shared" si="4"/>
        <v>3</v>
      </c>
      <c r="F15" s="63">
        <f t="shared" si="5"/>
        <v>3</v>
      </c>
      <c r="G15" s="63">
        <f t="shared" si="6"/>
        <v>3</v>
      </c>
      <c r="H15" s="64">
        <f t="shared" si="7"/>
        <v>3</v>
      </c>
      <c r="I15" s="18">
        <f t="shared" si="8"/>
        <v>0</v>
      </c>
      <c r="J15" s="18">
        <f t="shared" si="9"/>
        <v>0</v>
      </c>
      <c r="K15" s="63" t="str">
        <f>IF($AM15="","",INDEX(Radar_Mosca!$L$5:$L$24,$AM15)&amp;"")</f>
        <v>Agire entro l'anno</v>
      </c>
      <c r="L15" s="65">
        <f>IF($AM15="","",IFERROR(INDEX(Radar_Mosca!$K$5:$K$24,$AM15),""))</f>
        <v>0.75</v>
      </c>
      <c r="M15" s="63" t="str">
        <f t="shared" si="10"/>
        <v/>
      </c>
      <c r="N15" s="66">
        <f t="shared" si="11"/>
        <v>0</v>
      </c>
      <c r="O15" s="66">
        <f t="shared" si="12"/>
        <v>1</v>
      </c>
      <c r="P15" s="66">
        <f t="shared" si="13"/>
        <v>1</v>
      </c>
      <c r="Q15" s="63" t="str">
        <f t="shared" si="14"/>
        <v>● 0</v>
      </c>
      <c r="R15" s="63" t="str">
        <f t="shared" si="15"/>
        <v>Assente</v>
      </c>
      <c r="S15" s="63" t="str">
        <f t="shared" si="16"/>
        <v>1 oss.</v>
      </c>
      <c r="T15" s="63"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2" t="str">
        <f t="shared" si="0"/>
        <v>NFR-10</v>
      </c>
      <c r="B16" s="62" t="str">
        <f t="shared" si="1"/>
        <v>Informazioni errate ai clienti da assistenti di AI generativa</v>
      </c>
      <c r="C16" s="63" t="str">
        <f t="shared" si="2"/>
        <v>L1-04</v>
      </c>
      <c r="D16" s="63">
        <f t="shared" si="3"/>
        <v>3</v>
      </c>
      <c r="E16" s="63">
        <f t="shared" si="4"/>
        <v>3</v>
      </c>
      <c r="F16" s="63">
        <f t="shared" si="5"/>
        <v>3</v>
      </c>
      <c r="G16" s="63" t="str">
        <f t="shared" si="6"/>
        <v>n.v.</v>
      </c>
      <c r="H16" s="64">
        <f t="shared" si="7"/>
        <v>3</v>
      </c>
      <c r="I16" s="18">
        <f t="shared" si="8"/>
        <v>0</v>
      </c>
      <c r="J16" s="18">
        <f t="shared" si="9"/>
        <v>0</v>
      </c>
      <c r="K16" s="63" t="str">
        <f>IF($AM16="","",INDEX(Radar_Mosca!$L$5:$L$24,$AM16)&amp;"")</f>
        <v>Margine 1 anno</v>
      </c>
      <c r="L16" s="65">
        <f>IF($AM16="","",IFERROR(INDEX(Radar_Mosca!$K$5:$K$24,$AM16),""))</f>
        <v>1</v>
      </c>
      <c r="M16" s="63" t="str">
        <f t="shared" si="10"/>
        <v/>
      </c>
      <c r="N16" s="66">
        <f t="shared" si="11"/>
        <v>0</v>
      </c>
      <c r="O16" s="66">
        <f t="shared" si="12"/>
        <v>1</v>
      </c>
      <c r="P16" s="66">
        <f t="shared" si="13"/>
        <v>0</v>
      </c>
      <c r="Q16" s="63" t="str">
        <f t="shared" si="14"/>
        <v>● 0</v>
      </c>
      <c r="R16" s="63" t="str">
        <f t="shared" si="15"/>
        <v>Non verificato</v>
      </c>
      <c r="S16" s="63" t="str">
        <f t="shared" si="16"/>
        <v/>
      </c>
      <c r="T16" s="63"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2" t="str">
        <f t="shared" si="0"/>
        <v>NFR-09</v>
      </c>
      <c r="B17" s="62" t="str">
        <f t="shared" si="1"/>
        <v>Violazione di sanzioni internazionali tramite triangolazioni</v>
      </c>
      <c r="C17" s="63" t="str">
        <f t="shared" si="2"/>
        <v>L1-04</v>
      </c>
      <c r="D17" s="63">
        <f t="shared" si="3"/>
        <v>4</v>
      </c>
      <c r="E17" s="63">
        <f t="shared" si="4"/>
        <v>2</v>
      </c>
      <c r="F17" s="63">
        <f t="shared" si="5"/>
        <v>2</v>
      </c>
      <c r="G17" s="63">
        <f t="shared" si="6"/>
        <v>3</v>
      </c>
      <c r="H17" s="64">
        <f t="shared" si="7"/>
        <v>2.9</v>
      </c>
      <c r="I17" s="18">
        <f t="shared" si="8"/>
        <v>0</v>
      </c>
      <c r="J17" s="18">
        <f t="shared" si="9"/>
        <v>0</v>
      </c>
      <c r="K17" s="63" t="str">
        <f>IF($AM17="","",INDEX(Radar_Mosca!$L$5:$L$24,$AM17)&amp;"")</f>
        <v>Margine 1,3 anni</v>
      </c>
      <c r="L17" s="65">
        <f>IF($AM17="","",IFERROR(INDEX(Radar_Mosca!$K$5:$K$24,$AM17),""))</f>
        <v>1.25</v>
      </c>
      <c r="M17" s="63" t="str">
        <f t="shared" si="10"/>
        <v>◆</v>
      </c>
      <c r="N17" s="66">
        <f t="shared" si="11"/>
        <v>0</v>
      </c>
      <c r="O17" s="66">
        <f t="shared" si="12"/>
        <v>2</v>
      </c>
      <c r="P17" s="66">
        <f t="shared" si="13"/>
        <v>0</v>
      </c>
      <c r="Q17" s="63" t="str">
        <f t="shared" si="14"/>
        <v>● 0</v>
      </c>
      <c r="R17" s="63" t="str">
        <f t="shared" si="15"/>
        <v>Non verificato</v>
      </c>
      <c r="S17" s="63" t="str">
        <f t="shared" si="16"/>
        <v/>
      </c>
      <c r="T17" s="63"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2" t="str">
        <f t="shared" si="0"/>
        <v>NFR-04</v>
      </c>
      <c r="B18" s="62" t="str">
        <f t="shared" si="1"/>
        <v>Eventi climatici estremi su sedi e data center</v>
      </c>
      <c r="C18" s="63" t="str">
        <f t="shared" si="2"/>
        <v>L1-05</v>
      </c>
      <c r="D18" s="63">
        <f t="shared" si="3"/>
        <v>3</v>
      </c>
      <c r="E18" s="63">
        <f t="shared" si="4"/>
        <v>3</v>
      </c>
      <c r="F18" s="63">
        <f t="shared" si="5"/>
        <v>3</v>
      </c>
      <c r="G18" s="63">
        <f t="shared" si="6"/>
        <v>2</v>
      </c>
      <c r="H18" s="64">
        <f t="shared" si="7"/>
        <v>2.8</v>
      </c>
      <c r="I18" s="18">
        <f t="shared" si="8"/>
        <v>0</v>
      </c>
      <c r="J18" s="18">
        <f t="shared" si="9"/>
        <v>0.19999999999999973</v>
      </c>
      <c r="K18" s="63" t="str">
        <f>IF($AM18="","",INDEX(Radar_Mosca!$L$5:$L$24,$AM18)&amp;"")</f>
        <v>Agire entro l'anno</v>
      </c>
      <c r="L18" s="65">
        <f>IF($AM18="","",IFERROR(INDEX(Radar_Mosca!$K$5:$K$24,$AM18),""))</f>
        <v>0.75</v>
      </c>
      <c r="M18" s="63" t="str">
        <f t="shared" si="10"/>
        <v/>
      </c>
      <c r="N18" s="66">
        <f t="shared" si="11"/>
        <v>0</v>
      </c>
      <c r="O18" s="66">
        <f t="shared" si="12"/>
        <v>1</v>
      </c>
      <c r="P18" s="66">
        <f t="shared" si="13"/>
        <v>1</v>
      </c>
      <c r="Q18" s="63" t="str">
        <f t="shared" si="14"/>
        <v>● 0</v>
      </c>
      <c r="R18" s="63" t="str">
        <f t="shared" si="15"/>
        <v>Non verificato</v>
      </c>
      <c r="S18" s="63" t="str">
        <f t="shared" si="16"/>
        <v/>
      </c>
      <c r="T18" s="63"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t="e">
        <f t="shared" si="21"/>
        <v>#N/A</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2" t="str">
        <f t="shared" si="0"/>
        <v>NFR-11</v>
      </c>
      <c r="B19" s="62" t="str">
        <f t="shared" si="1"/>
        <v>Fine del supporto dei sistemi di pagamento legacy</v>
      </c>
      <c r="C19" s="63" t="str">
        <f t="shared" si="2"/>
        <v>L1-06</v>
      </c>
      <c r="D19" s="63">
        <f t="shared" si="3"/>
        <v>3</v>
      </c>
      <c r="E19" s="63">
        <f t="shared" si="4"/>
        <v>3</v>
      </c>
      <c r="F19" s="63">
        <f t="shared" si="5"/>
        <v>3</v>
      </c>
      <c r="G19" s="63">
        <f t="shared" si="6"/>
        <v>2</v>
      </c>
      <c r="H19" s="64">
        <f t="shared" si="7"/>
        <v>2.8</v>
      </c>
      <c r="I19" s="18">
        <f t="shared" si="8"/>
        <v>0</v>
      </c>
      <c r="J19" s="18">
        <f t="shared" si="9"/>
        <v>0</v>
      </c>
      <c r="K19" s="63" t="str">
        <f>IF($AM19="","",INDEX(Radar_Mosca!$L$5:$L$24,$AM19)&amp;"")</f>
        <v>AGIRE ORA: X+Y &gt; Z</v>
      </c>
      <c r="L19" s="65">
        <f>IF($AM19="","",IFERROR(INDEX(Radar_Mosca!$K$5:$K$24,$AM19),""))</f>
        <v>-1.75</v>
      </c>
      <c r="M19" s="63" t="str">
        <f t="shared" si="10"/>
        <v/>
      </c>
      <c r="N19" s="66">
        <f t="shared" si="11"/>
        <v>0</v>
      </c>
      <c r="O19" s="66">
        <f t="shared" si="12"/>
        <v>2</v>
      </c>
      <c r="P19" s="66">
        <f t="shared" si="13"/>
        <v>0</v>
      </c>
      <c r="Q19" s="63" t="str">
        <f t="shared" si="14"/>
        <v>● 0</v>
      </c>
      <c r="R19" s="63" t="str">
        <f t="shared" si="15"/>
        <v>Assente</v>
      </c>
      <c r="S19" s="63" t="str">
        <f t="shared" si="16"/>
        <v/>
      </c>
      <c r="T19" s="63"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2" t="str">
        <f t="shared" si="0"/>
        <v>NFR-08</v>
      </c>
      <c r="B20" s="62" t="str">
        <f t="shared" si="1"/>
        <v>Accessi impropri di dipendenti ai dati dei clienti</v>
      </c>
      <c r="C20" s="63" t="str">
        <f t="shared" si="2"/>
        <v>L1-01</v>
      </c>
      <c r="D20" s="63">
        <f t="shared" si="3"/>
        <v>3</v>
      </c>
      <c r="E20" s="63">
        <f t="shared" si="4"/>
        <v>2</v>
      </c>
      <c r="F20" s="63">
        <f t="shared" si="5"/>
        <v>3</v>
      </c>
      <c r="G20" s="63">
        <f t="shared" si="6"/>
        <v>3</v>
      </c>
      <c r="H20" s="64">
        <f t="shared" si="7"/>
        <v>2.75</v>
      </c>
      <c r="I20" s="18">
        <f t="shared" si="8"/>
        <v>0</v>
      </c>
      <c r="J20" s="18">
        <f t="shared" si="9"/>
        <v>0</v>
      </c>
      <c r="K20" s="63" t="str">
        <f>IF($AM20="","",INDEX(Radar_Mosca!$L$5:$L$24,$AM20)&amp;"")</f>
        <v>Margine 1 anno</v>
      </c>
      <c r="L20" s="65">
        <f>IF($AM20="","",IFERROR(INDEX(Radar_Mosca!$K$5:$K$24,$AM20),""))</f>
        <v>1</v>
      </c>
      <c r="M20" s="63" t="str">
        <f t="shared" si="10"/>
        <v/>
      </c>
      <c r="N20" s="66">
        <f t="shared" si="11"/>
        <v>0</v>
      </c>
      <c r="O20" s="66">
        <f t="shared" si="12"/>
        <v>2</v>
      </c>
      <c r="P20" s="66">
        <f t="shared" si="13"/>
        <v>0</v>
      </c>
      <c r="Q20" s="63" t="str">
        <f t="shared" si="14"/>
        <v>● 0</v>
      </c>
      <c r="R20" s="63" t="str">
        <f t="shared" si="15"/>
        <v>Non verificato</v>
      </c>
      <c r="S20" s="63" t="str">
        <f t="shared" si="16"/>
        <v/>
      </c>
      <c r="T20" s="63"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2" t="str">
        <f t="shared" si="0"/>
        <v/>
      </c>
      <c r="B21" s="62" t="str">
        <f t="shared" si="1"/>
        <v/>
      </c>
      <c r="C21" s="63" t="str">
        <f t="shared" si="2"/>
        <v/>
      </c>
      <c r="D21" s="63" t="str">
        <f t="shared" si="3"/>
        <v/>
      </c>
      <c r="E21" s="63" t="str">
        <f t="shared" si="4"/>
        <v/>
      </c>
      <c r="F21" s="63" t="str">
        <f t="shared" si="5"/>
        <v/>
      </c>
      <c r="G21" s="63" t="str">
        <f t="shared" si="6"/>
        <v/>
      </c>
      <c r="H21" s="64" t="str">
        <f t="shared" si="7"/>
        <v/>
      </c>
      <c r="I21" s="18" t="str">
        <f t="shared" si="8"/>
        <v/>
      </c>
      <c r="J21" s="18" t="str">
        <f t="shared" si="9"/>
        <v/>
      </c>
      <c r="K21" s="63" t="str">
        <f>IF($AM21="","",INDEX(Radar_Mosca!$L$5:$L$24,$AM21)&amp;"")</f>
        <v/>
      </c>
      <c r="L21" s="65" t="str">
        <f>IF($AM21="","",IFERROR(INDEX(Radar_Mosca!$K$5:$K$24,$AM21),""))</f>
        <v/>
      </c>
      <c r="M21" s="63" t="str">
        <f t="shared" si="10"/>
        <v/>
      </c>
      <c r="N21" s="66" t="str">
        <f t="shared" si="11"/>
        <v/>
      </c>
      <c r="O21" s="66" t="str">
        <f t="shared" si="12"/>
        <v/>
      </c>
      <c r="P21" s="66" t="str">
        <f t="shared" si="13"/>
        <v/>
      </c>
      <c r="Q21" s="63" t="str">
        <f t="shared" si="14"/>
        <v/>
      </c>
      <c r="R21" s="63" t="str">
        <f t="shared" si="15"/>
        <v/>
      </c>
      <c r="S21" s="63" t="str">
        <f t="shared" si="16"/>
        <v/>
      </c>
      <c r="T21" s="63"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2" t="str">
        <f t="shared" si="0"/>
        <v/>
      </c>
      <c r="B22" s="62" t="str">
        <f t="shared" si="1"/>
        <v/>
      </c>
      <c r="C22" s="63" t="str">
        <f t="shared" si="2"/>
        <v/>
      </c>
      <c r="D22" s="63" t="str">
        <f t="shared" si="3"/>
        <v/>
      </c>
      <c r="E22" s="63" t="str">
        <f t="shared" si="4"/>
        <v/>
      </c>
      <c r="F22" s="63" t="str">
        <f t="shared" si="5"/>
        <v/>
      </c>
      <c r="G22" s="63" t="str">
        <f t="shared" si="6"/>
        <v/>
      </c>
      <c r="H22" s="64" t="str">
        <f t="shared" si="7"/>
        <v/>
      </c>
      <c r="I22" s="18" t="str">
        <f t="shared" si="8"/>
        <v/>
      </c>
      <c r="J22" s="18" t="str">
        <f t="shared" si="9"/>
        <v/>
      </c>
      <c r="K22" s="63" t="str">
        <f>IF($AM22="","",INDEX(Radar_Mosca!$L$5:$L$24,$AM22)&amp;"")</f>
        <v/>
      </c>
      <c r="L22" s="65" t="str">
        <f>IF($AM22="","",IFERROR(INDEX(Radar_Mosca!$K$5:$K$24,$AM22),""))</f>
        <v/>
      </c>
      <c r="M22" s="63" t="str">
        <f t="shared" si="10"/>
        <v/>
      </c>
      <c r="N22" s="66" t="str">
        <f t="shared" si="11"/>
        <v/>
      </c>
      <c r="O22" s="66" t="str">
        <f t="shared" si="12"/>
        <v/>
      </c>
      <c r="P22" s="66" t="str">
        <f t="shared" si="13"/>
        <v/>
      </c>
      <c r="Q22" s="63" t="str">
        <f t="shared" si="14"/>
        <v/>
      </c>
      <c r="R22" s="63" t="str">
        <f t="shared" si="15"/>
        <v/>
      </c>
      <c r="S22" s="63" t="str">
        <f t="shared" si="16"/>
        <v/>
      </c>
      <c r="T22" s="63"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2" t="str">
        <f t="shared" si="0"/>
        <v/>
      </c>
      <c r="B23" s="62" t="str">
        <f t="shared" si="1"/>
        <v/>
      </c>
      <c r="C23" s="63" t="str">
        <f t="shared" si="2"/>
        <v/>
      </c>
      <c r="D23" s="63" t="str">
        <f t="shared" si="3"/>
        <v/>
      </c>
      <c r="E23" s="63" t="str">
        <f t="shared" si="4"/>
        <v/>
      </c>
      <c r="F23" s="63" t="str">
        <f t="shared" si="5"/>
        <v/>
      </c>
      <c r="G23" s="63" t="str">
        <f t="shared" si="6"/>
        <v/>
      </c>
      <c r="H23" s="64" t="str">
        <f t="shared" si="7"/>
        <v/>
      </c>
      <c r="I23" s="18" t="str">
        <f t="shared" si="8"/>
        <v/>
      </c>
      <c r="J23" s="18" t="str">
        <f t="shared" si="9"/>
        <v/>
      </c>
      <c r="K23" s="63" t="str">
        <f>IF($AM23="","",INDEX(Radar_Mosca!$L$5:$L$24,$AM23)&amp;"")</f>
        <v/>
      </c>
      <c r="L23" s="65" t="str">
        <f>IF($AM23="","",IFERROR(INDEX(Radar_Mosca!$K$5:$K$24,$AM23),""))</f>
        <v/>
      </c>
      <c r="M23" s="63" t="str">
        <f t="shared" si="10"/>
        <v/>
      </c>
      <c r="N23" s="66" t="str">
        <f t="shared" si="11"/>
        <v/>
      </c>
      <c r="O23" s="66" t="str">
        <f t="shared" si="12"/>
        <v/>
      </c>
      <c r="P23" s="66" t="str">
        <f t="shared" si="13"/>
        <v/>
      </c>
      <c r="Q23" s="63" t="str">
        <f t="shared" si="14"/>
        <v/>
      </c>
      <c r="R23" s="63" t="str">
        <f t="shared" si="15"/>
        <v/>
      </c>
      <c r="S23" s="63" t="str">
        <f t="shared" si="16"/>
        <v/>
      </c>
      <c r="T23" s="63"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2" t="str">
        <f t="shared" si="0"/>
        <v/>
      </c>
      <c r="B24" s="62" t="str">
        <f t="shared" si="1"/>
        <v/>
      </c>
      <c r="C24" s="63" t="str">
        <f t="shared" si="2"/>
        <v/>
      </c>
      <c r="D24" s="63" t="str">
        <f t="shared" si="3"/>
        <v/>
      </c>
      <c r="E24" s="63" t="str">
        <f t="shared" si="4"/>
        <v/>
      </c>
      <c r="F24" s="63" t="str">
        <f t="shared" si="5"/>
        <v/>
      </c>
      <c r="G24" s="63" t="str">
        <f t="shared" si="6"/>
        <v/>
      </c>
      <c r="H24" s="64" t="str">
        <f t="shared" si="7"/>
        <v/>
      </c>
      <c r="I24" s="18" t="str">
        <f t="shared" si="8"/>
        <v/>
      </c>
      <c r="J24" s="18" t="str">
        <f t="shared" si="9"/>
        <v/>
      </c>
      <c r="K24" s="63" t="str">
        <f>IF($AM24="","",INDEX(Radar_Mosca!$L$5:$L$24,$AM24)&amp;"")</f>
        <v/>
      </c>
      <c r="L24" s="65" t="str">
        <f>IF($AM24="","",IFERROR(INDEX(Radar_Mosca!$K$5:$K$24,$AM24),""))</f>
        <v/>
      </c>
      <c r="M24" s="63" t="str">
        <f t="shared" si="10"/>
        <v/>
      </c>
      <c r="N24" s="66" t="str">
        <f t="shared" si="11"/>
        <v/>
      </c>
      <c r="O24" s="66" t="str">
        <f t="shared" si="12"/>
        <v/>
      </c>
      <c r="P24" s="66" t="str">
        <f t="shared" si="13"/>
        <v/>
      </c>
      <c r="Q24" s="63" t="str">
        <f t="shared" si="14"/>
        <v/>
      </c>
      <c r="R24" s="63" t="str">
        <f t="shared" si="15"/>
        <v/>
      </c>
      <c r="S24" s="63" t="str">
        <f t="shared" si="16"/>
        <v/>
      </c>
      <c r="T24" s="63"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2" t="str">
        <f t="shared" si="0"/>
        <v/>
      </c>
      <c r="B25" s="62" t="str">
        <f t="shared" si="1"/>
        <v/>
      </c>
      <c r="C25" s="63" t="str">
        <f t="shared" si="2"/>
        <v/>
      </c>
      <c r="D25" s="63" t="str">
        <f t="shared" si="3"/>
        <v/>
      </c>
      <c r="E25" s="63" t="str">
        <f t="shared" si="4"/>
        <v/>
      </c>
      <c r="F25" s="63" t="str">
        <f t="shared" si="5"/>
        <v/>
      </c>
      <c r="G25" s="63" t="str">
        <f t="shared" si="6"/>
        <v/>
      </c>
      <c r="H25" s="64" t="str">
        <f t="shared" si="7"/>
        <v/>
      </c>
      <c r="I25" s="18" t="str">
        <f t="shared" si="8"/>
        <v/>
      </c>
      <c r="J25" s="18" t="str">
        <f t="shared" si="9"/>
        <v/>
      </c>
      <c r="K25" s="63" t="str">
        <f>IF($AM25="","",INDEX(Radar_Mosca!$L$5:$L$24,$AM25)&amp;"")</f>
        <v/>
      </c>
      <c r="L25" s="65" t="str">
        <f>IF($AM25="","",IFERROR(INDEX(Radar_Mosca!$K$5:$K$24,$AM25),""))</f>
        <v/>
      </c>
      <c r="M25" s="63" t="str">
        <f t="shared" si="10"/>
        <v/>
      </c>
      <c r="N25" s="66" t="str">
        <f t="shared" si="11"/>
        <v/>
      </c>
      <c r="O25" s="66" t="str">
        <f t="shared" si="12"/>
        <v/>
      </c>
      <c r="P25" s="66" t="str">
        <f t="shared" si="13"/>
        <v/>
      </c>
      <c r="Q25" s="63" t="str">
        <f t="shared" si="14"/>
        <v/>
      </c>
      <c r="R25" s="63" t="str">
        <f t="shared" si="15"/>
        <v/>
      </c>
      <c r="S25" s="63" t="str">
        <f t="shared" si="16"/>
        <v/>
      </c>
      <c r="T25" s="63"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2" t="str">
        <f t="shared" si="0"/>
        <v/>
      </c>
      <c r="B26" s="62" t="str">
        <f t="shared" si="1"/>
        <v/>
      </c>
      <c r="C26" s="63" t="str">
        <f t="shared" si="2"/>
        <v/>
      </c>
      <c r="D26" s="63" t="str">
        <f t="shared" si="3"/>
        <v/>
      </c>
      <c r="E26" s="63" t="str">
        <f t="shared" si="4"/>
        <v/>
      </c>
      <c r="F26" s="63" t="str">
        <f t="shared" si="5"/>
        <v/>
      </c>
      <c r="G26" s="63" t="str">
        <f t="shared" si="6"/>
        <v/>
      </c>
      <c r="H26" s="64" t="str">
        <f t="shared" si="7"/>
        <v/>
      </c>
      <c r="I26" s="18" t="str">
        <f t="shared" si="8"/>
        <v/>
      </c>
      <c r="J26" s="18" t="str">
        <f t="shared" si="9"/>
        <v/>
      </c>
      <c r="K26" s="63" t="str">
        <f>IF($AM26="","",INDEX(Radar_Mosca!$L$5:$L$24,$AM26)&amp;"")</f>
        <v/>
      </c>
      <c r="L26" s="65" t="str">
        <f>IF($AM26="","",IFERROR(INDEX(Radar_Mosca!$K$5:$K$24,$AM26),""))</f>
        <v/>
      </c>
      <c r="M26" s="63" t="str">
        <f t="shared" si="10"/>
        <v/>
      </c>
      <c r="N26" s="66" t="str">
        <f t="shared" si="11"/>
        <v/>
      </c>
      <c r="O26" s="66" t="str">
        <f t="shared" si="12"/>
        <v/>
      </c>
      <c r="P26" s="66" t="str">
        <f t="shared" si="13"/>
        <v/>
      </c>
      <c r="Q26" s="63" t="str">
        <f t="shared" si="14"/>
        <v/>
      </c>
      <c r="R26" s="63" t="str">
        <f t="shared" si="15"/>
        <v/>
      </c>
      <c r="S26" s="63" t="str">
        <f t="shared" si="16"/>
        <v/>
      </c>
      <c r="T26" s="63"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2" t="str">
        <f t="shared" si="0"/>
        <v/>
      </c>
      <c r="B27" s="62" t="str">
        <f t="shared" si="1"/>
        <v/>
      </c>
      <c r="C27" s="63" t="str">
        <f t="shared" si="2"/>
        <v/>
      </c>
      <c r="D27" s="63" t="str">
        <f t="shared" si="3"/>
        <v/>
      </c>
      <c r="E27" s="63" t="str">
        <f t="shared" si="4"/>
        <v/>
      </c>
      <c r="F27" s="63" t="str">
        <f t="shared" si="5"/>
        <v/>
      </c>
      <c r="G27" s="63" t="str">
        <f t="shared" si="6"/>
        <v/>
      </c>
      <c r="H27" s="64" t="str">
        <f t="shared" si="7"/>
        <v/>
      </c>
      <c r="I27" s="18" t="str">
        <f t="shared" si="8"/>
        <v/>
      </c>
      <c r="J27" s="18" t="str">
        <f t="shared" si="9"/>
        <v/>
      </c>
      <c r="K27" s="63" t="str">
        <f>IF($AM27="","",INDEX(Radar_Mosca!$L$5:$L$24,$AM27)&amp;"")</f>
        <v/>
      </c>
      <c r="L27" s="65" t="str">
        <f>IF($AM27="","",IFERROR(INDEX(Radar_Mosca!$K$5:$K$24,$AM27),""))</f>
        <v/>
      </c>
      <c r="M27" s="63" t="str">
        <f t="shared" si="10"/>
        <v/>
      </c>
      <c r="N27" s="66" t="str">
        <f t="shared" si="11"/>
        <v/>
      </c>
      <c r="O27" s="66" t="str">
        <f t="shared" si="12"/>
        <v/>
      </c>
      <c r="P27" s="66" t="str">
        <f t="shared" si="13"/>
        <v/>
      </c>
      <c r="Q27" s="63" t="str">
        <f t="shared" si="14"/>
        <v/>
      </c>
      <c r="R27" s="63" t="str">
        <f t="shared" si="15"/>
        <v/>
      </c>
      <c r="S27" s="63" t="str">
        <f t="shared" si="16"/>
        <v/>
      </c>
      <c r="T27" s="63"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2" t="str">
        <f t="shared" si="0"/>
        <v/>
      </c>
      <c r="B28" s="62" t="str">
        <f t="shared" si="1"/>
        <v/>
      </c>
      <c r="C28" s="63" t="str">
        <f t="shared" si="2"/>
        <v/>
      </c>
      <c r="D28" s="63" t="str">
        <f t="shared" si="3"/>
        <v/>
      </c>
      <c r="E28" s="63" t="str">
        <f t="shared" si="4"/>
        <v/>
      </c>
      <c r="F28" s="63" t="str">
        <f t="shared" si="5"/>
        <v/>
      </c>
      <c r="G28" s="63" t="str">
        <f t="shared" si="6"/>
        <v/>
      </c>
      <c r="H28" s="64" t="str">
        <f t="shared" si="7"/>
        <v/>
      </c>
      <c r="I28" s="18" t="str">
        <f t="shared" si="8"/>
        <v/>
      </c>
      <c r="J28" s="18" t="str">
        <f t="shared" si="9"/>
        <v/>
      </c>
      <c r="K28" s="63" t="str">
        <f>IF($AM28="","",INDEX(Radar_Mosca!$L$5:$L$24,$AM28)&amp;"")</f>
        <v/>
      </c>
      <c r="L28" s="65" t="str">
        <f>IF($AM28="","",IFERROR(INDEX(Radar_Mosca!$K$5:$K$24,$AM28),""))</f>
        <v/>
      </c>
      <c r="M28" s="63" t="str">
        <f t="shared" si="10"/>
        <v/>
      </c>
      <c r="N28" s="66" t="str">
        <f t="shared" si="11"/>
        <v/>
      </c>
      <c r="O28" s="66" t="str">
        <f t="shared" si="12"/>
        <v/>
      </c>
      <c r="P28" s="66" t="str">
        <f t="shared" si="13"/>
        <v/>
      </c>
      <c r="Q28" s="63" t="str">
        <f t="shared" si="14"/>
        <v/>
      </c>
      <c r="R28" s="63" t="str">
        <f t="shared" si="15"/>
        <v/>
      </c>
      <c r="S28" s="63" t="str">
        <f t="shared" si="16"/>
        <v/>
      </c>
      <c r="T28" s="63"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42" t="s">
        <v>401</v>
      </c>
      <c r="B30" s="116"/>
      <c r="C30" s="116"/>
      <c r="D30" s="116"/>
      <c r="E30" s="116"/>
      <c r="F30" s="116"/>
      <c r="G30" s="116"/>
      <c r="H30" s="116"/>
      <c r="I30" s="116"/>
      <c r="J30" s="116"/>
      <c r="K30" s="116"/>
      <c r="L30" s="116"/>
      <c r="M30" s="116"/>
      <c r="N30" s="116"/>
      <c r="O30" s="116"/>
      <c r="P30" s="116"/>
      <c r="Q30" s="116"/>
      <c r="R30" s="116"/>
      <c r="S30" s="116"/>
      <c r="T30" s="116"/>
    </row>
  </sheetData>
  <mergeCells count="9">
    <mergeCell ref="A30:T30"/>
    <mergeCell ref="D7:G7"/>
    <mergeCell ref="A7:C7"/>
    <mergeCell ref="A1:T1"/>
    <mergeCell ref="H5:N5"/>
    <mergeCell ref="N7:P7"/>
    <mergeCell ref="H4:N4"/>
    <mergeCell ref="A2:U2"/>
    <mergeCell ref="H7:L7"/>
  </mergeCells>
  <conditionalFormatting sqref="A9:A28">
    <cfRule type="expression" dxfId="93" priority="18">
      <formula>IFERROR(INDEX($AN$9:$AN$28,$AM9)="Attivazione",FALSE)</formula>
    </cfRule>
    <cfRule type="expression" dxfId="92" priority="19">
      <formula>IFERROR(INDEX($AN$9:$AN$28,$AM9)="Attenzione",FALSE)</formula>
    </cfRule>
    <cfRule type="expression" dxfId="91" priority="20">
      <formula>IFERROR(INDEX($AN$9:$AN$28,$AM9)="Monitoraggio",FALSE)</formula>
    </cfRule>
  </conditionalFormatting>
  <conditionalFormatting sqref="D9:G28">
    <cfRule type="expression" dxfId="90" priority="5">
      <formula>D9=1</formula>
    </cfRule>
    <cfRule type="expression" dxfId="89" priority="6">
      <formula>D9=2</formula>
    </cfRule>
    <cfRule type="expression" dxfId="88" priority="7">
      <formula>D9=3</formula>
    </cfRule>
    <cfRule type="expression" dxfId="87" priority="8">
      <formula>D9=4</formula>
    </cfRule>
    <cfRule type="expression" dxfId="86" priority="9">
      <formula>D9=5</formula>
    </cfRule>
  </conditionalFormatting>
  <conditionalFormatting sqref="D9:H28">
    <cfRule type="expression" dxfId="85" priority="10">
      <formula>ISNA(D9)</formula>
    </cfRule>
  </conditionalFormatting>
  <conditionalFormatting sqref="G9:G28">
    <cfRule type="expression" dxfId="84" priority="11">
      <formula>G9="n.v."</formula>
    </cfRule>
  </conditionalFormatting>
  <conditionalFormatting sqref="H4">
    <cfRule type="expression" dxfId="83" priority="1">
      <formula>$D$4&gt;0</formula>
    </cfRule>
    <cfRule type="expression" dxfId="82" priority="2">
      <formula>$D$4=0</formula>
    </cfRule>
  </conditionalFormatting>
  <conditionalFormatting sqref="H5">
    <cfRule type="expression" dxfId="81" priority="3">
      <formula>$D$5&lt;&gt;$G$5</formula>
    </cfRule>
    <cfRule type="expression" dxfId="8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79" priority="13">
      <formula>AND(ISNUMBER(I9),I9&gt;0)</formula>
    </cfRule>
    <cfRule type="expression" dxfId="78" priority="14">
      <formula>AND(ISNUMBER(I9),I9&lt;0)</formula>
    </cfRule>
  </conditionalFormatting>
  <conditionalFormatting sqref="K9:K28">
    <cfRule type="expression" dxfId="77" priority="15">
      <formula>LEFT(K9,9)="AGIRE ORA"</formula>
    </cfRule>
    <cfRule type="expression" dxfId="76" priority="16">
      <formula>OR(LEFT(K9,11)="Agire entro",LEFT(K9,12)="Entro l'anno")</formula>
    </cfRule>
    <cfRule type="expression" dxfId="75" priority="17">
      <formula>LEFT(K9,7)="Margine"</formula>
    </cfRule>
  </conditionalFormatting>
  <conditionalFormatting sqref="N9:N28">
    <cfRule type="expression" dxfId="74" priority="21">
      <formula>AND(ISNUMBER(N9),N9&gt;0)</formula>
    </cfRule>
  </conditionalFormatting>
  <conditionalFormatting sqref="O9:O28">
    <cfRule type="expression" dxfId="73" priority="22">
      <formula>AND(ISNUMBER(O9),O9&gt;0)</formula>
    </cfRule>
  </conditionalFormatting>
  <conditionalFormatting sqref="P9:P28">
    <cfRule type="expression" dxfId="72" priority="23">
      <formula>AND(ISNUMBER(P9),P9&gt;0)</formula>
    </cfRule>
  </conditionalFormatting>
  <conditionalFormatting sqref="Q9:Q28">
    <cfRule type="expression" dxfId="71" priority="24">
      <formula>LEFT(Q9,1)="▲"</formula>
    </cfRule>
    <cfRule type="expression" dxfId="70" priority="25">
      <formula>LEFT(Q9,1)="▼"</formula>
    </cfRule>
  </conditionalFormatting>
  <conditionalFormatting sqref="R9:R28">
    <cfRule type="expression" dxfId="69" priority="26">
      <formula>R9="Assente"</formula>
    </cfRule>
    <cfRule type="expression" dxfId="68" priority="27">
      <formula>R9="Parziale"</formula>
    </cfRule>
    <cfRule type="expression" dxfId="67" priority="28">
      <formula>R9="Adeguato"</formula>
    </cfRule>
    <cfRule type="expression" dxfId="66" priority="29">
      <formula>R9="Non verificato"</formula>
    </cfRule>
  </conditionalFormatting>
  <conditionalFormatting sqref="S9:S28">
    <cfRule type="expression" dxfId="6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46" t="str">
        <f>"Horizon Scan NFR — Storico: score composito negli ultimi otto cicli   ·   "&amp;etichettaCiclo</f>
        <v>Horizon Scan NFR — Storico: score composito negli ultimi otto cicli   ·   Ciclo 2026Q3 · dati al 30/09/2026 · da validare · Uso interno</v>
      </c>
      <c r="B1" s="147"/>
      <c r="C1" s="147"/>
      <c r="D1" s="147"/>
      <c r="E1" s="147"/>
      <c r="F1" s="147"/>
      <c r="G1" s="147"/>
      <c r="H1" s="147"/>
      <c r="I1" s="147"/>
      <c r="J1" s="147"/>
    </row>
    <row r="2" spans="1:10" ht="32.049999999999997" customHeight="1" x14ac:dyDescent="0.4">
      <c r="A2" s="136" t="s">
        <v>402</v>
      </c>
      <c r="B2" s="116"/>
      <c r="C2" s="116"/>
      <c r="D2" s="116"/>
      <c r="E2" s="116"/>
      <c r="F2" s="116"/>
      <c r="G2" s="116"/>
      <c r="H2" s="116"/>
      <c r="I2" s="116"/>
      <c r="J2" s="116"/>
    </row>
    <row r="4" spans="1:10" x14ac:dyDescent="0.4">
      <c r="A4" s="54" t="s">
        <v>161</v>
      </c>
      <c r="B4" s="54" t="s">
        <v>162</v>
      </c>
      <c r="C4" s="54" t="str">
        <f>Parametri!$B$20</f>
        <v>2024Q4</v>
      </c>
      <c r="D4" s="54" t="str">
        <f>Parametri!$B$21</f>
        <v>2025Q1</v>
      </c>
      <c r="E4" s="54" t="str">
        <f>Parametri!$B$22</f>
        <v>2025Q2</v>
      </c>
      <c r="F4" s="54" t="str">
        <f>Parametri!$B$23</f>
        <v>2025Q3</v>
      </c>
      <c r="G4" s="54" t="str">
        <f>Parametri!$B$24</f>
        <v>2025Q4</v>
      </c>
      <c r="H4" s="54" t="str">
        <f>Parametri!$B$25</f>
        <v>2026Q1</v>
      </c>
      <c r="I4" s="54" t="str">
        <f>Parametri!$B$26</f>
        <v>2026Q2</v>
      </c>
      <c r="J4" s="54"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64" priority="1">
      <formula>ISNA(C5)</formula>
    </cfRule>
  </conditionalFormatting>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46" t="str">
        <f>"Horizon Scan NFR — Indicatori: KRI del ciclo e storia di un KRI   ·   "&amp;etichettaCiclo</f>
        <v>Horizon Scan NFR — Indicatori: KRI del ciclo e storia di un KRI   ·   Ciclo 2026Q3 · dati al 30/09/2026 · da validare · Uso interno</v>
      </c>
      <c r="B1" s="147"/>
      <c r="C1" s="147"/>
      <c r="D1" s="147"/>
      <c r="E1" s="147"/>
      <c r="F1" s="147"/>
      <c r="G1" s="147"/>
      <c r="H1" s="147"/>
      <c r="I1" s="147"/>
      <c r="J1" s="147"/>
      <c r="K1" s="147"/>
      <c r="L1" s="147"/>
      <c r="M1" s="147"/>
      <c r="N1" s="147"/>
      <c r="O1" s="147"/>
      <c r="P1" s="147"/>
      <c r="Q1" s="147"/>
      <c r="R1" s="147"/>
      <c r="S1" s="147"/>
      <c r="T1" s="147"/>
      <c r="U1" s="147"/>
    </row>
    <row r="2" spans="1:28" ht="32.049999999999997" customHeight="1" x14ac:dyDescent="0.4">
      <c r="A2" s="136" t="s">
        <v>403</v>
      </c>
      <c r="B2" s="116"/>
      <c r="C2" s="116"/>
      <c r="D2" s="116"/>
      <c r="E2" s="116"/>
      <c r="F2" s="116"/>
      <c r="G2" s="116"/>
      <c r="H2" s="116"/>
      <c r="I2" s="116"/>
      <c r="J2" s="116"/>
      <c r="K2" s="116"/>
      <c r="L2" s="116"/>
      <c r="M2" s="116"/>
      <c r="N2" s="116"/>
      <c r="O2" s="116"/>
      <c r="P2" s="116"/>
      <c r="Q2" s="116"/>
      <c r="R2" s="116"/>
      <c r="S2" s="116"/>
      <c r="T2" s="116"/>
    </row>
    <row r="4" spans="1:28" x14ac:dyDescent="0.4">
      <c r="A4" s="54" t="s">
        <v>404</v>
      </c>
      <c r="B4">
        <f>COUNTIFS(KRI_Ciclo,cicloCorrente,KRI_In_Vigore,"Sì",KRI_Stato,"Verde")</f>
        <v>5</v>
      </c>
      <c r="C4" s="54" t="s">
        <v>405</v>
      </c>
      <c r="D4">
        <f>COUNTIFS(KRI_Ciclo,cicloCorrente,KRI_In_Vigore,"Sì",KRI_Stato,"Ambra")</f>
        <v>16</v>
      </c>
      <c r="E4" s="54" t="s">
        <v>406</v>
      </c>
      <c r="F4">
        <f>COUNTIFS(KRI_Ciclo,cicloCorrente,KRI_In_Vigore,"Sì",KRI_Stato,"Rosso")</f>
        <v>0</v>
      </c>
      <c r="G4" s="54" t="s">
        <v>407</v>
      </c>
      <c r="H4">
        <f>COUNTIFS(KRI_Ciclo,cicloCorrente,KRI_In_Vigore,"Sì",KRI_Stato,"Non rilevato")</f>
        <v>2</v>
      </c>
      <c r="I4" s="54" t="s">
        <v>408</v>
      </c>
      <c r="J4">
        <f>COUNTIFS(KRI_Ciclo,cicloCorrente,KRI_In_Vigore,"Sì",KRI_Stato,"Soglie da definire")</f>
        <v>1</v>
      </c>
      <c r="M4" s="54" t="s">
        <v>409</v>
      </c>
      <c r="N4" s="67" t="s">
        <v>410</v>
      </c>
      <c r="AA4">
        <f>IFERROR(_xlfn.AGGREGATE(14,6,ROW(KRI_KRI_ID)/(KRI_KRI_ID=$N$4),1),"")</f>
        <v>72</v>
      </c>
    </row>
    <row r="5" spans="1:28" x14ac:dyDescent="0.4">
      <c r="M5" t="s">
        <v>162</v>
      </c>
      <c r="N5" t="str">
        <f>IF($AA$4="","KRI non presente nello storico",INDEX(KRI!$D:$D,$AA$4)&amp;IF(INDEX(KRI!$E:$E,$AA$4)="",""," ("&amp;INDEX(KRI!$E:$E,$AA$4)&amp;")"))</f>
        <v>Tentativi di frode APP per 10.000 bonifici istantanei (Evoluzione)</v>
      </c>
    </row>
    <row r="6" spans="1:28" ht="24" x14ac:dyDescent="0.4">
      <c r="A6" s="68" t="s">
        <v>411</v>
      </c>
      <c r="B6" s="68" t="s">
        <v>18</v>
      </c>
      <c r="C6" s="68" t="s">
        <v>162</v>
      </c>
      <c r="D6" s="68" t="s">
        <v>412</v>
      </c>
      <c r="E6" s="68" t="s">
        <v>413</v>
      </c>
      <c r="F6" s="68" t="s">
        <v>414</v>
      </c>
      <c r="G6" s="68" t="s">
        <v>415</v>
      </c>
      <c r="H6" s="68" t="s">
        <v>416</v>
      </c>
      <c r="I6" s="68" t="s">
        <v>417</v>
      </c>
      <c r="J6" s="68" t="s">
        <v>418</v>
      </c>
      <c r="K6" s="68" t="s">
        <v>419</v>
      </c>
      <c r="L6" s="69" t="s">
        <v>420</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5.0999999999999996</v>
      </c>
      <c r="H7" s="70">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1" t="str">
        <f>IF($Z7="","",INDEX(KRI!$E:$E,$Z7)&amp;"")</f>
        <v>Evoluzione</v>
      </c>
      <c r="M7" t="s">
        <v>412</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0">
        <f>IF($Z8="","",IF(INDEX(KRI!$K:$K,$Z8)="","",INDEX(KRI!$K:$K,$Z8)))</f>
        <v>46295</v>
      </c>
      <c r="I8" t="str">
        <f>IF($Z8="","",INDEX(KRI!$N:$N,$Z8)&amp;"")</f>
        <v>Verde</v>
      </c>
      <c r="J8">
        <f t="shared" si="0"/>
        <v>2.5</v>
      </c>
      <c r="K8" t="str">
        <f t="shared" si="1"/>
        <v>▲ peggiora</v>
      </c>
      <c r="L8" s="71" t="str">
        <f>IF($Z8="","",INDEX(KRI!$E:$E,$Z8)&amp;"")</f>
        <v>Esposizione</v>
      </c>
      <c r="M8" t="s">
        <v>421</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0">
        <f>IF($Z9="","",IF(INDEX(KRI!$K:$K,$Z9)="","",INDEX(KRI!$K:$K,$Z9)))</f>
        <v>46295</v>
      </c>
      <c r="I9" t="str">
        <f>IF($Z9="","",INDEX(KRI!$N:$N,$Z9)&amp;"")</f>
        <v>Ambra</v>
      </c>
      <c r="J9">
        <f t="shared" si="0"/>
        <v>78</v>
      </c>
      <c r="K9" t="str">
        <f t="shared" si="1"/>
        <v>▼ migliora</v>
      </c>
      <c r="L9" s="71" t="str">
        <f>IF($Z9="","",INDEX(KRI!$E:$E,$Z9)&amp;"")</f>
        <v>Esposizione</v>
      </c>
      <c r="M9" t="s">
        <v>422</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0">
        <f>IF($Z10="","",IF(INDEX(KRI!$K:$K,$Z10)="","",INDEX(KRI!$K:$K,$Z10)))</f>
        <v>46295</v>
      </c>
      <c r="I10" t="str">
        <f>IF($Z10="","",INDEX(KRI!$N:$N,$Z10)&amp;"")</f>
        <v>Ambra</v>
      </c>
      <c r="J10">
        <f t="shared" si="0"/>
        <v>0.8</v>
      </c>
      <c r="K10" t="str">
        <f t="shared" si="1"/>
        <v>▲ peggiora</v>
      </c>
      <c r="L10" s="71" t="str">
        <f>IF($Z10="","",INDEX(KRI!$E:$E,$Z10)&amp;"")</f>
        <v>Evoluzione</v>
      </c>
      <c r="M10" t="s">
        <v>423</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0" t="str">
        <f>IF($Z11="","",IF(INDEX(KRI!$K:$K,$Z11)="","",INDEX(KRI!$K:$K,$Z11)))</f>
        <v/>
      </c>
      <c r="I11" t="str">
        <f>IF($Z11="","",INDEX(KRI!$N:$N,$Z11)&amp;"")</f>
        <v>Non rilevato</v>
      </c>
      <c r="J11" t="str">
        <f t="shared" si="0"/>
        <v>—</v>
      </c>
      <c r="K11" t="str">
        <f t="shared" si="1"/>
        <v/>
      </c>
      <c r="L11" s="71" t="str">
        <f>IF($Z11="","",INDEX(KRI!$E:$E,$Z11)&amp;"")</f>
        <v>Esposizione</v>
      </c>
      <c r="M11" s="68" t="s">
        <v>424</v>
      </c>
      <c r="N11" s="68" t="s">
        <v>415</v>
      </c>
      <c r="O11" s="68" t="s">
        <v>413</v>
      </c>
      <c r="P11" s="68" t="s">
        <v>414</v>
      </c>
      <c r="Q11" s="68" t="s">
        <v>417</v>
      </c>
      <c r="R11" s="68" t="s">
        <v>416</v>
      </c>
      <c r="S11" s="68" t="s">
        <v>425</v>
      </c>
      <c r="T11" s="68" t="s">
        <v>250</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0">
        <f>IF($Z12="","",IF(INDEX(KRI!$K:$K,$Z12)="","",INDEX(KRI!$K:$K,$Z12)))</f>
        <v>46295</v>
      </c>
      <c r="I12" t="str">
        <f>IF($Z12="","",INDEX(KRI!$N:$N,$Z12)&amp;"")</f>
        <v>Ambra</v>
      </c>
      <c r="J12">
        <f t="shared" si="0"/>
        <v>2</v>
      </c>
      <c r="K12" t="str">
        <f t="shared" si="1"/>
        <v>● invariato</v>
      </c>
      <c r="L12" s="71"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0"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0">
        <f>IF($Z13="","",IF(INDEX(KRI!$K:$K,$Z13)="","",INDEX(KRI!$K:$K,$Z13)))</f>
        <v>46295</v>
      </c>
      <c r="I13" t="str">
        <f>IF($Z13="","",INDEX(KRI!$N:$N,$Z13)&amp;"")</f>
        <v>Verde</v>
      </c>
      <c r="J13">
        <f t="shared" si="0"/>
        <v>3</v>
      </c>
      <c r="K13" t="str">
        <f t="shared" si="1"/>
        <v>▼ migliora</v>
      </c>
      <c r="L13" s="71" t="str">
        <f>IF($Z13="","",INDEX(KRI!$E:$E,$Z13)&amp;"")</f>
        <v>Evoluzione</v>
      </c>
      <c r="M13" t="str">
        <f>Parametri!$B$21</f>
        <v>2025Q1</v>
      </c>
      <c r="N13" t="e">
        <f t="shared" si="2"/>
        <v>#N/A</v>
      </c>
      <c r="O13" t="e">
        <f t="shared" si="3"/>
        <v>#N/A</v>
      </c>
      <c r="P13" t="e">
        <f t="shared" si="4"/>
        <v>#N/A</v>
      </c>
      <c r="Q13" t="str">
        <f t="shared" si="5"/>
        <v>—</v>
      </c>
      <c r="R13" s="70"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0">
        <f>IF($Z14="","",IF(INDEX(KRI!$K:$K,$Z14)="","",INDEX(KRI!$K:$K,$Z14)))</f>
        <v>46295</v>
      </c>
      <c r="I14" t="str">
        <f>IF($Z14="","",INDEX(KRI!$N:$N,$Z14)&amp;"")</f>
        <v>Ambra</v>
      </c>
      <c r="J14">
        <f t="shared" si="0"/>
        <v>7</v>
      </c>
      <c r="K14" t="str">
        <f t="shared" si="1"/>
        <v>▼ migliora</v>
      </c>
      <c r="L14" s="71" t="str">
        <f>IF($Z14="","",INDEX(KRI!$E:$E,$Z14)&amp;"")</f>
        <v>Evoluzione</v>
      </c>
      <c r="M14" t="str">
        <f>Parametri!$B$22</f>
        <v>2025Q2</v>
      </c>
      <c r="N14" t="e">
        <f t="shared" si="2"/>
        <v>#N/A</v>
      </c>
      <c r="O14" t="e">
        <f t="shared" si="3"/>
        <v>#N/A</v>
      </c>
      <c r="P14" t="e">
        <f t="shared" si="4"/>
        <v>#N/A</v>
      </c>
      <c r="Q14" t="str">
        <f t="shared" si="5"/>
        <v>—</v>
      </c>
      <c r="R14" s="70"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0">
        <f>IF($Z15="","",IF(INDEX(KRI!$K:$K,$Z15)="","",INDEX(KRI!$K:$K,$Z15)))</f>
        <v>46295</v>
      </c>
      <c r="I15" t="str">
        <f>IF($Z15="","",INDEX(KRI!$N:$N,$Z15)&amp;"")</f>
        <v>Verde</v>
      </c>
      <c r="J15">
        <f t="shared" si="0"/>
        <v>25</v>
      </c>
      <c r="K15" t="str">
        <f t="shared" si="1"/>
        <v>▼ migliora</v>
      </c>
      <c r="L15" s="71" t="str">
        <f>IF($Z15="","",INDEX(KRI!$E:$E,$Z15)&amp;"")</f>
        <v>Esposizione</v>
      </c>
      <c r="M15" t="str">
        <f>Parametri!$B$23</f>
        <v>2025Q3</v>
      </c>
      <c r="N15" t="e">
        <f t="shared" si="2"/>
        <v>#N/A</v>
      </c>
      <c r="O15" t="e">
        <f t="shared" si="3"/>
        <v>#N/A</v>
      </c>
      <c r="P15" t="e">
        <f t="shared" si="4"/>
        <v>#N/A</v>
      </c>
      <c r="Q15" t="str">
        <f t="shared" si="5"/>
        <v>—</v>
      </c>
      <c r="R15" s="70"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0">
        <f>IF($Z16="","",IF(INDEX(KRI!$K:$K,$Z16)="","",INDEX(KRI!$K:$K,$Z16)))</f>
        <v>46295</v>
      </c>
      <c r="I16" t="str">
        <f>IF($Z16="","",INDEX(KRI!$N:$N,$Z16)&amp;"")</f>
        <v>Verde</v>
      </c>
      <c r="J16">
        <f t="shared" si="0"/>
        <v>14</v>
      </c>
      <c r="K16" t="str">
        <f t="shared" si="1"/>
        <v>▼ migliora</v>
      </c>
      <c r="L16" s="71" t="str">
        <f>IF($Z16="","",INDEX(KRI!$E:$E,$Z16)&amp;"")</f>
        <v>Evoluzione</v>
      </c>
      <c r="M16" t="str">
        <f>Parametri!$B$24</f>
        <v>2025Q4</v>
      </c>
      <c r="N16">
        <f t="shared" si="2"/>
        <v>2.1</v>
      </c>
      <c r="O16">
        <f t="shared" si="3"/>
        <v>3</v>
      </c>
      <c r="P16">
        <f t="shared" si="4"/>
        <v>6</v>
      </c>
      <c r="Q16" t="str">
        <f t="shared" si="5"/>
        <v>Verde</v>
      </c>
      <c r="R16" s="70">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0">
        <f>IF($Z17="","",IF(INDEX(KRI!$K:$K,$Z17)="","",INDEX(KRI!$K:$K,$Z17)))</f>
        <v>46295</v>
      </c>
      <c r="I17" t="str">
        <f>IF($Z17="","",INDEX(KRI!$N:$N,$Z17)&amp;"")</f>
        <v>Ambra</v>
      </c>
      <c r="J17">
        <f t="shared" si="0"/>
        <v>35</v>
      </c>
      <c r="K17" t="str">
        <f t="shared" si="1"/>
        <v>▼ migliora</v>
      </c>
      <c r="L17" s="71" t="str">
        <f>IF($Z17="","",INDEX(KRI!$E:$E,$Z17)&amp;"")</f>
        <v>Esposizione</v>
      </c>
      <c r="M17" t="str">
        <f>Parametri!$B$25</f>
        <v>2026Q1</v>
      </c>
      <c r="N17">
        <f t="shared" si="2"/>
        <v>3.4</v>
      </c>
      <c r="O17">
        <f t="shared" si="3"/>
        <v>3</v>
      </c>
      <c r="P17">
        <f t="shared" si="4"/>
        <v>6</v>
      </c>
      <c r="Q17" t="str">
        <f t="shared" si="5"/>
        <v>Ambra</v>
      </c>
      <c r="R17" s="70">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0">
        <f>IF($Z18="","",IF(INDEX(KRI!$K:$K,$Z18)="","",INDEX(KRI!$K:$K,$Z18)))</f>
        <v>46295</v>
      </c>
      <c r="I18" t="str">
        <f>IF($Z18="","",INDEX(KRI!$N:$N,$Z18)&amp;"")</f>
        <v>Ambra</v>
      </c>
      <c r="J18">
        <f t="shared" si="0"/>
        <v>1</v>
      </c>
      <c r="K18" t="str">
        <f t="shared" si="1"/>
        <v>● invariato</v>
      </c>
      <c r="L18" s="71" t="str">
        <f>IF($Z18="","",INDEX(KRI!$E:$E,$Z18)&amp;"")</f>
        <v>Esposizione</v>
      </c>
      <c r="M18" t="str">
        <f>Parametri!$B$26</f>
        <v>2026Q2</v>
      </c>
      <c r="N18">
        <f t="shared" si="2"/>
        <v>4.2</v>
      </c>
      <c r="O18">
        <f t="shared" si="3"/>
        <v>3</v>
      </c>
      <c r="P18">
        <f t="shared" si="4"/>
        <v>6</v>
      </c>
      <c r="Q18" t="str">
        <f t="shared" si="5"/>
        <v>Ambra</v>
      </c>
      <c r="R18" s="70">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0">
        <f>IF($Z19="","",IF(INDEX(KRI!$K:$K,$Z19)="","",INDEX(KRI!$K:$K,$Z19)))</f>
        <v>46295</v>
      </c>
      <c r="I19" t="str">
        <f>IF($Z19="","",INDEX(KRI!$N:$N,$Z19)&amp;"")</f>
        <v>Verde</v>
      </c>
      <c r="J19">
        <f t="shared" si="0"/>
        <v>3</v>
      </c>
      <c r="K19" t="str">
        <f t="shared" si="1"/>
        <v>▼ migliora</v>
      </c>
      <c r="L19" s="71" t="str">
        <f>IF($Z19="","",INDEX(KRI!$E:$E,$Z19)&amp;"")</f>
        <v>Evoluzione</v>
      </c>
      <c r="M19" t="str">
        <f>Parametri!$B$27</f>
        <v>2026Q3</v>
      </c>
      <c r="N19">
        <f t="shared" si="2"/>
        <v>5.0999999999999996</v>
      </c>
      <c r="O19">
        <f t="shared" si="3"/>
        <v>3</v>
      </c>
      <c r="P19">
        <f t="shared" si="4"/>
        <v>6</v>
      </c>
      <c r="Q19" t="str">
        <f t="shared" si="5"/>
        <v>Ambra</v>
      </c>
      <c r="R19" s="70">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0">
        <f>IF($Z20="","",IF(INDEX(KRI!$K:$K,$Z20)="","",INDEX(KRI!$K:$K,$Z20)))</f>
        <v>46295</v>
      </c>
      <c r="I20" t="str">
        <f>IF($Z20="","",INDEX(KRI!$N:$N,$Z20)&amp;"")</f>
        <v>Ambra</v>
      </c>
      <c r="J20">
        <f t="shared" si="0"/>
        <v>24</v>
      </c>
      <c r="K20" t="str">
        <f t="shared" si="1"/>
        <v>▼ migliora</v>
      </c>
      <c r="L20" s="71"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0">
        <f>IF($Z21="","",IF(INDEX(KRI!$K:$K,$Z21)="","",INDEX(KRI!$K:$K,$Z21)))</f>
        <v>46295</v>
      </c>
      <c r="I21" t="str">
        <f>IF($Z21="","",INDEX(KRI!$N:$N,$Z21)&amp;"")</f>
        <v>Ambra</v>
      </c>
      <c r="J21">
        <f t="shared" si="0"/>
        <v>6</v>
      </c>
      <c r="K21" t="str">
        <f t="shared" si="1"/>
        <v>▼ migliora</v>
      </c>
      <c r="L21" s="71"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0">
        <f>IF($Z22="","",IF(INDEX(KRI!$K:$K,$Z22)="","",INDEX(KRI!$K:$K,$Z22)))</f>
        <v>46295</v>
      </c>
      <c r="I22" t="str">
        <f>IF($Z22="","",INDEX(KRI!$N:$N,$Z22)&amp;"")</f>
        <v>Ambra</v>
      </c>
      <c r="J22">
        <f t="shared" si="0"/>
        <v>3.8</v>
      </c>
      <c r="K22" t="str">
        <f t="shared" si="1"/>
        <v>▲ peggiora</v>
      </c>
      <c r="L22" s="71"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0">
        <f>IF($Z23="","",IF(INDEX(KRI!$K:$K,$Z23)="","",INDEX(KRI!$K:$K,$Z23)))</f>
        <v>46295</v>
      </c>
      <c r="I23" t="str">
        <f>IF($Z23="","",INDEX(KRI!$N:$N,$Z23)&amp;"")</f>
        <v>Ambra</v>
      </c>
      <c r="J23">
        <f t="shared" si="0"/>
        <v>11</v>
      </c>
      <c r="K23" t="str">
        <f t="shared" si="1"/>
        <v>▼ migliora</v>
      </c>
      <c r="L23" s="71"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t="str">
        <f>IF($Z24="","",IF(INDEX(KRI!$H:$H,$Z24)="","",INDEX(KRI!$H:$H,$Z24)))</f>
        <v/>
      </c>
      <c r="F24" t="str">
        <f>IF($Z24="","",IF(INDEX(KRI!$I:$I,$Z24)="","",INDEX(KRI!$I:$I,$Z24)))</f>
        <v/>
      </c>
      <c r="G24">
        <f>IF($Z24="","",IF(INDEX(KRI!$J:$J,$Z24)="","",INDEX(KRI!$J:$J,$Z24)))</f>
        <v>1.9</v>
      </c>
      <c r="H24" s="70">
        <f>IF($Z24="","",IF(INDEX(KRI!$K:$K,$Z24)="","",INDEX(KRI!$K:$K,$Z24)))</f>
        <v>46295</v>
      </c>
      <c r="I24" t="str">
        <f>IF($Z24="","",INDEX(KRI!$N:$N,$Z24)&amp;"")</f>
        <v>Soglie da definire</v>
      </c>
      <c r="J24">
        <f t="shared" si="0"/>
        <v>1.4</v>
      </c>
      <c r="K24" t="str">
        <f t="shared" si="1"/>
        <v>▲ peggiora</v>
      </c>
      <c r="L24" s="71"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0">
        <f>IF($Z25="","",IF(INDEX(KRI!$K:$K,$Z25)="","",INDEX(KRI!$K:$K,$Z25)))</f>
        <v>46295</v>
      </c>
      <c r="I25" t="str">
        <f>IF($Z25="","",INDEX(KRI!$N:$N,$Z25)&amp;"")</f>
        <v>Ambra</v>
      </c>
      <c r="J25">
        <f t="shared" si="0"/>
        <v>60</v>
      </c>
      <c r="K25" t="str">
        <f t="shared" si="1"/>
        <v>▼ migliora</v>
      </c>
      <c r="L25" s="71"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0">
        <f>IF($Z26="","",IF(INDEX(KRI!$K:$K,$Z26)="","",INDEX(KRI!$K:$K,$Z26)))</f>
        <v>46295</v>
      </c>
      <c r="I26" t="str">
        <f>IF($Z26="","",INDEX(KRI!$N:$N,$Z26)&amp;"")</f>
        <v>Ambra</v>
      </c>
      <c r="J26">
        <f t="shared" si="0"/>
        <v>7</v>
      </c>
      <c r="K26" t="str">
        <f t="shared" si="1"/>
        <v>▼ migliora</v>
      </c>
      <c r="L26" s="71"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0">
        <f>IF($Z27="","",IF(INDEX(KRI!$K:$K,$Z27)="","",INDEX(KRI!$K:$K,$Z27)))</f>
        <v>46295</v>
      </c>
      <c r="I27" t="str">
        <f>IF($Z27="","",INDEX(KRI!$N:$N,$Z27)&amp;"")</f>
        <v>Ambra</v>
      </c>
      <c r="J27">
        <f t="shared" si="0"/>
        <v>5</v>
      </c>
      <c r="K27" t="str">
        <f t="shared" si="1"/>
        <v>● invariato</v>
      </c>
      <c r="L27" s="71"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0">
        <f>IF($Z28="","",IF(INDEX(KRI!$K:$K,$Z28)="","",INDEX(KRI!$K:$K,$Z28)))</f>
        <v>46295</v>
      </c>
      <c r="I28" t="str">
        <f>IF($Z28="","",INDEX(KRI!$N:$N,$Z28)&amp;"")</f>
        <v>Ambra</v>
      </c>
      <c r="J28">
        <f t="shared" si="0"/>
        <v>14</v>
      </c>
      <c r="K28" t="str">
        <f t="shared" si="1"/>
        <v>▼ migliora</v>
      </c>
      <c r="L28" s="71"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0">
        <f>IF($Z29="","",IF(INDEX(KRI!$K:$K,$Z29)="","",INDEX(KRI!$K:$K,$Z29)))</f>
        <v>46295</v>
      </c>
      <c r="I29" t="str">
        <f>IF($Z29="","",INDEX(KRI!$N:$N,$Z29)&amp;"")</f>
        <v>Ambra</v>
      </c>
      <c r="J29">
        <f t="shared" si="0"/>
        <v>5</v>
      </c>
      <c r="K29" t="str">
        <f t="shared" si="1"/>
        <v>▼ migliora</v>
      </c>
      <c r="L29" s="71"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0" t="str">
        <f>IF($Z30="","",IF(INDEX(KRI!$K:$K,$Z30)="","",INDEX(KRI!$K:$K,$Z30)))</f>
        <v/>
      </c>
      <c r="I30" t="str">
        <f>IF($Z30="","",INDEX(KRI!$N:$N,$Z30)&amp;"")</f>
        <v>Non rilevato</v>
      </c>
      <c r="J30" t="str">
        <f t="shared" si="0"/>
        <v>—</v>
      </c>
      <c r="K30" t="str">
        <f t="shared" si="1"/>
        <v/>
      </c>
      <c r="L30" s="71"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0" t="str">
        <f>IF($Z31="","",IF(INDEX(KRI!$K:$K,$Z31)="","",INDEX(KRI!$K:$K,$Z31)))</f>
        <v/>
      </c>
      <c r="I31" t="str">
        <f>IF($Z31="","",INDEX(KRI!$N:$N,$Z31)&amp;"")</f>
        <v/>
      </c>
      <c r="J31" t="str">
        <f t="shared" si="0"/>
        <v/>
      </c>
      <c r="K31" t="str">
        <f t="shared" si="1"/>
        <v/>
      </c>
      <c r="L31" s="71"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0" t="str">
        <f>IF($Z32="","",IF(INDEX(KRI!$K:$K,$Z32)="","",INDEX(KRI!$K:$K,$Z32)))</f>
        <v/>
      </c>
      <c r="I32" t="str">
        <f>IF($Z32="","",INDEX(KRI!$N:$N,$Z32)&amp;"")</f>
        <v/>
      </c>
      <c r="J32" t="str">
        <f t="shared" si="0"/>
        <v/>
      </c>
      <c r="K32" t="str">
        <f t="shared" si="1"/>
        <v/>
      </c>
      <c r="L32" s="71"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0" t="str">
        <f>IF($Z33="","",IF(INDEX(KRI!$K:$K,$Z33)="","",INDEX(KRI!$K:$K,$Z33)))</f>
        <v/>
      </c>
      <c r="I33" t="str">
        <f>IF($Z33="","",INDEX(KRI!$N:$N,$Z33)&amp;"")</f>
        <v/>
      </c>
      <c r="J33" t="str">
        <f t="shared" si="0"/>
        <v/>
      </c>
      <c r="K33" t="str">
        <f t="shared" si="1"/>
        <v/>
      </c>
      <c r="L33" s="71"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0" t="str">
        <f>IF($Z34="","",IF(INDEX(KRI!$K:$K,$Z34)="","",INDEX(KRI!$K:$K,$Z34)))</f>
        <v/>
      </c>
      <c r="I34" t="str">
        <f>IF($Z34="","",INDEX(KRI!$N:$N,$Z34)&amp;"")</f>
        <v/>
      </c>
      <c r="J34" t="str">
        <f t="shared" si="0"/>
        <v/>
      </c>
      <c r="K34" t="str">
        <f t="shared" si="1"/>
        <v/>
      </c>
      <c r="L34" s="71"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0" t="str">
        <f>IF($Z35="","",IF(INDEX(KRI!$K:$K,$Z35)="","",INDEX(KRI!$K:$K,$Z35)))</f>
        <v/>
      </c>
      <c r="I35" t="str">
        <f>IF($Z35="","",INDEX(KRI!$N:$N,$Z35)&amp;"")</f>
        <v/>
      </c>
      <c r="J35" t="str">
        <f t="shared" si="0"/>
        <v/>
      </c>
      <c r="K35" t="str">
        <f t="shared" si="1"/>
        <v/>
      </c>
      <c r="L35" s="71"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0" t="str">
        <f>IF($Z36="","",IF(INDEX(KRI!$K:$K,$Z36)="","",INDEX(KRI!$K:$K,$Z36)))</f>
        <v/>
      </c>
      <c r="I36" t="str">
        <f>IF($Z36="","",INDEX(KRI!$N:$N,$Z36)&amp;"")</f>
        <v/>
      </c>
      <c r="J36" t="str">
        <f t="shared" si="0"/>
        <v/>
      </c>
      <c r="K36" t="str">
        <f t="shared" si="1"/>
        <v/>
      </c>
      <c r="L36" s="71"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0" t="str">
        <f>IF($Z37="","",IF(INDEX(KRI!$K:$K,$Z37)="","",INDEX(KRI!$K:$K,$Z37)))</f>
        <v/>
      </c>
      <c r="I37" t="str">
        <f>IF($Z37="","",INDEX(KRI!$N:$N,$Z37)&amp;"")</f>
        <v/>
      </c>
      <c r="J37" t="str">
        <f t="shared" si="0"/>
        <v/>
      </c>
      <c r="K37" t="str">
        <f t="shared" si="1"/>
        <v/>
      </c>
      <c r="L37" s="71"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0" t="str">
        <f>IF($Z38="","",IF(INDEX(KRI!$K:$K,$Z38)="","",INDEX(KRI!$K:$K,$Z38)))</f>
        <v/>
      </c>
      <c r="I38" t="str">
        <f>IF($Z38="","",INDEX(KRI!$N:$N,$Z38)&amp;"")</f>
        <v/>
      </c>
      <c r="J38" t="str">
        <f t="shared" si="0"/>
        <v/>
      </c>
      <c r="K38" t="str">
        <f t="shared" si="1"/>
        <v/>
      </c>
      <c r="L38" s="71"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0"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70" si="10">IF(OR(G39="",NOT(ISNUMBER(J39))),"",IF(G39&gt;J39,"▲ peggiora",IF(G39&lt;J39,"▼ migliora","● invariato")))</f>
        <v/>
      </c>
      <c r="L39" s="71"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0" t="str">
        <f>IF($Z40="","",IF(INDEX(KRI!$K:$K,$Z40)="","",INDEX(KRI!$K:$K,$Z40)))</f>
        <v/>
      </c>
      <c r="I40" t="str">
        <f>IF($Z40="","",INDEX(KRI!$N:$N,$Z40)&amp;"")</f>
        <v/>
      </c>
      <c r="J40" t="str">
        <f t="shared" si="9"/>
        <v/>
      </c>
      <c r="K40" t="str">
        <f t="shared" si="10"/>
        <v/>
      </c>
      <c r="L40" s="71"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0" t="str">
        <f>IF($Z41="","",IF(INDEX(KRI!$K:$K,$Z41)="","",INDEX(KRI!$K:$K,$Z41)))</f>
        <v/>
      </c>
      <c r="I41" t="str">
        <f>IF($Z41="","",INDEX(KRI!$N:$N,$Z41)&amp;"")</f>
        <v/>
      </c>
      <c r="J41" t="str">
        <f t="shared" si="9"/>
        <v/>
      </c>
      <c r="K41" t="str">
        <f t="shared" si="10"/>
        <v/>
      </c>
      <c r="L41" s="71"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0" t="str">
        <f>IF($Z42="","",IF(INDEX(KRI!$K:$K,$Z42)="","",INDEX(KRI!$K:$K,$Z42)))</f>
        <v/>
      </c>
      <c r="I42" t="str">
        <f>IF($Z42="","",INDEX(KRI!$N:$N,$Z42)&amp;"")</f>
        <v/>
      </c>
      <c r="J42" t="str">
        <f t="shared" si="9"/>
        <v/>
      </c>
      <c r="K42" t="str">
        <f t="shared" si="10"/>
        <v/>
      </c>
      <c r="L42" s="71"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0" t="str">
        <f>IF($Z43="","",IF(INDEX(KRI!$K:$K,$Z43)="","",INDEX(KRI!$K:$K,$Z43)))</f>
        <v/>
      </c>
      <c r="I43" t="str">
        <f>IF($Z43="","",INDEX(KRI!$N:$N,$Z43)&amp;"")</f>
        <v/>
      </c>
      <c r="J43" t="str">
        <f t="shared" si="9"/>
        <v/>
      </c>
      <c r="K43" t="str">
        <f t="shared" si="10"/>
        <v/>
      </c>
      <c r="L43" s="71"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0" t="str">
        <f>IF($Z44="","",IF(INDEX(KRI!$K:$K,$Z44)="","",INDEX(KRI!$K:$K,$Z44)))</f>
        <v/>
      </c>
      <c r="I44" t="str">
        <f>IF($Z44="","",INDEX(KRI!$N:$N,$Z44)&amp;"")</f>
        <v/>
      </c>
      <c r="J44" t="str">
        <f t="shared" si="9"/>
        <v/>
      </c>
      <c r="K44" t="str">
        <f t="shared" si="10"/>
        <v/>
      </c>
      <c r="L44" s="71"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0" t="str">
        <f>IF($Z45="","",IF(INDEX(KRI!$K:$K,$Z45)="","",INDEX(KRI!$K:$K,$Z45)))</f>
        <v/>
      </c>
      <c r="I45" t="str">
        <f>IF($Z45="","",INDEX(KRI!$N:$N,$Z45)&amp;"")</f>
        <v/>
      </c>
      <c r="J45" t="str">
        <f t="shared" si="9"/>
        <v/>
      </c>
      <c r="K45" t="str">
        <f t="shared" si="10"/>
        <v/>
      </c>
      <c r="L45" s="71"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0" t="str">
        <f>IF($Z46="","",IF(INDEX(KRI!$K:$K,$Z46)="","",INDEX(KRI!$K:$K,$Z46)))</f>
        <v/>
      </c>
      <c r="I46" t="str">
        <f>IF($Z46="","",INDEX(KRI!$N:$N,$Z46)&amp;"")</f>
        <v/>
      </c>
      <c r="J46" t="str">
        <f t="shared" si="9"/>
        <v/>
      </c>
      <c r="K46" t="str">
        <f t="shared" si="10"/>
        <v/>
      </c>
      <c r="L46" s="71"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0" t="str">
        <f>IF($Z47="","",IF(INDEX(KRI!$K:$K,$Z47)="","",INDEX(KRI!$K:$K,$Z47)))</f>
        <v/>
      </c>
      <c r="I47" t="str">
        <f>IF($Z47="","",INDEX(KRI!$N:$N,$Z47)&amp;"")</f>
        <v/>
      </c>
      <c r="J47" t="str">
        <f t="shared" si="9"/>
        <v/>
      </c>
      <c r="K47" t="str">
        <f t="shared" si="10"/>
        <v/>
      </c>
      <c r="L47" s="71"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0" t="str">
        <f>IF($Z48="","",IF(INDEX(KRI!$K:$K,$Z48)="","",INDEX(KRI!$K:$K,$Z48)))</f>
        <v/>
      </c>
      <c r="I48" t="str">
        <f>IF($Z48="","",INDEX(KRI!$N:$N,$Z48)&amp;"")</f>
        <v/>
      </c>
      <c r="J48" t="str">
        <f t="shared" si="9"/>
        <v/>
      </c>
      <c r="K48" t="str">
        <f t="shared" si="10"/>
        <v/>
      </c>
      <c r="L48" s="71"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0" t="str">
        <f>IF($Z49="","",IF(INDEX(KRI!$K:$K,$Z49)="","",INDEX(KRI!$K:$K,$Z49)))</f>
        <v/>
      </c>
      <c r="I49" t="str">
        <f>IF($Z49="","",INDEX(KRI!$N:$N,$Z49)&amp;"")</f>
        <v/>
      </c>
      <c r="J49" t="str">
        <f t="shared" si="9"/>
        <v/>
      </c>
      <c r="K49" t="str">
        <f t="shared" si="10"/>
        <v/>
      </c>
      <c r="L49" s="71"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0" t="str">
        <f>IF($Z50="","",IF(INDEX(KRI!$K:$K,$Z50)="","",INDEX(KRI!$K:$K,$Z50)))</f>
        <v/>
      </c>
      <c r="I50" t="str">
        <f>IF($Z50="","",INDEX(KRI!$N:$N,$Z50)&amp;"")</f>
        <v/>
      </c>
      <c r="J50" t="str">
        <f t="shared" si="9"/>
        <v/>
      </c>
      <c r="K50" t="str">
        <f t="shared" si="10"/>
        <v/>
      </c>
      <c r="L50" s="71"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0" t="str">
        <f>IF($Z51="","",IF(INDEX(KRI!$K:$K,$Z51)="","",INDEX(KRI!$K:$K,$Z51)))</f>
        <v/>
      </c>
      <c r="I51" t="str">
        <f>IF($Z51="","",INDEX(KRI!$N:$N,$Z51)&amp;"")</f>
        <v/>
      </c>
      <c r="J51" t="str">
        <f t="shared" si="9"/>
        <v/>
      </c>
      <c r="K51" t="str">
        <f t="shared" si="10"/>
        <v/>
      </c>
      <c r="L51" s="71"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0" t="str">
        <f>IF($Z52="","",IF(INDEX(KRI!$K:$K,$Z52)="","",INDEX(KRI!$K:$K,$Z52)))</f>
        <v/>
      </c>
      <c r="I52" t="str">
        <f>IF($Z52="","",INDEX(KRI!$N:$N,$Z52)&amp;"")</f>
        <v/>
      </c>
      <c r="J52" t="str">
        <f t="shared" si="9"/>
        <v/>
      </c>
      <c r="K52" t="str">
        <f t="shared" si="10"/>
        <v/>
      </c>
      <c r="L52" s="71"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0" t="str">
        <f>IF($Z53="","",IF(INDEX(KRI!$K:$K,$Z53)="","",INDEX(KRI!$K:$K,$Z53)))</f>
        <v/>
      </c>
      <c r="I53" t="str">
        <f>IF($Z53="","",INDEX(KRI!$N:$N,$Z53)&amp;"")</f>
        <v/>
      </c>
      <c r="J53" t="str">
        <f t="shared" si="9"/>
        <v/>
      </c>
      <c r="K53" t="str">
        <f t="shared" si="10"/>
        <v/>
      </c>
      <c r="L53" s="71"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0" t="str">
        <f>IF($Z54="","",IF(INDEX(KRI!$K:$K,$Z54)="","",INDEX(KRI!$K:$K,$Z54)))</f>
        <v/>
      </c>
      <c r="I54" t="str">
        <f>IF($Z54="","",INDEX(KRI!$N:$N,$Z54)&amp;"")</f>
        <v/>
      </c>
      <c r="J54" t="str">
        <f t="shared" si="9"/>
        <v/>
      </c>
      <c r="K54" t="str">
        <f t="shared" si="10"/>
        <v/>
      </c>
      <c r="L54" s="71"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0" t="str">
        <f>IF($Z55="","",IF(INDEX(KRI!$K:$K,$Z55)="","",INDEX(KRI!$K:$K,$Z55)))</f>
        <v/>
      </c>
      <c r="I55" t="str">
        <f>IF($Z55="","",INDEX(KRI!$N:$N,$Z55)&amp;"")</f>
        <v/>
      </c>
      <c r="J55" t="str">
        <f t="shared" si="9"/>
        <v/>
      </c>
      <c r="K55" t="str">
        <f t="shared" si="10"/>
        <v/>
      </c>
      <c r="L55" s="71"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0" t="str">
        <f>IF($Z56="","",IF(INDEX(KRI!$K:$K,$Z56)="","",INDEX(KRI!$K:$K,$Z56)))</f>
        <v/>
      </c>
      <c r="I56" t="str">
        <f>IF($Z56="","",INDEX(KRI!$N:$N,$Z56)&amp;"")</f>
        <v/>
      </c>
      <c r="J56" t="str">
        <f t="shared" si="9"/>
        <v/>
      </c>
      <c r="K56" t="str">
        <f t="shared" si="10"/>
        <v/>
      </c>
      <c r="L56" s="71"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0" t="str">
        <f>IF($Z57="","",IF(INDEX(KRI!$K:$K,$Z57)="","",INDEX(KRI!$K:$K,$Z57)))</f>
        <v/>
      </c>
      <c r="I57" t="str">
        <f>IF($Z57="","",INDEX(KRI!$N:$N,$Z57)&amp;"")</f>
        <v/>
      </c>
      <c r="J57" t="str">
        <f t="shared" si="9"/>
        <v/>
      </c>
      <c r="K57" t="str">
        <f t="shared" si="10"/>
        <v/>
      </c>
      <c r="L57" s="71"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0" t="str">
        <f>IF($Z58="","",IF(INDEX(KRI!$K:$K,$Z58)="","",INDEX(KRI!$K:$K,$Z58)))</f>
        <v/>
      </c>
      <c r="I58" t="str">
        <f>IF($Z58="","",INDEX(KRI!$N:$N,$Z58)&amp;"")</f>
        <v/>
      </c>
      <c r="J58" t="str">
        <f t="shared" si="9"/>
        <v/>
      </c>
      <c r="K58" t="str">
        <f t="shared" si="10"/>
        <v/>
      </c>
      <c r="L58" s="71"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0" t="str">
        <f>IF($Z59="","",IF(INDEX(KRI!$K:$K,$Z59)="","",INDEX(KRI!$K:$K,$Z59)))</f>
        <v/>
      </c>
      <c r="I59" t="str">
        <f>IF($Z59="","",INDEX(KRI!$N:$N,$Z59)&amp;"")</f>
        <v/>
      </c>
      <c r="J59" t="str">
        <f t="shared" si="9"/>
        <v/>
      </c>
      <c r="K59" t="str">
        <f t="shared" si="10"/>
        <v/>
      </c>
      <c r="L59" s="71"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0" t="str">
        <f>IF($Z60="","",IF(INDEX(KRI!$K:$K,$Z60)="","",INDEX(KRI!$K:$K,$Z60)))</f>
        <v/>
      </c>
      <c r="I60" t="str">
        <f>IF($Z60="","",INDEX(KRI!$N:$N,$Z60)&amp;"")</f>
        <v/>
      </c>
      <c r="J60" t="str">
        <f t="shared" si="9"/>
        <v/>
      </c>
      <c r="K60" t="str">
        <f t="shared" si="10"/>
        <v/>
      </c>
      <c r="L60" s="71"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0" t="str">
        <f>IF($Z61="","",IF(INDEX(KRI!$K:$K,$Z61)="","",INDEX(KRI!$K:$K,$Z61)))</f>
        <v/>
      </c>
      <c r="I61" t="str">
        <f>IF($Z61="","",INDEX(KRI!$N:$N,$Z61)&amp;"")</f>
        <v/>
      </c>
      <c r="J61" t="str">
        <f t="shared" si="9"/>
        <v/>
      </c>
      <c r="K61" t="str">
        <f t="shared" si="10"/>
        <v/>
      </c>
      <c r="L61" s="71"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0" t="str">
        <f>IF($Z62="","",IF(INDEX(KRI!$K:$K,$Z62)="","",INDEX(KRI!$K:$K,$Z62)))</f>
        <v/>
      </c>
      <c r="I62" t="str">
        <f>IF($Z62="","",INDEX(KRI!$N:$N,$Z62)&amp;"")</f>
        <v/>
      </c>
      <c r="J62" t="str">
        <f t="shared" si="9"/>
        <v/>
      </c>
      <c r="K62" t="str">
        <f t="shared" si="10"/>
        <v/>
      </c>
      <c r="L62" s="71"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0" t="str">
        <f>IF($Z63="","",IF(INDEX(KRI!$K:$K,$Z63)="","",INDEX(KRI!$K:$K,$Z63)))</f>
        <v/>
      </c>
      <c r="I63" t="str">
        <f>IF($Z63="","",INDEX(KRI!$N:$N,$Z63)&amp;"")</f>
        <v/>
      </c>
      <c r="J63" t="str">
        <f t="shared" si="9"/>
        <v/>
      </c>
      <c r="K63" t="str">
        <f t="shared" si="10"/>
        <v/>
      </c>
      <c r="L63" s="71"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0" t="str">
        <f>IF($Z64="","",IF(INDEX(KRI!$K:$K,$Z64)="","",INDEX(KRI!$K:$K,$Z64)))</f>
        <v/>
      </c>
      <c r="I64" t="str">
        <f>IF($Z64="","",INDEX(KRI!$N:$N,$Z64)&amp;"")</f>
        <v/>
      </c>
      <c r="J64" t="str">
        <f t="shared" si="9"/>
        <v/>
      </c>
      <c r="K64" t="str">
        <f t="shared" si="10"/>
        <v/>
      </c>
      <c r="L64" s="71"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0" t="str">
        <f>IF($Z65="","",IF(INDEX(KRI!$K:$K,$Z65)="","",INDEX(KRI!$K:$K,$Z65)))</f>
        <v/>
      </c>
      <c r="I65" t="str">
        <f>IF($Z65="","",INDEX(KRI!$N:$N,$Z65)&amp;"")</f>
        <v/>
      </c>
      <c r="J65" t="str">
        <f t="shared" si="9"/>
        <v/>
      </c>
      <c r="K65" t="str">
        <f t="shared" si="10"/>
        <v/>
      </c>
      <c r="L65" s="71"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0" t="str">
        <f>IF($Z66="","",IF(INDEX(KRI!$K:$K,$Z66)="","",INDEX(KRI!$K:$K,$Z66)))</f>
        <v/>
      </c>
      <c r="I66" t="str">
        <f>IF($Z66="","",INDEX(KRI!$N:$N,$Z66)&amp;"")</f>
        <v/>
      </c>
      <c r="J66" t="str">
        <f t="shared" si="9"/>
        <v/>
      </c>
      <c r="K66" t="str">
        <f t="shared" si="10"/>
        <v/>
      </c>
      <c r="L66" s="71"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63" priority="1">
      <formula>I7="Rosso"</formula>
    </cfRule>
    <cfRule type="expression" dxfId="62" priority="2">
      <formula>I7="Ambra"</formula>
    </cfRule>
    <cfRule type="expression" dxfId="61" priority="3">
      <formula>I7="Verde"</formula>
    </cfRule>
    <cfRule type="expression" dxfId="60" priority="4">
      <formula>I7="SOGLIE INVERTITE — correggere"</formula>
    </cfRule>
    <cfRule type="expression" dxfId="59" priority="5">
      <formula>I7="Soglie da definire"</formula>
    </cfRule>
  </conditionalFormatting>
  <conditionalFormatting sqref="K7:K66">
    <cfRule type="expression" dxfId="58" priority="6">
      <formula>LEFT(K7,1)="▲"</formula>
    </cfRule>
    <cfRule type="expression" dxfId="57" priority="7">
      <formula>LEFT(K7,1)="▼"</formula>
    </cfRule>
  </conditionalFormatting>
  <conditionalFormatting sqref="N12:P19">
    <cfRule type="expression" dxfId="56" priority="8">
      <formula>ISNA(N12)</formula>
    </cfRule>
  </conditionalFormatting>
  <conditionalFormatting sqref="Q12:Q19">
    <cfRule type="expression" dxfId="55" priority="9">
      <formula>Q12="Rosso"</formula>
    </cfRule>
    <cfRule type="expression" dxfId="54" priority="10">
      <formula>Q12="Ambra"</formula>
    </cfRule>
    <cfRule type="expression" dxfId="53" priority="11">
      <formula>Q12="Verde"</formula>
    </cfRule>
    <cfRule type="expression" dxfId="52" priority="12">
      <formula>Q12="SOGLIE INVERTITE — correggere"</formula>
    </cfRule>
    <cfRule type="expression" dxfId="51" priority="13">
      <formula>Q12="Soglie da definire"</formula>
    </cfRule>
  </conditionalFormatting>
  <dataValidations count="1">
    <dataValidation type="list" allowBlank="1" sqref="N4" xr:uid="{00000000-0002-0000-0900-000000000000}">
      <formula1>elencoKRI</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S30"/>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46" t="str">
        <f>"Horizon Scan NFR — Notizie: pressione sui sette event type   ·   "&amp;etichettaCiclo</f>
        <v>Horizon Scan NFR — Notizie: pressione sui sette event type   ·   Ciclo 2026Q3 · dati al 30/09/2026 · da validare · Uso interno</v>
      </c>
      <c r="B1" s="147"/>
      <c r="C1" s="147"/>
      <c r="D1" s="147"/>
      <c r="E1" s="147"/>
      <c r="F1" s="147"/>
      <c r="G1" s="147"/>
      <c r="H1" s="147"/>
      <c r="I1" s="147"/>
      <c r="J1" s="147"/>
    </row>
    <row r="2" spans="1:19" ht="45.55" customHeight="1" x14ac:dyDescent="0.4">
      <c r="A2" s="167" t="s">
        <v>426</v>
      </c>
      <c r="B2" s="116"/>
      <c r="C2" s="116"/>
      <c r="D2" s="116"/>
      <c r="E2" s="116"/>
      <c r="F2" s="116"/>
      <c r="G2" s="116"/>
      <c r="H2" s="116"/>
      <c r="I2" s="116"/>
      <c r="J2" s="116"/>
    </row>
    <row r="4" spans="1:19" ht="30" customHeight="1" x14ac:dyDescent="0.4">
      <c r="A4" s="28" t="s">
        <v>427</v>
      </c>
      <c r="B4" s="28" t="s">
        <v>190</v>
      </c>
      <c r="C4" s="28" t="s">
        <v>428</v>
      </c>
      <c r="D4" s="28" t="s">
        <v>429</v>
      </c>
      <c r="E4" s="28" t="s">
        <v>372</v>
      </c>
      <c r="F4" s="28" t="s">
        <v>394</v>
      </c>
      <c r="G4" s="28" t="s">
        <v>430</v>
      </c>
      <c r="H4" s="28" t="s">
        <v>431</v>
      </c>
      <c r="I4" s="28" t="s">
        <v>432</v>
      </c>
      <c r="J4" s="28" t="s">
        <v>170</v>
      </c>
      <c r="L4" s="54" t="s">
        <v>433</v>
      </c>
    </row>
    <row r="5" spans="1:19" x14ac:dyDescent="0.4">
      <c r="A5" t="s">
        <v>434</v>
      </c>
      <c r="B5" t="s">
        <v>435</v>
      </c>
      <c r="C5">
        <f>_xlfn.MAXIFS(NW_Imp_L1_01,NW_Settimana,"&gt;="&amp;inizioFinestra4,NW_Settimana,"&lt;="&amp;settimanaCorrente)</f>
        <v>0</v>
      </c>
      <c r="D5">
        <f>COUNTIFS(NW_Imp_L1_01,"&gt;=2",NW_Settimana,"&gt;="&amp;inizioFinestra4,NW_Settimana,"&lt;="&amp;settimanaCorrente)</f>
        <v>0</v>
      </c>
      <c r="E5">
        <f t="shared" ref="E5:E11" si="0">COUNTIF(ANA_Event_Type,A5)</f>
        <v>2</v>
      </c>
      <c r="F5" t="str">
        <f t="shared" ref="F5:F11" si="1">IF(AND(D5&gt;0,E5=0),"AREA NON PRESIDIATA",IF(E5=0,"Nessun rischio censito","Presidiata"))</f>
        <v>Presidiata</v>
      </c>
      <c r="G5">
        <f>COUNTIFS(NW_Imp_L1_01,1,NW_Settimana,"&gt;="&amp;inizioFinestra4,NW_Settimana,"&lt;="&amp;settimanaCorrente)</f>
        <v>0</v>
      </c>
      <c r="H5">
        <f>COUNTIFS(NW_Imp_L1_01,2,NW_Settimana,"&gt;="&amp;inizioFinestra4,NW_Settimana,"&lt;="&amp;settimanaCorrente)</f>
        <v>0</v>
      </c>
      <c r="I5">
        <f>COUNTIFS(NW_Imp_L1_01,3,NW_Settimana,"&gt;="&amp;inizioFinestra4,NW_Settimana,"&lt;="&amp;settimanaCorrente)</f>
        <v>0</v>
      </c>
      <c r="J5" t="str">
        <f t="shared" ref="J5:J11" si="2">IF(F5="AREA NON PRESIDIATA","NON PRESIDIATA ► ","")&amp;A5&amp;" "&amp;B5</f>
        <v>L1-01 Frode interna</v>
      </c>
      <c r="L5" s="166" t="str">
        <f>IFERROR(INDEX(SE_Sintesi_A3,MATCH(settimanaCorrente,SE_Settimana,0))&amp;"","Nessuna sintesi di A3 per la settimana corrente.")</f>
        <v>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v>
      </c>
      <c r="M5" s="116"/>
      <c r="N5" s="116"/>
      <c r="O5" s="116"/>
      <c r="P5" s="116"/>
      <c r="Q5" s="116"/>
      <c r="R5" s="116"/>
      <c r="S5" s="116"/>
    </row>
    <row r="6" spans="1:19" x14ac:dyDescent="0.4">
      <c r="A6" t="s">
        <v>436</v>
      </c>
      <c r="B6" t="s">
        <v>437</v>
      </c>
      <c r="C6">
        <f>_xlfn.MAXIFS(NW_Imp_L1_02,NW_Settimana,"&gt;="&amp;inizioFinestra4,NW_Settimana,"&lt;="&amp;settimanaCorrente)</f>
        <v>3</v>
      </c>
      <c r="D6">
        <f>COUNTIFS(NW_Imp_L1_02,"&gt;=2",NW_Settimana,"&gt;="&amp;inizioFinestra4,NW_Settimana,"&lt;="&amp;settimanaCorrente)</f>
        <v>3</v>
      </c>
      <c r="E6">
        <f t="shared" si="0"/>
        <v>1</v>
      </c>
      <c r="F6" t="str">
        <f t="shared" si="1"/>
        <v>Presidiata</v>
      </c>
      <c r="G6">
        <f>COUNTIFS(NW_Imp_L1_02,1,NW_Settimana,"&gt;="&amp;inizioFinestra4,NW_Settimana,"&lt;="&amp;settimanaCorrente)</f>
        <v>0</v>
      </c>
      <c r="H6">
        <f>COUNTIFS(NW_Imp_L1_02,2,NW_Settimana,"&gt;="&amp;inizioFinestra4,NW_Settimana,"&lt;="&amp;settimanaCorrente)</f>
        <v>2</v>
      </c>
      <c r="I6">
        <f>COUNTIFS(NW_Imp_L1_02,3,NW_Settimana,"&gt;="&amp;inizioFinestra4,NW_Settimana,"&lt;="&amp;settimanaCorrente)</f>
        <v>1</v>
      </c>
      <c r="J6" t="str">
        <f t="shared" si="2"/>
        <v>L1-02 Frode esterna</v>
      </c>
      <c r="L6" s="116"/>
      <c r="M6" s="116"/>
      <c r="N6" s="116"/>
      <c r="O6" s="116"/>
      <c r="P6" s="116"/>
      <c r="Q6" s="116"/>
      <c r="R6" s="116"/>
      <c r="S6" s="116"/>
    </row>
    <row r="7" spans="1:19" x14ac:dyDescent="0.4">
      <c r="A7" t="s">
        <v>438</v>
      </c>
      <c r="B7" t="s">
        <v>439</v>
      </c>
      <c r="C7">
        <f>_xlfn.MAXIFS(NW_Imp_L1_03,NW_Settimana,"&gt;="&amp;inizioFinestra4,NW_Settimana,"&lt;="&amp;settimanaCorrente)</f>
        <v>0</v>
      </c>
      <c r="D7">
        <f>COUNTIFS(NW_Imp_L1_03,"&gt;=2",NW_Settimana,"&gt;="&amp;inizioFinestra4,NW_Settimana,"&lt;="&amp;settimanaCorrente)</f>
        <v>0</v>
      </c>
      <c r="E7">
        <f t="shared" si="0"/>
        <v>0</v>
      </c>
      <c r="F7" t="str">
        <f t="shared" si="1"/>
        <v>Nessun rischio censito</v>
      </c>
      <c r="G7">
        <f>COUNTIFS(NW_Imp_L1_03,1,NW_Settimana,"&gt;="&amp;inizioFinestra4,NW_Settimana,"&lt;="&amp;settimanaCorrente)</f>
        <v>0</v>
      </c>
      <c r="H7">
        <f>COUNTIFS(NW_Imp_L1_03,2,NW_Settimana,"&gt;="&amp;inizioFinestra4,NW_Settimana,"&lt;="&amp;settimanaCorrente)</f>
        <v>0</v>
      </c>
      <c r="I7">
        <f>COUNTIFS(NW_Imp_L1_03,3,NW_Settimana,"&gt;="&amp;inizioFinestra4,NW_Settimana,"&lt;="&amp;settimanaCorrente)</f>
        <v>0</v>
      </c>
      <c r="J7" t="str">
        <f t="shared" si="2"/>
        <v>L1-03 Rapporti di impiego e sicurezza sul lavoro</v>
      </c>
      <c r="L7" s="116"/>
      <c r="M7" s="116"/>
      <c r="N7" s="116"/>
      <c r="O7" s="116"/>
      <c r="P7" s="116"/>
      <c r="Q7" s="116"/>
      <c r="R7" s="116"/>
      <c r="S7" s="116"/>
    </row>
    <row r="8" spans="1:19" x14ac:dyDescent="0.4">
      <c r="A8" t="s">
        <v>440</v>
      </c>
      <c r="B8" t="s">
        <v>441</v>
      </c>
      <c r="C8">
        <f>_xlfn.MAXIFS(NW_Imp_L1_04,NW_Settimana,"&gt;="&amp;inizioFinestra4,NW_Settimana,"&lt;="&amp;settimanaCorrente)</f>
        <v>2</v>
      </c>
      <c r="D8">
        <f>COUNTIFS(NW_Imp_L1_04,"&gt;=2",NW_Settimana,"&gt;="&amp;inizioFinestra4,NW_Settimana,"&lt;="&amp;settimanaCorrente)</f>
        <v>1</v>
      </c>
      <c r="E8">
        <f t="shared" si="0"/>
        <v>3</v>
      </c>
      <c r="F8" t="str">
        <f t="shared" si="1"/>
        <v>Presidiata</v>
      </c>
      <c r="G8">
        <f>COUNTIFS(NW_Imp_L1_04,1,NW_Settimana,"&gt;="&amp;inizioFinestra4,NW_Settimana,"&lt;="&amp;settimanaCorrente)</f>
        <v>1</v>
      </c>
      <c r="H8">
        <f>COUNTIFS(NW_Imp_L1_04,2,NW_Settimana,"&gt;="&amp;inizioFinestra4,NW_Settimana,"&lt;="&amp;settimanaCorrente)</f>
        <v>1</v>
      </c>
      <c r="I8">
        <f>COUNTIFS(NW_Imp_L1_04,3,NW_Settimana,"&gt;="&amp;inizioFinestra4,NW_Settimana,"&lt;="&amp;settimanaCorrente)</f>
        <v>0</v>
      </c>
      <c r="J8" t="str">
        <f t="shared" si="2"/>
        <v>L1-04 Clientela, prodotti e prassi professionali</v>
      </c>
      <c r="L8" s="116"/>
      <c r="M8" s="116"/>
      <c r="N8" s="116"/>
      <c r="O8" s="116"/>
      <c r="P8" s="116"/>
      <c r="Q8" s="116"/>
      <c r="R8" s="116"/>
      <c r="S8" s="116"/>
    </row>
    <row r="9" spans="1:19" x14ac:dyDescent="0.4">
      <c r="A9" t="s">
        <v>442</v>
      </c>
      <c r="B9" t="s">
        <v>443</v>
      </c>
      <c r="C9">
        <f>_xlfn.MAXIFS(NW_Imp_L1_05,NW_Settimana,"&gt;="&amp;inizioFinestra4,NW_Settimana,"&lt;="&amp;settimanaCorrente)</f>
        <v>1</v>
      </c>
      <c r="D9">
        <f>COUNTIFS(NW_Imp_L1_05,"&gt;=2",NW_Settimana,"&gt;="&amp;inizioFinestra4,NW_Settimana,"&lt;="&amp;settimanaCorrente)</f>
        <v>0</v>
      </c>
      <c r="E9">
        <f t="shared" si="0"/>
        <v>1</v>
      </c>
      <c r="F9" t="str">
        <f t="shared" si="1"/>
        <v>Presidiata</v>
      </c>
      <c r="G9">
        <f>COUNTIFS(NW_Imp_L1_05,1,NW_Settimana,"&gt;="&amp;inizioFinestra4,NW_Settimana,"&lt;="&amp;settimanaCorrente)</f>
        <v>1</v>
      </c>
      <c r="H9">
        <f>COUNTIFS(NW_Imp_L1_05,2,NW_Settimana,"&gt;="&amp;inizioFinestra4,NW_Settimana,"&lt;="&amp;settimanaCorrente)</f>
        <v>0</v>
      </c>
      <c r="I9">
        <f>COUNTIFS(NW_Imp_L1_05,3,NW_Settimana,"&gt;="&amp;inizioFinestra4,NW_Settimana,"&lt;="&amp;settimanaCorrente)</f>
        <v>0</v>
      </c>
      <c r="J9" t="str">
        <f t="shared" si="2"/>
        <v>L1-05 Danni a beni materiali</v>
      </c>
      <c r="L9" s="116"/>
      <c r="M9" s="116"/>
      <c r="N9" s="116"/>
      <c r="O9" s="116"/>
      <c r="P9" s="116"/>
      <c r="Q9" s="116"/>
      <c r="R9" s="116"/>
      <c r="S9" s="116"/>
    </row>
    <row r="10" spans="1:19" x14ac:dyDescent="0.4">
      <c r="A10" t="s">
        <v>444</v>
      </c>
      <c r="B10" t="s">
        <v>445</v>
      </c>
      <c r="C10">
        <f>_xlfn.MAXIFS(NW_Imp_L1_06,NW_Settimana,"&gt;="&amp;inizioFinestra4,NW_Settimana,"&lt;="&amp;settimanaCorrente)</f>
        <v>1</v>
      </c>
      <c r="D10">
        <f>COUNTIFS(NW_Imp_L1_06,"&gt;=2",NW_Settimana,"&gt;="&amp;inizioFinestra4,NW_Settimana,"&lt;="&amp;settimanaCorrente)</f>
        <v>0</v>
      </c>
      <c r="E10">
        <f t="shared" si="0"/>
        <v>3</v>
      </c>
      <c r="F10" t="str">
        <f t="shared" si="1"/>
        <v>Presidiata</v>
      </c>
      <c r="G10">
        <f>COUNTIFS(NW_Imp_L1_06,1,NW_Settimana,"&gt;="&amp;inizioFinestra4,NW_Settimana,"&lt;="&amp;settimanaCorrente)</f>
        <v>2</v>
      </c>
      <c r="H10">
        <f>COUNTIFS(NW_Imp_L1_06,2,NW_Settimana,"&gt;="&amp;inizioFinestra4,NW_Settimana,"&lt;="&amp;settimanaCorrente)</f>
        <v>0</v>
      </c>
      <c r="I10">
        <f>COUNTIFS(NW_Imp_L1_06,3,NW_Settimana,"&gt;="&amp;inizioFinestra4,NW_Settimana,"&lt;="&amp;settimanaCorrente)</f>
        <v>0</v>
      </c>
      <c r="J10" t="str">
        <f t="shared" si="2"/>
        <v>L1-06 Interruzione dell'operativita' e disfunzione dei sistemi</v>
      </c>
      <c r="L10" s="54" t="s">
        <v>446</v>
      </c>
    </row>
    <row r="11" spans="1:19" x14ac:dyDescent="0.4">
      <c r="A11" t="s">
        <v>447</v>
      </c>
      <c r="B11" t="s">
        <v>448</v>
      </c>
      <c r="C11">
        <f>_xlfn.MAXIFS(NW_Imp_L1_07,NW_Settimana,"&gt;="&amp;inizioFinestra4,NW_Settimana,"&lt;="&amp;settimanaCorrente)</f>
        <v>2</v>
      </c>
      <c r="D11">
        <f>COUNTIFS(NW_Imp_L1_07,"&gt;=2",NW_Settimana,"&gt;="&amp;inizioFinestra4,NW_Settimana,"&lt;="&amp;settimanaCorrente)</f>
        <v>2</v>
      </c>
      <c r="E11">
        <f t="shared" si="0"/>
        <v>2</v>
      </c>
      <c r="F11" t="str">
        <f t="shared" si="1"/>
        <v>Presidiata</v>
      </c>
      <c r="G11">
        <f>COUNTIFS(NW_Imp_L1_07,1,NW_Settimana,"&gt;="&amp;inizioFinestra4,NW_Settimana,"&lt;="&amp;settimanaCorrente)</f>
        <v>1</v>
      </c>
      <c r="H11">
        <f>COUNTIFS(NW_Imp_L1_07,2,NW_Settimana,"&gt;="&amp;inizioFinestra4,NW_Settimana,"&lt;="&amp;settimanaCorrente)</f>
        <v>2</v>
      </c>
      <c r="I11">
        <f>COUNTIFS(NW_Imp_L1_07,3,NW_Settimana,"&gt;="&amp;inizioFinestra4,NW_Settimana,"&lt;="&amp;settimanaCorrente)</f>
        <v>0</v>
      </c>
      <c r="J11" t="str">
        <f t="shared" si="2"/>
        <v>L1-07 Esecuzione, consegna e gestione dei processi</v>
      </c>
      <c r="L11" s="166" t="str">
        <f>IFERROR(INDEX(SE_Flag_Proposti,MATCH(settimanaCorrente,SE_Settimana,0))&amp;"","—")</f>
        <v>NFR-01 · Peggiorativo: tre segnali peggiorativi in quattro settimane e l'obbligo di rimborso in arrivo; da valutare nel prossimo ciclo trimestrale l'Impatto del rischio.</v>
      </c>
      <c r="M11" s="116"/>
      <c r="N11" s="116"/>
      <c r="O11" s="116"/>
      <c r="P11" s="116"/>
      <c r="Q11" s="116"/>
      <c r="R11" s="116"/>
      <c r="S11" s="116"/>
    </row>
    <row r="12" spans="1:19" x14ac:dyDescent="0.4">
      <c r="L12" s="116"/>
      <c r="M12" s="116"/>
      <c r="N12" s="116"/>
      <c r="O12" s="116"/>
      <c r="P12" s="116"/>
      <c r="Q12" s="116"/>
      <c r="R12" s="116"/>
      <c r="S12" s="116"/>
    </row>
    <row r="13" spans="1:19" x14ac:dyDescent="0.4">
      <c r="A13" t="s">
        <v>449</v>
      </c>
      <c r="D13">
        <f>COUNTIFS(NW_Rischio_ID,"NON PRESIDIATO",NW_Settimana,"&gt;="&amp;inizioFinestra4,NW_Settimana,"&lt;="&amp;settimanaCorrente)</f>
        <v>0</v>
      </c>
      <c r="L13" s="116"/>
      <c r="M13" s="116"/>
      <c r="N13" s="116"/>
      <c r="O13" s="116"/>
      <c r="P13" s="116"/>
      <c r="Q13" s="116"/>
      <c r="R13" s="116"/>
      <c r="S13" s="116"/>
    </row>
    <row r="15" spans="1:19" ht="15.9" x14ac:dyDescent="0.45">
      <c r="A15" s="122" t="s">
        <v>450</v>
      </c>
      <c r="B15" s="123"/>
      <c r="C15" s="123"/>
      <c r="D15" s="123"/>
      <c r="E15" s="123"/>
    </row>
    <row r="16" spans="1:19" x14ac:dyDescent="0.4">
      <c r="A16" s="54" t="s">
        <v>451</v>
      </c>
      <c r="B16" s="54" t="s">
        <v>89</v>
      </c>
      <c r="C16" s="54" t="s">
        <v>452</v>
      </c>
      <c r="D16" s="54" t="s">
        <v>453</v>
      </c>
      <c r="E16" s="54" t="s">
        <v>454</v>
      </c>
    </row>
    <row r="17" spans="1:5" x14ac:dyDescent="0.4">
      <c r="A17" s="70">
        <f>Parametri!$B$34</f>
        <v>46125</v>
      </c>
      <c r="B17">
        <f t="shared" ref="B17:B28" si="3">COUNTIFS(NW_Settimana,A17)</f>
        <v>0</v>
      </c>
      <c r="C17">
        <f t="shared" ref="C17:C28" si="4">COUNTIFS(NW_Settimana,A17,NW_Segnale,"Peggiorativo")</f>
        <v>0</v>
      </c>
      <c r="D17">
        <f t="shared" ref="D17:D28" si="5">COUNTIFS(NW_Settimana,A17,NW_Segnale,"Migliorativo")</f>
        <v>0</v>
      </c>
      <c r="E17">
        <f t="shared" ref="E17:E28" si="6">C17-D17</f>
        <v>0</v>
      </c>
    </row>
    <row r="18" spans="1:5" x14ac:dyDescent="0.4">
      <c r="A18" s="70">
        <f>Parametri!$B$35</f>
        <v>46132</v>
      </c>
      <c r="B18">
        <f t="shared" si="3"/>
        <v>0</v>
      </c>
      <c r="C18">
        <f t="shared" si="4"/>
        <v>0</v>
      </c>
      <c r="D18">
        <f t="shared" si="5"/>
        <v>0</v>
      </c>
      <c r="E18">
        <f t="shared" si="6"/>
        <v>0</v>
      </c>
    </row>
    <row r="19" spans="1:5" x14ac:dyDescent="0.4">
      <c r="A19" s="70">
        <f>Parametri!$B$36</f>
        <v>46139</v>
      </c>
      <c r="B19">
        <f t="shared" si="3"/>
        <v>0</v>
      </c>
      <c r="C19">
        <f t="shared" si="4"/>
        <v>0</v>
      </c>
      <c r="D19">
        <f t="shared" si="5"/>
        <v>0</v>
      </c>
      <c r="E19">
        <f t="shared" si="6"/>
        <v>0</v>
      </c>
    </row>
    <row r="20" spans="1:5" x14ac:dyDescent="0.4">
      <c r="A20" s="70">
        <f>Parametri!$B$37</f>
        <v>46146</v>
      </c>
      <c r="B20">
        <f t="shared" si="3"/>
        <v>0</v>
      </c>
      <c r="C20">
        <f t="shared" si="4"/>
        <v>0</v>
      </c>
      <c r="D20">
        <f t="shared" si="5"/>
        <v>0</v>
      </c>
      <c r="E20">
        <f t="shared" si="6"/>
        <v>0</v>
      </c>
    </row>
    <row r="21" spans="1:5" x14ac:dyDescent="0.4">
      <c r="A21" s="70">
        <f>Parametri!$B$38</f>
        <v>46153</v>
      </c>
      <c r="B21">
        <f t="shared" si="3"/>
        <v>0</v>
      </c>
      <c r="C21">
        <f t="shared" si="4"/>
        <v>0</v>
      </c>
      <c r="D21">
        <f t="shared" si="5"/>
        <v>0</v>
      </c>
      <c r="E21">
        <f t="shared" si="6"/>
        <v>0</v>
      </c>
    </row>
    <row r="22" spans="1:5" x14ac:dyDescent="0.4">
      <c r="A22" s="70">
        <f>Parametri!$B$39</f>
        <v>46160</v>
      </c>
      <c r="B22">
        <f t="shared" si="3"/>
        <v>1</v>
      </c>
      <c r="C22">
        <f t="shared" si="4"/>
        <v>1</v>
      </c>
      <c r="D22">
        <f t="shared" si="5"/>
        <v>0</v>
      </c>
      <c r="E22">
        <f t="shared" si="6"/>
        <v>1</v>
      </c>
    </row>
    <row r="23" spans="1:5" x14ac:dyDescent="0.4">
      <c r="A23" s="70">
        <f>Parametri!$B$40</f>
        <v>46167</v>
      </c>
      <c r="B23">
        <f t="shared" si="3"/>
        <v>0</v>
      </c>
      <c r="C23">
        <f t="shared" si="4"/>
        <v>0</v>
      </c>
      <c r="D23">
        <f t="shared" si="5"/>
        <v>0</v>
      </c>
      <c r="E23">
        <f t="shared" si="6"/>
        <v>0</v>
      </c>
    </row>
    <row r="24" spans="1:5" x14ac:dyDescent="0.4">
      <c r="A24" s="70">
        <f>Parametri!$B$41</f>
        <v>46174</v>
      </c>
      <c r="B24">
        <f t="shared" si="3"/>
        <v>0</v>
      </c>
      <c r="C24">
        <f t="shared" si="4"/>
        <v>0</v>
      </c>
      <c r="D24">
        <f t="shared" si="5"/>
        <v>0</v>
      </c>
      <c r="E24">
        <f t="shared" si="6"/>
        <v>0</v>
      </c>
    </row>
    <row r="25" spans="1:5" x14ac:dyDescent="0.4">
      <c r="A25" s="70">
        <f>Parametri!$B$42</f>
        <v>46181</v>
      </c>
      <c r="B25">
        <f t="shared" si="3"/>
        <v>3</v>
      </c>
      <c r="C25">
        <f t="shared" si="4"/>
        <v>1</v>
      </c>
      <c r="D25">
        <f t="shared" si="5"/>
        <v>2</v>
      </c>
      <c r="E25">
        <f t="shared" si="6"/>
        <v>-1</v>
      </c>
    </row>
    <row r="26" spans="1:5" x14ac:dyDescent="0.4">
      <c r="A26" s="70">
        <f>Parametri!$B$43</f>
        <v>46188</v>
      </c>
      <c r="B26">
        <f t="shared" si="3"/>
        <v>3</v>
      </c>
      <c r="C26">
        <f t="shared" si="4"/>
        <v>1</v>
      </c>
      <c r="D26">
        <f t="shared" si="5"/>
        <v>1</v>
      </c>
      <c r="E26">
        <f t="shared" si="6"/>
        <v>0</v>
      </c>
    </row>
    <row r="27" spans="1:5" x14ac:dyDescent="0.4">
      <c r="A27" s="70">
        <f>Parametri!$B$44</f>
        <v>46195</v>
      </c>
      <c r="B27">
        <f t="shared" si="3"/>
        <v>3</v>
      </c>
      <c r="C27">
        <f t="shared" si="4"/>
        <v>2</v>
      </c>
      <c r="D27">
        <f t="shared" si="5"/>
        <v>1</v>
      </c>
      <c r="E27">
        <f t="shared" si="6"/>
        <v>1</v>
      </c>
    </row>
    <row r="28" spans="1:5" x14ac:dyDescent="0.4">
      <c r="A28" s="70">
        <f>Parametri!$B$45</f>
        <v>46202</v>
      </c>
      <c r="B28">
        <f t="shared" si="3"/>
        <v>0</v>
      </c>
      <c r="C28">
        <f t="shared" si="4"/>
        <v>0</v>
      </c>
      <c r="D28">
        <f t="shared" si="5"/>
        <v>0</v>
      </c>
      <c r="E28">
        <f t="shared" si="6"/>
        <v>0</v>
      </c>
    </row>
    <row r="30" spans="1:5" x14ac:dyDescent="0.4">
      <c r="A30" s="72" t="s">
        <v>455</v>
      </c>
    </row>
  </sheetData>
  <mergeCells count="5">
    <mergeCell ref="L5:S9"/>
    <mergeCell ref="A1:J1"/>
    <mergeCell ref="L11:S13"/>
    <mergeCell ref="A15:E15"/>
    <mergeCell ref="A2:J2"/>
  </mergeCells>
  <conditionalFormatting sqref="F5:F11">
    <cfRule type="expression" dxfId="50" priority="1">
      <formula>F5="AREA NON PRESIDIATA"</formula>
    </cfRule>
  </conditionalFormatting>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46" t="str">
        <f>"Horizon Scan NFR — Piano delle azioni   ·   "&amp;etichettaCiclo</f>
        <v>Horizon Scan NFR — Piano delle azioni   ·   Ciclo 2026Q3 · dati al 30/09/2026 · da validare · Uso interno</v>
      </c>
      <c r="B1" s="147"/>
      <c r="C1" s="147"/>
      <c r="D1" s="147"/>
      <c r="E1" s="147"/>
      <c r="F1" s="147"/>
      <c r="G1" s="147"/>
      <c r="H1" s="147"/>
      <c r="I1" s="147"/>
      <c r="J1" s="147"/>
    </row>
    <row r="2" spans="1:14" ht="45.55" customHeight="1" x14ac:dyDescent="0.4">
      <c r="A2" s="168" t="s">
        <v>456</v>
      </c>
      <c r="B2" s="116"/>
      <c r="C2" s="116"/>
      <c r="D2" s="116"/>
      <c r="E2" s="116"/>
      <c r="F2" s="116"/>
      <c r="G2" s="116"/>
      <c r="H2" s="116"/>
      <c r="I2" s="116"/>
      <c r="J2" s="116"/>
    </row>
    <row r="4" spans="1:14" x14ac:dyDescent="0.4">
      <c r="A4" s="170" t="s">
        <v>457</v>
      </c>
      <c r="B4" s="162"/>
      <c r="C4" s="162"/>
      <c r="D4" s="162"/>
      <c r="E4" s="162"/>
      <c r="F4" s="162"/>
      <c r="G4" s="169" t="s">
        <v>458</v>
      </c>
      <c r="H4" s="125"/>
      <c r="I4" s="125"/>
      <c r="J4" s="73" t="s">
        <v>9</v>
      </c>
    </row>
    <row r="5" spans="1:14" x14ac:dyDescent="0.4">
      <c r="A5" s="69" t="s">
        <v>424</v>
      </c>
      <c r="B5" s="69" t="s">
        <v>18</v>
      </c>
      <c r="C5" s="69" t="s">
        <v>459</v>
      </c>
      <c r="D5" s="69" t="s">
        <v>460</v>
      </c>
      <c r="E5" s="69" t="s">
        <v>169</v>
      </c>
      <c r="F5" s="69" t="s">
        <v>461</v>
      </c>
      <c r="G5" s="69" t="s">
        <v>417</v>
      </c>
      <c r="H5" s="69" t="s">
        <v>462</v>
      </c>
      <c r="I5" s="69" t="s">
        <v>463</v>
      </c>
      <c r="J5" s="69" t="s">
        <v>9</v>
      </c>
    </row>
    <row r="6" spans="1:14" x14ac:dyDescent="0.4">
      <c r="A6" s="74" t="str">
        <f>IF($N6="","",INDEX(Azioni!$A:$A,$N6)&amp;"")</f>
        <v>2026Q3</v>
      </c>
      <c r="B6" s="74" t="str">
        <f>IF($N6="","",INDEX(Azioni!$B:$B,$N6)&amp;"")</f>
        <v>NFR-01</v>
      </c>
      <c r="C6" s="74" t="str">
        <f>IF($N6="","",INDEX(Azioni!$C:$C,$N6)&amp;"")</f>
        <v>2026Q3-NFR-01-A1</v>
      </c>
      <c r="D6" s="75" t="str">
        <f>IF($N6="","",INDEX(Azioni!$D:$D,$N6)&amp;"")</f>
        <v>Attivare la verifica fuori banda per bonifici istantanei sopra soglia verso beneficiari nuovi.</v>
      </c>
      <c r="E6" s="74" t="str">
        <f>IF($N6="","",INDEX(Azioni!$E:$E,$N6)&amp;"")</f>
        <v>Funzione Antifrode</v>
      </c>
      <c r="F6" s="74" t="str">
        <f>IF($N6="","",INDEX(Azioni!$F:$F,$N6)&amp;"")</f>
        <v>3 mesi</v>
      </c>
      <c r="G6" s="74" t="str">
        <f>IF($N6="","",INDEX(Azioni!$I:$I,$N6)&amp;"")</f>
        <v>Proposta — da valutare</v>
      </c>
      <c r="H6" s="76" t="str">
        <f>IF($N6="","",IF(INDEX(Azioni!$J:$J,$N6)="","",INDEX(Azioni!$J:$J,$N6)))</f>
        <v/>
      </c>
      <c r="I6" s="76" t="str">
        <f>IF(OR($N6="",H6=""),"",IF(OR(G6="Approvata",G6="In corso"),EDATE(H6,N(INDEX(Azioni!$G:$G,$N6))),""))</f>
        <v/>
      </c>
      <c r="J6" s="74" t="str">
        <f>IF($N6="","",INDEX(Azioni!$L:$L,$N6)&amp;"")</f>
        <v>Da validare</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18</v>
      </c>
    </row>
    <row r="7" spans="1:14" x14ac:dyDescent="0.4">
      <c r="A7" s="74" t="str">
        <f>IF($N7="","",INDEX(Azioni!$A:$A,$N7)&amp;"")</f>
        <v>2026Q3</v>
      </c>
      <c r="B7" s="74" t="str">
        <f>IF($N7="","",INDEX(Azioni!$B:$B,$N7)&amp;"")</f>
        <v>NFR-01</v>
      </c>
      <c r="C7" s="74" t="str">
        <f>IF($N7="","",INDEX(Azioni!$C:$C,$N7)&amp;"")</f>
        <v>2026Q3-NFR-01-A2</v>
      </c>
      <c r="D7" s="75" t="str">
        <f>IF($N7="","",INDEX(Azioni!$D:$D,$N7)&amp;"")</f>
        <v>Campagna di sensibilizzazione dei clienti corporate sulle frodi con voce clonata.</v>
      </c>
      <c r="E7" s="74" t="str">
        <f>IF($N7="","",INDEX(Azioni!$E:$E,$N7)&amp;"")</f>
        <v>Direzione Marketing e Comunicazione</v>
      </c>
      <c r="F7" s="74" t="str">
        <f>IF($N7="","",INDEX(Azioni!$F:$F,$N7)&amp;"")</f>
        <v>6 mesi</v>
      </c>
      <c r="G7" s="74" t="str">
        <f>IF($N7="","",INDEX(Azioni!$I:$I,$N7)&amp;"")</f>
        <v>Proposta — da valutare</v>
      </c>
      <c r="H7" s="76" t="str">
        <f>IF($N7="","",IF(INDEX(Azioni!$J:$J,$N7)="","",INDEX(Azioni!$J:$J,$N7)))</f>
        <v/>
      </c>
      <c r="I7" s="76" t="str">
        <f>IF(OR($N7="",H7=""),"",IF(OR(G7="Approvata",G7="In corso"),EDATE(H7,N(INDEX(Azioni!$G:$G,$N7))),""))</f>
        <v/>
      </c>
      <c r="J7" s="74" t="str">
        <f>IF($N7="","",INDEX(Azioni!$L:$L,$N7)&amp;"")</f>
        <v>Da validare</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19</v>
      </c>
    </row>
    <row r="8" spans="1:14" x14ac:dyDescent="0.4">
      <c r="A8" s="74" t="str">
        <f>IF($N8="","",INDEX(Azioni!$A:$A,$N8)&amp;"")</f>
        <v>2026Q3</v>
      </c>
      <c r="B8" s="74" t="str">
        <f>IF($N8="","",INDEX(Azioni!$B:$B,$N8)&amp;"")</f>
        <v>NFR-02</v>
      </c>
      <c r="C8" s="74" t="str">
        <f>IF($N8="","",INDEX(Azioni!$C:$C,$N8)&amp;"")</f>
        <v>2026Q3-NFR-02-A1</v>
      </c>
      <c r="D8" s="75" t="str">
        <f>IF($N8="","",INDEX(Azioni!$D:$D,$N8)&amp;"")</f>
        <v>Chiudere i rilievi minori emersi dal test di exit strategy entro il prossimo trimestre.</v>
      </c>
      <c r="E8" s="74" t="str">
        <f>IF($N8="","",INDEX(Azioni!$E:$E,$N8)&amp;"")</f>
        <v>Funzione ICT &amp; Security Risk</v>
      </c>
      <c r="F8" s="74" t="str">
        <f>IF($N8="","",INDEX(Azioni!$F:$F,$N8)&amp;"")</f>
        <v>3 mesi</v>
      </c>
      <c r="G8" s="74" t="str">
        <f>IF($N8="","",INDEX(Azioni!$I:$I,$N8)&amp;"")</f>
        <v>Proposta — da valutare</v>
      </c>
      <c r="H8" s="76" t="str">
        <f>IF($N8="","",IF(INDEX(Azioni!$J:$J,$N8)="","",INDEX(Azioni!$J:$J,$N8)))</f>
        <v/>
      </c>
      <c r="I8" s="76" t="str">
        <f>IF(OR($N8="",H8=""),"",IF(OR(G8="Approvata",G8="In corso"),EDATE(H8,N(INDEX(Azioni!$G:$G,$N8))),""))</f>
        <v/>
      </c>
      <c r="J8" s="74" t="str">
        <f>IF($N8="","",INDEX(Azioni!$L:$L,$N8)&amp;"")</f>
        <v>Da validare</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20</v>
      </c>
    </row>
    <row r="9" spans="1:14" x14ac:dyDescent="0.4">
      <c r="A9" s="74" t="str">
        <f>IF($N9="","",INDEX(Azioni!$A:$A,$N9)&amp;"")</f>
        <v>2026Q3</v>
      </c>
      <c r="B9" s="74" t="str">
        <f>IF($N9="","",INDEX(Azioni!$B:$B,$N9)&amp;"")</f>
        <v>NFR-02</v>
      </c>
      <c r="C9" s="74" t="str">
        <f>IF($N9="","",INDEX(Azioni!$C:$C,$N9)&amp;"")</f>
        <v>2026Q3-NFR-02-A2</v>
      </c>
      <c r="D9" s="75" t="str">
        <f>IF($N9="","",INDEX(Azioni!$D:$D,$N9)&amp;"")</f>
        <v>Valutare lo spostamento di un servizio critico sulla nuova region nazionale del fornitore.</v>
      </c>
      <c r="E9" s="74" t="str">
        <f>IF($N9="","",INDEX(Azioni!$E:$E,$N9)&amp;"")</f>
        <v>Direzione Sistemi Informativi</v>
      </c>
      <c r="F9" s="74" t="str">
        <f>IF($N9="","",INDEX(Azioni!$F:$F,$N9)&amp;"")</f>
        <v>12 mesi</v>
      </c>
      <c r="G9" s="74" t="str">
        <f>IF($N9="","",INDEX(Azioni!$I:$I,$N9)&amp;"")</f>
        <v>Proposta — da valutare</v>
      </c>
      <c r="H9" s="76" t="str">
        <f>IF($N9="","",IF(INDEX(Azioni!$J:$J,$N9)="","",INDEX(Azioni!$J:$J,$N9)))</f>
        <v/>
      </c>
      <c r="I9" s="76" t="str">
        <f>IF(OR($N9="",H9=""),"",IF(OR(G9="Approvata",G9="In corso"),EDATE(H9,N(INDEX(Azioni!$G:$G,$N9))),""))</f>
        <v/>
      </c>
      <c r="J9" s="74" t="str">
        <f>IF($N9="","",INDEX(Azioni!$L:$L,$N9)&amp;"")</f>
        <v>Da validare</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21</v>
      </c>
    </row>
    <row r="10" spans="1:14" x14ac:dyDescent="0.4">
      <c r="A10" s="74" t="str">
        <f>IF($N10="","",INDEX(Azioni!$A:$A,$N10)&amp;"")</f>
        <v>2026Q3</v>
      </c>
      <c r="B10" s="74" t="str">
        <f>IF($N10="","",INDEX(Azioni!$B:$B,$N10)&amp;"")</f>
        <v>NFR-03</v>
      </c>
      <c r="C10" s="74" t="str">
        <f>IF($N10="","",INDEX(Azioni!$C:$C,$N10)&amp;"")</f>
        <v>2026Q3-NFR-03-A1</v>
      </c>
      <c r="D10" s="75" t="str">
        <f>IF($N10="","",INDEX(Azioni!$D:$D,$N10)&amp;"")</f>
        <v>Completare la revisione indipendente dei claim ambientali di tutti i prodotti ESG in catalogo.</v>
      </c>
      <c r="E10" s="74" t="str">
        <f>IF($N10="","",INDEX(Azioni!$E:$E,$N10)&amp;"")</f>
        <v>Funzione Compliance</v>
      </c>
      <c r="F10" s="74" t="str">
        <f>IF($N10="","",INDEX(Azioni!$F:$F,$N10)&amp;"")</f>
        <v>3 mesi</v>
      </c>
      <c r="G10" s="74" t="str">
        <f>IF($N10="","",INDEX(Azioni!$I:$I,$N10)&amp;"")</f>
        <v>Proposta — da valutare</v>
      </c>
      <c r="H10" s="76" t="str">
        <f>IF($N10="","",IF(INDEX(Azioni!$J:$J,$N10)="","",INDEX(Azioni!$J:$J,$N10)))</f>
        <v/>
      </c>
      <c r="I10" s="76" t="str">
        <f>IF(OR($N10="",H10=""),"",IF(OR(G10="Approvata",G10="In corso"),EDATE(H10,N(INDEX(Azioni!$G:$G,$N10))),""))</f>
        <v/>
      </c>
      <c r="J10" s="74" t="str">
        <f>IF($N10="","",INDEX(Azioni!$L:$L,$N10)&amp;"")</f>
        <v>Da validare</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22</v>
      </c>
    </row>
    <row r="11" spans="1:14" x14ac:dyDescent="0.4">
      <c r="A11" s="74" t="str">
        <f>IF($N11="","",INDEX(Azioni!$A:$A,$N11)&amp;"")</f>
        <v>2026Q3</v>
      </c>
      <c r="B11" s="74" t="str">
        <f>IF($N11="","",INDEX(Azioni!$B:$B,$N11)&amp;"")</f>
        <v>NFR-04</v>
      </c>
      <c r="C11" s="74" t="str">
        <f>IF($N11="","",INDEX(Azioni!$C:$C,$N11)&amp;"")</f>
        <v>2026Q3-NFR-04-A1</v>
      </c>
      <c r="D11" s="75" t="str">
        <f>IF($N11="","",INDEX(Azioni!$D:$D,$N11)&amp;"")</f>
        <v>Provare i piani di continuita' delle due sedi critiche con un'esercitazione di ripartenza in sede alternativa.</v>
      </c>
      <c r="E11" s="74" t="str">
        <f>IF($N11="","",INDEX(Azioni!$E:$E,$N11)&amp;"")</f>
        <v>Funzione Business Continuity</v>
      </c>
      <c r="F11" s="74" t="str">
        <f>IF($N11="","",INDEX(Azioni!$F:$F,$N11)&amp;"")</f>
        <v>6 mesi</v>
      </c>
      <c r="G11" s="74" t="str">
        <f>IF($N11="","",INDEX(Azioni!$I:$I,$N11)&amp;"")</f>
        <v>Proposta — da valutare</v>
      </c>
      <c r="H11" s="76" t="str">
        <f>IF($N11="","",IF(INDEX(Azioni!$J:$J,$N11)="","",INDEX(Azioni!$J:$J,$N11)))</f>
        <v/>
      </c>
      <c r="I11" s="76" t="str">
        <f>IF(OR($N11="",H11=""),"",IF(OR(G11="Approvata",G11="In corso"),EDATE(H11,N(INDEX(Azioni!$G:$G,$N11))),""))</f>
        <v/>
      </c>
      <c r="J11" s="74" t="str">
        <f>IF($N11="","",INDEX(Azioni!$L:$L,$N11)&amp;"")</f>
        <v>Da validare</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23</v>
      </c>
    </row>
    <row r="12" spans="1:14" x14ac:dyDescent="0.4">
      <c r="A12" s="74" t="str">
        <f>IF($N12="","",INDEX(Azioni!$A:$A,$N12)&amp;"")</f>
        <v>2026Q3</v>
      </c>
      <c r="B12" s="74" t="str">
        <f>IF($N12="","",INDEX(Azioni!$B:$B,$N12)&amp;"")</f>
        <v>NFR-05</v>
      </c>
      <c r="C12" s="74" t="str">
        <f>IF($N12="","",INDEX(Azioni!$C:$C,$N12)&amp;"")</f>
        <v>2026Q3-NFR-05-A1</v>
      </c>
      <c r="D12" s="75" t="str">
        <f>IF($N12="","",INDEX(Azioni!$D:$D,$N12)&amp;"")</f>
        <v>Monitoraggio giornaliero degli incidenti post-migrazione con escalation entro 4 ore.</v>
      </c>
      <c r="E12" s="74" t="str">
        <f>IF($N12="","",INDEX(Azioni!$E:$E,$N12)&amp;"")</f>
        <v>Funzione Operations</v>
      </c>
      <c r="F12" s="74" t="str">
        <f>IF($N12="","",INDEX(Azioni!$F:$F,$N12)&amp;"")</f>
        <v>3 mesi</v>
      </c>
      <c r="G12" s="74" t="str">
        <f>IF($N12="","",INDEX(Azioni!$I:$I,$N12)&amp;"")</f>
        <v>Proposta — da valutare</v>
      </c>
      <c r="H12" s="76" t="str">
        <f>IF($N12="","",IF(INDEX(Azioni!$J:$J,$N12)="","",INDEX(Azioni!$J:$J,$N12)))</f>
        <v/>
      </c>
      <c r="I12" s="76" t="str">
        <f>IF(OR($N12="",H12=""),"",IF(OR(G12="Approvata",G12="In corso"),EDATE(H12,N(INDEX(Azioni!$G:$G,$N12))),""))</f>
        <v/>
      </c>
      <c r="J12" s="74" t="str">
        <f>IF($N12="","",INDEX(Azioni!$L:$L,$N12)&amp;"")</f>
        <v>Da validare</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24</v>
      </c>
    </row>
    <row r="13" spans="1:14" x14ac:dyDescent="0.4">
      <c r="A13" s="74" t="str">
        <f>IF($N13="","",INDEX(Azioni!$A:$A,$N13)&amp;"")</f>
        <v>2026Q3</v>
      </c>
      <c r="B13" s="74" t="str">
        <f>IF($N13="","",INDEX(Azioni!$B:$B,$N13)&amp;"")</f>
        <v>NFR-06</v>
      </c>
      <c r="C13" s="74" t="str">
        <f>IF($N13="","",INDEX(Azioni!$C:$C,$N13)&amp;"")</f>
        <v>2026Q3-NFR-06-A1</v>
      </c>
      <c r="D13" s="75" t="str">
        <f>IF($N13="","",INDEX(Azioni!$D:$D,$N13)&amp;"")</f>
        <v>Completare la formazione obbligatoria sull'uso dell'AI per tutto il personale.</v>
      </c>
      <c r="E13" s="74" t="str">
        <f>IF($N13="","",INDEX(Azioni!$E:$E,$N13)&amp;"")</f>
        <v>Direzione Risorse Umane</v>
      </c>
      <c r="F13" s="74" t="str">
        <f>IF($N13="","",INDEX(Azioni!$F:$F,$N13)&amp;"")</f>
        <v>6 mesi</v>
      </c>
      <c r="G13" s="74" t="str">
        <f>IF($N13="","",INDEX(Azioni!$I:$I,$N13)&amp;"")</f>
        <v>Proposta — da valutare</v>
      </c>
      <c r="H13" s="76" t="str">
        <f>IF($N13="","",IF(INDEX(Azioni!$J:$J,$N13)="","",INDEX(Azioni!$J:$J,$N13)))</f>
        <v/>
      </c>
      <c r="I13" s="76" t="str">
        <f>IF(OR($N13="",H13=""),"",IF(OR(G13="Approvata",G13="In corso"),EDATE(H13,N(INDEX(Azioni!$G:$G,$N13))),""))</f>
        <v/>
      </c>
      <c r="J13" s="74" t="str">
        <f>IF($N13="","",INDEX(Azioni!$L:$L,$N13)&amp;"")</f>
        <v>Da validare</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25</v>
      </c>
    </row>
    <row r="14" spans="1:14" x14ac:dyDescent="0.4">
      <c r="A14" s="74" t="str">
        <f>IF($N14="","",INDEX(Azioni!$A:$A,$N14)&amp;"")</f>
        <v>2026Q3</v>
      </c>
      <c r="B14" s="74" t="str">
        <f>IF($N14="","",INDEX(Azioni!$B:$B,$N14)&amp;"")</f>
        <v>NFR-06</v>
      </c>
      <c r="C14" s="74" t="str">
        <f>IF($N14="","",INDEX(Azioni!$C:$C,$N14)&amp;"")</f>
        <v>2026Q3-NFR-06-A2</v>
      </c>
      <c r="D14" s="75" t="str">
        <f>IF($N14="","",INDEX(Azioni!$D:$D,$N14)&amp;"")</f>
        <v>Chiedere all'audit interno la verifica dell'estensione del DLP.</v>
      </c>
      <c r="E14" s="74" t="str">
        <f>IF($N14="","",INDEX(Azioni!$E:$E,$N14)&amp;"")</f>
        <v>Funzione Sicurezza delle Informazioni</v>
      </c>
      <c r="F14" s="74" t="str">
        <f>IF($N14="","",INDEX(Azioni!$F:$F,$N14)&amp;"")</f>
        <v>6 mesi</v>
      </c>
      <c r="G14" s="74" t="str">
        <f>IF($N14="","",INDEX(Azioni!$I:$I,$N14)&amp;"")</f>
        <v>Proposta — da valutare</v>
      </c>
      <c r="H14" s="76" t="str">
        <f>IF($N14="","",IF(INDEX(Azioni!$J:$J,$N14)="","",INDEX(Azioni!$J:$J,$N14)))</f>
        <v/>
      </c>
      <c r="I14" s="76" t="str">
        <f>IF(OR($N14="",H14=""),"",IF(OR(G14="Approvata",G14="In corso"),EDATE(H14,N(INDEX(Azioni!$G:$G,$N14))),""))</f>
        <v/>
      </c>
      <c r="J14" s="74" t="str">
        <f>IF($N14="","",INDEX(Azioni!$L:$L,$N14)&amp;"")</f>
        <v>Da validare</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26</v>
      </c>
    </row>
    <row r="15" spans="1:14" x14ac:dyDescent="0.4">
      <c r="A15" s="74" t="str">
        <f>IF($N15="","",INDEX(Azioni!$A:$A,$N15)&amp;"")</f>
        <v>2026Q3</v>
      </c>
      <c r="B15" s="74" t="str">
        <f>IF($N15="","",INDEX(Azioni!$B:$B,$N15)&amp;"")</f>
        <v>NFR-07</v>
      </c>
      <c r="C15" s="74" t="str">
        <f>IF($N15="","",INDEX(Azioni!$C:$C,$N15)&amp;"")</f>
        <v>2026Q3-NFR-07-A1</v>
      </c>
      <c r="D15" s="75" t="str">
        <f>IF($N15="","",INDEX(Azioni!$D:$D,$N15)&amp;"")</f>
        <v>Inserire nel contratto con il fornitore del gateway di pagamento tempi di ripristino garantiti dopo un attacco ransomware, con penali.</v>
      </c>
      <c r="E15" s="74" t="str">
        <f>IF($N15="","",INDEX(Azioni!$E:$E,$N15)&amp;"")</f>
        <v>Funzione ICT &amp; Security Risk</v>
      </c>
      <c r="F15" s="74" t="str">
        <f>IF($N15="","",INDEX(Azioni!$F:$F,$N15)&amp;"")</f>
        <v>6 mesi</v>
      </c>
      <c r="G15" s="74" t="str">
        <f>IF($N15="","",INDEX(Azioni!$I:$I,$N15)&amp;"")</f>
        <v>Proposta — da valutare</v>
      </c>
      <c r="H15" s="76" t="str">
        <f>IF($N15="","",IF(INDEX(Azioni!$J:$J,$N15)="","",INDEX(Azioni!$J:$J,$N15)))</f>
        <v/>
      </c>
      <c r="I15" s="76" t="str">
        <f>IF(OR($N15="",H15=""),"",IF(OR(G15="Approvata",G15="In corso"),EDATE(H15,N(INDEX(Azioni!$G:$G,$N15))),""))</f>
        <v/>
      </c>
      <c r="J15" s="74" t="str">
        <f>IF($N15="","",INDEX(Azioni!$L:$L,$N15)&amp;"")</f>
        <v>Da validare</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27</v>
      </c>
    </row>
    <row r="16" spans="1:14" x14ac:dyDescent="0.4">
      <c r="A16" s="74" t="str">
        <f>IF($N16="","",INDEX(Azioni!$A:$A,$N16)&amp;"")</f>
        <v>2026Q3</v>
      </c>
      <c r="B16" s="74" t="str">
        <f>IF($N16="","",INDEX(Azioni!$B:$B,$N16)&amp;"")</f>
        <v>NFR-08</v>
      </c>
      <c r="C16" s="74" t="str">
        <f>IF($N16="","",INDEX(Azioni!$C:$C,$N16)&amp;"")</f>
        <v>2026Q3-NFR-08-A1</v>
      </c>
      <c r="D16" s="75" t="str">
        <f>IF($N16="","",INDEX(Azioni!$D:$D,$N16)&amp;"")</f>
        <v>Bloccare in automatico gli accessi ripetuti ai dati clienti senza pratica associata, con avviso al responsabile.</v>
      </c>
      <c r="E16" s="74" t="str">
        <f>IF($N16="","",INDEX(Azioni!$E:$E,$N16)&amp;"")</f>
        <v>Funzione Sicurezza delle Informazioni</v>
      </c>
      <c r="F16" s="74" t="str">
        <f>IF($N16="","",INDEX(Azioni!$F:$F,$N16)&amp;"")</f>
        <v>3 mesi</v>
      </c>
      <c r="G16" s="74" t="str">
        <f>IF($N16="","",INDEX(Azioni!$I:$I,$N16)&amp;"")</f>
        <v>Proposta — da valutare</v>
      </c>
      <c r="H16" s="76" t="str">
        <f>IF($N16="","",IF(INDEX(Azioni!$J:$J,$N16)="","",INDEX(Azioni!$J:$J,$N16)))</f>
        <v/>
      </c>
      <c r="I16" s="76" t="str">
        <f>IF(OR($N16="",H16=""),"",IF(OR(G16="Approvata",G16="In corso"),EDATE(H16,N(INDEX(Azioni!$G:$G,$N16))),""))</f>
        <v/>
      </c>
      <c r="J16" s="74" t="str">
        <f>IF($N16="","",INDEX(Azioni!$L:$L,$N16)&amp;"")</f>
        <v>Da validare</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28</v>
      </c>
    </row>
    <row r="17" spans="1:14" x14ac:dyDescent="0.4">
      <c r="A17" s="74" t="str">
        <f>IF($N17="","",INDEX(Azioni!$A:$A,$N17)&amp;"")</f>
        <v>2026Q3</v>
      </c>
      <c r="B17" s="74" t="str">
        <f>IF($N17="","",INDEX(Azioni!$B:$B,$N17)&amp;"")</f>
        <v>NFR-09</v>
      </c>
      <c r="C17" s="74" t="str">
        <f>IF($N17="","",INDEX(Azioni!$C:$C,$N17)&amp;"")</f>
        <v>2026Q3-NFR-09-A1</v>
      </c>
      <c r="D17" s="75" t="str">
        <f>IF($N17="","",INDEX(Azioni!$D:$D,$N17)&amp;"")</f>
        <v>Formare gli operatori dei pagamenti esteri sugli indicatori di triangolazione segnalati dalle autorita'.</v>
      </c>
      <c r="E17" s="74" t="str">
        <f>IF($N17="","",INDEX(Azioni!$E:$E,$N17)&amp;"")</f>
        <v>Funzione Compliance</v>
      </c>
      <c r="F17" s="74" t="str">
        <f>IF($N17="","",INDEX(Azioni!$F:$F,$N17)&amp;"")</f>
        <v>12 mesi</v>
      </c>
      <c r="G17" s="74" t="str">
        <f>IF($N17="","",INDEX(Azioni!$I:$I,$N17)&amp;"")</f>
        <v>Proposta — da valutare</v>
      </c>
      <c r="H17" s="76" t="str">
        <f>IF($N17="","",IF(INDEX(Azioni!$J:$J,$N17)="","",INDEX(Azioni!$J:$J,$N17)))</f>
        <v/>
      </c>
      <c r="I17" s="76" t="str">
        <f>IF(OR($N17="",H17=""),"",IF(OR(G17="Approvata",G17="In corso"),EDATE(H17,N(INDEX(Azioni!$G:$G,$N17))),""))</f>
        <v/>
      </c>
      <c r="J17" s="74" t="str">
        <f>IF($N17="","",INDEX(Azioni!$L:$L,$N17)&amp;"")</f>
        <v>Da validare</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29</v>
      </c>
    </row>
    <row r="18" spans="1:14" x14ac:dyDescent="0.4">
      <c r="A18" s="74" t="str">
        <f>IF($N18="","",INDEX(Azioni!$A:$A,$N18)&amp;"")</f>
        <v>2026Q3</v>
      </c>
      <c r="B18" s="74" t="str">
        <f>IF($N18="","",INDEX(Azioni!$B:$B,$N18)&amp;"")</f>
        <v>NFR-10</v>
      </c>
      <c r="C18" s="74" t="str">
        <f>IF($N18="","",INDEX(Azioni!$C:$C,$N18)&amp;"")</f>
        <v>2026Q3-NFR-10-A1</v>
      </c>
      <c r="D18" s="75" t="str">
        <f>IF($N18="","",INDEX(Azioni!$D:$D,$N18)&amp;"")</f>
        <v>Definire i temi su cui il chatbot non risponde e passa la conversazione a un operatore (reclami, condizioni contrattuali, tassi).</v>
      </c>
      <c r="E18" s="74" t="str">
        <f>IF($N18="","",INDEX(Azioni!$E:$E,$N18)&amp;"")</f>
        <v>Funzione Customer Experience</v>
      </c>
      <c r="F18" s="74" t="str">
        <f>IF($N18="","",INDEX(Azioni!$F:$F,$N18)&amp;"")</f>
        <v>3 mesi</v>
      </c>
      <c r="G18" s="74" t="str">
        <f>IF($N18="","",INDEX(Azioni!$I:$I,$N18)&amp;"")</f>
        <v>Proposta — da valutare</v>
      </c>
      <c r="H18" s="76" t="str">
        <f>IF($N18="","",IF(INDEX(Azioni!$J:$J,$N18)="","",INDEX(Azioni!$J:$J,$N18)))</f>
        <v/>
      </c>
      <c r="I18" s="76" t="str">
        <f>IF(OR($N18="",H18=""),"",IF(OR(G18="Approvata",G18="In corso"),EDATE(H18,N(INDEX(Azioni!$G:$G,$N18))),""))</f>
        <v/>
      </c>
      <c r="J18" s="74" t="str">
        <f>IF($N18="","",INDEX(Azioni!$L:$L,$N18)&amp;"")</f>
        <v>Da validare</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30</v>
      </c>
    </row>
    <row r="19" spans="1:14" x14ac:dyDescent="0.4">
      <c r="A19" s="74" t="str">
        <f>IF($N19="","",INDEX(Azioni!$A:$A,$N19)&amp;"")</f>
        <v>2026Q3</v>
      </c>
      <c r="B19" s="74" t="str">
        <f>IF($N19="","",INDEX(Azioni!$B:$B,$N19)&amp;"")</f>
        <v>NFR-11</v>
      </c>
      <c r="C19" s="74" t="str">
        <f>IF($N19="","",INDEX(Azioni!$C:$C,$N19)&amp;"")</f>
        <v>2026Q3-NFR-11-A1</v>
      </c>
      <c r="D19" s="75" t="str">
        <f>IF($N19="","",INDEX(Azioni!$D:$D,$N19)&amp;"")</f>
        <v>Isolare in un segmento di rete dedicato le componenti fuori supporto del sistema di pagamento, in attesa della sostituzione.</v>
      </c>
      <c r="E19" s="74" t="str">
        <f>IF($N19="","",INDEX(Azioni!$E:$E,$N19)&amp;"")</f>
        <v>Funzione IT Operations</v>
      </c>
      <c r="F19" s="74" t="str">
        <f>IF($N19="","",INDEX(Azioni!$F:$F,$N19)&amp;"")</f>
        <v>12 mesi</v>
      </c>
      <c r="G19" s="74" t="str">
        <f>IF($N19="","",INDEX(Azioni!$I:$I,$N19)&amp;"")</f>
        <v>Proposta — da valutare</v>
      </c>
      <c r="H19" s="76" t="str">
        <f>IF($N19="","",IF(INDEX(Azioni!$J:$J,$N19)="","",INDEX(Azioni!$J:$J,$N19)))</f>
        <v/>
      </c>
      <c r="I19" s="76" t="str">
        <f>IF(OR($N19="",H19=""),"",IF(OR(G19="Approvata",G19="In corso"),EDATE(H19,N(INDEX(Azioni!$G:$G,$N19))),""))</f>
        <v/>
      </c>
      <c r="J19" s="74" t="str">
        <f>IF($N19="","",INDEX(Azioni!$L:$L,$N19)&amp;"")</f>
        <v>Da validare</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31</v>
      </c>
    </row>
    <row r="20" spans="1:14" x14ac:dyDescent="0.4">
      <c r="A20" s="74" t="str">
        <f>IF($N20="","",INDEX(Azioni!$A:$A,$N20)&amp;"")</f>
        <v>2026Q3</v>
      </c>
      <c r="B20" s="74" t="str">
        <f>IF($N20="","",INDEX(Azioni!$B:$B,$N20)&amp;"")</f>
        <v>NFR-12</v>
      </c>
      <c r="C20" s="74" t="str">
        <f>IF($N20="","",INDEX(Azioni!$C:$C,$N20)&amp;"")</f>
        <v>2026Q3-NFR-12-A1</v>
      </c>
      <c r="D20" s="75" t="str">
        <f>IF($N20="","",INDEX(Azioni!$D:$D,$N20)&amp;"")</f>
        <v>Avvisare in automatico il responsabile delle operazioni di ogni differenza di riconciliazione sui bonifici istantanei aperta a fine giornata.</v>
      </c>
      <c r="E20" s="74" t="str">
        <f>IF($N20="","",INDEX(Azioni!$E:$E,$N20)&amp;"")</f>
        <v>Funzione Operations</v>
      </c>
      <c r="F20" s="74" t="str">
        <f>IF($N20="","",INDEX(Azioni!$F:$F,$N20)&amp;"")</f>
        <v>3 mesi</v>
      </c>
      <c r="G20" s="74" t="str">
        <f>IF($N20="","",INDEX(Azioni!$I:$I,$N20)&amp;"")</f>
        <v>Proposta — da valutare</v>
      </c>
      <c r="H20" s="76" t="str">
        <f>IF($N20="","",IF(INDEX(Azioni!$J:$J,$N20)="","",INDEX(Azioni!$J:$J,$N20)))</f>
        <v/>
      </c>
      <c r="I20" s="76" t="str">
        <f>IF(OR($N20="",H20=""),"",IF(OR(G20="Approvata",G20="In corso"),EDATE(H20,N(INDEX(Azioni!$G:$G,$N20))),""))</f>
        <v/>
      </c>
      <c r="J20" s="74" t="str">
        <f>IF($N20="","",INDEX(Azioni!$L:$L,$N20)&amp;"")</f>
        <v>Da validare</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32</v>
      </c>
    </row>
    <row r="21" spans="1:14" x14ac:dyDescent="0.4">
      <c r="A21" s="74" t="str">
        <f>IF($N21="","",INDEX(Azioni!$A:$A,$N21)&amp;"")</f>
        <v>2026Q2</v>
      </c>
      <c r="B21" s="74" t="str">
        <f>IF($N21="","",INDEX(Azioni!$B:$B,$N21)&amp;"")</f>
        <v>NFR-01</v>
      </c>
      <c r="C21" s="74" t="str">
        <f>IF($N21="","",INDEX(Azioni!$C:$C,$N21)&amp;"")</f>
        <v>2026Q2-NFR-01-A1</v>
      </c>
      <c r="D21" s="75" t="str">
        <f>IF($N21="","",INDEX(Azioni!$D:$D,$N21)&amp;"")</f>
        <v>Introdurre la verifica fuori banda per bonifici istantanei sopra soglia verso beneficiari nuovi.</v>
      </c>
      <c r="E21" s="74" t="str">
        <f>IF($N21="","",INDEX(Azioni!$E:$E,$N21)&amp;"")</f>
        <v>Funzione Antifrode</v>
      </c>
      <c r="F21" s="74" t="str">
        <f>IF($N21="","",INDEX(Azioni!$F:$F,$N21)&amp;"")</f>
        <v>6 mesi</v>
      </c>
      <c r="G21" s="74" t="str">
        <f>IF($N21="","",INDEX(Azioni!$I:$I,$N21)&amp;"")</f>
        <v>Approvata</v>
      </c>
      <c r="H21" s="76">
        <f>IF($N21="","",IF(INDEX(Azioni!$J:$J,$N21)="","",INDEX(Azioni!$J:$J,$N21)))</f>
        <v>46218</v>
      </c>
      <c r="I21" s="76">
        <f>IF(OR($N21="",H21=""),"",IF(OR(G21="Approvata",G21="In corso"),EDATE(H21,N(INDEX(Azioni!$G:$G,$N21))),""))</f>
        <v>46402</v>
      </c>
      <c r="J21" s="74"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6</v>
      </c>
    </row>
    <row r="22" spans="1:14" x14ac:dyDescent="0.4">
      <c r="A22" s="74" t="str">
        <f>IF($N22="","",INDEX(Azioni!$A:$A,$N22)&amp;"")</f>
        <v>2026Q2</v>
      </c>
      <c r="B22" s="74" t="str">
        <f>IF($N22="","",INDEX(Azioni!$B:$B,$N22)&amp;"")</f>
        <v>NFR-02</v>
      </c>
      <c r="C22" s="74" t="str">
        <f>IF($N22="","",INDEX(Azioni!$C:$C,$N22)&amp;"")</f>
        <v>2026Q2-NFR-02-A1</v>
      </c>
      <c r="D22" s="75" t="str">
        <f>IF($N22="","",INDEX(Azioni!$D:$D,$N22)&amp;"")</f>
        <v>Eseguire il test completo di exit strategy sui due servizi critici non ancora coperti.</v>
      </c>
      <c r="E22" s="74" t="str">
        <f>IF($N22="","",INDEX(Azioni!$E:$E,$N22)&amp;"")</f>
        <v>Funzione ICT &amp; Security Risk</v>
      </c>
      <c r="F22" s="74" t="str">
        <f>IF($N22="","",INDEX(Azioni!$F:$F,$N22)&amp;"")</f>
        <v>12 mesi</v>
      </c>
      <c r="G22" s="74" t="str">
        <f>IF($N22="","",INDEX(Azioni!$I:$I,$N22)&amp;"")</f>
        <v>Approvata</v>
      </c>
      <c r="H22" s="76">
        <f>IF($N22="","",IF(INDEX(Azioni!$J:$J,$N22)="","",INDEX(Azioni!$J:$J,$N22)))</f>
        <v>46218</v>
      </c>
      <c r="I22" s="76">
        <f>IF(OR($N22="",H22=""),"",IF(OR(G22="Approvata",G22="In corso"),EDATE(H22,N(INDEX(Azioni!$G:$G,$N22))),""))</f>
        <v>46583</v>
      </c>
      <c r="J22" s="74"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7</v>
      </c>
    </row>
    <row r="23" spans="1:14" x14ac:dyDescent="0.4">
      <c r="A23" s="74" t="str">
        <f>IF($N23="","",INDEX(Azioni!$A:$A,$N23)&amp;"")</f>
        <v>2026Q2</v>
      </c>
      <c r="B23" s="74" t="str">
        <f>IF($N23="","",INDEX(Azioni!$B:$B,$N23)&amp;"")</f>
        <v>NFR-03</v>
      </c>
      <c r="C23" s="74" t="str">
        <f>IF($N23="","",INDEX(Azioni!$C:$C,$N23)&amp;"")</f>
        <v>2026Q2-NFR-03-A1</v>
      </c>
      <c r="D23" s="75" t="str">
        <f>IF($N23="","",INDEX(Azioni!$D:$D,$N23)&amp;"")</f>
        <v>Revisione indipendente dei claim ambientali di tutti i prodotti ESG in catalogo.</v>
      </c>
      <c r="E23" s="74" t="str">
        <f>IF($N23="","",INDEX(Azioni!$E:$E,$N23)&amp;"")</f>
        <v>Funzione Compliance</v>
      </c>
      <c r="F23" s="74" t="str">
        <f>IF($N23="","",INDEX(Azioni!$F:$F,$N23)&amp;"")</f>
        <v>6 mesi</v>
      </c>
      <c r="G23" s="74" t="str">
        <f>IF($N23="","",INDEX(Azioni!$I:$I,$N23)&amp;"")</f>
        <v>Approvata</v>
      </c>
      <c r="H23" s="76">
        <f>IF($N23="","",IF(INDEX(Azioni!$J:$J,$N23)="","",INDEX(Azioni!$J:$J,$N23)))</f>
        <v>46218</v>
      </c>
      <c r="I23" s="76">
        <f>IF(OR($N23="",H23=""),"",IF(OR(G23="Approvata",G23="In corso"),EDATE(H23,N(INDEX(Azioni!$G:$G,$N23))),""))</f>
        <v>46402</v>
      </c>
      <c r="J23" s="74"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8</v>
      </c>
    </row>
    <row r="24" spans="1:14" x14ac:dyDescent="0.4">
      <c r="A24" s="74" t="str">
        <f>IF($N24="","",INDEX(Azioni!$A:$A,$N24)&amp;"")</f>
        <v>2026Q2</v>
      </c>
      <c r="B24" s="74" t="str">
        <f>IF($N24="","",INDEX(Azioni!$B:$B,$N24)&amp;"")</f>
        <v>NFR-04</v>
      </c>
      <c r="C24" s="74" t="str">
        <f>IF($N24="","",INDEX(Azioni!$C:$C,$N24)&amp;"")</f>
        <v>2026Q2-NFR-04-A1</v>
      </c>
      <c r="D24" s="75" t="str">
        <f>IF($N24="","",INDEX(Azioni!$D:$D,$N24)&amp;"")</f>
        <v>Redigere piani di continuita' specifici per le due sedi critiche in aree a rischio.</v>
      </c>
      <c r="E24" s="74" t="str">
        <f>IF($N24="","",INDEX(Azioni!$E:$E,$N24)&amp;"")</f>
        <v>Funzione Business Continuity</v>
      </c>
      <c r="F24" s="74" t="str">
        <f>IF($N24="","",INDEX(Azioni!$F:$F,$N24)&amp;"")</f>
        <v>12 mesi</v>
      </c>
      <c r="G24" s="74" t="str">
        <f>IF($N24="","",INDEX(Azioni!$I:$I,$N24)&amp;"")</f>
        <v>Approvata</v>
      </c>
      <c r="H24" s="76">
        <f>IF($N24="","",IF(INDEX(Azioni!$J:$J,$N24)="","",INDEX(Azioni!$J:$J,$N24)))</f>
        <v>46218</v>
      </c>
      <c r="I24" s="76">
        <f>IF(OR($N24="",H24=""),"",IF(OR(G24="Approvata",G24="In corso"),EDATE(H24,N(INDEX(Azioni!$G:$G,$N24))),""))</f>
        <v>46583</v>
      </c>
      <c r="J24" s="74"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9</v>
      </c>
    </row>
    <row r="25" spans="1:14" x14ac:dyDescent="0.4">
      <c r="A25" s="74" t="str">
        <f>IF($N25="","",INDEX(Azioni!$A:$A,$N25)&amp;"")</f>
        <v>2026Q2</v>
      </c>
      <c r="B25" s="74" t="str">
        <f>IF($N25="","",INDEX(Azioni!$B:$B,$N25)&amp;"")</f>
        <v>NFR-06</v>
      </c>
      <c r="C25" s="74" t="str">
        <f>IF($N25="","",INDEX(Azioni!$C:$C,$N25)&amp;"")</f>
        <v>2026Q2-NFR-06-A1</v>
      </c>
      <c r="D25" s="75" t="str">
        <f>IF($N25="","",INDEX(Azioni!$D:$D,$N25)&amp;"")</f>
        <v>Estendere il DLP a tutti i servizi di AI generativa e bloccare quelli non autorizzati.</v>
      </c>
      <c r="E25" s="74" t="str">
        <f>IF($N25="","",INDEX(Azioni!$E:$E,$N25)&amp;"")</f>
        <v>Funzione Sicurezza delle Informazioni</v>
      </c>
      <c r="F25" s="74" t="str">
        <f>IF($N25="","",INDEX(Azioni!$F:$F,$N25)&amp;"")</f>
        <v>3 mesi</v>
      </c>
      <c r="G25" s="74" t="str">
        <f>IF($N25="","",INDEX(Azioni!$I:$I,$N25)&amp;"")</f>
        <v>Approvata</v>
      </c>
      <c r="H25" s="76">
        <f>IF($N25="","",IF(INDEX(Azioni!$J:$J,$N25)="","",INDEX(Azioni!$J:$J,$N25)))</f>
        <v>46218</v>
      </c>
      <c r="I25" s="76">
        <f>IF(OR($N25="",H25=""),"",IF(OR(G25="Approvata",G25="In corso"),EDATE(H25,N(INDEX(Azioni!$G:$G,$N25))),""))</f>
        <v>46310</v>
      </c>
      <c r="J25" s="74"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11</v>
      </c>
    </row>
    <row r="26" spans="1:14" x14ac:dyDescent="0.4">
      <c r="A26" s="74" t="str">
        <f>IF($N26="","",INDEX(Azioni!$A:$A,$N26)&amp;"")</f>
        <v>2026Q2</v>
      </c>
      <c r="B26" s="74" t="str">
        <f>IF($N26="","",INDEX(Azioni!$B:$B,$N26)&amp;"")</f>
        <v>NFR-07</v>
      </c>
      <c r="C26" s="74" t="str">
        <f>IF($N26="","",INDEX(Azioni!$C:$C,$N26)&amp;"")</f>
        <v>2026Q2-NFR-07-A1</v>
      </c>
      <c r="D26" s="75" t="str">
        <f>IF($N26="","",INDEX(Azioni!$D:$D,$N26)&amp;"")</f>
        <v>Test congiunto di ripristino da ransomware con il fornitore del gateway di pagamento.</v>
      </c>
      <c r="E26" s="74" t="str">
        <f>IF($N26="","",INDEX(Azioni!$E:$E,$N26)&amp;"")</f>
        <v>Funzione ICT &amp; Security Risk</v>
      </c>
      <c r="F26" s="74" t="str">
        <f>IF($N26="","",INDEX(Azioni!$F:$F,$N26)&amp;"")</f>
        <v>6 mesi</v>
      </c>
      <c r="G26" s="74" t="str">
        <f>IF($N26="","",INDEX(Azioni!$I:$I,$N26)&amp;"")</f>
        <v>Approvata</v>
      </c>
      <c r="H26" s="76">
        <f>IF($N26="","",IF(INDEX(Azioni!$J:$J,$N26)="","",INDEX(Azioni!$J:$J,$N26)))</f>
        <v>46218</v>
      </c>
      <c r="I26" s="76">
        <f>IF(OR($N26="",H26=""),"",IF(OR(G26="Approvata",G26="In corso"),EDATE(H26,N(INDEX(Azioni!$G:$G,$N26))),""))</f>
        <v>46402</v>
      </c>
      <c r="J26" s="74"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12</v>
      </c>
    </row>
    <row r="27" spans="1:14" x14ac:dyDescent="0.4">
      <c r="A27" s="74" t="str">
        <f>IF($N27="","",INDEX(Azioni!$A:$A,$N27)&amp;"")</f>
        <v>2026Q2</v>
      </c>
      <c r="B27" s="74" t="str">
        <f>IF($N27="","",INDEX(Azioni!$B:$B,$N27)&amp;"")</f>
        <v>NFR-08</v>
      </c>
      <c r="C27" s="74" t="str">
        <f>IF($N27="","",INDEX(Azioni!$C:$C,$N27)&amp;"")</f>
        <v>2026Q2-NFR-08-A1</v>
      </c>
      <c r="D27" s="75" t="str">
        <f>IF($N27="","",INDEX(Azioni!$D:$D,$N27)&amp;"")</f>
        <v>Revisione trimestrale automatica degli accessi ai dati clienti senza pratica associata.</v>
      </c>
      <c r="E27" s="74" t="str">
        <f>IF($N27="","",INDEX(Azioni!$E:$E,$N27)&amp;"")</f>
        <v>Funzione Sicurezza delle Informazioni</v>
      </c>
      <c r="F27" s="74" t="str">
        <f>IF($N27="","",INDEX(Azioni!$F:$F,$N27)&amp;"")</f>
        <v>3 mesi</v>
      </c>
      <c r="G27" s="74" t="str">
        <f>IF($N27="","",INDEX(Azioni!$I:$I,$N27)&amp;"")</f>
        <v>Approvata</v>
      </c>
      <c r="H27" s="76">
        <f>IF($N27="","",IF(INDEX(Azioni!$J:$J,$N27)="","",INDEX(Azioni!$J:$J,$N27)))</f>
        <v>46218</v>
      </c>
      <c r="I27" s="76">
        <f>IF(OR($N27="",H27=""),"",IF(OR(G27="Approvata",G27="In corso"),EDATE(H27,N(INDEX(Azioni!$G:$G,$N27))),""))</f>
        <v>46310</v>
      </c>
      <c r="J27" s="74"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13</v>
      </c>
    </row>
    <row r="28" spans="1:14" x14ac:dyDescent="0.4">
      <c r="A28" s="74" t="str">
        <f>IF($N28="","",INDEX(Azioni!$A:$A,$N28)&amp;"")</f>
        <v>2026Q2</v>
      </c>
      <c r="B28" s="74" t="str">
        <f>IF($N28="","",INDEX(Azioni!$B:$B,$N28)&amp;"")</f>
        <v>NFR-09</v>
      </c>
      <c r="C28" s="74" t="str">
        <f>IF($N28="","",INDEX(Azioni!$C:$C,$N28)&amp;"")</f>
        <v>2026Q2-NFR-09-A1</v>
      </c>
      <c r="D28" s="75" t="str">
        <f>IF($N28="","",INDEX(Azioni!$D:$D,$N28)&amp;"")</f>
        <v>Estendere lo screening sanzioni alle controparti indirette dei pagamenti verso paesi di transito.</v>
      </c>
      <c r="E28" s="74" t="str">
        <f>IF($N28="","",INDEX(Azioni!$E:$E,$N28)&amp;"")</f>
        <v>Funzione Compliance</v>
      </c>
      <c r="F28" s="74" t="str">
        <f>IF($N28="","",INDEX(Azioni!$F:$F,$N28)&amp;"")</f>
        <v>12 mesi</v>
      </c>
      <c r="G28" s="74" t="str">
        <f>IF($N28="","",INDEX(Azioni!$I:$I,$N28)&amp;"")</f>
        <v>Approvata</v>
      </c>
      <c r="H28" s="76">
        <f>IF($N28="","",IF(INDEX(Azioni!$J:$J,$N28)="","",INDEX(Azioni!$J:$J,$N28)))</f>
        <v>46218</v>
      </c>
      <c r="I28" s="76">
        <f>IF(OR($N28="",H28=""),"",IF(OR(G28="Approvata",G28="In corso"),EDATE(H28,N(INDEX(Azioni!$G:$G,$N28))),""))</f>
        <v>46583</v>
      </c>
      <c r="J28" s="74"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14</v>
      </c>
    </row>
    <row r="29" spans="1:14" x14ac:dyDescent="0.4">
      <c r="A29" s="74" t="str">
        <f>IF($N29="","",INDEX(Azioni!$A:$A,$N29)&amp;"")</f>
        <v>2026Q2</v>
      </c>
      <c r="B29" s="74" t="str">
        <f>IF($N29="","",INDEX(Azioni!$B:$B,$N29)&amp;"")</f>
        <v>NFR-10</v>
      </c>
      <c r="C29" s="74" t="str">
        <f>IF($N29="","",INDEX(Azioni!$C:$C,$N29)&amp;"")</f>
        <v>2026Q2-NFR-10-A1</v>
      </c>
      <c r="D29" s="75" t="str">
        <f>IF($N29="","",INDEX(Azioni!$D:$D,$N29)&amp;"")</f>
        <v>Campionamento settimanale delle risposte del chatbot con verifica umana.</v>
      </c>
      <c r="E29" s="74" t="str">
        <f>IF($N29="","",INDEX(Azioni!$E:$E,$N29)&amp;"")</f>
        <v>Funzione Customer Experience</v>
      </c>
      <c r="F29" s="74" t="str">
        <f>IF($N29="","",INDEX(Azioni!$F:$F,$N29)&amp;"")</f>
        <v>3 mesi</v>
      </c>
      <c r="G29" s="74" t="str">
        <f>IF($N29="","",INDEX(Azioni!$I:$I,$N29)&amp;"")</f>
        <v>Approvata</v>
      </c>
      <c r="H29" s="76">
        <f>IF($N29="","",IF(INDEX(Azioni!$J:$J,$N29)="","",INDEX(Azioni!$J:$J,$N29)))</f>
        <v>46218</v>
      </c>
      <c r="I29" s="76">
        <f>IF(OR($N29="",H29=""),"",IF(OR(G29="Approvata",G29="In corso"),EDATE(H29,N(INDEX(Azioni!$G:$G,$N29))),""))</f>
        <v>46310</v>
      </c>
      <c r="J29" s="74"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15</v>
      </c>
    </row>
    <row r="30" spans="1:14" x14ac:dyDescent="0.4">
      <c r="A30" s="74" t="str">
        <f>IF($N30="","",INDEX(Azioni!$A:$A,$N30)&amp;"")</f>
        <v>2026Q2</v>
      </c>
      <c r="B30" s="74" t="str">
        <f>IF($N30="","",INDEX(Azioni!$B:$B,$N30)&amp;"")</f>
        <v>NFR-11</v>
      </c>
      <c r="C30" s="74" t="str">
        <f>IF($N30="","",INDEX(Azioni!$C:$C,$N30)&amp;"")</f>
        <v>2026Q2-NFR-11-A1</v>
      </c>
      <c r="D30" s="75" t="str">
        <f>IF($N30="","",INDEX(Azioni!$D:$D,$N30)&amp;"")</f>
        <v>Piano di sostituzione delle componenti fuori supporto del sistema di pagamento.</v>
      </c>
      <c r="E30" s="74" t="str">
        <f>IF($N30="","",INDEX(Azioni!$E:$E,$N30)&amp;"")</f>
        <v>Funzione IT Operations</v>
      </c>
      <c r="F30" s="74" t="str">
        <f>IF($N30="","",INDEX(Azioni!$F:$F,$N30)&amp;"")</f>
        <v>12 mesi</v>
      </c>
      <c r="G30" s="74" t="str">
        <f>IF($N30="","",INDEX(Azioni!$I:$I,$N30)&amp;"")</f>
        <v>Approvata</v>
      </c>
      <c r="H30" s="76">
        <f>IF($N30="","",IF(INDEX(Azioni!$J:$J,$N30)="","",INDEX(Azioni!$J:$J,$N30)))</f>
        <v>46218</v>
      </c>
      <c r="I30" s="76">
        <f>IF(OR($N30="",H30=""),"",IF(OR(G30="Approvata",G30="In corso"),EDATE(H30,N(INDEX(Azioni!$G:$G,$N30))),""))</f>
        <v>46583</v>
      </c>
      <c r="J30" s="74"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16</v>
      </c>
    </row>
    <row r="31" spans="1:14" x14ac:dyDescent="0.4">
      <c r="A31" s="74" t="str">
        <f>IF($N31="","",INDEX(Azioni!$A:$A,$N31)&amp;"")</f>
        <v>2026Q2</v>
      </c>
      <c r="B31" s="74" t="str">
        <f>IF($N31="","",INDEX(Azioni!$B:$B,$N31)&amp;"")</f>
        <v>NFR-12</v>
      </c>
      <c r="C31" s="74" t="str">
        <f>IF($N31="","",INDEX(Azioni!$C:$C,$N31)&amp;"")</f>
        <v>2026Q2-NFR-12-A1</v>
      </c>
      <c r="D31" s="75" t="str">
        <f>IF($N31="","",INDEX(Azioni!$D:$D,$N31)&amp;"")</f>
        <v>Controllo giornaliero automatico delle differenze di riconciliazione sui bonifici istantanei.</v>
      </c>
      <c r="E31" s="74" t="str">
        <f>IF($N31="","",INDEX(Azioni!$E:$E,$N31)&amp;"")</f>
        <v>Funzione Operations</v>
      </c>
      <c r="F31" s="74" t="str">
        <f>IF($N31="","",INDEX(Azioni!$F:$F,$N31)&amp;"")</f>
        <v>3 mesi</v>
      </c>
      <c r="G31" s="74" t="str">
        <f>IF($N31="","",INDEX(Azioni!$I:$I,$N31)&amp;"")</f>
        <v>Approvata</v>
      </c>
      <c r="H31" s="76">
        <f>IF($N31="","",IF(INDEX(Azioni!$J:$J,$N31)="","",INDEX(Azioni!$J:$J,$N31)))</f>
        <v>46218</v>
      </c>
      <c r="I31" s="76">
        <f>IF(OR($N31="",H31=""),"",IF(OR(G31="Approvata",G31="In corso"),EDATE(H31,N(INDEX(Azioni!$G:$G,$N31))),""))</f>
        <v>46310</v>
      </c>
      <c r="J31" s="74"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17</v>
      </c>
    </row>
    <row r="32" spans="1:14" x14ac:dyDescent="0.4">
      <c r="A32" s="74" t="str">
        <f>IF($N32="","",INDEX(Azioni!$A:$A,$N32)&amp;"")</f>
        <v>2026Q2</v>
      </c>
      <c r="B32" s="74" t="str">
        <f>IF($N32="","",INDEX(Azioni!$B:$B,$N32)&amp;"")</f>
        <v>NFR-05</v>
      </c>
      <c r="C32" s="74" t="str">
        <f>IF($N32="","",INDEX(Azioni!$C:$C,$N32)&amp;"")</f>
        <v>2026Q2-NFR-05-A1</v>
      </c>
      <c r="D32" s="75" t="str">
        <f>IF($N32="","",INDEX(Azioni!$D:$D,$N32)&amp;"")</f>
        <v>Monitoraggio giornaliero degli incidenti post-migrazione con escalation entro 4 ore.</v>
      </c>
      <c r="E32" s="74" t="str">
        <f>IF($N32="","",INDEX(Azioni!$E:$E,$N32)&amp;"")</f>
        <v>Funzione Operations</v>
      </c>
      <c r="F32" s="74" t="str">
        <f>IF($N32="","",INDEX(Azioni!$F:$F,$N32)&amp;"")</f>
        <v>3 mesi</v>
      </c>
      <c r="G32" s="74" t="str">
        <f>IF($N32="","",INDEX(Azioni!$I:$I,$N32)&amp;"")</f>
        <v>Respinta</v>
      </c>
      <c r="H32" s="76">
        <f>IF($N32="","",IF(INDEX(Azioni!$J:$J,$N32)="","",INDEX(Azioni!$J:$J,$N32)))</f>
        <v>46218</v>
      </c>
      <c r="I32" s="76" t="str">
        <f>IF(OR($N32="",H32=""),"",IF(OR(G32="Approvata",G32="In corso"),EDATE(H32,N(INDEX(Azioni!$G:$G,$N32))),""))</f>
        <v/>
      </c>
      <c r="J32" s="74"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10</v>
      </c>
    </row>
    <row r="33" spans="1:14" x14ac:dyDescent="0.4">
      <c r="A33" s="74" t="str">
        <f>IF($N33="","",INDEX(Azioni!$A:$A,$N33)&amp;"")</f>
        <v/>
      </c>
      <c r="B33" s="74" t="str">
        <f>IF($N33="","",INDEX(Azioni!$B:$B,$N33)&amp;"")</f>
        <v/>
      </c>
      <c r="C33" s="74" t="str">
        <f>IF($N33="","",INDEX(Azioni!$C:$C,$N33)&amp;"")</f>
        <v/>
      </c>
      <c r="D33" s="75" t="str">
        <f>IF($N33="","",INDEX(Azioni!$D:$D,$N33)&amp;"")</f>
        <v/>
      </c>
      <c r="E33" s="74" t="str">
        <f>IF($N33="","",INDEX(Azioni!$E:$E,$N33)&amp;"")</f>
        <v/>
      </c>
      <c r="F33" s="74" t="str">
        <f>IF($N33="","",INDEX(Azioni!$F:$F,$N33)&amp;"")</f>
        <v/>
      </c>
      <c r="G33" s="74" t="str">
        <f>IF($N33="","",INDEX(Azioni!$I:$I,$N33)&amp;"")</f>
        <v/>
      </c>
      <c r="H33" s="76" t="str">
        <f>IF($N33="","",IF(INDEX(Azioni!$J:$J,$N33)="","",INDEX(Azioni!$J:$J,$N33)))</f>
        <v/>
      </c>
      <c r="I33" s="76" t="str">
        <f>IF(OR($N33="",H33=""),"",IF(OR(G33="Approvata",G33="In corso"),EDATE(H33,N(INDEX(Azioni!$G:$G,$N33))),""))</f>
        <v/>
      </c>
      <c r="J33" s="74"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74" t="str">
        <f>IF($N34="","",INDEX(Azioni!$A:$A,$N34)&amp;"")</f>
        <v/>
      </c>
      <c r="B34" s="74" t="str">
        <f>IF($N34="","",INDEX(Azioni!$B:$B,$N34)&amp;"")</f>
        <v/>
      </c>
      <c r="C34" s="74" t="str">
        <f>IF($N34="","",INDEX(Azioni!$C:$C,$N34)&amp;"")</f>
        <v/>
      </c>
      <c r="D34" s="75" t="str">
        <f>IF($N34="","",INDEX(Azioni!$D:$D,$N34)&amp;"")</f>
        <v/>
      </c>
      <c r="E34" s="74" t="str">
        <f>IF($N34="","",INDEX(Azioni!$E:$E,$N34)&amp;"")</f>
        <v/>
      </c>
      <c r="F34" s="74" t="str">
        <f>IF($N34="","",INDEX(Azioni!$F:$F,$N34)&amp;"")</f>
        <v/>
      </c>
      <c r="G34" s="74" t="str">
        <f>IF($N34="","",INDEX(Azioni!$I:$I,$N34)&amp;"")</f>
        <v/>
      </c>
      <c r="H34" s="76" t="str">
        <f>IF($N34="","",IF(INDEX(Azioni!$J:$J,$N34)="","",INDEX(Azioni!$J:$J,$N34)))</f>
        <v/>
      </c>
      <c r="I34" s="76" t="str">
        <f>IF(OR($N34="",H34=""),"",IF(OR(G34="Approvata",G34="In corso"),EDATE(H34,N(INDEX(Azioni!$G:$G,$N34))),""))</f>
        <v/>
      </c>
      <c r="J34" s="74"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74" t="str">
        <f>IF($N35="","",INDEX(Azioni!$A:$A,$N35)&amp;"")</f>
        <v/>
      </c>
      <c r="B35" s="74" t="str">
        <f>IF($N35="","",INDEX(Azioni!$B:$B,$N35)&amp;"")</f>
        <v/>
      </c>
      <c r="C35" s="74" t="str">
        <f>IF($N35="","",INDEX(Azioni!$C:$C,$N35)&amp;"")</f>
        <v/>
      </c>
      <c r="D35" s="75" t="str">
        <f>IF($N35="","",INDEX(Azioni!$D:$D,$N35)&amp;"")</f>
        <v/>
      </c>
      <c r="E35" s="74" t="str">
        <f>IF($N35="","",INDEX(Azioni!$E:$E,$N35)&amp;"")</f>
        <v/>
      </c>
      <c r="F35" s="74" t="str">
        <f>IF($N35="","",INDEX(Azioni!$F:$F,$N35)&amp;"")</f>
        <v/>
      </c>
      <c r="G35" s="74" t="str">
        <f>IF($N35="","",INDEX(Azioni!$I:$I,$N35)&amp;"")</f>
        <v/>
      </c>
      <c r="H35" s="76" t="str">
        <f>IF($N35="","",IF(INDEX(Azioni!$J:$J,$N35)="","",INDEX(Azioni!$J:$J,$N35)))</f>
        <v/>
      </c>
      <c r="I35" s="76" t="str">
        <f>IF(OR($N35="",H35=""),"",IF(OR(G35="Approvata",G35="In corso"),EDATE(H35,N(INDEX(Azioni!$G:$G,$N35))),""))</f>
        <v/>
      </c>
      <c r="J35" s="74"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74" t="str">
        <f>IF($N36="","",INDEX(Azioni!$A:$A,$N36)&amp;"")</f>
        <v/>
      </c>
      <c r="B36" s="74" t="str">
        <f>IF($N36="","",INDEX(Azioni!$B:$B,$N36)&amp;"")</f>
        <v/>
      </c>
      <c r="C36" s="74" t="str">
        <f>IF($N36="","",INDEX(Azioni!$C:$C,$N36)&amp;"")</f>
        <v/>
      </c>
      <c r="D36" s="75" t="str">
        <f>IF($N36="","",INDEX(Azioni!$D:$D,$N36)&amp;"")</f>
        <v/>
      </c>
      <c r="E36" s="74" t="str">
        <f>IF($N36="","",INDEX(Azioni!$E:$E,$N36)&amp;"")</f>
        <v/>
      </c>
      <c r="F36" s="74" t="str">
        <f>IF($N36="","",INDEX(Azioni!$F:$F,$N36)&amp;"")</f>
        <v/>
      </c>
      <c r="G36" s="74" t="str">
        <f>IF($N36="","",INDEX(Azioni!$I:$I,$N36)&amp;"")</f>
        <v/>
      </c>
      <c r="H36" s="76" t="str">
        <f>IF($N36="","",IF(INDEX(Azioni!$J:$J,$N36)="","",INDEX(Azioni!$J:$J,$N36)))</f>
        <v/>
      </c>
      <c r="I36" s="76" t="str">
        <f>IF(OR($N36="",H36=""),"",IF(OR(G36="Approvata",G36="In corso"),EDATE(H36,N(INDEX(Azioni!$G:$G,$N36))),""))</f>
        <v/>
      </c>
      <c r="J36" s="74"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74" t="str">
        <f>IF($N37="","",INDEX(Azioni!$A:$A,$N37)&amp;"")</f>
        <v/>
      </c>
      <c r="B37" s="74" t="str">
        <f>IF($N37="","",INDEX(Azioni!$B:$B,$N37)&amp;"")</f>
        <v/>
      </c>
      <c r="C37" s="74" t="str">
        <f>IF($N37="","",INDEX(Azioni!$C:$C,$N37)&amp;"")</f>
        <v/>
      </c>
      <c r="D37" s="75" t="str">
        <f>IF($N37="","",INDEX(Azioni!$D:$D,$N37)&amp;"")</f>
        <v/>
      </c>
      <c r="E37" s="74" t="str">
        <f>IF($N37="","",INDEX(Azioni!$E:$E,$N37)&amp;"")</f>
        <v/>
      </c>
      <c r="F37" s="74" t="str">
        <f>IF($N37="","",INDEX(Azioni!$F:$F,$N37)&amp;"")</f>
        <v/>
      </c>
      <c r="G37" s="74" t="str">
        <f>IF($N37="","",INDEX(Azioni!$I:$I,$N37)&amp;"")</f>
        <v/>
      </c>
      <c r="H37" s="76" t="str">
        <f>IF($N37="","",IF(INDEX(Azioni!$J:$J,$N37)="","",INDEX(Azioni!$J:$J,$N37)))</f>
        <v/>
      </c>
      <c r="I37" s="76" t="str">
        <f>IF(OR($N37="",H37=""),"",IF(OR(G37="Approvata",G37="In corso"),EDATE(H37,N(INDEX(Azioni!$G:$G,$N37))),""))</f>
        <v/>
      </c>
      <c r="J37" s="74"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74" t="str">
        <f>IF($N38="","",INDEX(Azioni!$A:$A,$N38)&amp;"")</f>
        <v/>
      </c>
      <c r="B38" s="74" t="str">
        <f>IF($N38="","",INDEX(Azioni!$B:$B,$N38)&amp;"")</f>
        <v/>
      </c>
      <c r="C38" s="74" t="str">
        <f>IF($N38="","",INDEX(Azioni!$C:$C,$N38)&amp;"")</f>
        <v/>
      </c>
      <c r="D38" s="75" t="str">
        <f>IF($N38="","",INDEX(Azioni!$D:$D,$N38)&amp;"")</f>
        <v/>
      </c>
      <c r="E38" s="74" t="str">
        <f>IF($N38="","",INDEX(Azioni!$E:$E,$N38)&amp;"")</f>
        <v/>
      </c>
      <c r="F38" s="74" t="str">
        <f>IF($N38="","",INDEX(Azioni!$F:$F,$N38)&amp;"")</f>
        <v/>
      </c>
      <c r="G38" s="74" t="str">
        <f>IF($N38="","",INDEX(Azioni!$I:$I,$N38)&amp;"")</f>
        <v/>
      </c>
      <c r="H38" s="76" t="str">
        <f>IF($N38="","",IF(INDEX(Azioni!$J:$J,$N38)="","",INDEX(Azioni!$J:$J,$N38)))</f>
        <v/>
      </c>
      <c r="I38" s="76" t="str">
        <f>IF(OR($N38="",H38=""),"",IF(OR(G38="Approvata",G38="In corso"),EDATE(H38,N(INDEX(Azioni!$G:$G,$N38))),""))</f>
        <v/>
      </c>
      <c r="J38" s="74"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74" t="str">
        <f>IF($N39="","",INDEX(Azioni!$A:$A,$N39)&amp;"")</f>
        <v/>
      </c>
      <c r="B39" s="74" t="str">
        <f>IF($N39="","",INDEX(Azioni!$B:$B,$N39)&amp;"")</f>
        <v/>
      </c>
      <c r="C39" s="74" t="str">
        <f>IF($N39="","",INDEX(Azioni!$C:$C,$N39)&amp;"")</f>
        <v/>
      </c>
      <c r="D39" s="75" t="str">
        <f>IF($N39="","",INDEX(Azioni!$D:$D,$N39)&amp;"")</f>
        <v/>
      </c>
      <c r="E39" s="74" t="str">
        <f>IF($N39="","",INDEX(Azioni!$E:$E,$N39)&amp;"")</f>
        <v/>
      </c>
      <c r="F39" s="74" t="str">
        <f>IF($N39="","",INDEX(Azioni!$F:$F,$N39)&amp;"")</f>
        <v/>
      </c>
      <c r="G39" s="74" t="str">
        <f>IF($N39="","",INDEX(Azioni!$I:$I,$N39)&amp;"")</f>
        <v/>
      </c>
      <c r="H39" s="76" t="str">
        <f>IF($N39="","",IF(INDEX(Azioni!$J:$J,$N39)="","",INDEX(Azioni!$J:$J,$N39)))</f>
        <v/>
      </c>
      <c r="I39" s="76" t="str">
        <f>IF(OR($N39="",H39=""),"",IF(OR(G39="Approvata",G39="In corso"),EDATE(H39,N(INDEX(Azioni!$G:$G,$N39))),""))</f>
        <v/>
      </c>
      <c r="J39" s="74"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74" t="str">
        <f>IF($N40="","",INDEX(Azioni!$A:$A,$N40)&amp;"")</f>
        <v/>
      </c>
      <c r="B40" s="74" t="str">
        <f>IF($N40="","",INDEX(Azioni!$B:$B,$N40)&amp;"")</f>
        <v/>
      </c>
      <c r="C40" s="74" t="str">
        <f>IF($N40="","",INDEX(Azioni!$C:$C,$N40)&amp;"")</f>
        <v/>
      </c>
      <c r="D40" s="75" t="str">
        <f>IF($N40="","",INDEX(Azioni!$D:$D,$N40)&amp;"")</f>
        <v/>
      </c>
      <c r="E40" s="74" t="str">
        <f>IF($N40="","",INDEX(Azioni!$E:$E,$N40)&amp;"")</f>
        <v/>
      </c>
      <c r="F40" s="74" t="str">
        <f>IF($N40="","",INDEX(Azioni!$F:$F,$N40)&amp;"")</f>
        <v/>
      </c>
      <c r="G40" s="74" t="str">
        <f>IF($N40="","",INDEX(Azioni!$I:$I,$N40)&amp;"")</f>
        <v/>
      </c>
      <c r="H40" s="76" t="str">
        <f>IF($N40="","",IF(INDEX(Azioni!$J:$J,$N40)="","",INDEX(Azioni!$J:$J,$N40)))</f>
        <v/>
      </c>
      <c r="I40" s="76" t="str">
        <f>IF(OR($N40="",H40=""),"",IF(OR(G40="Approvata",G40="In corso"),EDATE(H40,N(INDEX(Azioni!$G:$G,$N40))),""))</f>
        <v/>
      </c>
      <c r="J40" s="74"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74" t="str">
        <f>IF($N41="","",INDEX(Azioni!$A:$A,$N41)&amp;"")</f>
        <v/>
      </c>
      <c r="B41" s="74" t="str">
        <f>IF($N41="","",INDEX(Azioni!$B:$B,$N41)&amp;"")</f>
        <v/>
      </c>
      <c r="C41" s="74" t="str">
        <f>IF($N41="","",INDEX(Azioni!$C:$C,$N41)&amp;"")</f>
        <v/>
      </c>
      <c r="D41" s="75" t="str">
        <f>IF($N41="","",INDEX(Azioni!$D:$D,$N41)&amp;"")</f>
        <v/>
      </c>
      <c r="E41" s="74" t="str">
        <f>IF($N41="","",INDEX(Azioni!$E:$E,$N41)&amp;"")</f>
        <v/>
      </c>
      <c r="F41" s="74" t="str">
        <f>IF($N41="","",INDEX(Azioni!$F:$F,$N41)&amp;"")</f>
        <v/>
      </c>
      <c r="G41" s="74" t="str">
        <f>IF($N41="","",INDEX(Azioni!$I:$I,$N41)&amp;"")</f>
        <v/>
      </c>
      <c r="H41" s="76" t="str">
        <f>IF($N41="","",IF(INDEX(Azioni!$J:$J,$N41)="","",INDEX(Azioni!$J:$J,$N41)))</f>
        <v/>
      </c>
      <c r="I41" s="76" t="str">
        <f>IF(OR($N41="",H41=""),"",IF(OR(G41="Approvata",G41="In corso"),EDATE(H41,N(INDEX(Azioni!$G:$G,$N41))),""))</f>
        <v/>
      </c>
      <c r="J41" s="74"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74" t="str">
        <f>IF($N42="","",INDEX(Azioni!$A:$A,$N42)&amp;"")</f>
        <v/>
      </c>
      <c r="B42" s="74" t="str">
        <f>IF($N42="","",INDEX(Azioni!$B:$B,$N42)&amp;"")</f>
        <v/>
      </c>
      <c r="C42" s="74" t="str">
        <f>IF($N42="","",INDEX(Azioni!$C:$C,$N42)&amp;"")</f>
        <v/>
      </c>
      <c r="D42" s="75" t="str">
        <f>IF($N42="","",INDEX(Azioni!$D:$D,$N42)&amp;"")</f>
        <v/>
      </c>
      <c r="E42" s="74" t="str">
        <f>IF($N42="","",INDEX(Azioni!$E:$E,$N42)&amp;"")</f>
        <v/>
      </c>
      <c r="F42" s="74" t="str">
        <f>IF($N42="","",INDEX(Azioni!$F:$F,$N42)&amp;"")</f>
        <v/>
      </c>
      <c r="G42" s="74" t="str">
        <f>IF($N42="","",INDEX(Azioni!$I:$I,$N42)&amp;"")</f>
        <v/>
      </c>
      <c r="H42" s="76" t="str">
        <f>IF($N42="","",IF(INDEX(Azioni!$J:$J,$N42)="","",INDEX(Azioni!$J:$J,$N42)))</f>
        <v/>
      </c>
      <c r="I42" s="76" t="str">
        <f>IF(OR($N42="",H42=""),"",IF(OR(G42="Approvata",G42="In corso"),EDATE(H42,N(INDEX(Azioni!$G:$G,$N42))),""))</f>
        <v/>
      </c>
      <c r="J42" s="74"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74" t="str">
        <f>IF($N43="","",INDEX(Azioni!$A:$A,$N43)&amp;"")</f>
        <v/>
      </c>
      <c r="B43" s="74" t="str">
        <f>IF($N43="","",INDEX(Azioni!$B:$B,$N43)&amp;"")</f>
        <v/>
      </c>
      <c r="C43" s="74" t="str">
        <f>IF($N43="","",INDEX(Azioni!$C:$C,$N43)&amp;"")</f>
        <v/>
      </c>
      <c r="D43" s="75" t="str">
        <f>IF($N43="","",INDEX(Azioni!$D:$D,$N43)&amp;"")</f>
        <v/>
      </c>
      <c r="E43" s="74" t="str">
        <f>IF($N43="","",INDEX(Azioni!$E:$E,$N43)&amp;"")</f>
        <v/>
      </c>
      <c r="F43" s="74" t="str">
        <f>IF($N43="","",INDEX(Azioni!$F:$F,$N43)&amp;"")</f>
        <v/>
      </c>
      <c r="G43" s="74" t="str">
        <f>IF($N43="","",INDEX(Azioni!$I:$I,$N43)&amp;"")</f>
        <v/>
      </c>
      <c r="H43" s="76" t="str">
        <f>IF($N43="","",IF(INDEX(Azioni!$J:$J,$N43)="","",INDEX(Azioni!$J:$J,$N43)))</f>
        <v/>
      </c>
      <c r="I43" s="76" t="str">
        <f>IF(OR($N43="",H43=""),"",IF(OR(G43="Approvata",G43="In corso"),EDATE(H43,N(INDEX(Azioni!$G:$G,$N43))),""))</f>
        <v/>
      </c>
      <c r="J43" s="74"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74" t="str">
        <f>IF($N44="","",INDEX(Azioni!$A:$A,$N44)&amp;"")</f>
        <v/>
      </c>
      <c r="B44" s="74" t="str">
        <f>IF($N44="","",INDEX(Azioni!$B:$B,$N44)&amp;"")</f>
        <v/>
      </c>
      <c r="C44" s="74" t="str">
        <f>IF($N44="","",INDEX(Azioni!$C:$C,$N44)&amp;"")</f>
        <v/>
      </c>
      <c r="D44" s="75" t="str">
        <f>IF($N44="","",INDEX(Azioni!$D:$D,$N44)&amp;"")</f>
        <v/>
      </c>
      <c r="E44" s="74" t="str">
        <f>IF($N44="","",INDEX(Azioni!$E:$E,$N44)&amp;"")</f>
        <v/>
      </c>
      <c r="F44" s="74" t="str">
        <f>IF($N44="","",INDEX(Azioni!$F:$F,$N44)&amp;"")</f>
        <v/>
      </c>
      <c r="G44" s="74" t="str">
        <f>IF($N44="","",INDEX(Azioni!$I:$I,$N44)&amp;"")</f>
        <v/>
      </c>
      <c r="H44" s="76" t="str">
        <f>IF($N44="","",IF(INDEX(Azioni!$J:$J,$N44)="","",INDEX(Azioni!$J:$J,$N44)))</f>
        <v/>
      </c>
      <c r="I44" s="76" t="str">
        <f>IF(OR($N44="",H44=""),"",IF(OR(G44="Approvata",G44="In corso"),EDATE(H44,N(INDEX(Azioni!$G:$G,$N44))),""))</f>
        <v/>
      </c>
      <c r="J44" s="74"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74" t="str">
        <f>IF($N45="","",INDEX(Azioni!$A:$A,$N45)&amp;"")</f>
        <v/>
      </c>
      <c r="B45" s="74" t="str">
        <f>IF($N45="","",INDEX(Azioni!$B:$B,$N45)&amp;"")</f>
        <v/>
      </c>
      <c r="C45" s="74" t="str">
        <f>IF($N45="","",INDEX(Azioni!$C:$C,$N45)&amp;"")</f>
        <v/>
      </c>
      <c r="D45" s="75" t="str">
        <f>IF($N45="","",INDEX(Azioni!$D:$D,$N45)&amp;"")</f>
        <v/>
      </c>
      <c r="E45" s="74" t="str">
        <f>IF($N45="","",INDEX(Azioni!$E:$E,$N45)&amp;"")</f>
        <v/>
      </c>
      <c r="F45" s="74" t="str">
        <f>IF($N45="","",INDEX(Azioni!$F:$F,$N45)&amp;"")</f>
        <v/>
      </c>
      <c r="G45" s="74" t="str">
        <f>IF($N45="","",INDEX(Azioni!$I:$I,$N45)&amp;"")</f>
        <v/>
      </c>
      <c r="H45" s="76" t="str">
        <f>IF($N45="","",IF(INDEX(Azioni!$J:$J,$N45)="","",INDEX(Azioni!$J:$J,$N45)))</f>
        <v/>
      </c>
      <c r="I45" s="76" t="str">
        <f>IF(OR($N45="",H45=""),"",IF(OR(G45="Approvata",G45="In corso"),EDATE(H45,N(INDEX(Azioni!$G:$G,$N45))),""))</f>
        <v/>
      </c>
      <c r="J45" s="74"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74" t="str">
        <f>IF($N46="","",INDEX(Azioni!$A:$A,$N46)&amp;"")</f>
        <v/>
      </c>
      <c r="B46" s="74" t="str">
        <f>IF($N46="","",INDEX(Azioni!$B:$B,$N46)&amp;"")</f>
        <v/>
      </c>
      <c r="C46" s="74" t="str">
        <f>IF($N46="","",INDEX(Azioni!$C:$C,$N46)&amp;"")</f>
        <v/>
      </c>
      <c r="D46" s="75" t="str">
        <f>IF($N46="","",INDEX(Azioni!$D:$D,$N46)&amp;"")</f>
        <v/>
      </c>
      <c r="E46" s="74" t="str">
        <f>IF($N46="","",INDEX(Azioni!$E:$E,$N46)&amp;"")</f>
        <v/>
      </c>
      <c r="F46" s="74" t="str">
        <f>IF($N46="","",INDEX(Azioni!$F:$F,$N46)&amp;"")</f>
        <v/>
      </c>
      <c r="G46" s="74" t="str">
        <f>IF($N46="","",INDEX(Azioni!$I:$I,$N46)&amp;"")</f>
        <v/>
      </c>
      <c r="H46" s="76" t="str">
        <f>IF($N46="","",IF(INDEX(Azioni!$J:$J,$N46)="","",INDEX(Azioni!$J:$J,$N46)))</f>
        <v/>
      </c>
      <c r="I46" s="76" t="str">
        <f>IF(OR($N46="",H46=""),"",IF(OR(G46="Approvata",G46="In corso"),EDATE(H46,N(INDEX(Azioni!$G:$G,$N46))),""))</f>
        <v/>
      </c>
      <c r="J46" s="74"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74" t="str">
        <f>IF($N47="","",INDEX(Azioni!$A:$A,$N47)&amp;"")</f>
        <v/>
      </c>
      <c r="B47" s="74" t="str">
        <f>IF($N47="","",INDEX(Azioni!$B:$B,$N47)&amp;"")</f>
        <v/>
      </c>
      <c r="C47" s="74" t="str">
        <f>IF($N47="","",INDEX(Azioni!$C:$C,$N47)&amp;"")</f>
        <v/>
      </c>
      <c r="D47" s="75" t="str">
        <f>IF($N47="","",INDEX(Azioni!$D:$D,$N47)&amp;"")</f>
        <v/>
      </c>
      <c r="E47" s="74" t="str">
        <f>IF($N47="","",INDEX(Azioni!$E:$E,$N47)&amp;"")</f>
        <v/>
      </c>
      <c r="F47" s="74" t="str">
        <f>IF($N47="","",INDEX(Azioni!$F:$F,$N47)&amp;"")</f>
        <v/>
      </c>
      <c r="G47" s="74" t="str">
        <f>IF($N47="","",INDEX(Azioni!$I:$I,$N47)&amp;"")</f>
        <v/>
      </c>
      <c r="H47" s="76" t="str">
        <f>IF($N47="","",IF(INDEX(Azioni!$J:$J,$N47)="","",INDEX(Azioni!$J:$J,$N47)))</f>
        <v/>
      </c>
      <c r="I47" s="76" t="str">
        <f>IF(OR($N47="",H47=""),"",IF(OR(G47="Approvata",G47="In corso"),EDATE(H47,N(INDEX(Azioni!$G:$G,$N47))),""))</f>
        <v/>
      </c>
      <c r="J47" s="74"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74" t="str">
        <f>IF($N48="","",INDEX(Azioni!$A:$A,$N48)&amp;"")</f>
        <v/>
      </c>
      <c r="B48" s="74" t="str">
        <f>IF($N48="","",INDEX(Azioni!$B:$B,$N48)&amp;"")</f>
        <v/>
      </c>
      <c r="C48" s="74" t="str">
        <f>IF($N48="","",INDEX(Azioni!$C:$C,$N48)&amp;"")</f>
        <v/>
      </c>
      <c r="D48" s="75" t="str">
        <f>IF($N48="","",INDEX(Azioni!$D:$D,$N48)&amp;"")</f>
        <v/>
      </c>
      <c r="E48" s="74" t="str">
        <f>IF($N48="","",INDEX(Azioni!$E:$E,$N48)&amp;"")</f>
        <v/>
      </c>
      <c r="F48" s="74" t="str">
        <f>IF($N48="","",INDEX(Azioni!$F:$F,$N48)&amp;"")</f>
        <v/>
      </c>
      <c r="G48" s="74" t="str">
        <f>IF($N48="","",INDEX(Azioni!$I:$I,$N48)&amp;"")</f>
        <v/>
      </c>
      <c r="H48" s="76" t="str">
        <f>IF($N48="","",IF(INDEX(Azioni!$J:$J,$N48)="","",INDEX(Azioni!$J:$J,$N48)))</f>
        <v/>
      </c>
      <c r="I48" s="76" t="str">
        <f>IF(OR($N48="",H48=""),"",IF(OR(G48="Approvata",G48="In corso"),EDATE(H48,N(INDEX(Azioni!$G:$G,$N48))),""))</f>
        <v/>
      </c>
      <c r="J48" s="74"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74" t="str">
        <f>IF($N49="","",INDEX(Azioni!$A:$A,$N49)&amp;"")</f>
        <v/>
      </c>
      <c r="B49" s="74" t="str">
        <f>IF($N49="","",INDEX(Azioni!$B:$B,$N49)&amp;"")</f>
        <v/>
      </c>
      <c r="C49" s="74" t="str">
        <f>IF($N49="","",INDEX(Azioni!$C:$C,$N49)&amp;"")</f>
        <v/>
      </c>
      <c r="D49" s="75" t="str">
        <f>IF($N49="","",INDEX(Azioni!$D:$D,$N49)&amp;"")</f>
        <v/>
      </c>
      <c r="E49" s="74" t="str">
        <f>IF($N49="","",INDEX(Azioni!$E:$E,$N49)&amp;"")</f>
        <v/>
      </c>
      <c r="F49" s="74" t="str">
        <f>IF($N49="","",INDEX(Azioni!$F:$F,$N49)&amp;"")</f>
        <v/>
      </c>
      <c r="G49" s="74" t="str">
        <f>IF($N49="","",INDEX(Azioni!$I:$I,$N49)&amp;"")</f>
        <v/>
      </c>
      <c r="H49" s="76" t="str">
        <f>IF($N49="","",IF(INDEX(Azioni!$J:$J,$N49)="","",INDEX(Azioni!$J:$J,$N49)))</f>
        <v/>
      </c>
      <c r="I49" s="76" t="str">
        <f>IF(OR($N49="",H49=""),"",IF(OR(G49="Approvata",G49="In corso"),EDATE(H49,N(INDEX(Azioni!$G:$G,$N49))),""))</f>
        <v/>
      </c>
      <c r="J49" s="74"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74" t="str">
        <f>IF($N50="","",INDEX(Azioni!$A:$A,$N50)&amp;"")</f>
        <v/>
      </c>
      <c r="B50" s="74" t="str">
        <f>IF($N50="","",INDEX(Azioni!$B:$B,$N50)&amp;"")</f>
        <v/>
      </c>
      <c r="C50" s="74" t="str">
        <f>IF($N50="","",INDEX(Azioni!$C:$C,$N50)&amp;"")</f>
        <v/>
      </c>
      <c r="D50" s="75" t="str">
        <f>IF($N50="","",INDEX(Azioni!$D:$D,$N50)&amp;"")</f>
        <v/>
      </c>
      <c r="E50" s="74" t="str">
        <f>IF($N50="","",INDEX(Azioni!$E:$E,$N50)&amp;"")</f>
        <v/>
      </c>
      <c r="F50" s="74" t="str">
        <f>IF($N50="","",INDEX(Azioni!$F:$F,$N50)&amp;"")</f>
        <v/>
      </c>
      <c r="G50" s="74" t="str">
        <f>IF($N50="","",INDEX(Azioni!$I:$I,$N50)&amp;"")</f>
        <v/>
      </c>
      <c r="H50" s="76" t="str">
        <f>IF($N50="","",IF(INDEX(Azioni!$J:$J,$N50)="","",INDEX(Azioni!$J:$J,$N50)))</f>
        <v/>
      </c>
      <c r="I50" s="76" t="str">
        <f>IF(OR($N50="",H50=""),"",IF(OR(G50="Approvata",G50="In corso"),EDATE(H50,N(INDEX(Azioni!$G:$G,$N50))),""))</f>
        <v/>
      </c>
      <c r="J50" s="74"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74" t="str">
        <f>IF($N51="","",INDEX(Azioni!$A:$A,$N51)&amp;"")</f>
        <v/>
      </c>
      <c r="B51" s="74" t="str">
        <f>IF($N51="","",INDEX(Azioni!$B:$B,$N51)&amp;"")</f>
        <v/>
      </c>
      <c r="C51" s="74" t="str">
        <f>IF($N51="","",INDEX(Azioni!$C:$C,$N51)&amp;"")</f>
        <v/>
      </c>
      <c r="D51" s="75" t="str">
        <f>IF($N51="","",INDEX(Azioni!$D:$D,$N51)&amp;"")</f>
        <v/>
      </c>
      <c r="E51" s="74" t="str">
        <f>IF($N51="","",INDEX(Azioni!$E:$E,$N51)&amp;"")</f>
        <v/>
      </c>
      <c r="F51" s="74" t="str">
        <f>IF($N51="","",INDEX(Azioni!$F:$F,$N51)&amp;"")</f>
        <v/>
      </c>
      <c r="G51" s="74" t="str">
        <f>IF($N51="","",INDEX(Azioni!$I:$I,$N51)&amp;"")</f>
        <v/>
      </c>
      <c r="H51" s="76" t="str">
        <f>IF($N51="","",IF(INDEX(Azioni!$J:$J,$N51)="","",INDEX(Azioni!$J:$J,$N51)))</f>
        <v/>
      </c>
      <c r="I51" s="76" t="str">
        <f>IF(OR($N51="",H51=""),"",IF(OR(G51="Approvata",G51="In corso"),EDATE(H51,N(INDEX(Azioni!$G:$G,$N51))),""))</f>
        <v/>
      </c>
      <c r="J51" s="74"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74" t="str">
        <f>IF($N52="","",INDEX(Azioni!$A:$A,$N52)&amp;"")</f>
        <v/>
      </c>
      <c r="B52" s="74" t="str">
        <f>IF($N52="","",INDEX(Azioni!$B:$B,$N52)&amp;"")</f>
        <v/>
      </c>
      <c r="C52" s="74" t="str">
        <f>IF($N52="","",INDEX(Azioni!$C:$C,$N52)&amp;"")</f>
        <v/>
      </c>
      <c r="D52" s="75" t="str">
        <f>IF($N52="","",INDEX(Azioni!$D:$D,$N52)&amp;"")</f>
        <v/>
      </c>
      <c r="E52" s="74" t="str">
        <f>IF($N52="","",INDEX(Azioni!$E:$E,$N52)&amp;"")</f>
        <v/>
      </c>
      <c r="F52" s="74" t="str">
        <f>IF($N52="","",INDEX(Azioni!$F:$F,$N52)&amp;"")</f>
        <v/>
      </c>
      <c r="G52" s="74" t="str">
        <f>IF($N52="","",INDEX(Azioni!$I:$I,$N52)&amp;"")</f>
        <v/>
      </c>
      <c r="H52" s="76" t="str">
        <f>IF($N52="","",IF(INDEX(Azioni!$J:$J,$N52)="","",INDEX(Azioni!$J:$J,$N52)))</f>
        <v/>
      </c>
      <c r="I52" s="76" t="str">
        <f>IF(OR($N52="",H52=""),"",IF(OR(G52="Approvata",G52="In corso"),EDATE(H52,N(INDEX(Azioni!$G:$G,$N52))),""))</f>
        <v/>
      </c>
      <c r="J52" s="74"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74" t="str">
        <f>IF($N53="","",INDEX(Azioni!$A:$A,$N53)&amp;"")</f>
        <v/>
      </c>
      <c r="B53" s="74" t="str">
        <f>IF($N53="","",INDEX(Azioni!$B:$B,$N53)&amp;"")</f>
        <v/>
      </c>
      <c r="C53" s="74" t="str">
        <f>IF($N53="","",INDEX(Azioni!$C:$C,$N53)&amp;"")</f>
        <v/>
      </c>
      <c r="D53" s="75" t="str">
        <f>IF($N53="","",INDEX(Azioni!$D:$D,$N53)&amp;"")</f>
        <v/>
      </c>
      <c r="E53" s="74" t="str">
        <f>IF($N53="","",INDEX(Azioni!$E:$E,$N53)&amp;"")</f>
        <v/>
      </c>
      <c r="F53" s="74" t="str">
        <f>IF($N53="","",INDEX(Azioni!$F:$F,$N53)&amp;"")</f>
        <v/>
      </c>
      <c r="G53" s="74" t="str">
        <f>IF($N53="","",INDEX(Azioni!$I:$I,$N53)&amp;"")</f>
        <v/>
      </c>
      <c r="H53" s="76" t="str">
        <f>IF($N53="","",IF(INDEX(Azioni!$J:$J,$N53)="","",INDEX(Azioni!$J:$J,$N53)))</f>
        <v/>
      </c>
      <c r="I53" s="76" t="str">
        <f>IF(OR($N53="",H53=""),"",IF(OR(G53="Approvata",G53="In corso"),EDATE(H53,N(INDEX(Azioni!$G:$G,$N53))),""))</f>
        <v/>
      </c>
      <c r="J53" s="74"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74" t="str">
        <f>IF($N54="","",INDEX(Azioni!$A:$A,$N54)&amp;"")</f>
        <v/>
      </c>
      <c r="B54" s="74" t="str">
        <f>IF($N54="","",INDEX(Azioni!$B:$B,$N54)&amp;"")</f>
        <v/>
      </c>
      <c r="C54" s="74" t="str">
        <f>IF($N54="","",INDEX(Azioni!$C:$C,$N54)&amp;"")</f>
        <v/>
      </c>
      <c r="D54" s="75" t="str">
        <f>IF($N54="","",INDEX(Azioni!$D:$D,$N54)&amp;"")</f>
        <v/>
      </c>
      <c r="E54" s="74" t="str">
        <f>IF($N54="","",INDEX(Azioni!$E:$E,$N54)&amp;"")</f>
        <v/>
      </c>
      <c r="F54" s="74" t="str">
        <f>IF($N54="","",INDEX(Azioni!$F:$F,$N54)&amp;"")</f>
        <v/>
      </c>
      <c r="G54" s="74" t="str">
        <f>IF($N54="","",INDEX(Azioni!$I:$I,$N54)&amp;"")</f>
        <v/>
      </c>
      <c r="H54" s="76" t="str">
        <f>IF($N54="","",IF(INDEX(Azioni!$J:$J,$N54)="","",INDEX(Azioni!$J:$J,$N54)))</f>
        <v/>
      </c>
      <c r="I54" s="76" t="str">
        <f>IF(OR($N54="",H54=""),"",IF(OR(G54="Approvata",G54="In corso"),EDATE(H54,N(INDEX(Azioni!$G:$G,$N54))),""))</f>
        <v/>
      </c>
      <c r="J54" s="74"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74" t="str">
        <f>IF($N55="","",INDEX(Azioni!$A:$A,$N55)&amp;"")</f>
        <v/>
      </c>
      <c r="B55" s="74" t="str">
        <f>IF($N55="","",INDEX(Azioni!$B:$B,$N55)&amp;"")</f>
        <v/>
      </c>
      <c r="C55" s="74" t="str">
        <f>IF($N55="","",INDEX(Azioni!$C:$C,$N55)&amp;"")</f>
        <v/>
      </c>
      <c r="D55" s="75" t="str">
        <f>IF($N55="","",INDEX(Azioni!$D:$D,$N55)&amp;"")</f>
        <v/>
      </c>
      <c r="E55" s="74" t="str">
        <f>IF($N55="","",INDEX(Azioni!$E:$E,$N55)&amp;"")</f>
        <v/>
      </c>
      <c r="F55" s="74" t="str">
        <f>IF($N55="","",INDEX(Azioni!$F:$F,$N55)&amp;"")</f>
        <v/>
      </c>
      <c r="G55" s="74" t="str">
        <f>IF($N55="","",INDEX(Azioni!$I:$I,$N55)&amp;"")</f>
        <v/>
      </c>
      <c r="H55" s="76" t="str">
        <f>IF($N55="","",IF(INDEX(Azioni!$J:$J,$N55)="","",INDEX(Azioni!$J:$J,$N55)))</f>
        <v/>
      </c>
      <c r="I55" s="76" t="str">
        <f>IF(OR($N55="",H55=""),"",IF(OR(G55="Approvata",G55="In corso"),EDATE(H55,N(INDEX(Azioni!$G:$G,$N55))),""))</f>
        <v/>
      </c>
      <c r="J55" s="74"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74" t="str">
        <f>IF($N56="","",INDEX(Azioni!$A:$A,$N56)&amp;"")</f>
        <v/>
      </c>
      <c r="B56" s="74" t="str">
        <f>IF($N56="","",INDEX(Azioni!$B:$B,$N56)&amp;"")</f>
        <v/>
      </c>
      <c r="C56" s="74" t="str">
        <f>IF($N56="","",INDEX(Azioni!$C:$C,$N56)&amp;"")</f>
        <v/>
      </c>
      <c r="D56" s="75" t="str">
        <f>IF($N56="","",INDEX(Azioni!$D:$D,$N56)&amp;"")</f>
        <v/>
      </c>
      <c r="E56" s="74" t="str">
        <f>IF($N56="","",INDEX(Azioni!$E:$E,$N56)&amp;"")</f>
        <v/>
      </c>
      <c r="F56" s="74" t="str">
        <f>IF($N56="","",INDEX(Azioni!$F:$F,$N56)&amp;"")</f>
        <v/>
      </c>
      <c r="G56" s="74" t="str">
        <f>IF($N56="","",INDEX(Azioni!$I:$I,$N56)&amp;"")</f>
        <v/>
      </c>
      <c r="H56" s="76" t="str">
        <f>IF($N56="","",IF(INDEX(Azioni!$J:$J,$N56)="","",INDEX(Azioni!$J:$J,$N56)))</f>
        <v/>
      </c>
      <c r="I56" s="76" t="str">
        <f>IF(OR($N56="",H56=""),"",IF(OR(G56="Approvata",G56="In corso"),EDATE(H56,N(INDEX(Azioni!$G:$G,$N56))),""))</f>
        <v/>
      </c>
      <c r="J56" s="74"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74" t="str">
        <f>IF($N57="","",INDEX(Azioni!$A:$A,$N57)&amp;"")</f>
        <v/>
      </c>
      <c r="B57" s="74" t="str">
        <f>IF($N57="","",INDEX(Azioni!$B:$B,$N57)&amp;"")</f>
        <v/>
      </c>
      <c r="C57" s="74" t="str">
        <f>IF($N57="","",INDEX(Azioni!$C:$C,$N57)&amp;"")</f>
        <v/>
      </c>
      <c r="D57" s="75" t="str">
        <f>IF($N57="","",INDEX(Azioni!$D:$D,$N57)&amp;"")</f>
        <v/>
      </c>
      <c r="E57" s="74" t="str">
        <f>IF($N57="","",INDEX(Azioni!$E:$E,$N57)&amp;"")</f>
        <v/>
      </c>
      <c r="F57" s="74" t="str">
        <f>IF($N57="","",INDEX(Azioni!$F:$F,$N57)&amp;"")</f>
        <v/>
      </c>
      <c r="G57" s="74" t="str">
        <f>IF($N57="","",INDEX(Azioni!$I:$I,$N57)&amp;"")</f>
        <v/>
      </c>
      <c r="H57" s="76" t="str">
        <f>IF($N57="","",IF(INDEX(Azioni!$J:$J,$N57)="","",INDEX(Azioni!$J:$J,$N57)))</f>
        <v/>
      </c>
      <c r="I57" s="76" t="str">
        <f>IF(OR($N57="",H57=""),"",IF(OR(G57="Approvata",G57="In corso"),EDATE(H57,N(INDEX(Azioni!$G:$G,$N57))),""))</f>
        <v/>
      </c>
      <c r="J57" s="74"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74" t="str">
        <f>IF($N58="","",INDEX(Azioni!$A:$A,$N58)&amp;"")</f>
        <v/>
      </c>
      <c r="B58" s="74" t="str">
        <f>IF($N58="","",INDEX(Azioni!$B:$B,$N58)&amp;"")</f>
        <v/>
      </c>
      <c r="C58" s="74" t="str">
        <f>IF($N58="","",INDEX(Azioni!$C:$C,$N58)&amp;"")</f>
        <v/>
      </c>
      <c r="D58" s="75" t="str">
        <f>IF($N58="","",INDEX(Azioni!$D:$D,$N58)&amp;"")</f>
        <v/>
      </c>
      <c r="E58" s="74" t="str">
        <f>IF($N58="","",INDEX(Azioni!$E:$E,$N58)&amp;"")</f>
        <v/>
      </c>
      <c r="F58" s="74" t="str">
        <f>IF($N58="","",INDEX(Azioni!$F:$F,$N58)&amp;"")</f>
        <v/>
      </c>
      <c r="G58" s="74" t="str">
        <f>IF($N58="","",INDEX(Azioni!$I:$I,$N58)&amp;"")</f>
        <v/>
      </c>
      <c r="H58" s="76" t="str">
        <f>IF($N58="","",IF(INDEX(Azioni!$J:$J,$N58)="","",INDEX(Azioni!$J:$J,$N58)))</f>
        <v/>
      </c>
      <c r="I58" s="76" t="str">
        <f>IF(OR($N58="",H58=""),"",IF(OR(G58="Approvata",G58="In corso"),EDATE(H58,N(INDEX(Azioni!$G:$G,$N58))),""))</f>
        <v/>
      </c>
      <c r="J58" s="74"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74" t="str">
        <f>IF($N59="","",INDEX(Azioni!$A:$A,$N59)&amp;"")</f>
        <v/>
      </c>
      <c r="B59" s="74" t="str">
        <f>IF($N59="","",INDEX(Azioni!$B:$B,$N59)&amp;"")</f>
        <v/>
      </c>
      <c r="C59" s="74" t="str">
        <f>IF($N59="","",INDEX(Azioni!$C:$C,$N59)&amp;"")</f>
        <v/>
      </c>
      <c r="D59" s="75" t="str">
        <f>IF($N59="","",INDEX(Azioni!$D:$D,$N59)&amp;"")</f>
        <v/>
      </c>
      <c r="E59" s="74" t="str">
        <f>IF($N59="","",INDEX(Azioni!$E:$E,$N59)&amp;"")</f>
        <v/>
      </c>
      <c r="F59" s="74" t="str">
        <f>IF($N59="","",INDEX(Azioni!$F:$F,$N59)&amp;"")</f>
        <v/>
      </c>
      <c r="G59" s="74" t="str">
        <f>IF($N59="","",INDEX(Azioni!$I:$I,$N59)&amp;"")</f>
        <v/>
      </c>
      <c r="H59" s="76" t="str">
        <f>IF($N59="","",IF(INDEX(Azioni!$J:$J,$N59)="","",INDEX(Azioni!$J:$J,$N59)))</f>
        <v/>
      </c>
      <c r="I59" s="76" t="str">
        <f>IF(OR($N59="",H59=""),"",IF(OR(G59="Approvata",G59="In corso"),EDATE(H59,N(INDEX(Azioni!$G:$G,$N59))),""))</f>
        <v/>
      </c>
      <c r="J59" s="74"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74" t="str">
        <f>IF($N60="","",INDEX(Azioni!$A:$A,$N60)&amp;"")</f>
        <v/>
      </c>
      <c r="B60" s="74" t="str">
        <f>IF($N60="","",INDEX(Azioni!$B:$B,$N60)&amp;"")</f>
        <v/>
      </c>
      <c r="C60" s="74" t="str">
        <f>IF($N60="","",INDEX(Azioni!$C:$C,$N60)&amp;"")</f>
        <v/>
      </c>
      <c r="D60" s="75" t="str">
        <f>IF($N60="","",INDEX(Azioni!$D:$D,$N60)&amp;"")</f>
        <v/>
      </c>
      <c r="E60" s="74" t="str">
        <f>IF($N60="","",INDEX(Azioni!$E:$E,$N60)&amp;"")</f>
        <v/>
      </c>
      <c r="F60" s="74" t="str">
        <f>IF($N60="","",INDEX(Azioni!$F:$F,$N60)&amp;"")</f>
        <v/>
      </c>
      <c r="G60" s="74" t="str">
        <f>IF($N60="","",INDEX(Azioni!$I:$I,$N60)&amp;"")</f>
        <v/>
      </c>
      <c r="H60" s="76" t="str">
        <f>IF($N60="","",IF(INDEX(Azioni!$J:$J,$N60)="","",INDEX(Azioni!$J:$J,$N60)))</f>
        <v/>
      </c>
      <c r="I60" s="76" t="str">
        <f>IF(OR($N60="",H60=""),"",IF(OR(G60="Approvata",G60="In corso"),EDATE(H60,N(INDEX(Azioni!$G:$G,$N60))),""))</f>
        <v/>
      </c>
      <c r="J60" s="74"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74" t="str">
        <f>IF($N61="","",INDEX(Azioni!$A:$A,$N61)&amp;"")</f>
        <v/>
      </c>
      <c r="B61" s="74" t="str">
        <f>IF($N61="","",INDEX(Azioni!$B:$B,$N61)&amp;"")</f>
        <v/>
      </c>
      <c r="C61" s="74" t="str">
        <f>IF($N61="","",INDEX(Azioni!$C:$C,$N61)&amp;"")</f>
        <v/>
      </c>
      <c r="D61" s="75" t="str">
        <f>IF($N61="","",INDEX(Azioni!$D:$D,$N61)&amp;"")</f>
        <v/>
      </c>
      <c r="E61" s="74" t="str">
        <f>IF($N61="","",INDEX(Azioni!$E:$E,$N61)&amp;"")</f>
        <v/>
      </c>
      <c r="F61" s="74" t="str">
        <f>IF($N61="","",INDEX(Azioni!$F:$F,$N61)&amp;"")</f>
        <v/>
      </c>
      <c r="G61" s="74" t="str">
        <f>IF($N61="","",INDEX(Azioni!$I:$I,$N61)&amp;"")</f>
        <v/>
      </c>
      <c r="H61" s="76" t="str">
        <f>IF($N61="","",IF(INDEX(Azioni!$J:$J,$N61)="","",INDEX(Azioni!$J:$J,$N61)))</f>
        <v/>
      </c>
      <c r="I61" s="76" t="str">
        <f>IF(OR($N61="",H61=""),"",IF(OR(G61="Approvata",G61="In corso"),EDATE(H61,N(INDEX(Azioni!$G:$G,$N61))),""))</f>
        <v/>
      </c>
      <c r="J61" s="74"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74" t="str">
        <f>IF($N62="","",INDEX(Azioni!$A:$A,$N62)&amp;"")</f>
        <v/>
      </c>
      <c r="B62" s="74" t="str">
        <f>IF($N62="","",INDEX(Azioni!$B:$B,$N62)&amp;"")</f>
        <v/>
      </c>
      <c r="C62" s="74" t="str">
        <f>IF($N62="","",INDEX(Azioni!$C:$C,$N62)&amp;"")</f>
        <v/>
      </c>
      <c r="D62" s="75" t="str">
        <f>IF($N62="","",INDEX(Azioni!$D:$D,$N62)&amp;"")</f>
        <v/>
      </c>
      <c r="E62" s="74" t="str">
        <f>IF($N62="","",INDEX(Azioni!$E:$E,$N62)&amp;"")</f>
        <v/>
      </c>
      <c r="F62" s="74" t="str">
        <f>IF($N62="","",INDEX(Azioni!$F:$F,$N62)&amp;"")</f>
        <v/>
      </c>
      <c r="G62" s="74" t="str">
        <f>IF($N62="","",INDEX(Azioni!$I:$I,$N62)&amp;"")</f>
        <v/>
      </c>
      <c r="H62" s="76" t="str">
        <f>IF($N62="","",IF(INDEX(Azioni!$J:$J,$N62)="","",INDEX(Azioni!$J:$J,$N62)))</f>
        <v/>
      </c>
      <c r="I62" s="76" t="str">
        <f>IF(OR($N62="",H62=""),"",IF(OR(G62="Approvata",G62="In corso"),EDATE(H62,N(INDEX(Azioni!$G:$G,$N62))),""))</f>
        <v/>
      </c>
      <c r="J62" s="74"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74" t="str">
        <f>IF($N63="","",INDEX(Azioni!$A:$A,$N63)&amp;"")</f>
        <v/>
      </c>
      <c r="B63" s="74" t="str">
        <f>IF($N63="","",INDEX(Azioni!$B:$B,$N63)&amp;"")</f>
        <v/>
      </c>
      <c r="C63" s="74" t="str">
        <f>IF($N63="","",INDEX(Azioni!$C:$C,$N63)&amp;"")</f>
        <v/>
      </c>
      <c r="D63" s="75" t="str">
        <f>IF($N63="","",INDEX(Azioni!$D:$D,$N63)&amp;"")</f>
        <v/>
      </c>
      <c r="E63" s="74" t="str">
        <f>IF($N63="","",INDEX(Azioni!$E:$E,$N63)&amp;"")</f>
        <v/>
      </c>
      <c r="F63" s="74" t="str">
        <f>IF($N63="","",INDEX(Azioni!$F:$F,$N63)&amp;"")</f>
        <v/>
      </c>
      <c r="G63" s="74" t="str">
        <f>IF($N63="","",INDEX(Azioni!$I:$I,$N63)&amp;"")</f>
        <v/>
      </c>
      <c r="H63" s="76" t="str">
        <f>IF($N63="","",IF(INDEX(Azioni!$J:$J,$N63)="","",INDEX(Azioni!$J:$J,$N63)))</f>
        <v/>
      </c>
      <c r="I63" s="76" t="str">
        <f>IF(OR($N63="",H63=""),"",IF(OR(G63="Approvata",G63="In corso"),EDATE(H63,N(INDEX(Azioni!$G:$G,$N63))),""))</f>
        <v/>
      </c>
      <c r="J63" s="74"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74" t="str">
        <f>IF($N64="","",INDEX(Azioni!$A:$A,$N64)&amp;"")</f>
        <v/>
      </c>
      <c r="B64" s="74" t="str">
        <f>IF($N64="","",INDEX(Azioni!$B:$B,$N64)&amp;"")</f>
        <v/>
      </c>
      <c r="C64" s="74" t="str">
        <f>IF($N64="","",INDEX(Azioni!$C:$C,$N64)&amp;"")</f>
        <v/>
      </c>
      <c r="D64" s="75" t="str">
        <f>IF($N64="","",INDEX(Azioni!$D:$D,$N64)&amp;"")</f>
        <v/>
      </c>
      <c r="E64" s="74" t="str">
        <f>IF($N64="","",INDEX(Azioni!$E:$E,$N64)&amp;"")</f>
        <v/>
      </c>
      <c r="F64" s="74" t="str">
        <f>IF($N64="","",INDEX(Azioni!$F:$F,$N64)&amp;"")</f>
        <v/>
      </c>
      <c r="G64" s="74" t="str">
        <f>IF($N64="","",INDEX(Azioni!$I:$I,$N64)&amp;"")</f>
        <v/>
      </c>
      <c r="H64" s="76" t="str">
        <f>IF($N64="","",IF(INDEX(Azioni!$J:$J,$N64)="","",INDEX(Azioni!$J:$J,$N64)))</f>
        <v/>
      </c>
      <c r="I64" s="76" t="str">
        <f>IF(OR($N64="",H64=""),"",IF(OR(G64="Approvata",G64="In corso"),EDATE(H64,N(INDEX(Azioni!$G:$G,$N64))),""))</f>
        <v/>
      </c>
      <c r="J64" s="74"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74" t="str">
        <f>IF($N65="","",INDEX(Azioni!$A:$A,$N65)&amp;"")</f>
        <v/>
      </c>
      <c r="B65" s="74" t="str">
        <f>IF($N65="","",INDEX(Azioni!$B:$B,$N65)&amp;"")</f>
        <v/>
      </c>
      <c r="C65" s="74" t="str">
        <f>IF($N65="","",INDEX(Azioni!$C:$C,$N65)&amp;"")</f>
        <v/>
      </c>
      <c r="D65" s="75" t="str">
        <f>IF($N65="","",INDEX(Azioni!$D:$D,$N65)&amp;"")</f>
        <v/>
      </c>
      <c r="E65" s="74" t="str">
        <f>IF($N65="","",INDEX(Azioni!$E:$E,$N65)&amp;"")</f>
        <v/>
      </c>
      <c r="F65" s="74" t="str">
        <f>IF($N65="","",INDEX(Azioni!$F:$F,$N65)&amp;"")</f>
        <v/>
      </c>
      <c r="G65" s="74" t="str">
        <f>IF($N65="","",INDEX(Azioni!$I:$I,$N65)&amp;"")</f>
        <v/>
      </c>
      <c r="H65" s="76" t="str">
        <f>IF($N65="","",IF(INDEX(Azioni!$J:$J,$N65)="","",INDEX(Azioni!$J:$J,$N65)))</f>
        <v/>
      </c>
      <c r="I65" s="76" t="str">
        <f>IF(OR($N65="",H65=""),"",IF(OR(G65="Approvata",G65="In corso"),EDATE(H65,N(INDEX(Azioni!$G:$G,$N65))),""))</f>
        <v/>
      </c>
      <c r="J65" s="74"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74" t="str">
        <f>IF($N66="","",INDEX(Azioni!$A:$A,$N66)&amp;"")</f>
        <v/>
      </c>
      <c r="B66" s="74" t="str">
        <f>IF($N66="","",INDEX(Azioni!$B:$B,$N66)&amp;"")</f>
        <v/>
      </c>
      <c r="C66" s="74" t="str">
        <f>IF($N66="","",INDEX(Azioni!$C:$C,$N66)&amp;"")</f>
        <v/>
      </c>
      <c r="D66" s="75" t="str">
        <f>IF($N66="","",INDEX(Azioni!$D:$D,$N66)&amp;"")</f>
        <v/>
      </c>
      <c r="E66" s="74" t="str">
        <f>IF($N66="","",INDEX(Azioni!$E:$E,$N66)&amp;"")</f>
        <v/>
      </c>
      <c r="F66" s="74" t="str">
        <f>IF($N66="","",INDEX(Azioni!$F:$F,$N66)&amp;"")</f>
        <v/>
      </c>
      <c r="G66" s="74" t="str">
        <f>IF($N66="","",INDEX(Azioni!$I:$I,$N66)&amp;"")</f>
        <v/>
      </c>
      <c r="H66" s="76" t="str">
        <f>IF($N66="","",IF(INDEX(Azioni!$J:$J,$N66)="","",INDEX(Azioni!$J:$J,$N66)))</f>
        <v/>
      </c>
      <c r="I66" s="76" t="str">
        <f>IF(OR($N66="",H66=""),"",IF(OR(G66="Approvata",G66="In corso"),EDATE(H66,N(INDEX(Azioni!$G:$G,$N66))),""))</f>
        <v/>
      </c>
      <c r="J66" s="74"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74" t="str">
        <f>IF($N67="","",INDEX(Azioni!$A:$A,$N67)&amp;"")</f>
        <v/>
      </c>
      <c r="B67" s="74" t="str">
        <f>IF($N67="","",INDEX(Azioni!$B:$B,$N67)&amp;"")</f>
        <v/>
      </c>
      <c r="C67" s="74" t="str">
        <f>IF($N67="","",INDEX(Azioni!$C:$C,$N67)&amp;"")</f>
        <v/>
      </c>
      <c r="D67" s="75" t="str">
        <f>IF($N67="","",INDEX(Azioni!$D:$D,$N67)&amp;"")</f>
        <v/>
      </c>
      <c r="E67" s="74" t="str">
        <f>IF($N67="","",INDEX(Azioni!$E:$E,$N67)&amp;"")</f>
        <v/>
      </c>
      <c r="F67" s="74" t="str">
        <f>IF($N67="","",INDEX(Azioni!$F:$F,$N67)&amp;"")</f>
        <v/>
      </c>
      <c r="G67" s="74" t="str">
        <f>IF($N67="","",INDEX(Azioni!$I:$I,$N67)&amp;"")</f>
        <v/>
      </c>
      <c r="H67" s="76" t="str">
        <f>IF($N67="","",IF(INDEX(Azioni!$J:$J,$N67)="","",INDEX(Azioni!$J:$J,$N67)))</f>
        <v/>
      </c>
      <c r="I67" s="76" t="str">
        <f>IF(OR($N67="",H67=""),"",IF(OR(G67="Approvata",G67="In corso"),EDATE(H67,N(INDEX(Azioni!$G:$G,$N67))),""))</f>
        <v/>
      </c>
      <c r="J67" s="74"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74" t="str">
        <f>IF($N68="","",INDEX(Azioni!$A:$A,$N68)&amp;"")</f>
        <v/>
      </c>
      <c r="B68" s="74" t="str">
        <f>IF($N68="","",INDEX(Azioni!$B:$B,$N68)&amp;"")</f>
        <v/>
      </c>
      <c r="C68" s="74" t="str">
        <f>IF($N68="","",INDEX(Azioni!$C:$C,$N68)&amp;"")</f>
        <v/>
      </c>
      <c r="D68" s="75" t="str">
        <f>IF($N68="","",INDEX(Azioni!$D:$D,$N68)&amp;"")</f>
        <v/>
      </c>
      <c r="E68" s="74" t="str">
        <f>IF($N68="","",INDEX(Azioni!$E:$E,$N68)&amp;"")</f>
        <v/>
      </c>
      <c r="F68" s="74" t="str">
        <f>IF($N68="","",INDEX(Azioni!$F:$F,$N68)&amp;"")</f>
        <v/>
      </c>
      <c r="G68" s="74" t="str">
        <f>IF($N68="","",INDEX(Azioni!$I:$I,$N68)&amp;"")</f>
        <v/>
      </c>
      <c r="H68" s="76" t="str">
        <f>IF($N68="","",IF(INDEX(Azioni!$J:$J,$N68)="","",INDEX(Azioni!$J:$J,$N68)))</f>
        <v/>
      </c>
      <c r="I68" s="76" t="str">
        <f>IF(OR($N68="",H68=""),"",IF(OR(G68="Approvata",G68="In corso"),EDATE(H68,N(INDEX(Azioni!$G:$G,$N68))),""))</f>
        <v/>
      </c>
      <c r="J68" s="74"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74" t="str">
        <f>IF($N69="","",INDEX(Azioni!$A:$A,$N69)&amp;"")</f>
        <v/>
      </c>
      <c r="B69" s="74" t="str">
        <f>IF($N69="","",INDEX(Azioni!$B:$B,$N69)&amp;"")</f>
        <v/>
      </c>
      <c r="C69" s="74" t="str">
        <f>IF($N69="","",INDEX(Azioni!$C:$C,$N69)&amp;"")</f>
        <v/>
      </c>
      <c r="D69" s="75" t="str">
        <f>IF($N69="","",INDEX(Azioni!$D:$D,$N69)&amp;"")</f>
        <v/>
      </c>
      <c r="E69" s="74" t="str">
        <f>IF($N69="","",INDEX(Azioni!$E:$E,$N69)&amp;"")</f>
        <v/>
      </c>
      <c r="F69" s="74" t="str">
        <f>IF($N69="","",INDEX(Azioni!$F:$F,$N69)&amp;"")</f>
        <v/>
      </c>
      <c r="G69" s="74" t="str">
        <f>IF($N69="","",INDEX(Azioni!$I:$I,$N69)&amp;"")</f>
        <v/>
      </c>
      <c r="H69" s="76" t="str">
        <f>IF($N69="","",IF(INDEX(Azioni!$J:$J,$N69)="","",INDEX(Azioni!$J:$J,$N69)))</f>
        <v/>
      </c>
      <c r="I69" s="76" t="str">
        <f>IF(OR($N69="",H69=""),"",IF(OR(G69="Approvata",G69="In corso"),EDATE(H69,N(INDEX(Azioni!$G:$G,$N69))),""))</f>
        <v/>
      </c>
      <c r="J69" s="74"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74" t="str">
        <f>IF($N70="","",INDEX(Azioni!$A:$A,$N70)&amp;"")</f>
        <v/>
      </c>
      <c r="B70" s="74" t="str">
        <f>IF($N70="","",INDEX(Azioni!$B:$B,$N70)&amp;"")</f>
        <v/>
      </c>
      <c r="C70" s="74" t="str">
        <f>IF($N70="","",INDEX(Azioni!$C:$C,$N70)&amp;"")</f>
        <v/>
      </c>
      <c r="D70" s="75" t="str">
        <f>IF($N70="","",INDEX(Azioni!$D:$D,$N70)&amp;"")</f>
        <v/>
      </c>
      <c r="E70" s="74" t="str">
        <f>IF($N70="","",INDEX(Azioni!$E:$E,$N70)&amp;"")</f>
        <v/>
      </c>
      <c r="F70" s="74" t="str">
        <f>IF($N70="","",INDEX(Azioni!$F:$F,$N70)&amp;"")</f>
        <v/>
      </c>
      <c r="G70" s="74" t="str">
        <f>IF($N70="","",INDEX(Azioni!$I:$I,$N70)&amp;"")</f>
        <v/>
      </c>
      <c r="H70" s="76" t="str">
        <f>IF($N70="","",IF(INDEX(Azioni!$J:$J,$N70)="","",INDEX(Azioni!$J:$J,$N70)))</f>
        <v/>
      </c>
      <c r="I70" s="76" t="str">
        <f>IF(OR($N70="",H70=""),"",IF(OR(G70="Approvata",G70="In corso"),EDATE(H70,N(INDEX(Azioni!$G:$G,$N70))),""))</f>
        <v/>
      </c>
      <c r="J70" s="74"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74" t="str">
        <f>IF($N71="","",INDEX(Azioni!$A:$A,$N71)&amp;"")</f>
        <v/>
      </c>
      <c r="B71" s="74" t="str">
        <f>IF($N71="","",INDEX(Azioni!$B:$B,$N71)&amp;"")</f>
        <v/>
      </c>
      <c r="C71" s="74" t="str">
        <f>IF($N71="","",INDEX(Azioni!$C:$C,$N71)&amp;"")</f>
        <v/>
      </c>
      <c r="D71" s="75" t="str">
        <f>IF($N71="","",INDEX(Azioni!$D:$D,$N71)&amp;"")</f>
        <v/>
      </c>
      <c r="E71" s="74" t="str">
        <f>IF($N71="","",INDEX(Azioni!$E:$E,$N71)&amp;"")</f>
        <v/>
      </c>
      <c r="F71" s="74" t="str">
        <f>IF($N71="","",INDEX(Azioni!$F:$F,$N71)&amp;"")</f>
        <v/>
      </c>
      <c r="G71" s="74" t="str">
        <f>IF($N71="","",INDEX(Azioni!$I:$I,$N71)&amp;"")</f>
        <v/>
      </c>
      <c r="H71" s="76" t="str">
        <f>IF($N71="","",IF(INDEX(Azioni!$J:$J,$N71)="","",INDEX(Azioni!$J:$J,$N71)))</f>
        <v/>
      </c>
      <c r="I71" s="76" t="str">
        <f>IF(OR($N71="",H71=""),"",IF(OR(G71="Approvata",G71="In corso"),EDATE(H71,N(INDEX(Azioni!$G:$G,$N71))),""))</f>
        <v/>
      </c>
      <c r="J71" s="74"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74" t="str">
        <f>IF($N72="","",INDEX(Azioni!$A:$A,$N72)&amp;"")</f>
        <v/>
      </c>
      <c r="B72" s="74" t="str">
        <f>IF($N72="","",INDEX(Azioni!$B:$B,$N72)&amp;"")</f>
        <v/>
      </c>
      <c r="C72" s="74" t="str">
        <f>IF($N72="","",INDEX(Azioni!$C:$C,$N72)&amp;"")</f>
        <v/>
      </c>
      <c r="D72" s="75" t="str">
        <f>IF($N72="","",INDEX(Azioni!$D:$D,$N72)&amp;"")</f>
        <v/>
      </c>
      <c r="E72" s="74" t="str">
        <f>IF($N72="","",INDEX(Azioni!$E:$E,$N72)&amp;"")</f>
        <v/>
      </c>
      <c r="F72" s="74" t="str">
        <f>IF($N72="","",INDEX(Azioni!$F:$F,$N72)&amp;"")</f>
        <v/>
      </c>
      <c r="G72" s="74" t="str">
        <f>IF($N72="","",INDEX(Azioni!$I:$I,$N72)&amp;"")</f>
        <v/>
      </c>
      <c r="H72" s="76" t="str">
        <f>IF($N72="","",IF(INDEX(Azioni!$J:$J,$N72)="","",INDEX(Azioni!$J:$J,$N72)))</f>
        <v/>
      </c>
      <c r="I72" s="76" t="str">
        <f>IF(OR($N72="",H72=""),"",IF(OR(G72="Approvata",G72="In corso"),EDATE(H72,N(INDEX(Azioni!$G:$G,$N72))),""))</f>
        <v/>
      </c>
      <c r="J72" s="74"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74" t="str">
        <f>IF($N73="","",INDEX(Azioni!$A:$A,$N73)&amp;"")</f>
        <v/>
      </c>
      <c r="B73" s="74" t="str">
        <f>IF($N73="","",INDEX(Azioni!$B:$B,$N73)&amp;"")</f>
        <v/>
      </c>
      <c r="C73" s="74" t="str">
        <f>IF($N73="","",INDEX(Azioni!$C:$C,$N73)&amp;"")</f>
        <v/>
      </c>
      <c r="D73" s="75" t="str">
        <f>IF($N73="","",INDEX(Azioni!$D:$D,$N73)&amp;"")</f>
        <v/>
      </c>
      <c r="E73" s="74" t="str">
        <f>IF($N73="","",INDEX(Azioni!$E:$E,$N73)&amp;"")</f>
        <v/>
      </c>
      <c r="F73" s="74" t="str">
        <f>IF($N73="","",INDEX(Azioni!$F:$F,$N73)&amp;"")</f>
        <v/>
      </c>
      <c r="G73" s="74" t="str">
        <f>IF($N73="","",INDEX(Azioni!$I:$I,$N73)&amp;"")</f>
        <v/>
      </c>
      <c r="H73" s="76" t="str">
        <f>IF($N73="","",IF(INDEX(Azioni!$J:$J,$N73)="","",INDEX(Azioni!$J:$J,$N73)))</f>
        <v/>
      </c>
      <c r="I73" s="76" t="str">
        <f>IF(OR($N73="",H73=""),"",IF(OR(G73="Approvata",G73="In corso"),EDATE(H73,N(INDEX(Azioni!$G:$G,$N73))),""))</f>
        <v/>
      </c>
      <c r="J73" s="74"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74" t="str">
        <f>IF($N74="","",INDEX(Azioni!$A:$A,$N74)&amp;"")</f>
        <v/>
      </c>
      <c r="B74" s="74" t="str">
        <f>IF($N74="","",INDEX(Azioni!$B:$B,$N74)&amp;"")</f>
        <v/>
      </c>
      <c r="C74" s="74" t="str">
        <f>IF($N74="","",INDEX(Azioni!$C:$C,$N74)&amp;"")</f>
        <v/>
      </c>
      <c r="D74" s="75" t="str">
        <f>IF($N74="","",INDEX(Azioni!$D:$D,$N74)&amp;"")</f>
        <v/>
      </c>
      <c r="E74" s="74" t="str">
        <f>IF($N74="","",INDEX(Azioni!$E:$E,$N74)&amp;"")</f>
        <v/>
      </c>
      <c r="F74" s="74" t="str">
        <f>IF($N74="","",INDEX(Azioni!$F:$F,$N74)&amp;"")</f>
        <v/>
      </c>
      <c r="G74" s="74" t="str">
        <f>IF($N74="","",INDEX(Azioni!$I:$I,$N74)&amp;"")</f>
        <v/>
      </c>
      <c r="H74" s="76" t="str">
        <f>IF($N74="","",IF(INDEX(Azioni!$J:$J,$N74)="","",INDEX(Azioni!$J:$J,$N74)))</f>
        <v/>
      </c>
      <c r="I74" s="76" t="str">
        <f>IF(OR($N74="",H74=""),"",IF(OR(G74="Approvata",G74="In corso"),EDATE(H74,N(INDEX(Azioni!$G:$G,$N74))),""))</f>
        <v/>
      </c>
      <c r="J74" s="74"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74" t="str">
        <f>IF($N75="","",INDEX(Azioni!$A:$A,$N75)&amp;"")</f>
        <v/>
      </c>
      <c r="B75" s="74" t="str">
        <f>IF($N75="","",INDEX(Azioni!$B:$B,$N75)&amp;"")</f>
        <v/>
      </c>
      <c r="C75" s="74" t="str">
        <f>IF($N75="","",INDEX(Azioni!$C:$C,$N75)&amp;"")</f>
        <v/>
      </c>
      <c r="D75" s="75" t="str">
        <f>IF($N75="","",INDEX(Azioni!$D:$D,$N75)&amp;"")</f>
        <v/>
      </c>
      <c r="E75" s="74" t="str">
        <f>IF($N75="","",INDEX(Azioni!$E:$E,$N75)&amp;"")</f>
        <v/>
      </c>
      <c r="F75" s="74" t="str">
        <f>IF($N75="","",INDEX(Azioni!$F:$F,$N75)&amp;"")</f>
        <v/>
      </c>
      <c r="G75" s="74" t="str">
        <f>IF($N75="","",INDEX(Azioni!$I:$I,$N75)&amp;"")</f>
        <v/>
      </c>
      <c r="H75" s="76" t="str">
        <f>IF($N75="","",IF(INDEX(Azioni!$J:$J,$N75)="","",INDEX(Azioni!$J:$J,$N75)))</f>
        <v/>
      </c>
      <c r="I75" s="76" t="str">
        <f>IF(OR($N75="",H75=""),"",IF(OR(G75="Approvata",G75="In corso"),EDATE(H75,N(INDEX(Azioni!$G:$G,$N75))),""))</f>
        <v/>
      </c>
      <c r="J75" s="74"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74" t="str">
        <f>IF($N76="","",INDEX(Azioni!$A:$A,$N76)&amp;"")</f>
        <v/>
      </c>
      <c r="B76" s="74" t="str">
        <f>IF($N76="","",INDEX(Azioni!$B:$B,$N76)&amp;"")</f>
        <v/>
      </c>
      <c r="C76" s="74" t="str">
        <f>IF($N76="","",INDEX(Azioni!$C:$C,$N76)&amp;"")</f>
        <v/>
      </c>
      <c r="D76" s="75" t="str">
        <f>IF($N76="","",INDEX(Azioni!$D:$D,$N76)&amp;"")</f>
        <v/>
      </c>
      <c r="E76" s="74" t="str">
        <f>IF($N76="","",INDEX(Azioni!$E:$E,$N76)&amp;"")</f>
        <v/>
      </c>
      <c r="F76" s="74" t="str">
        <f>IF($N76="","",INDEX(Azioni!$F:$F,$N76)&amp;"")</f>
        <v/>
      </c>
      <c r="G76" s="74" t="str">
        <f>IF($N76="","",INDEX(Azioni!$I:$I,$N76)&amp;"")</f>
        <v/>
      </c>
      <c r="H76" s="76" t="str">
        <f>IF($N76="","",IF(INDEX(Azioni!$J:$J,$N76)="","",INDEX(Azioni!$J:$J,$N76)))</f>
        <v/>
      </c>
      <c r="I76" s="76" t="str">
        <f>IF(OR($N76="",H76=""),"",IF(OR(G76="Approvata",G76="In corso"),EDATE(H76,N(INDEX(Azioni!$G:$G,$N76))),""))</f>
        <v/>
      </c>
      <c r="J76" s="74"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74" t="str">
        <f>IF($N77="","",INDEX(Azioni!$A:$A,$N77)&amp;"")</f>
        <v/>
      </c>
      <c r="B77" s="74" t="str">
        <f>IF($N77="","",INDEX(Azioni!$B:$B,$N77)&amp;"")</f>
        <v/>
      </c>
      <c r="C77" s="74" t="str">
        <f>IF($N77="","",INDEX(Azioni!$C:$C,$N77)&amp;"")</f>
        <v/>
      </c>
      <c r="D77" s="75" t="str">
        <f>IF($N77="","",INDEX(Azioni!$D:$D,$N77)&amp;"")</f>
        <v/>
      </c>
      <c r="E77" s="74" t="str">
        <f>IF($N77="","",INDEX(Azioni!$E:$E,$N77)&amp;"")</f>
        <v/>
      </c>
      <c r="F77" s="74" t="str">
        <f>IF($N77="","",INDEX(Azioni!$F:$F,$N77)&amp;"")</f>
        <v/>
      </c>
      <c r="G77" s="74" t="str">
        <f>IF($N77="","",INDEX(Azioni!$I:$I,$N77)&amp;"")</f>
        <v/>
      </c>
      <c r="H77" s="76" t="str">
        <f>IF($N77="","",IF(INDEX(Azioni!$J:$J,$N77)="","",INDEX(Azioni!$J:$J,$N77)))</f>
        <v/>
      </c>
      <c r="I77" s="76" t="str">
        <f>IF(OR($N77="",H77=""),"",IF(OR(G77="Approvata",G77="In corso"),EDATE(H77,N(INDEX(Azioni!$G:$G,$N77))),""))</f>
        <v/>
      </c>
      <c r="J77" s="74"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74" t="str">
        <f>IF($N78="","",INDEX(Azioni!$A:$A,$N78)&amp;"")</f>
        <v/>
      </c>
      <c r="B78" s="74" t="str">
        <f>IF($N78="","",INDEX(Azioni!$B:$B,$N78)&amp;"")</f>
        <v/>
      </c>
      <c r="C78" s="74" t="str">
        <f>IF($N78="","",INDEX(Azioni!$C:$C,$N78)&amp;"")</f>
        <v/>
      </c>
      <c r="D78" s="75" t="str">
        <f>IF($N78="","",INDEX(Azioni!$D:$D,$N78)&amp;"")</f>
        <v/>
      </c>
      <c r="E78" s="74" t="str">
        <f>IF($N78="","",INDEX(Azioni!$E:$E,$N78)&amp;"")</f>
        <v/>
      </c>
      <c r="F78" s="74" t="str">
        <f>IF($N78="","",INDEX(Azioni!$F:$F,$N78)&amp;"")</f>
        <v/>
      </c>
      <c r="G78" s="74" t="str">
        <f>IF($N78="","",INDEX(Azioni!$I:$I,$N78)&amp;"")</f>
        <v/>
      </c>
      <c r="H78" s="76" t="str">
        <f>IF($N78="","",IF(INDEX(Azioni!$J:$J,$N78)="","",INDEX(Azioni!$J:$J,$N78)))</f>
        <v/>
      </c>
      <c r="I78" s="76" t="str">
        <f>IF(OR($N78="",H78=""),"",IF(OR(G78="Approvata",G78="In corso"),EDATE(H78,N(INDEX(Azioni!$G:$G,$N78))),""))</f>
        <v/>
      </c>
      <c r="J78" s="74"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74" t="str">
        <f>IF($N79="","",INDEX(Azioni!$A:$A,$N79)&amp;"")</f>
        <v/>
      </c>
      <c r="B79" s="74" t="str">
        <f>IF($N79="","",INDEX(Azioni!$B:$B,$N79)&amp;"")</f>
        <v/>
      </c>
      <c r="C79" s="74" t="str">
        <f>IF($N79="","",INDEX(Azioni!$C:$C,$N79)&amp;"")</f>
        <v/>
      </c>
      <c r="D79" s="75" t="str">
        <f>IF($N79="","",INDEX(Azioni!$D:$D,$N79)&amp;"")</f>
        <v/>
      </c>
      <c r="E79" s="74" t="str">
        <f>IF($N79="","",INDEX(Azioni!$E:$E,$N79)&amp;"")</f>
        <v/>
      </c>
      <c r="F79" s="74" t="str">
        <f>IF($N79="","",INDEX(Azioni!$F:$F,$N79)&amp;"")</f>
        <v/>
      </c>
      <c r="G79" s="74" t="str">
        <f>IF($N79="","",INDEX(Azioni!$I:$I,$N79)&amp;"")</f>
        <v/>
      </c>
      <c r="H79" s="76" t="str">
        <f>IF($N79="","",IF(INDEX(Azioni!$J:$J,$N79)="","",INDEX(Azioni!$J:$J,$N79)))</f>
        <v/>
      </c>
      <c r="I79" s="76" t="str">
        <f>IF(OR($N79="",H79=""),"",IF(OR(G79="Approvata",G79="In corso"),EDATE(H79,N(INDEX(Azioni!$G:$G,$N79))),""))</f>
        <v/>
      </c>
      <c r="J79" s="74"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74" t="str">
        <f>IF($N80="","",INDEX(Azioni!$A:$A,$N80)&amp;"")</f>
        <v/>
      </c>
      <c r="B80" s="74" t="str">
        <f>IF($N80="","",INDEX(Azioni!$B:$B,$N80)&amp;"")</f>
        <v/>
      </c>
      <c r="C80" s="74" t="str">
        <f>IF($N80="","",INDEX(Azioni!$C:$C,$N80)&amp;"")</f>
        <v/>
      </c>
      <c r="D80" s="75" t="str">
        <f>IF($N80="","",INDEX(Azioni!$D:$D,$N80)&amp;"")</f>
        <v/>
      </c>
      <c r="E80" s="74" t="str">
        <f>IF($N80="","",INDEX(Azioni!$E:$E,$N80)&amp;"")</f>
        <v/>
      </c>
      <c r="F80" s="74" t="str">
        <f>IF($N80="","",INDEX(Azioni!$F:$F,$N80)&amp;"")</f>
        <v/>
      </c>
      <c r="G80" s="74" t="str">
        <f>IF($N80="","",INDEX(Azioni!$I:$I,$N80)&amp;"")</f>
        <v/>
      </c>
      <c r="H80" s="76" t="str">
        <f>IF($N80="","",IF(INDEX(Azioni!$J:$J,$N80)="","",INDEX(Azioni!$J:$J,$N80)))</f>
        <v/>
      </c>
      <c r="I80" s="76" t="str">
        <f>IF(OR($N80="",H80=""),"",IF(OR(G80="Approvata",G80="In corso"),EDATE(H80,N(INDEX(Azioni!$G:$G,$N80))),""))</f>
        <v/>
      </c>
      <c r="J80" s="74"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74" t="str">
        <f>IF($N81="","",INDEX(Azioni!$A:$A,$N81)&amp;"")</f>
        <v/>
      </c>
      <c r="B81" s="74" t="str">
        <f>IF($N81="","",INDEX(Azioni!$B:$B,$N81)&amp;"")</f>
        <v/>
      </c>
      <c r="C81" s="74" t="str">
        <f>IF($N81="","",INDEX(Azioni!$C:$C,$N81)&amp;"")</f>
        <v/>
      </c>
      <c r="D81" s="75" t="str">
        <f>IF($N81="","",INDEX(Azioni!$D:$D,$N81)&amp;"")</f>
        <v/>
      </c>
      <c r="E81" s="74" t="str">
        <f>IF($N81="","",INDEX(Azioni!$E:$E,$N81)&amp;"")</f>
        <v/>
      </c>
      <c r="F81" s="74" t="str">
        <f>IF($N81="","",INDEX(Azioni!$F:$F,$N81)&amp;"")</f>
        <v/>
      </c>
      <c r="G81" s="74" t="str">
        <f>IF($N81="","",INDEX(Azioni!$I:$I,$N81)&amp;"")</f>
        <v/>
      </c>
      <c r="H81" s="76" t="str">
        <f>IF($N81="","",IF(INDEX(Azioni!$J:$J,$N81)="","",INDEX(Azioni!$J:$J,$N81)))</f>
        <v/>
      </c>
      <c r="I81" s="76" t="str">
        <f>IF(OR($N81="",H81=""),"",IF(OR(G81="Approvata",G81="In corso"),EDATE(H81,N(INDEX(Azioni!$G:$G,$N81))),""))</f>
        <v/>
      </c>
      <c r="J81" s="74"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74" t="str">
        <f>IF($N82="","",INDEX(Azioni!$A:$A,$N82)&amp;"")</f>
        <v/>
      </c>
      <c r="B82" s="74" t="str">
        <f>IF($N82="","",INDEX(Azioni!$B:$B,$N82)&amp;"")</f>
        <v/>
      </c>
      <c r="C82" s="74" t="str">
        <f>IF($N82="","",INDEX(Azioni!$C:$C,$N82)&amp;"")</f>
        <v/>
      </c>
      <c r="D82" s="75" t="str">
        <f>IF($N82="","",INDEX(Azioni!$D:$D,$N82)&amp;"")</f>
        <v/>
      </c>
      <c r="E82" s="74" t="str">
        <f>IF($N82="","",INDEX(Azioni!$E:$E,$N82)&amp;"")</f>
        <v/>
      </c>
      <c r="F82" s="74" t="str">
        <f>IF($N82="","",INDEX(Azioni!$F:$F,$N82)&amp;"")</f>
        <v/>
      </c>
      <c r="G82" s="74" t="str">
        <f>IF($N82="","",INDEX(Azioni!$I:$I,$N82)&amp;"")</f>
        <v/>
      </c>
      <c r="H82" s="76" t="str">
        <f>IF($N82="","",IF(INDEX(Azioni!$J:$J,$N82)="","",INDEX(Azioni!$J:$J,$N82)))</f>
        <v/>
      </c>
      <c r="I82" s="76" t="str">
        <f>IF(OR($N82="",H82=""),"",IF(OR(G82="Approvata",G82="In corso"),EDATE(H82,N(INDEX(Azioni!$G:$G,$N82))),""))</f>
        <v/>
      </c>
      <c r="J82" s="74"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74" t="str">
        <f>IF($N83="","",INDEX(Azioni!$A:$A,$N83)&amp;"")</f>
        <v/>
      </c>
      <c r="B83" s="74" t="str">
        <f>IF($N83="","",INDEX(Azioni!$B:$B,$N83)&amp;"")</f>
        <v/>
      </c>
      <c r="C83" s="74" t="str">
        <f>IF($N83="","",INDEX(Azioni!$C:$C,$N83)&amp;"")</f>
        <v/>
      </c>
      <c r="D83" s="75" t="str">
        <f>IF($N83="","",INDEX(Azioni!$D:$D,$N83)&amp;"")</f>
        <v/>
      </c>
      <c r="E83" s="74" t="str">
        <f>IF($N83="","",INDEX(Azioni!$E:$E,$N83)&amp;"")</f>
        <v/>
      </c>
      <c r="F83" s="74" t="str">
        <f>IF($N83="","",INDEX(Azioni!$F:$F,$N83)&amp;"")</f>
        <v/>
      </c>
      <c r="G83" s="74" t="str">
        <f>IF($N83="","",INDEX(Azioni!$I:$I,$N83)&amp;"")</f>
        <v/>
      </c>
      <c r="H83" s="76" t="str">
        <f>IF($N83="","",IF(INDEX(Azioni!$J:$J,$N83)="","",INDEX(Azioni!$J:$J,$N83)))</f>
        <v/>
      </c>
      <c r="I83" s="76" t="str">
        <f>IF(OR($N83="",H83=""),"",IF(OR(G83="Approvata",G83="In corso"),EDATE(H83,N(INDEX(Azioni!$G:$G,$N83))),""))</f>
        <v/>
      </c>
      <c r="J83" s="74"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74" t="str">
        <f>IF($N84="","",INDEX(Azioni!$A:$A,$N84)&amp;"")</f>
        <v/>
      </c>
      <c r="B84" s="74" t="str">
        <f>IF($N84="","",INDEX(Azioni!$B:$B,$N84)&amp;"")</f>
        <v/>
      </c>
      <c r="C84" s="74" t="str">
        <f>IF($N84="","",INDEX(Azioni!$C:$C,$N84)&amp;"")</f>
        <v/>
      </c>
      <c r="D84" s="75" t="str">
        <f>IF($N84="","",INDEX(Azioni!$D:$D,$N84)&amp;"")</f>
        <v/>
      </c>
      <c r="E84" s="74" t="str">
        <f>IF($N84="","",INDEX(Azioni!$E:$E,$N84)&amp;"")</f>
        <v/>
      </c>
      <c r="F84" s="74" t="str">
        <f>IF($N84="","",INDEX(Azioni!$F:$F,$N84)&amp;"")</f>
        <v/>
      </c>
      <c r="G84" s="74" t="str">
        <f>IF($N84="","",INDEX(Azioni!$I:$I,$N84)&amp;"")</f>
        <v/>
      </c>
      <c r="H84" s="76" t="str">
        <f>IF($N84="","",IF(INDEX(Azioni!$J:$J,$N84)="","",INDEX(Azioni!$J:$J,$N84)))</f>
        <v/>
      </c>
      <c r="I84" s="76" t="str">
        <f>IF(OR($N84="",H84=""),"",IF(OR(G84="Approvata",G84="In corso"),EDATE(H84,N(INDEX(Azioni!$G:$G,$N84))),""))</f>
        <v/>
      </c>
      <c r="J84" s="74"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74" t="str">
        <f>IF($N85="","",INDEX(Azioni!$A:$A,$N85)&amp;"")</f>
        <v/>
      </c>
      <c r="B85" s="74" t="str">
        <f>IF($N85="","",INDEX(Azioni!$B:$B,$N85)&amp;"")</f>
        <v/>
      </c>
      <c r="C85" s="74" t="str">
        <f>IF($N85="","",INDEX(Azioni!$C:$C,$N85)&amp;"")</f>
        <v/>
      </c>
      <c r="D85" s="75" t="str">
        <f>IF($N85="","",INDEX(Azioni!$D:$D,$N85)&amp;"")</f>
        <v/>
      </c>
      <c r="E85" s="74" t="str">
        <f>IF($N85="","",INDEX(Azioni!$E:$E,$N85)&amp;"")</f>
        <v/>
      </c>
      <c r="F85" s="74" t="str">
        <f>IF($N85="","",INDEX(Azioni!$F:$F,$N85)&amp;"")</f>
        <v/>
      </c>
      <c r="G85" s="74" t="str">
        <f>IF($N85="","",INDEX(Azioni!$I:$I,$N85)&amp;"")</f>
        <v/>
      </c>
      <c r="H85" s="76" t="str">
        <f>IF($N85="","",IF(INDEX(Azioni!$J:$J,$N85)="","",INDEX(Azioni!$J:$J,$N85)))</f>
        <v/>
      </c>
      <c r="I85" s="76" t="str">
        <f>IF(OR($N85="",H85=""),"",IF(OR(G85="Approvata",G85="In corso"),EDATE(H85,N(INDEX(Azioni!$G:$G,$N85))),""))</f>
        <v/>
      </c>
      <c r="J85" s="74"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74" t="str">
        <f>IF($N86="","",INDEX(Azioni!$A:$A,$N86)&amp;"")</f>
        <v/>
      </c>
      <c r="B86" s="74" t="str">
        <f>IF($N86="","",INDEX(Azioni!$B:$B,$N86)&amp;"")</f>
        <v/>
      </c>
      <c r="C86" s="74" t="str">
        <f>IF($N86="","",INDEX(Azioni!$C:$C,$N86)&amp;"")</f>
        <v/>
      </c>
      <c r="D86" s="75" t="str">
        <f>IF($N86="","",INDEX(Azioni!$D:$D,$N86)&amp;"")</f>
        <v/>
      </c>
      <c r="E86" s="74" t="str">
        <f>IF($N86="","",INDEX(Azioni!$E:$E,$N86)&amp;"")</f>
        <v/>
      </c>
      <c r="F86" s="74" t="str">
        <f>IF($N86="","",INDEX(Azioni!$F:$F,$N86)&amp;"")</f>
        <v/>
      </c>
      <c r="G86" s="74" t="str">
        <f>IF($N86="","",INDEX(Azioni!$I:$I,$N86)&amp;"")</f>
        <v/>
      </c>
      <c r="H86" s="76" t="str">
        <f>IF($N86="","",IF(INDEX(Azioni!$J:$J,$N86)="","",INDEX(Azioni!$J:$J,$N86)))</f>
        <v/>
      </c>
      <c r="I86" s="76" t="str">
        <f>IF(OR($N86="",H86=""),"",IF(OR(G86="Approvata",G86="In corso"),EDATE(H86,N(INDEX(Azioni!$G:$G,$N86))),""))</f>
        <v/>
      </c>
      <c r="J86" s="74"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74" t="str">
        <f>IF($N87="","",INDEX(Azioni!$A:$A,$N87)&amp;"")</f>
        <v/>
      </c>
      <c r="B87" s="74" t="str">
        <f>IF($N87="","",INDEX(Azioni!$B:$B,$N87)&amp;"")</f>
        <v/>
      </c>
      <c r="C87" s="74" t="str">
        <f>IF($N87="","",INDEX(Azioni!$C:$C,$N87)&amp;"")</f>
        <v/>
      </c>
      <c r="D87" s="75" t="str">
        <f>IF($N87="","",INDEX(Azioni!$D:$D,$N87)&amp;"")</f>
        <v/>
      </c>
      <c r="E87" s="74" t="str">
        <f>IF($N87="","",INDEX(Azioni!$E:$E,$N87)&amp;"")</f>
        <v/>
      </c>
      <c r="F87" s="74" t="str">
        <f>IF($N87="","",INDEX(Azioni!$F:$F,$N87)&amp;"")</f>
        <v/>
      </c>
      <c r="G87" s="74" t="str">
        <f>IF($N87="","",INDEX(Azioni!$I:$I,$N87)&amp;"")</f>
        <v/>
      </c>
      <c r="H87" s="76" t="str">
        <f>IF($N87="","",IF(INDEX(Azioni!$J:$J,$N87)="","",INDEX(Azioni!$J:$J,$N87)))</f>
        <v/>
      </c>
      <c r="I87" s="76" t="str">
        <f>IF(OR($N87="",H87=""),"",IF(OR(G87="Approvata",G87="In corso"),EDATE(H87,N(INDEX(Azioni!$G:$G,$N87))),""))</f>
        <v/>
      </c>
      <c r="J87" s="74"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74" t="str">
        <f>IF($N88="","",INDEX(Azioni!$A:$A,$N88)&amp;"")</f>
        <v/>
      </c>
      <c r="B88" s="74" t="str">
        <f>IF($N88="","",INDEX(Azioni!$B:$B,$N88)&amp;"")</f>
        <v/>
      </c>
      <c r="C88" s="74" t="str">
        <f>IF($N88="","",INDEX(Azioni!$C:$C,$N88)&amp;"")</f>
        <v/>
      </c>
      <c r="D88" s="75" t="str">
        <f>IF($N88="","",INDEX(Azioni!$D:$D,$N88)&amp;"")</f>
        <v/>
      </c>
      <c r="E88" s="74" t="str">
        <f>IF($N88="","",INDEX(Azioni!$E:$E,$N88)&amp;"")</f>
        <v/>
      </c>
      <c r="F88" s="74" t="str">
        <f>IF($N88="","",INDEX(Azioni!$F:$F,$N88)&amp;"")</f>
        <v/>
      </c>
      <c r="G88" s="74" t="str">
        <f>IF($N88="","",INDEX(Azioni!$I:$I,$N88)&amp;"")</f>
        <v/>
      </c>
      <c r="H88" s="76" t="str">
        <f>IF($N88="","",IF(INDEX(Azioni!$J:$J,$N88)="","",INDEX(Azioni!$J:$J,$N88)))</f>
        <v/>
      </c>
      <c r="I88" s="76" t="str">
        <f>IF(OR($N88="",H88=""),"",IF(OR(G88="Approvata",G88="In corso"),EDATE(H88,N(INDEX(Azioni!$G:$G,$N88))),""))</f>
        <v/>
      </c>
      <c r="J88" s="74"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74" t="str">
        <f>IF($N89="","",INDEX(Azioni!$A:$A,$N89)&amp;"")</f>
        <v/>
      </c>
      <c r="B89" s="74" t="str">
        <f>IF($N89="","",INDEX(Azioni!$B:$B,$N89)&amp;"")</f>
        <v/>
      </c>
      <c r="C89" s="74" t="str">
        <f>IF($N89="","",INDEX(Azioni!$C:$C,$N89)&amp;"")</f>
        <v/>
      </c>
      <c r="D89" s="75" t="str">
        <f>IF($N89="","",INDEX(Azioni!$D:$D,$N89)&amp;"")</f>
        <v/>
      </c>
      <c r="E89" s="74" t="str">
        <f>IF($N89="","",INDEX(Azioni!$E:$E,$N89)&amp;"")</f>
        <v/>
      </c>
      <c r="F89" s="74" t="str">
        <f>IF($N89="","",INDEX(Azioni!$F:$F,$N89)&amp;"")</f>
        <v/>
      </c>
      <c r="G89" s="74" t="str">
        <f>IF($N89="","",INDEX(Azioni!$I:$I,$N89)&amp;"")</f>
        <v/>
      </c>
      <c r="H89" s="76" t="str">
        <f>IF($N89="","",IF(INDEX(Azioni!$J:$J,$N89)="","",INDEX(Azioni!$J:$J,$N89)))</f>
        <v/>
      </c>
      <c r="I89" s="76" t="str">
        <f>IF(OR($N89="",H89=""),"",IF(OR(G89="Approvata",G89="In corso"),EDATE(H89,N(INDEX(Azioni!$G:$G,$N89))),""))</f>
        <v/>
      </c>
      <c r="J89" s="74"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74" t="str">
        <f>IF($N90="","",INDEX(Azioni!$A:$A,$N90)&amp;"")</f>
        <v/>
      </c>
      <c r="B90" s="74" t="str">
        <f>IF($N90="","",INDEX(Azioni!$B:$B,$N90)&amp;"")</f>
        <v/>
      </c>
      <c r="C90" s="74" t="str">
        <f>IF($N90="","",INDEX(Azioni!$C:$C,$N90)&amp;"")</f>
        <v/>
      </c>
      <c r="D90" s="75" t="str">
        <f>IF($N90="","",INDEX(Azioni!$D:$D,$N90)&amp;"")</f>
        <v/>
      </c>
      <c r="E90" s="74" t="str">
        <f>IF($N90="","",INDEX(Azioni!$E:$E,$N90)&amp;"")</f>
        <v/>
      </c>
      <c r="F90" s="74" t="str">
        <f>IF($N90="","",INDEX(Azioni!$F:$F,$N90)&amp;"")</f>
        <v/>
      </c>
      <c r="G90" s="74" t="str">
        <f>IF($N90="","",INDEX(Azioni!$I:$I,$N90)&amp;"")</f>
        <v/>
      </c>
      <c r="H90" s="76" t="str">
        <f>IF($N90="","",IF(INDEX(Azioni!$J:$J,$N90)="","",INDEX(Azioni!$J:$J,$N90)))</f>
        <v/>
      </c>
      <c r="I90" s="76" t="str">
        <f>IF(OR($N90="",H90=""),"",IF(OR(G90="Approvata",G90="In corso"),EDATE(H90,N(INDEX(Azioni!$G:$G,$N90))),""))</f>
        <v/>
      </c>
      <c r="J90" s="74"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74" t="str">
        <f>IF($N91="","",INDEX(Azioni!$A:$A,$N91)&amp;"")</f>
        <v/>
      </c>
      <c r="B91" s="74" t="str">
        <f>IF($N91="","",INDEX(Azioni!$B:$B,$N91)&amp;"")</f>
        <v/>
      </c>
      <c r="C91" s="74" t="str">
        <f>IF($N91="","",INDEX(Azioni!$C:$C,$N91)&amp;"")</f>
        <v/>
      </c>
      <c r="D91" s="75" t="str">
        <f>IF($N91="","",INDEX(Azioni!$D:$D,$N91)&amp;"")</f>
        <v/>
      </c>
      <c r="E91" s="74" t="str">
        <f>IF($N91="","",INDEX(Azioni!$E:$E,$N91)&amp;"")</f>
        <v/>
      </c>
      <c r="F91" s="74" t="str">
        <f>IF($N91="","",INDEX(Azioni!$F:$F,$N91)&amp;"")</f>
        <v/>
      </c>
      <c r="G91" s="74" t="str">
        <f>IF($N91="","",INDEX(Azioni!$I:$I,$N91)&amp;"")</f>
        <v/>
      </c>
      <c r="H91" s="76" t="str">
        <f>IF($N91="","",IF(INDEX(Azioni!$J:$J,$N91)="","",INDEX(Azioni!$J:$J,$N91)))</f>
        <v/>
      </c>
      <c r="I91" s="76" t="str">
        <f>IF(OR($N91="",H91=""),"",IF(OR(G91="Approvata",G91="In corso"),EDATE(H91,N(INDEX(Azioni!$G:$G,$N91))),""))</f>
        <v/>
      </c>
      <c r="J91" s="74"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74" t="str">
        <f>IF($N92="","",INDEX(Azioni!$A:$A,$N92)&amp;"")</f>
        <v/>
      </c>
      <c r="B92" s="74" t="str">
        <f>IF($N92="","",INDEX(Azioni!$B:$B,$N92)&amp;"")</f>
        <v/>
      </c>
      <c r="C92" s="74" t="str">
        <f>IF($N92="","",INDEX(Azioni!$C:$C,$N92)&amp;"")</f>
        <v/>
      </c>
      <c r="D92" s="75" t="str">
        <f>IF($N92="","",INDEX(Azioni!$D:$D,$N92)&amp;"")</f>
        <v/>
      </c>
      <c r="E92" s="74" t="str">
        <f>IF($N92="","",INDEX(Azioni!$E:$E,$N92)&amp;"")</f>
        <v/>
      </c>
      <c r="F92" s="74" t="str">
        <f>IF($N92="","",INDEX(Azioni!$F:$F,$N92)&amp;"")</f>
        <v/>
      </c>
      <c r="G92" s="74" t="str">
        <f>IF($N92="","",INDEX(Azioni!$I:$I,$N92)&amp;"")</f>
        <v/>
      </c>
      <c r="H92" s="76" t="str">
        <f>IF($N92="","",IF(INDEX(Azioni!$J:$J,$N92)="","",INDEX(Azioni!$J:$J,$N92)))</f>
        <v/>
      </c>
      <c r="I92" s="76" t="str">
        <f>IF(OR($N92="",H92=""),"",IF(OR(G92="Approvata",G92="In corso"),EDATE(H92,N(INDEX(Azioni!$G:$G,$N92))),""))</f>
        <v/>
      </c>
      <c r="J92" s="74"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74" t="str">
        <f>IF($N93="","",INDEX(Azioni!$A:$A,$N93)&amp;"")</f>
        <v/>
      </c>
      <c r="B93" s="74" t="str">
        <f>IF($N93="","",INDEX(Azioni!$B:$B,$N93)&amp;"")</f>
        <v/>
      </c>
      <c r="C93" s="74" t="str">
        <f>IF($N93="","",INDEX(Azioni!$C:$C,$N93)&amp;"")</f>
        <v/>
      </c>
      <c r="D93" s="75" t="str">
        <f>IF($N93="","",INDEX(Azioni!$D:$D,$N93)&amp;"")</f>
        <v/>
      </c>
      <c r="E93" s="74" t="str">
        <f>IF($N93="","",INDEX(Azioni!$E:$E,$N93)&amp;"")</f>
        <v/>
      </c>
      <c r="F93" s="74" t="str">
        <f>IF($N93="","",INDEX(Azioni!$F:$F,$N93)&amp;"")</f>
        <v/>
      </c>
      <c r="G93" s="74" t="str">
        <f>IF($N93="","",INDEX(Azioni!$I:$I,$N93)&amp;"")</f>
        <v/>
      </c>
      <c r="H93" s="76" t="str">
        <f>IF($N93="","",IF(INDEX(Azioni!$J:$J,$N93)="","",INDEX(Azioni!$J:$J,$N93)))</f>
        <v/>
      </c>
      <c r="I93" s="76" t="str">
        <f>IF(OR($N93="",H93=""),"",IF(OR(G93="Approvata",G93="In corso"),EDATE(H93,N(INDEX(Azioni!$G:$G,$N93))),""))</f>
        <v/>
      </c>
      <c r="J93" s="74"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74" t="str">
        <f>IF($N94="","",INDEX(Azioni!$A:$A,$N94)&amp;"")</f>
        <v/>
      </c>
      <c r="B94" s="74" t="str">
        <f>IF($N94="","",INDEX(Azioni!$B:$B,$N94)&amp;"")</f>
        <v/>
      </c>
      <c r="C94" s="74" t="str">
        <f>IF($N94="","",INDEX(Azioni!$C:$C,$N94)&amp;"")</f>
        <v/>
      </c>
      <c r="D94" s="75" t="str">
        <f>IF($N94="","",INDEX(Azioni!$D:$D,$N94)&amp;"")</f>
        <v/>
      </c>
      <c r="E94" s="74" t="str">
        <f>IF($N94="","",INDEX(Azioni!$E:$E,$N94)&amp;"")</f>
        <v/>
      </c>
      <c r="F94" s="74" t="str">
        <f>IF($N94="","",INDEX(Azioni!$F:$F,$N94)&amp;"")</f>
        <v/>
      </c>
      <c r="G94" s="74" t="str">
        <f>IF($N94="","",INDEX(Azioni!$I:$I,$N94)&amp;"")</f>
        <v/>
      </c>
      <c r="H94" s="76" t="str">
        <f>IF($N94="","",IF(INDEX(Azioni!$J:$J,$N94)="","",INDEX(Azioni!$J:$J,$N94)))</f>
        <v/>
      </c>
      <c r="I94" s="76" t="str">
        <f>IF(OR($N94="",H94=""),"",IF(OR(G94="Approvata",G94="In corso"),EDATE(H94,N(INDEX(Azioni!$G:$G,$N94))),""))</f>
        <v/>
      </c>
      <c r="J94" s="74"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74" t="str">
        <f>IF($N95="","",INDEX(Azioni!$A:$A,$N95)&amp;"")</f>
        <v/>
      </c>
      <c r="B95" s="74" t="str">
        <f>IF($N95="","",INDEX(Azioni!$B:$B,$N95)&amp;"")</f>
        <v/>
      </c>
      <c r="C95" s="74" t="str">
        <f>IF($N95="","",INDEX(Azioni!$C:$C,$N95)&amp;"")</f>
        <v/>
      </c>
      <c r="D95" s="75" t="str">
        <f>IF($N95="","",INDEX(Azioni!$D:$D,$N95)&amp;"")</f>
        <v/>
      </c>
      <c r="E95" s="74" t="str">
        <f>IF($N95="","",INDEX(Azioni!$E:$E,$N95)&amp;"")</f>
        <v/>
      </c>
      <c r="F95" s="74" t="str">
        <f>IF($N95="","",INDEX(Azioni!$F:$F,$N95)&amp;"")</f>
        <v/>
      </c>
      <c r="G95" s="74" t="str">
        <f>IF($N95="","",INDEX(Azioni!$I:$I,$N95)&amp;"")</f>
        <v/>
      </c>
      <c r="H95" s="76" t="str">
        <f>IF($N95="","",IF(INDEX(Azioni!$J:$J,$N95)="","",INDEX(Azioni!$J:$J,$N95)))</f>
        <v/>
      </c>
      <c r="I95" s="76" t="str">
        <f>IF(OR($N95="",H95=""),"",IF(OR(G95="Approvata",G95="In corso"),EDATE(H95,N(INDEX(Azioni!$G:$G,$N95))),""))</f>
        <v/>
      </c>
      <c r="J95" s="74"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74" t="str">
        <f>IF($N96="","",INDEX(Azioni!$A:$A,$N96)&amp;"")</f>
        <v/>
      </c>
      <c r="B96" s="74" t="str">
        <f>IF($N96="","",INDEX(Azioni!$B:$B,$N96)&amp;"")</f>
        <v/>
      </c>
      <c r="C96" s="74" t="str">
        <f>IF($N96="","",INDEX(Azioni!$C:$C,$N96)&amp;"")</f>
        <v/>
      </c>
      <c r="D96" s="75" t="str">
        <f>IF($N96="","",INDEX(Azioni!$D:$D,$N96)&amp;"")</f>
        <v/>
      </c>
      <c r="E96" s="74" t="str">
        <f>IF($N96="","",INDEX(Azioni!$E:$E,$N96)&amp;"")</f>
        <v/>
      </c>
      <c r="F96" s="74" t="str">
        <f>IF($N96="","",INDEX(Azioni!$F:$F,$N96)&amp;"")</f>
        <v/>
      </c>
      <c r="G96" s="74" t="str">
        <f>IF($N96="","",INDEX(Azioni!$I:$I,$N96)&amp;"")</f>
        <v/>
      </c>
      <c r="H96" s="76" t="str">
        <f>IF($N96="","",IF(INDEX(Azioni!$J:$J,$N96)="","",INDEX(Azioni!$J:$J,$N96)))</f>
        <v/>
      </c>
      <c r="I96" s="76" t="str">
        <f>IF(OR($N96="",H96=""),"",IF(OR(G96="Approvata",G96="In corso"),EDATE(H96,N(INDEX(Azioni!$G:$G,$N96))),""))</f>
        <v/>
      </c>
      <c r="J96" s="74"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74" t="str">
        <f>IF($N97="","",INDEX(Azioni!$A:$A,$N97)&amp;"")</f>
        <v/>
      </c>
      <c r="B97" s="74" t="str">
        <f>IF($N97="","",INDEX(Azioni!$B:$B,$N97)&amp;"")</f>
        <v/>
      </c>
      <c r="C97" s="74" t="str">
        <f>IF($N97="","",INDEX(Azioni!$C:$C,$N97)&amp;"")</f>
        <v/>
      </c>
      <c r="D97" s="75" t="str">
        <f>IF($N97="","",INDEX(Azioni!$D:$D,$N97)&amp;"")</f>
        <v/>
      </c>
      <c r="E97" s="74" t="str">
        <f>IF($N97="","",INDEX(Azioni!$E:$E,$N97)&amp;"")</f>
        <v/>
      </c>
      <c r="F97" s="74" t="str">
        <f>IF($N97="","",INDEX(Azioni!$F:$F,$N97)&amp;"")</f>
        <v/>
      </c>
      <c r="G97" s="74" t="str">
        <f>IF($N97="","",INDEX(Azioni!$I:$I,$N97)&amp;"")</f>
        <v/>
      </c>
      <c r="H97" s="76" t="str">
        <f>IF($N97="","",IF(INDEX(Azioni!$J:$J,$N97)="","",INDEX(Azioni!$J:$J,$N97)))</f>
        <v/>
      </c>
      <c r="I97" s="76" t="str">
        <f>IF(OR($N97="",H97=""),"",IF(OR(G97="Approvata",G97="In corso"),EDATE(H97,N(INDEX(Azioni!$G:$G,$N97))),""))</f>
        <v/>
      </c>
      <c r="J97" s="74"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74" t="str">
        <f>IF($N98="","",INDEX(Azioni!$A:$A,$N98)&amp;"")</f>
        <v/>
      </c>
      <c r="B98" s="74" t="str">
        <f>IF($N98="","",INDEX(Azioni!$B:$B,$N98)&amp;"")</f>
        <v/>
      </c>
      <c r="C98" s="74" t="str">
        <f>IF($N98="","",INDEX(Azioni!$C:$C,$N98)&amp;"")</f>
        <v/>
      </c>
      <c r="D98" s="75" t="str">
        <f>IF($N98="","",INDEX(Azioni!$D:$D,$N98)&amp;"")</f>
        <v/>
      </c>
      <c r="E98" s="74" t="str">
        <f>IF($N98="","",INDEX(Azioni!$E:$E,$N98)&amp;"")</f>
        <v/>
      </c>
      <c r="F98" s="74" t="str">
        <f>IF($N98="","",INDEX(Azioni!$F:$F,$N98)&amp;"")</f>
        <v/>
      </c>
      <c r="G98" s="74" t="str">
        <f>IF($N98="","",INDEX(Azioni!$I:$I,$N98)&amp;"")</f>
        <v/>
      </c>
      <c r="H98" s="76" t="str">
        <f>IF($N98="","",IF(INDEX(Azioni!$J:$J,$N98)="","",INDEX(Azioni!$J:$J,$N98)))</f>
        <v/>
      </c>
      <c r="I98" s="76" t="str">
        <f>IF(OR($N98="",H98=""),"",IF(OR(G98="Approvata",G98="In corso"),EDATE(H98,N(INDEX(Azioni!$G:$G,$N98))),""))</f>
        <v/>
      </c>
      <c r="J98" s="74"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74" t="str">
        <f>IF($N99="","",INDEX(Azioni!$A:$A,$N99)&amp;"")</f>
        <v/>
      </c>
      <c r="B99" s="74" t="str">
        <f>IF($N99="","",INDEX(Azioni!$B:$B,$N99)&amp;"")</f>
        <v/>
      </c>
      <c r="C99" s="74" t="str">
        <f>IF($N99="","",INDEX(Azioni!$C:$C,$N99)&amp;"")</f>
        <v/>
      </c>
      <c r="D99" s="75" t="str">
        <f>IF($N99="","",INDEX(Azioni!$D:$D,$N99)&amp;"")</f>
        <v/>
      </c>
      <c r="E99" s="74" t="str">
        <f>IF($N99="","",INDEX(Azioni!$E:$E,$N99)&amp;"")</f>
        <v/>
      </c>
      <c r="F99" s="74" t="str">
        <f>IF($N99="","",INDEX(Azioni!$F:$F,$N99)&amp;"")</f>
        <v/>
      </c>
      <c r="G99" s="74" t="str">
        <f>IF($N99="","",INDEX(Azioni!$I:$I,$N99)&amp;"")</f>
        <v/>
      </c>
      <c r="H99" s="76" t="str">
        <f>IF($N99="","",IF(INDEX(Azioni!$J:$J,$N99)="","",INDEX(Azioni!$J:$J,$N99)))</f>
        <v/>
      </c>
      <c r="I99" s="76" t="str">
        <f>IF(OR($N99="",H99=""),"",IF(OR(G99="Approvata",G99="In corso"),EDATE(H99,N(INDEX(Azioni!$G:$G,$N99))),""))</f>
        <v/>
      </c>
      <c r="J99" s="74"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74" t="str">
        <f>IF($N100="","",INDEX(Azioni!$A:$A,$N100)&amp;"")</f>
        <v/>
      </c>
      <c r="B100" s="74" t="str">
        <f>IF($N100="","",INDEX(Azioni!$B:$B,$N100)&amp;"")</f>
        <v/>
      </c>
      <c r="C100" s="74" t="str">
        <f>IF($N100="","",INDEX(Azioni!$C:$C,$N100)&amp;"")</f>
        <v/>
      </c>
      <c r="D100" s="75" t="str">
        <f>IF($N100="","",INDEX(Azioni!$D:$D,$N100)&amp;"")</f>
        <v/>
      </c>
      <c r="E100" s="74" t="str">
        <f>IF($N100="","",INDEX(Azioni!$E:$E,$N100)&amp;"")</f>
        <v/>
      </c>
      <c r="F100" s="74" t="str">
        <f>IF($N100="","",INDEX(Azioni!$F:$F,$N100)&amp;"")</f>
        <v/>
      </c>
      <c r="G100" s="74" t="str">
        <f>IF($N100="","",INDEX(Azioni!$I:$I,$N100)&amp;"")</f>
        <v/>
      </c>
      <c r="H100" s="76" t="str">
        <f>IF($N100="","",IF(INDEX(Azioni!$J:$J,$N100)="","",INDEX(Azioni!$J:$J,$N100)))</f>
        <v/>
      </c>
      <c r="I100" s="76" t="str">
        <f>IF(OR($N100="",H100=""),"",IF(OR(G100="Approvata",G100="In corso"),EDATE(H100,N(INDEX(Azioni!$G:$G,$N100))),""))</f>
        <v/>
      </c>
      <c r="J100" s="74"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74" t="str">
        <f>IF($N101="","",INDEX(Azioni!$A:$A,$N101)&amp;"")</f>
        <v/>
      </c>
      <c r="B101" s="74" t="str">
        <f>IF($N101="","",INDEX(Azioni!$B:$B,$N101)&amp;"")</f>
        <v/>
      </c>
      <c r="C101" s="74" t="str">
        <f>IF($N101="","",INDEX(Azioni!$C:$C,$N101)&amp;"")</f>
        <v/>
      </c>
      <c r="D101" s="75" t="str">
        <f>IF($N101="","",INDEX(Azioni!$D:$D,$N101)&amp;"")</f>
        <v/>
      </c>
      <c r="E101" s="74" t="str">
        <f>IF($N101="","",INDEX(Azioni!$E:$E,$N101)&amp;"")</f>
        <v/>
      </c>
      <c r="F101" s="74" t="str">
        <f>IF($N101="","",INDEX(Azioni!$F:$F,$N101)&amp;"")</f>
        <v/>
      </c>
      <c r="G101" s="74" t="str">
        <f>IF($N101="","",INDEX(Azioni!$I:$I,$N101)&amp;"")</f>
        <v/>
      </c>
      <c r="H101" s="76" t="str">
        <f>IF($N101="","",IF(INDEX(Azioni!$J:$J,$N101)="","",INDEX(Azioni!$J:$J,$N101)))</f>
        <v/>
      </c>
      <c r="I101" s="76" t="str">
        <f>IF(OR($N101="",H101=""),"",IF(OR(G101="Approvata",G101="In corso"),EDATE(H101,N(INDEX(Azioni!$G:$G,$N101))),""))</f>
        <v/>
      </c>
      <c r="J101" s="74"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74" t="str">
        <f>IF($N102="","",INDEX(Azioni!$A:$A,$N102)&amp;"")</f>
        <v/>
      </c>
      <c r="B102" s="74" t="str">
        <f>IF($N102="","",INDEX(Azioni!$B:$B,$N102)&amp;"")</f>
        <v/>
      </c>
      <c r="C102" s="74" t="str">
        <f>IF($N102="","",INDEX(Azioni!$C:$C,$N102)&amp;"")</f>
        <v/>
      </c>
      <c r="D102" s="75" t="str">
        <f>IF($N102="","",INDEX(Azioni!$D:$D,$N102)&amp;"")</f>
        <v/>
      </c>
      <c r="E102" s="74" t="str">
        <f>IF($N102="","",INDEX(Azioni!$E:$E,$N102)&amp;"")</f>
        <v/>
      </c>
      <c r="F102" s="74" t="str">
        <f>IF($N102="","",INDEX(Azioni!$F:$F,$N102)&amp;"")</f>
        <v/>
      </c>
      <c r="G102" s="74" t="str">
        <f>IF($N102="","",INDEX(Azioni!$I:$I,$N102)&amp;"")</f>
        <v/>
      </c>
      <c r="H102" s="76" t="str">
        <f>IF($N102="","",IF(INDEX(Azioni!$J:$J,$N102)="","",INDEX(Azioni!$J:$J,$N102)))</f>
        <v/>
      </c>
      <c r="I102" s="76" t="str">
        <f>IF(OR($N102="",H102=""),"",IF(OR(G102="Approvata",G102="In corso"),EDATE(H102,N(INDEX(Azioni!$G:$G,$N102))),""))</f>
        <v/>
      </c>
      <c r="J102" s="74"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74" t="str">
        <f>IF($N103="","",INDEX(Azioni!$A:$A,$N103)&amp;"")</f>
        <v/>
      </c>
      <c r="B103" s="74" t="str">
        <f>IF($N103="","",INDEX(Azioni!$B:$B,$N103)&amp;"")</f>
        <v/>
      </c>
      <c r="C103" s="74" t="str">
        <f>IF($N103="","",INDEX(Azioni!$C:$C,$N103)&amp;"")</f>
        <v/>
      </c>
      <c r="D103" s="75" t="str">
        <f>IF($N103="","",INDEX(Azioni!$D:$D,$N103)&amp;"")</f>
        <v/>
      </c>
      <c r="E103" s="74" t="str">
        <f>IF($N103="","",INDEX(Azioni!$E:$E,$N103)&amp;"")</f>
        <v/>
      </c>
      <c r="F103" s="74" t="str">
        <f>IF($N103="","",INDEX(Azioni!$F:$F,$N103)&amp;"")</f>
        <v/>
      </c>
      <c r="G103" s="74" t="str">
        <f>IF($N103="","",INDEX(Azioni!$I:$I,$N103)&amp;"")</f>
        <v/>
      </c>
      <c r="H103" s="76" t="str">
        <f>IF($N103="","",IF(INDEX(Azioni!$J:$J,$N103)="","",INDEX(Azioni!$J:$J,$N103)))</f>
        <v/>
      </c>
      <c r="I103" s="76" t="str">
        <f>IF(OR($N103="",H103=""),"",IF(OR(G103="Approvata",G103="In corso"),EDATE(H103,N(INDEX(Azioni!$G:$G,$N103))),""))</f>
        <v/>
      </c>
      <c r="J103" s="74"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74" t="str">
        <f>IF($N104="","",INDEX(Azioni!$A:$A,$N104)&amp;"")</f>
        <v/>
      </c>
      <c r="B104" s="74" t="str">
        <f>IF($N104="","",INDEX(Azioni!$B:$B,$N104)&amp;"")</f>
        <v/>
      </c>
      <c r="C104" s="74" t="str">
        <f>IF($N104="","",INDEX(Azioni!$C:$C,$N104)&amp;"")</f>
        <v/>
      </c>
      <c r="D104" s="75" t="str">
        <f>IF($N104="","",INDEX(Azioni!$D:$D,$N104)&amp;"")</f>
        <v/>
      </c>
      <c r="E104" s="74" t="str">
        <f>IF($N104="","",INDEX(Azioni!$E:$E,$N104)&amp;"")</f>
        <v/>
      </c>
      <c r="F104" s="74" t="str">
        <f>IF($N104="","",INDEX(Azioni!$F:$F,$N104)&amp;"")</f>
        <v/>
      </c>
      <c r="G104" s="74" t="str">
        <f>IF($N104="","",INDEX(Azioni!$I:$I,$N104)&amp;"")</f>
        <v/>
      </c>
      <c r="H104" s="76" t="str">
        <f>IF($N104="","",IF(INDEX(Azioni!$J:$J,$N104)="","",INDEX(Azioni!$J:$J,$N104)))</f>
        <v/>
      </c>
      <c r="I104" s="76" t="str">
        <f>IF(OR($N104="",H104=""),"",IF(OR(G104="Approvata",G104="In corso"),EDATE(H104,N(INDEX(Azioni!$G:$G,$N104))),""))</f>
        <v/>
      </c>
      <c r="J104" s="74"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74" t="str">
        <f>IF($N105="","",INDEX(Azioni!$A:$A,$N105)&amp;"")</f>
        <v/>
      </c>
      <c r="B105" s="74" t="str">
        <f>IF($N105="","",INDEX(Azioni!$B:$B,$N105)&amp;"")</f>
        <v/>
      </c>
      <c r="C105" s="74" t="str">
        <f>IF($N105="","",INDEX(Azioni!$C:$C,$N105)&amp;"")</f>
        <v/>
      </c>
      <c r="D105" s="75" t="str">
        <f>IF($N105="","",INDEX(Azioni!$D:$D,$N105)&amp;"")</f>
        <v/>
      </c>
      <c r="E105" s="74" t="str">
        <f>IF($N105="","",INDEX(Azioni!$E:$E,$N105)&amp;"")</f>
        <v/>
      </c>
      <c r="F105" s="74" t="str">
        <f>IF($N105="","",INDEX(Azioni!$F:$F,$N105)&amp;"")</f>
        <v/>
      </c>
      <c r="G105" s="74" t="str">
        <f>IF($N105="","",INDEX(Azioni!$I:$I,$N105)&amp;"")</f>
        <v/>
      </c>
      <c r="H105" s="76" t="str">
        <f>IF($N105="","",IF(INDEX(Azioni!$J:$J,$N105)="","",INDEX(Azioni!$J:$J,$N105)))</f>
        <v/>
      </c>
      <c r="I105" s="76" t="str">
        <f>IF(OR($N105="",H105=""),"",IF(OR(G105="Approvata",G105="In corso"),EDATE(H105,N(INDEX(Azioni!$G:$G,$N105))),""))</f>
        <v/>
      </c>
      <c r="J105" s="74"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74" t="str">
        <f>IF($N106="","",INDEX(Azioni!$A:$A,$N106)&amp;"")</f>
        <v/>
      </c>
      <c r="B106" s="74" t="str">
        <f>IF($N106="","",INDEX(Azioni!$B:$B,$N106)&amp;"")</f>
        <v/>
      </c>
      <c r="C106" s="74" t="str">
        <f>IF($N106="","",INDEX(Azioni!$C:$C,$N106)&amp;"")</f>
        <v/>
      </c>
      <c r="D106" s="75" t="str">
        <f>IF($N106="","",INDEX(Azioni!$D:$D,$N106)&amp;"")</f>
        <v/>
      </c>
      <c r="E106" s="74" t="str">
        <f>IF($N106="","",INDEX(Azioni!$E:$E,$N106)&amp;"")</f>
        <v/>
      </c>
      <c r="F106" s="74" t="str">
        <f>IF($N106="","",INDEX(Azioni!$F:$F,$N106)&amp;"")</f>
        <v/>
      </c>
      <c r="G106" s="74" t="str">
        <f>IF($N106="","",INDEX(Azioni!$I:$I,$N106)&amp;"")</f>
        <v/>
      </c>
      <c r="H106" s="76" t="str">
        <f>IF($N106="","",IF(INDEX(Azioni!$J:$J,$N106)="","",INDEX(Azioni!$J:$J,$N106)))</f>
        <v/>
      </c>
      <c r="I106" s="76" t="str">
        <f>IF(OR($N106="",H106=""),"",IF(OR(G106="Approvata",G106="In corso"),EDATE(H106,N(INDEX(Azioni!$G:$G,$N106))),""))</f>
        <v/>
      </c>
      <c r="J106" s="74"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74" t="str">
        <f>IF($N107="","",INDEX(Azioni!$A:$A,$N107)&amp;"")</f>
        <v/>
      </c>
      <c r="B107" s="74" t="str">
        <f>IF($N107="","",INDEX(Azioni!$B:$B,$N107)&amp;"")</f>
        <v/>
      </c>
      <c r="C107" s="74" t="str">
        <f>IF($N107="","",INDEX(Azioni!$C:$C,$N107)&amp;"")</f>
        <v/>
      </c>
      <c r="D107" s="75" t="str">
        <f>IF($N107="","",INDEX(Azioni!$D:$D,$N107)&amp;"")</f>
        <v/>
      </c>
      <c r="E107" s="74" t="str">
        <f>IF($N107="","",INDEX(Azioni!$E:$E,$N107)&amp;"")</f>
        <v/>
      </c>
      <c r="F107" s="74" t="str">
        <f>IF($N107="","",INDEX(Azioni!$F:$F,$N107)&amp;"")</f>
        <v/>
      </c>
      <c r="G107" s="74" t="str">
        <f>IF($N107="","",INDEX(Azioni!$I:$I,$N107)&amp;"")</f>
        <v/>
      </c>
      <c r="H107" s="76" t="str">
        <f>IF($N107="","",IF(INDEX(Azioni!$J:$J,$N107)="","",INDEX(Azioni!$J:$J,$N107)))</f>
        <v/>
      </c>
      <c r="I107" s="76" t="str">
        <f>IF(OR($N107="",H107=""),"",IF(OR(G107="Approvata",G107="In corso"),EDATE(H107,N(INDEX(Azioni!$G:$G,$N107))),""))</f>
        <v/>
      </c>
      <c r="J107" s="74"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74" t="str">
        <f>IF($N108="","",INDEX(Azioni!$A:$A,$N108)&amp;"")</f>
        <v/>
      </c>
      <c r="B108" s="74" t="str">
        <f>IF($N108="","",INDEX(Azioni!$B:$B,$N108)&amp;"")</f>
        <v/>
      </c>
      <c r="C108" s="74" t="str">
        <f>IF($N108="","",INDEX(Azioni!$C:$C,$N108)&amp;"")</f>
        <v/>
      </c>
      <c r="D108" s="75" t="str">
        <f>IF($N108="","",INDEX(Azioni!$D:$D,$N108)&amp;"")</f>
        <v/>
      </c>
      <c r="E108" s="74" t="str">
        <f>IF($N108="","",INDEX(Azioni!$E:$E,$N108)&amp;"")</f>
        <v/>
      </c>
      <c r="F108" s="74" t="str">
        <f>IF($N108="","",INDEX(Azioni!$F:$F,$N108)&amp;"")</f>
        <v/>
      </c>
      <c r="G108" s="74" t="str">
        <f>IF($N108="","",INDEX(Azioni!$I:$I,$N108)&amp;"")</f>
        <v/>
      </c>
      <c r="H108" s="76" t="str">
        <f>IF($N108="","",IF(INDEX(Azioni!$J:$J,$N108)="","",INDEX(Azioni!$J:$J,$N108)))</f>
        <v/>
      </c>
      <c r="I108" s="76" t="str">
        <f>IF(OR($N108="",H108=""),"",IF(OR(G108="Approvata",G108="In corso"),EDATE(H108,N(INDEX(Azioni!$G:$G,$N108))),""))</f>
        <v/>
      </c>
      <c r="J108" s="74"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74" t="str">
        <f>IF($N109="","",INDEX(Azioni!$A:$A,$N109)&amp;"")</f>
        <v/>
      </c>
      <c r="B109" s="74" t="str">
        <f>IF($N109="","",INDEX(Azioni!$B:$B,$N109)&amp;"")</f>
        <v/>
      </c>
      <c r="C109" s="74" t="str">
        <f>IF($N109="","",INDEX(Azioni!$C:$C,$N109)&amp;"")</f>
        <v/>
      </c>
      <c r="D109" s="75" t="str">
        <f>IF($N109="","",INDEX(Azioni!$D:$D,$N109)&amp;"")</f>
        <v/>
      </c>
      <c r="E109" s="74" t="str">
        <f>IF($N109="","",INDEX(Azioni!$E:$E,$N109)&amp;"")</f>
        <v/>
      </c>
      <c r="F109" s="74" t="str">
        <f>IF($N109="","",INDEX(Azioni!$F:$F,$N109)&amp;"")</f>
        <v/>
      </c>
      <c r="G109" s="74" t="str">
        <f>IF($N109="","",INDEX(Azioni!$I:$I,$N109)&amp;"")</f>
        <v/>
      </c>
      <c r="H109" s="76" t="str">
        <f>IF($N109="","",IF(INDEX(Azioni!$J:$J,$N109)="","",INDEX(Azioni!$J:$J,$N109)))</f>
        <v/>
      </c>
      <c r="I109" s="76" t="str">
        <f>IF(OR($N109="",H109=""),"",IF(OR(G109="Approvata",G109="In corso"),EDATE(H109,N(INDEX(Azioni!$G:$G,$N109))),""))</f>
        <v/>
      </c>
      <c r="J109" s="74"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74" t="str">
        <f>IF($N110="","",INDEX(Azioni!$A:$A,$N110)&amp;"")</f>
        <v/>
      </c>
      <c r="B110" s="74" t="str">
        <f>IF($N110="","",INDEX(Azioni!$B:$B,$N110)&amp;"")</f>
        <v/>
      </c>
      <c r="C110" s="74" t="str">
        <f>IF($N110="","",INDEX(Azioni!$C:$C,$N110)&amp;"")</f>
        <v/>
      </c>
      <c r="D110" s="75" t="str">
        <f>IF($N110="","",INDEX(Azioni!$D:$D,$N110)&amp;"")</f>
        <v/>
      </c>
      <c r="E110" s="74" t="str">
        <f>IF($N110="","",INDEX(Azioni!$E:$E,$N110)&amp;"")</f>
        <v/>
      </c>
      <c r="F110" s="74" t="str">
        <f>IF($N110="","",INDEX(Azioni!$F:$F,$N110)&amp;"")</f>
        <v/>
      </c>
      <c r="G110" s="74" t="str">
        <f>IF($N110="","",INDEX(Azioni!$I:$I,$N110)&amp;"")</f>
        <v/>
      </c>
      <c r="H110" s="76" t="str">
        <f>IF($N110="","",IF(INDEX(Azioni!$J:$J,$N110)="","",INDEX(Azioni!$J:$J,$N110)))</f>
        <v/>
      </c>
      <c r="I110" s="76" t="str">
        <f>IF(OR($N110="",H110=""),"",IF(OR(G110="Approvata",G110="In corso"),EDATE(H110,N(INDEX(Azioni!$G:$G,$N110))),""))</f>
        <v/>
      </c>
      <c r="J110" s="74"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74" t="str">
        <f>IF($N111="","",INDEX(Azioni!$A:$A,$N111)&amp;"")</f>
        <v/>
      </c>
      <c r="B111" s="74" t="str">
        <f>IF($N111="","",INDEX(Azioni!$B:$B,$N111)&amp;"")</f>
        <v/>
      </c>
      <c r="C111" s="74" t="str">
        <f>IF($N111="","",INDEX(Azioni!$C:$C,$N111)&amp;"")</f>
        <v/>
      </c>
      <c r="D111" s="75" t="str">
        <f>IF($N111="","",INDEX(Azioni!$D:$D,$N111)&amp;"")</f>
        <v/>
      </c>
      <c r="E111" s="74" t="str">
        <f>IF($N111="","",INDEX(Azioni!$E:$E,$N111)&amp;"")</f>
        <v/>
      </c>
      <c r="F111" s="74" t="str">
        <f>IF($N111="","",INDEX(Azioni!$F:$F,$N111)&amp;"")</f>
        <v/>
      </c>
      <c r="G111" s="74" t="str">
        <f>IF($N111="","",INDEX(Azioni!$I:$I,$N111)&amp;"")</f>
        <v/>
      </c>
      <c r="H111" s="76" t="str">
        <f>IF($N111="","",IF(INDEX(Azioni!$J:$J,$N111)="","",INDEX(Azioni!$J:$J,$N111)))</f>
        <v/>
      </c>
      <c r="I111" s="76" t="str">
        <f>IF(OR($N111="",H111=""),"",IF(OR(G111="Approvata",G111="In corso"),EDATE(H111,N(INDEX(Azioni!$G:$G,$N111))),""))</f>
        <v/>
      </c>
      <c r="J111" s="74"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74" t="str">
        <f>IF($N112="","",INDEX(Azioni!$A:$A,$N112)&amp;"")</f>
        <v/>
      </c>
      <c r="B112" s="74" t="str">
        <f>IF($N112="","",INDEX(Azioni!$B:$B,$N112)&amp;"")</f>
        <v/>
      </c>
      <c r="C112" s="74" t="str">
        <f>IF($N112="","",INDEX(Azioni!$C:$C,$N112)&amp;"")</f>
        <v/>
      </c>
      <c r="D112" s="75" t="str">
        <f>IF($N112="","",INDEX(Azioni!$D:$D,$N112)&amp;"")</f>
        <v/>
      </c>
      <c r="E112" s="74" t="str">
        <f>IF($N112="","",INDEX(Azioni!$E:$E,$N112)&amp;"")</f>
        <v/>
      </c>
      <c r="F112" s="74" t="str">
        <f>IF($N112="","",INDEX(Azioni!$F:$F,$N112)&amp;"")</f>
        <v/>
      </c>
      <c r="G112" s="74" t="str">
        <f>IF($N112="","",INDEX(Azioni!$I:$I,$N112)&amp;"")</f>
        <v/>
      </c>
      <c r="H112" s="76" t="str">
        <f>IF($N112="","",IF(INDEX(Azioni!$J:$J,$N112)="","",INDEX(Azioni!$J:$J,$N112)))</f>
        <v/>
      </c>
      <c r="I112" s="76" t="str">
        <f>IF(OR($N112="",H112=""),"",IF(OR(G112="Approvata",G112="In corso"),EDATE(H112,N(INDEX(Azioni!$G:$G,$N112))),""))</f>
        <v/>
      </c>
      <c r="J112" s="74"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74" t="str">
        <f>IF($N113="","",INDEX(Azioni!$A:$A,$N113)&amp;"")</f>
        <v/>
      </c>
      <c r="B113" s="74" t="str">
        <f>IF($N113="","",INDEX(Azioni!$B:$B,$N113)&amp;"")</f>
        <v/>
      </c>
      <c r="C113" s="74" t="str">
        <f>IF($N113="","",INDEX(Azioni!$C:$C,$N113)&amp;"")</f>
        <v/>
      </c>
      <c r="D113" s="75" t="str">
        <f>IF($N113="","",INDEX(Azioni!$D:$D,$N113)&amp;"")</f>
        <v/>
      </c>
      <c r="E113" s="74" t="str">
        <f>IF($N113="","",INDEX(Azioni!$E:$E,$N113)&amp;"")</f>
        <v/>
      </c>
      <c r="F113" s="74" t="str">
        <f>IF($N113="","",INDEX(Azioni!$F:$F,$N113)&amp;"")</f>
        <v/>
      </c>
      <c r="G113" s="74" t="str">
        <f>IF($N113="","",INDEX(Azioni!$I:$I,$N113)&amp;"")</f>
        <v/>
      </c>
      <c r="H113" s="76" t="str">
        <f>IF($N113="","",IF(INDEX(Azioni!$J:$J,$N113)="","",INDEX(Azioni!$J:$J,$N113)))</f>
        <v/>
      </c>
      <c r="I113" s="76" t="str">
        <f>IF(OR($N113="",H113=""),"",IF(OR(G113="Approvata",G113="In corso"),EDATE(H113,N(INDEX(Azioni!$G:$G,$N113))),""))</f>
        <v/>
      </c>
      <c r="J113" s="74"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74" t="str">
        <f>IF($N114="","",INDEX(Azioni!$A:$A,$N114)&amp;"")</f>
        <v/>
      </c>
      <c r="B114" s="74" t="str">
        <f>IF($N114="","",INDEX(Azioni!$B:$B,$N114)&amp;"")</f>
        <v/>
      </c>
      <c r="C114" s="74" t="str">
        <f>IF($N114="","",INDEX(Azioni!$C:$C,$N114)&amp;"")</f>
        <v/>
      </c>
      <c r="D114" s="75" t="str">
        <f>IF($N114="","",INDEX(Azioni!$D:$D,$N114)&amp;"")</f>
        <v/>
      </c>
      <c r="E114" s="74" t="str">
        <f>IF($N114="","",INDEX(Azioni!$E:$E,$N114)&amp;"")</f>
        <v/>
      </c>
      <c r="F114" s="74" t="str">
        <f>IF($N114="","",INDEX(Azioni!$F:$F,$N114)&amp;"")</f>
        <v/>
      </c>
      <c r="G114" s="74" t="str">
        <f>IF($N114="","",INDEX(Azioni!$I:$I,$N114)&amp;"")</f>
        <v/>
      </c>
      <c r="H114" s="76" t="str">
        <f>IF($N114="","",IF(INDEX(Azioni!$J:$J,$N114)="","",INDEX(Azioni!$J:$J,$N114)))</f>
        <v/>
      </c>
      <c r="I114" s="76" t="str">
        <f>IF(OR($N114="",H114=""),"",IF(OR(G114="Approvata",G114="In corso"),EDATE(H114,N(INDEX(Azioni!$G:$G,$N114))),""))</f>
        <v/>
      </c>
      <c r="J114" s="74"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74" t="str">
        <f>IF($N115="","",INDEX(Azioni!$A:$A,$N115)&amp;"")</f>
        <v/>
      </c>
      <c r="B115" s="74" t="str">
        <f>IF($N115="","",INDEX(Azioni!$B:$B,$N115)&amp;"")</f>
        <v/>
      </c>
      <c r="C115" s="74" t="str">
        <f>IF($N115="","",INDEX(Azioni!$C:$C,$N115)&amp;"")</f>
        <v/>
      </c>
      <c r="D115" s="75" t="str">
        <f>IF($N115="","",INDEX(Azioni!$D:$D,$N115)&amp;"")</f>
        <v/>
      </c>
      <c r="E115" s="74" t="str">
        <f>IF($N115="","",INDEX(Azioni!$E:$E,$N115)&amp;"")</f>
        <v/>
      </c>
      <c r="F115" s="74" t="str">
        <f>IF($N115="","",INDEX(Azioni!$F:$F,$N115)&amp;"")</f>
        <v/>
      </c>
      <c r="G115" s="74" t="str">
        <f>IF($N115="","",INDEX(Azioni!$I:$I,$N115)&amp;"")</f>
        <v/>
      </c>
      <c r="H115" s="76" t="str">
        <f>IF($N115="","",IF(INDEX(Azioni!$J:$J,$N115)="","",INDEX(Azioni!$J:$J,$N115)))</f>
        <v/>
      </c>
      <c r="I115" s="76" t="str">
        <f>IF(OR($N115="",H115=""),"",IF(OR(G115="Approvata",G115="In corso"),EDATE(H115,N(INDEX(Azioni!$G:$G,$N115))),""))</f>
        <v/>
      </c>
      <c r="J115" s="74"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74" t="str">
        <f>IF($N116="","",INDEX(Azioni!$A:$A,$N116)&amp;"")</f>
        <v/>
      </c>
      <c r="B116" s="74" t="str">
        <f>IF($N116="","",INDEX(Azioni!$B:$B,$N116)&amp;"")</f>
        <v/>
      </c>
      <c r="C116" s="74" t="str">
        <f>IF($N116="","",INDEX(Azioni!$C:$C,$N116)&amp;"")</f>
        <v/>
      </c>
      <c r="D116" s="75" t="str">
        <f>IF($N116="","",INDEX(Azioni!$D:$D,$N116)&amp;"")</f>
        <v/>
      </c>
      <c r="E116" s="74" t="str">
        <f>IF($N116="","",INDEX(Azioni!$E:$E,$N116)&amp;"")</f>
        <v/>
      </c>
      <c r="F116" s="74" t="str">
        <f>IF($N116="","",INDEX(Azioni!$F:$F,$N116)&amp;"")</f>
        <v/>
      </c>
      <c r="G116" s="74" t="str">
        <f>IF($N116="","",INDEX(Azioni!$I:$I,$N116)&amp;"")</f>
        <v/>
      </c>
      <c r="H116" s="76" t="str">
        <f>IF($N116="","",IF(INDEX(Azioni!$J:$J,$N116)="","",INDEX(Azioni!$J:$J,$N116)))</f>
        <v/>
      </c>
      <c r="I116" s="76" t="str">
        <f>IF(OR($N116="",H116=""),"",IF(OR(G116="Approvata",G116="In corso"),EDATE(H116,N(INDEX(Azioni!$G:$G,$N116))),""))</f>
        <v/>
      </c>
      <c r="J116" s="74"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74" t="str">
        <f>IF($N117="","",INDEX(Azioni!$A:$A,$N117)&amp;"")</f>
        <v/>
      </c>
      <c r="B117" s="74" t="str">
        <f>IF($N117="","",INDEX(Azioni!$B:$B,$N117)&amp;"")</f>
        <v/>
      </c>
      <c r="C117" s="74" t="str">
        <f>IF($N117="","",INDEX(Azioni!$C:$C,$N117)&amp;"")</f>
        <v/>
      </c>
      <c r="D117" s="75" t="str">
        <f>IF($N117="","",INDEX(Azioni!$D:$D,$N117)&amp;"")</f>
        <v/>
      </c>
      <c r="E117" s="74" t="str">
        <f>IF($N117="","",INDEX(Azioni!$E:$E,$N117)&amp;"")</f>
        <v/>
      </c>
      <c r="F117" s="74" t="str">
        <f>IF($N117="","",INDEX(Azioni!$F:$F,$N117)&amp;"")</f>
        <v/>
      </c>
      <c r="G117" s="74" t="str">
        <f>IF($N117="","",INDEX(Azioni!$I:$I,$N117)&amp;"")</f>
        <v/>
      </c>
      <c r="H117" s="76" t="str">
        <f>IF($N117="","",IF(INDEX(Azioni!$J:$J,$N117)="","",INDEX(Azioni!$J:$J,$N117)))</f>
        <v/>
      </c>
      <c r="I117" s="76" t="str">
        <f>IF(OR($N117="",H117=""),"",IF(OR(G117="Approvata",G117="In corso"),EDATE(H117,N(INDEX(Azioni!$G:$G,$N117))),""))</f>
        <v/>
      </c>
      <c r="J117" s="74"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74" t="str">
        <f>IF($N118="","",INDEX(Azioni!$A:$A,$N118)&amp;"")</f>
        <v/>
      </c>
      <c r="B118" s="74" t="str">
        <f>IF($N118="","",INDEX(Azioni!$B:$B,$N118)&amp;"")</f>
        <v/>
      </c>
      <c r="C118" s="74" t="str">
        <f>IF($N118="","",INDEX(Azioni!$C:$C,$N118)&amp;"")</f>
        <v/>
      </c>
      <c r="D118" s="75" t="str">
        <f>IF($N118="","",INDEX(Azioni!$D:$D,$N118)&amp;"")</f>
        <v/>
      </c>
      <c r="E118" s="74" t="str">
        <f>IF($N118="","",INDEX(Azioni!$E:$E,$N118)&amp;"")</f>
        <v/>
      </c>
      <c r="F118" s="74" t="str">
        <f>IF($N118="","",INDEX(Azioni!$F:$F,$N118)&amp;"")</f>
        <v/>
      </c>
      <c r="G118" s="74" t="str">
        <f>IF($N118="","",INDEX(Azioni!$I:$I,$N118)&amp;"")</f>
        <v/>
      </c>
      <c r="H118" s="76" t="str">
        <f>IF($N118="","",IF(INDEX(Azioni!$J:$J,$N118)="","",INDEX(Azioni!$J:$J,$N118)))</f>
        <v/>
      </c>
      <c r="I118" s="76" t="str">
        <f>IF(OR($N118="",H118=""),"",IF(OR(G118="Approvata",G118="In corso"),EDATE(H118,N(INDEX(Azioni!$G:$G,$N118))),""))</f>
        <v/>
      </c>
      <c r="J118" s="74"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74" t="str">
        <f>IF($N119="","",INDEX(Azioni!$A:$A,$N119)&amp;"")</f>
        <v/>
      </c>
      <c r="B119" s="74" t="str">
        <f>IF($N119="","",INDEX(Azioni!$B:$B,$N119)&amp;"")</f>
        <v/>
      </c>
      <c r="C119" s="74" t="str">
        <f>IF($N119="","",INDEX(Azioni!$C:$C,$N119)&amp;"")</f>
        <v/>
      </c>
      <c r="D119" s="75" t="str">
        <f>IF($N119="","",INDEX(Azioni!$D:$D,$N119)&amp;"")</f>
        <v/>
      </c>
      <c r="E119" s="74" t="str">
        <f>IF($N119="","",INDEX(Azioni!$E:$E,$N119)&amp;"")</f>
        <v/>
      </c>
      <c r="F119" s="74" t="str">
        <f>IF($N119="","",INDEX(Azioni!$F:$F,$N119)&amp;"")</f>
        <v/>
      </c>
      <c r="G119" s="74" t="str">
        <f>IF($N119="","",INDEX(Azioni!$I:$I,$N119)&amp;"")</f>
        <v/>
      </c>
      <c r="H119" s="76" t="str">
        <f>IF($N119="","",IF(INDEX(Azioni!$J:$J,$N119)="","",INDEX(Azioni!$J:$J,$N119)))</f>
        <v/>
      </c>
      <c r="I119" s="76" t="str">
        <f>IF(OR($N119="",H119=""),"",IF(OR(G119="Approvata",G119="In corso"),EDATE(H119,N(INDEX(Azioni!$G:$G,$N119))),""))</f>
        <v/>
      </c>
      <c r="J119" s="74"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74" t="str">
        <f>IF($N120="","",INDEX(Azioni!$A:$A,$N120)&amp;"")</f>
        <v/>
      </c>
      <c r="B120" s="74" t="str">
        <f>IF($N120="","",INDEX(Azioni!$B:$B,$N120)&amp;"")</f>
        <v/>
      </c>
      <c r="C120" s="74" t="str">
        <f>IF($N120="","",INDEX(Azioni!$C:$C,$N120)&amp;"")</f>
        <v/>
      </c>
      <c r="D120" s="75" t="str">
        <f>IF($N120="","",INDEX(Azioni!$D:$D,$N120)&amp;"")</f>
        <v/>
      </c>
      <c r="E120" s="74" t="str">
        <f>IF($N120="","",INDEX(Azioni!$E:$E,$N120)&amp;"")</f>
        <v/>
      </c>
      <c r="F120" s="74" t="str">
        <f>IF($N120="","",INDEX(Azioni!$F:$F,$N120)&amp;"")</f>
        <v/>
      </c>
      <c r="G120" s="74" t="str">
        <f>IF($N120="","",INDEX(Azioni!$I:$I,$N120)&amp;"")</f>
        <v/>
      </c>
      <c r="H120" s="76" t="str">
        <f>IF($N120="","",IF(INDEX(Azioni!$J:$J,$N120)="","",INDEX(Azioni!$J:$J,$N120)))</f>
        <v/>
      </c>
      <c r="I120" s="76" t="str">
        <f>IF(OR($N120="",H120=""),"",IF(OR(G120="Approvata",G120="In corso"),EDATE(H120,N(INDEX(Azioni!$G:$G,$N120))),""))</f>
        <v/>
      </c>
      <c r="J120" s="74"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74" t="str">
        <f>IF($N121="","",INDEX(Azioni!$A:$A,$N121)&amp;"")</f>
        <v/>
      </c>
      <c r="B121" s="74" t="str">
        <f>IF($N121="","",INDEX(Azioni!$B:$B,$N121)&amp;"")</f>
        <v/>
      </c>
      <c r="C121" s="74" t="str">
        <f>IF($N121="","",INDEX(Azioni!$C:$C,$N121)&amp;"")</f>
        <v/>
      </c>
      <c r="D121" s="75" t="str">
        <f>IF($N121="","",INDEX(Azioni!$D:$D,$N121)&amp;"")</f>
        <v/>
      </c>
      <c r="E121" s="74" t="str">
        <f>IF($N121="","",INDEX(Azioni!$E:$E,$N121)&amp;"")</f>
        <v/>
      </c>
      <c r="F121" s="74" t="str">
        <f>IF($N121="","",INDEX(Azioni!$F:$F,$N121)&amp;"")</f>
        <v/>
      </c>
      <c r="G121" s="74" t="str">
        <f>IF($N121="","",INDEX(Azioni!$I:$I,$N121)&amp;"")</f>
        <v/>
      </c>
      <c r="H121" s="76" t="str">
        <f>IF($N121="","",IF(INDEX(Azioni!$J:$J,$N121)="","",INDEX(Azioni!$J:$J,$N121)))</f>
        <v/>
      </c>
      <c r="I121" s="76" t="str">
        <f>IF(OR($N121="",H121=""),"",IF(OR(G121="Approvata",G121="In corso"),EDATE(H121,N(INDEX(Azioni!$G:$G,$N121))),""))</f>
        <v/>
      </c>
      <c r="J121" s="74"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74" t="str">
        <f>IF($N122="","",INDEX(Azioni!$A:$A,$N122)&amp;"")</f>
        <v/>
      </c>
      <c r="B122" s="74" t="str">
        <f>IF($N122="","",INDEX(Azioni!$B:$B,$N122)&amp;"")</f>
        <v/>
      </c>
      <c r="C122" s="74" t="str">
        <f>IF($N122="","",INDEX(Azioni!$C:$C,$N122)&amp;"")</f>
        <v/>
      </c>
      <c r="D122" s="75" t="str">
        <f>IF($N122="","",INDEX(Azioni!$D:$D,$N122)&amp;"")</f>
        <v/>
      </c>
      <c r="E122" s="74" t="str">
        <f>IF($N122="","",INDEX(Azioni!$E:$E,$N122)&amp;"")</f>
        <v/>
      </c>
      <c r="F122" s="74" t="str">
        <f>IF($N122="","",INDEX(Azioni!$F:$F,$N122)&amp;"")</f>
        <v/>
      </c>
      <c r="G122" s="74" t="str">
        <f>IF($N122="","",INDEX(Azioni!$I:$I,$N122)&amp;"")</f>
        <v/>
      </c>
      <c r="H122" s="76" t="str">
        <f>IF($N122="","",IF(INDEX(Azioni!$J:$J,$N122)="","",INDEX(Azioni!$J:$J,$N122)))</f>
        <v/>
      </c>
      <c r="I122" s="76" t="str">
        <f>IF(OR($N122="",H122=""),"",IF(OR(G122="Approvata",G122="In corso"),EDATE(H122,N(INDEX(Azioni!$G:$G,$N122))),""))</f>
        <v/>
      </c>
      <c r="J122" s="74"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74" t="str">
        <f>IF($N123="","",INDEX(Azioni!$A:$A,$N123)&amp;"")</f>
        <v/>
      </c>
      <c r="B123" s="74" t="str">
        <f>IF($N123="","",INDEX(Azioni!$B:$B,$N123)&amp;"")</f>
        <v/>
      </c>
      <c r="C123" s="74" t="str">
        <f>IF($N123="","",INDEX(Azioni!$C:$C,$N123)&amp;"")</f>
        <v/>
      </c>
      <c r="D123" s="75" t="str">
        <f>IF($N123="","",INDEX(Azioni!$D:$D,$N123)&amp;"")</f>
        <v/>
      </c>
      <c r="E123" s="74" t="str">
        <f>IF($N123="","",INDEX(Azioni!$E:$E,$N123)&amp;"")</f>
        <v/>
      </c>
      <c r="F123" s="74" t="str">
        <f>IF($N123="","",INDEX(Azioni!$F:$F,$N123)&amp;"")</f>
        <v/>
      </c>
      <c r="G123" s="74" t="str">
        <f>IF($N123="","",INDEX(Azioni!$I:$I,$N123)&amp;"")</f>
        <v/>
      </c>
      <c r="H123" s="76" t="str">
        <f>IF($N123="","",IF(INDEX(Azioni!$J:$J,$N123)="","",INDEX(Azioni!$J:$J,$N123)))</f>
        <v/>
      </c>
      <c r="I123" s="76" t="str">
        <f>IF(OR($N123="",H123=""),"",IF(OR(G123="Approvata",G123="In corso"),EDATE(H123,N(INDEX(Azioni!$G:$G,$N123))),""))</f>
        <v/>
      </c>
      <c r="J123" s="74"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74" t="str">
        <f>IF($N124="","",INDEX(Azioni!$A:$A,$N124)&amp;"")</f>
        <v/>
      </c>
      <c r="B124" s="74" t="str">
        <f>IF($N124="","",INDEX(Azioni!$B:$B,$N124)&amp;"")</f>
        <v/>
      </c>
      <c r="C124" s="74" t="str">
        <f>IF($N124="","",INDEX(Azioni!$C:$C,$N124)&amp;"")</f>
        <v/>
      </c>
      <c r="D124" s="75" t="str">
        <f>IF($N124="","",INDEX(Azioni!$D:$D,$N124)&amp;"")</f>
        <v/>
      </c>
      <c r="E124" s="74" t="str">
        <f>IF($N124="","",INDEX(Azioni!$E:$E,$N124)&amp;"")</f>
        <v/>
      </c>
      <c r="F124" s="74" t="str">
        <f>IF($N124="","",INDEX(Azioni!$F:$F,$N124)&amp;"")</f>
        <v/>
      </c>
      <c r="G124" s="74" t="str">
        <f>IF($N124="","",INDEX(Azioni!$I:$I,$N124)&amp;"")</f>
        <v/>
      </c>
      <c r="H124" s="76" t="str">
        <f>IF($N124="","",IF(INDEX(Azioni!$J:$J,$N124)="","",INDEX(Azioni!$J:$J,$N124)))</f>
        <v/>
      </c>
      <c r="I124" s="76" t="str">
        <f>IF(OR($N124="",H124=""),"",IF(OR(G124="Approvata",G124="In corso"),EDATE(H124,N(INDEX(Azioni!$G:$G,$N124))),""))</f>
        <v/>
      </c>
      <c r="J124" s="74"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74" t="str">
        <f>IF($N125="","",INDEX(Azioni!$A:$A,$N125)&amp;"")</f>
        <v/>
      </c>
      <c r="B125" s="74" t="str">
        <f>IF($N125="","",INDEX(Azioni!$B:$B,$N125)&amp;"")</f>
        <v/>
      </c>
      <c r="C125" s="74" t="str">
        <f>IF($N125="","",INDEX(Azioni!$C:$C,$N125)&amp;"")</f>
        <v/>
      </c>
      <c r="D125" s="75" t="str">
        <f>IF($N125="","",INDEX(Azioni!$D:$D,$N125)&amp;"")</f>
        <v/>
      </c>
      <c r="E125" s="74" t="str">
        <f>IF($N125="","",INDEX(Azioni!$E:$E,$N125)&amp;"")</f>
        <v/>
      </c>
      <c r="F125" s="74" t="str">
        <f>IF($N125="","",INDEX(Azioni!$F:$F,$N125)&amp;"")</f>
        <v/>
      </c>
      <c r="G125" s="74" t="str">
        <f>IF($N125="","",INDEX(Azioni!$I:$I,$N125)&amp;"")</f>
        <v/>
      </c>
      <c r="H125" s="76" t="str">
        <f>IF($N125="","",IF(INDEX(Azioni!$J:$J,$N125)="","",INDEX(Azioni!$J:$J,$N125)))</f>
        <v/>
      </c>
      <c r="I125" s="76" t="str">
        <f>IF(OR($N125="",H125=""),"",IF(OR(G125="Approvata",G125="In corso"),EDATE(H125,N(INDEX(Azioni!$G:$G,$N125))),""))</f>
        <v/>
      </c>
      <c r="J125" s="74"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74" t="str">
        <f>IF($N126="","",INDEX(Azioni!$A:$A,$N126)&amp;"")</f>
        <v/>
      </c>
      <c r="B126" s="74" t="str">
        <f>IF($N126="","",INDEX(Azioni!$B:$B,$N126)&amp;"")</f>
        <v/>
      </c>
      <c r="C126" s="74" t="str">
        <f>IF($N126="","",INDEX(Azioni!$C:$C,$N126)&amp;"")</f>
        <v/>
      </c>
      <c r="D126" s="75" t="str">
        <f>IF($N126="","",INDEX(Azioni!$D:$D,$N126)&amp;"")</f>
        <v/>
      </c>
      <c r="E126" s="74" t="str">
        <f>IF($N126="","",INDEX(Azioni!$E:$E,$N126)&amp;"")</f>
        <v/>
      </c>
      <c r="F126" s="74" t="str">
        <f>IF($N126="","",INDEX(Azioni!$F:$F,$N126)&amp;"")</f>
        <v/>
      </c>
      <c r="G126" s="74" t="str">
        <f>IF($N126="","",INDEX(Azioni!$I:$I,$N126)&amp;"")</f>
        <v/>
      </c>
      <c r="H126" s="76" t="str">
        <f>IF($N126="","",IF(INDEX(Azioni!$J:$J,$N126)="","",INDEX(Azioni!$J:$J,$N126)))</f>
        <v/>
      </c>
      <c r="I126" s="76" t="str">
        <f>IF(OR($N126="",H126=""),"",IF(OR(G126="Approvata",G126="In corso"),EDATE(H126,N(INDEX(Azioni!$G:$G,$N126))),""))</f>
        <v/>
      </c>
      <c r="J126" s="74"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74" t="str">
        <f>IF($N127="","",INDEX(Azioni!$A:$A,$N127)&amp;"")</f>
        <v/>
      </c>
      <c r="B127" s="74" t="str">
        <f>IF($N127="","",INDEX(Azioni!$B:$B,$N127)&amp;"")</f>
        <v/>
      </c>
      <c r="C127" s="74" t="str">
        <f>IF($N127="","",INDEX(Azioni!$C:$C,$N127)&amp;"")</f>
        <v/>
      </c>
      <c r="D127" s="75" t="str">
        <f>IF($N127="","",INDEX(Azioni!$D:$D,$N127)&amp;"")</f>
        <v/>
      </c>
      <c r="E127" s="74" t="str">
        <f>IF($N127="","",INDEX(Azioni!$E:$E,$N127)&amp;"")</f>
        <v/>
      </c>
      <c r="F127" s="74" t="str">
        <f>IF($N127="","",INDEX(Azioni!$F:$F,$N127)&amp;"")</f>
        <v/>
      </c>
      <c r="G127" s="74" t="str">
        <f>IF($N127="","",INDEX(Azioni!$I:$I,$N127)&amp;"")</f>
        <v/>
      </c>
      <c r="H127" s="76" t="str">
        <f>IF($N127="","",IF(INDEX(Azioni!$J:$J,$N127)="","",INDEX(Azioni!$J:$J,$N127)))</f>
        <v/>
      </c>
      <c r="I127" s="76" t="str">
        <f>IF(OR($N127="",H127=""),"",IF(OR(G127="Approvata",G127="In corso"),EDATE(H127,N(INDEX(Azioni!$G:$G,$N127))),""))</f>
        <v/>
      </c>
      <c r="J127" s="74"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74" t="str">
        <f>IF($N128="","",INDEX(Azioni!$A:$A,$N128)&amp;"")</f>
        <v/>
      </c>
      <c r="B128" s="74" t="str">
        <f>IF($N128="","",INDEX(Azioni!$B:$B,$N128)&amp;"")</f>
        <v/>
      </c>
      <c r="C128" s="74" t="str">
        <f>IF($N128="","",INDEX(Azioni!$C:$C,$N128)&amp;"")</f>
        <v/>
      </c>
      <c r="D128" s="75" t="str">
        <f>IF($N128="","",INDEX(Azioni!$D:$D,$N128)&amp;"")</f>
        <v/>
      </c>
      <c r="E128" s="74" t="str">
        <f>IF($N128="","",INDEX(Azioni!$E:$E,$N128)&amp;"")</f>
        <v/>
      </c>
      <c r="F128" s="74" t="str">
        <f>IF($N128="","",INDEX(Azioni!$F:$F,$N128)&amp;"")</f>
        <v/>
      </c>
      <c r="G128" s="74" t="str">
        <f>IF($N128="","",INDEX(Azioni!$I:$I,$N128)&amp;"")</f>
        <v/>
      </c>
      <c r="H128" s="76" t="str">
        <f>IF($N128="","",IF(INDEX(Azioni!$J:$J,$N128)="","",INDEX(Azioni!$J:$J,$N128)))</f>
        <v/>
      </c>
      <c r="I128" s="76" t="str">
        <f>IF(OR($N128="",H128=""),"",IF(OR(G128="Approvata",G128="In corso"),EDATE(H128,N(INDEX(Azioni!$G:$G,$N128))),""))</f>
        <v/>
      </c>
      <c r="J128" s="74"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74" t="str">
        <f>IF($N129="","",INDEX(Azioni!$A:$A,$N129)&amp;"")</f>
        <v/>
      </c>
      <c r="B129" s="74" t="str">
        <f>IF($N129="","",INDEX(Azioni!$B:$B,$N129)&amp;"")</f>
        <v/>
      </c>
      <c r="C129" s="74" t="str">
        <f>IF($N129="","",INDEX(Azioni!$C:$C,$N129)&amp;"")</f>
        <v/>
      </c>
      <c r="D129" s="75" t="str">
        <f>IF($N129="","",INDEX(Azioni!$D:$D,$N129)&amp;"")</f>
        <v/>
      </c>
      <c r="E129" s="74" t="str">
        <f>IF($N129="","",INDEX(Azioni!$E:$E,$N129)&amp;"")</f>
        <v/>
      </c>
      <c r="F129" s="74" t="str">
        <f>IF($N129="","",INDEX(Azioni!$F:$F,$N129)&amp;"")</f>
        <v/>
      </c>
      <c r="G129" s="74" t="str">
        <f>IF($N129="","",INDEX(Azioni!$I:$I,$N129)&amp;"")</f>
        <v/>
      </c>
      <c r="H129" s="76" t="str">
        <f>IF($N129="","",IF(INDEX(Azioni!$J:$J,$N129)="","",INDEX(Azioni!$J:$J,$N129)))</f>
        <v/>
      </c>
      <c r="I129" s="76" t="str">
        <f>IF(OR($N129="",H129=""),"",IF(OR(G129="Approvata",G129="In corso"),EDATE(H129,N(INDEX(Azioni!$G:$G,$N129))),""))</f>
        <v/>
      </c>
      <c r="J129" s="74"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74" t="str">
        <f>IF($N130="","",INDEX(Azioni!$A:$A,$N130)&amp;"")</f>
        <v/>
      </c>
      <c r="B130" s="74" t="str">
        <f>IF($N130="","",INDEX(Azioni!$B:$B,$N130)&amp;"")</f>
        <v/>
      </c>
      <c r="C130" s="74" t="str">
        <f>IF($N130="","",INDEX(Azioni!$C:$C,$N130)&amp;"")</f>
        <v/>
      </c>
      <c r="D130" s="75" t="str">
        <f>IF($N130="","",INDEX(Azioni!$D:$D,$N130)&amp;"")</f>
        <v/>
      </c>
      <c r="E130" s="74" t="str">
        <f>IF($N130="","",INDEX(Azioni!$E:$E,$N130)&amp;"")</f>
        <v/>
      </c>
      <c r="F130" s="74" t="str">
        <f>IF($N130="","",INDEX(Azioni!$F:$F,$N130)&amp;"")</f>
        <v/>
      </c>
      <c r="G130" s="74" t="str">
        <f>IF($N130="","",INDEX(Azioni!$I:$I,$N130)&amp;"")</f>
        <v/>
      </c>
      <c r="H130" s="76" t="str">
        <f>IF($N130="","",IF(INDEX(Azioni!$J:$J,$N130)="","",INDEX(Azioni!$J:$J,$N130)))</f>
        <v/>
      </c>
      <c r="I130" s="76" t="str">
        <f>IF(OR($N130="",H130=""),"",IF(OR(G130="Approvata",G130="In corso"),EDATE(H130,N(INDEX(Azioni!$G:$G,$N130))),""))</f>
        <v/>
      </c>
      <c r="J130" s="74"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74" t="str">
        <f>IF($N131="","",INDEX(Azioni!$A:$A,$N131)&amp;"")</f>
        <v/>
      </c>
      <c r="B131" s="74" t="str">
        <f>IF($N131="","",INDEX(Azioni!$B:$B,$N131)&amp;"")</f>
        <v/>
      </c>
      <c r="C131" s="74" t="str">
        <f>IF($N131="","",INDEX(Azioni!$C:$C,$N131)&amp;"")</f>
        <v/>
      </c>
      <c r="D131" s="75" t="str">
        <f>IF($N131="","",INDEX(Azioni!$D:$D,$N131)&amp;"")</f>
        <v/>
      </c>
      <c r="E131" s="74" t="str">
        <f>IF($N131="","",INDEX(Azioni!$E:$E,$N131)&amp;"")</f>
        <v/>
      </c>
      <c r="F131" s="74" t="str">
        <f>IF($N131="","",INDEX(Azioni!$F:$F,$N131)&amp;"")</f>
        <v/>
      </c>
      <c r="G131" s="74" t="str">
        <f>IF($N131="","",INDEX(Azioni!$I:$I,$N131)&amp;"")</f>
        <v/>
      </c>
      <c r="H131" s="76" t="str">
        <f>IF($N131="","",IF(INDEX(Azioni!$J:$J,$N131)="","",INDEX(Azioni!$J:$J,$N131)))</f>
        <v/>
      </c>
      <c r="I131" s="76" t="str">
        <f>IF(OR($N131="",H131=""),"",IF(OR(G131="Approvata",G131="In corso"),EDATE(H131,N(INDEX(Azioni!$G:$G,$N131))),""))</f>
        <v/>
      </c>
      <c r="J131" s="74"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74" t="str">
        <f>IF($N132="","",INDEX(Azioni!$A:$A,$N132)&amp;"")</f>
        <v/>
      </c>
      <c r="B132" s="74" t="str">
        <f>IF($N132="","",INDEX(Azioni!$B:$B,$N132)&amp;"")</f>
        <v/>
      </c>
      <c r="C132" s="74" t="str">
        <f>IF($N132="","",INDEX(Azioni!$C:$C,$N132)&amp;"")</f>
        <v/>
      </c>
      <c r="D132" s="75" t="str">
        <f>IF($N132="","",INDEX(Azioni!$D:$D,$N132)&amp;"")</f>
        <v/>
      </c>
      <c r="E132" s="74" t="str">
        <f>IF($N132="","",INDEX(Azioni!$E:$E,$N132)&amp;"")</f>
        <v/>
      </c>
      <c r="F132" s="74" t="str">
        <f>IF($N132="","",INDEX(Azioni!$F:$F,$N132)&amp;"")</f>
        <v/>
      </c>
      <c r="G132" s="74" t="str">
        <f>IF($N132="","",INDEX(Azioni!$I:$I,$N132)&amp;"")</f>
        <v/>
      </c>
      <c r="H132" s="76" t="str">
        <f>IF($N132="","",IF(INDEX(Azioni!$J:$J,$N132)="","",INDEX(Azioni!$J:$J,$N132)))</f>
        <v/>
      </c>
      <c r="I132" s="76" t="str">
        <f>IF(OR($N132="",H132=""),"",IF(OR(G132="Approvata",G132="In corso"),EDATE(H132,N(INDEX(Azioni!$G:$G,$N132))),""))</f>
        <v/>
      </c>
      <c r="J132" s="74"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74" t="str">
        <f>IF($N133="","",INDEX(Azioni!$A:$A,$N133)&amp;"")</f>
        <v/>
      </c>
      <c r="B133" s="74" t="str">
        <f>IF($N133="","",INDEX(Azioni!$B:$B,$N133)&amp;"")</f>
        <v/>
      </c>
      <c r="C133" s="74" t="str">
        <f>IF($N133="","",INDEX(Azioni!$C:$C,$N133)&amp;"")</f>
        <v/>
      </c>
      <c r="D133" s="75" t="str">
        <f>IF($N133="","",INDEX(Azioni!$D:$D,$N133)&amp;"")</f>
        <v/>
      </c>
      <c r="E133" s="74" t="str">
        <f>IF($N133="","",INDEX(Azioni!$E:$E,$N133)&amp;"")</f>
        <v/>
      </c>
      <c r="F133" s="74" t="str">
        <f>IF($N133="","",INDEX(Azioni!$F:$F,$N133)&amp;"")</f>
        <v/>
      </c>
      <c r="G133" s="74" t="str">
        <f>IF($N133="","",INDEX(Azioni!$I:$I,$N133)&amp;"")</f>
        <v/>
      </c>
      <c r="H133" s="76" t="str">
        <f>IF($N133="","",IF(INDEX(Azioni!$J:$J,$N133)="","",INDEX(Azioni!$J:$J,$N133)))</f>
        <v/>
      </c>
      <c r="I133" s="76" t="str">
        <f>IF(OR($N133="",H133=""),"",IF(OR(G133="Approvata",G133="In corso"),EDATE(H133,N(INDEX(Azioni!$G:$G,$N133))),""))</f>
        <v/>
      </c>
      <c r="J133" s="74"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74" t="str">
        <f>IF($N134="","",INDEX(Azioni!$A:$A,$N134)&amp;"")</f>
        <v/>
      </c>
      <c r="B134" s="74" t="str">
        <f>IF($N134="","",INDEX(Azioni!$B:$B,$N134)&amp;"")</f>
        <v/>
      </c>
      <c r="C134" s="74" t="str">
        <f>IF($N134="","",INDEX(Azioni!$C:$C,$N134)&amp;"")</f>
        <v/>
      </c>
      <c r="D134" s="75" t="str">
        <f>IF($N134="","",INDEX(Azioni!$D:$D,$N134)&amp;"")</f>
        <v/>
      </c>
      <c r="E134" s="74" t="str">
        <f>IF($N134="","",INDEX(Azioni!$E:$E,$N134)&amp;"")</f>
        <v/>
      </c>
      <c r="F134" s="74" t="str">
        <f>IF($N134="","",INDEX(Azioni!$F:$F,$N134)&amp;"")</f>
        <v/>
      </c>
      <c r="G134" s="74" t="str">
        <f>IF($N134="","",INDEX(Azioni!$I:$I,$N134)&amp;"")</f>
        <v/>
      </c>
      <c r="H134" s="76" t="str">
        <f>IF($N134="","",IF(INDEX(Azioni!$J:$J,$N134)="","",INDEX(Azioni!$J:$J,$N134)))</f>
        <v/>
      </c>
      <c r="I134" s="76" t="str">
        <f>IF(OR($N134="",H134=""),"",IF(OR(G134="Approvata",G134="In corso"),EDATE(H134,N(INDEX(Azioni!$G:$G,$N134))),""))</f>
        <v/>
      </c>
      <c r="J134" s="74"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74" t="str">
        <f>IF($N135="","",INDEX(Azioni!$A:$A,$N135)&amp;"")</f>
        <v/>
      </c>
      <c r="B135" s="74" t="str">
        <f>IF($N135="","",INDEX(Azioni!$B:$B,$N135)&amp;"")</f>
        <v/>
      </c>
      <c r="C135" s="74" t="str">
        <f>IF($N135="","",INDEX(Azioni!$C:$C,$N135)&amp;"")</f>
        <v/>
      </c>
      <c r="D135" s="75" t="str">
        <f>IF($N135="","",INDEX(Azioni!$D:$D,$N135)&amp;"")</f>
        <v/>
      </c>
      <c r="E135" s="74" t="str">
        <f>IF($N135="","",INDEX(Azioni!$E:$E,$N135)&amp;"")</f>
        <v/>
      </c>
      <c r="F135" s="74" t="str">
        <f>IF($N135="","",INDEX(Azioni!$F:$F,$N135)&amp;"")</f>
        <v/>
      </c>
      <c r="G135" s="74" t="str">
        <f>IF($N135="","",INDEX(Azioni!$I:$I,$N135)&amp;"")</f>
        <v/>
      </c>
      <c r="H135" s="76" t="str">
        <f>IF($N135="","",IF(INDEX(Azioni!$J:$J,$N135)="","",INDEX(Azioni!$J:$J,$N135)))</f>
        <v/>
      </c>
      <c r="I135" s="76" t="str">
        <f>IF(OR($N135="",H135=""),"",IF(OR(G135="Approvata",G135="In corso"),EDATE(H135,N(INDEX(Azioni!$G:$G,$N135))),""))</f>
        <v/>
      </c>
      <c r="J135" s="74"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74" t="str">
        <f>IF($N136="","",INDEX(Azioni!$A:$A,$N136)&amp;"")</f>
        <v/>
      </c>
      <c r="B136" s="74" t="str">
        <f>IF($N136="","",INDEX(Azioni!$B:$B,$N136)&amp;"")</f>
        <v/>
      </c>
      <c r="C136" s="74" t="str">
        <f>IF($N136="","",INDEX(Azioni!$C:$C,$N136)&amp;"")</f>
        <v/>
      </c>
      <c r="D136" s="75" t="str">
        <f>IF($N136="","",INDEX(Azioni!$D:$D,$N136)&amp;"")</f>
        <v/>
      </c>
      <c r="E136" s="74" t="str">
        <f>IF($N136="","",INDEX(Azioni!$E:$E,$N136)&amp;"")</f>
        <v/>
      </c>
      <c r="F136" s="74" t="str">
        <f>IF($N136="","",INDEX(Azioni!$F:$F,$N136)&amp;"")</f>
        <v/>
      </c>
      <c r="G136" s="74" t="str">
        <f>IF($N136="","",INDEX(Azioni!$I:$I,$N136)&amp;"")</f>
        <v/>
      </c>
      <c r="H136" s="76" t="str">
        <f>IF($N136="","",IF(INDEX(Azioni!$J:$J,$N136)="","",INDEX(Azioni!$J:$J,$N136)))</f>
        <v/>
      </c>
      <c r="I136" s="76" t="str">
        <f>IF(OR($N136="",H136=""),"",IF(OR(G136="Approvata",G136="In corso"),EDATE(H136,N(INDEX(Azioni!$G:$G,$N136))),""))</f>
        <v/>
      </c>
      <c r="J136" s="74"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74" t="str">
        <f>IF($N137="","",INDEX(Azioni!$A:$A,$N137)&amp;"")</f>
        <v/>
      </c>
      <c r="B137" s="74" t="str">
        <f>IF($N137="","",INDEX(Azioni!$B:$B,$N137)&amp;"")</f>
        <v/>
      </c>
      <c r="C137" s="74" t="str">
        <f>IF($N137="","",INDEX(Azioni!$C:$C,$N137)&amp;"")</f>
        <v/>
      </c>
      <c r="D137" s="75" t="str">
        <f>IF($N137="","",INDEX(Azioni!$D:$D,$N137)&amp;"")</f>
        <v/>
      </c>
      <c r="E137" s="74" t="str">
        <f>IF($N137="","",INDEX(Azioni!$E:$E,$N137)&amp;"")</f>
        <v/>
      </c>
      <c r="F137" s="74" t="str">
        <f>IF($N137="","",INDEX(Azioni!$F:$F,$N137)&amp;"")</f>
        <v/>
      </c>
      <c r="G137" s="74" t="str">
        <f>IF($N137="","",INDEX(Azioni!$I:$I,$N137)&amp;"")</f>
        <v/>
      </c>
      <c r="H137" s="76" t="str">
        <f>IF($N137="","",IF(INDEX(Azioni!$J:$J,$N137)="","",INDEX(Azioni!$J:$J,$N137)))</f>
        <v/>
      </c>
      <c r="I137" s="76" t="str">
        <f>IF(OR($N137="",H137=""),"",IF(OR(G137="Approvata",G137="In corso"),EDATE(H137,N(INDEX(Azioni!$G:$G,$N137))),""))</f>
        <v/>
      </c>
      <c r="J137" s="74"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74" t="str">
        <f>IF($N138="","",INDEX(Azioni!$A:$A,$N138)&amp;"")</f>
        <v/>
      </c>
      <c r="B138" s="74" t="str">
        <f>IF($N138="","",INDEX(Azioni!$B:$B,$N138)&amp;"")</f>
        <v/>
      </c>
      <c r="C138" s="74" t="str">
        <f>IF($N138="","",INDEX(Azioni!$C:$C,$N138)&amp;"")</f>
        <v/>
      </c>
      <c r="D138" s="75" t="str">
        <f>IF($N138="","",INDEX(Azioni!$D:$D,$N138)&amp;"")</f>
        <v/>
      </c>
      <c r="E138" s="74" t="str">
        <f>IF($N138="","",INDEX(Azioni!$E:$E,$N138)&amp;"")</f>
        <v/>
      </c>
      <c r="F138" s="74" t="str">
        <f>IF($N138="","",INDEX(Azioni!$F:$F,$N138)&amp;"")</f>
        <v/>
      </c>
      <c r="G138" s="74" t="str">
        <f>IF($N138="","",INDEX(Azioni!$I:$I,$N138)&amp;"")</f>
        <v/>
      </c>
      <c r="H138" s="76" t="str">
        <f>IF($N138="","",IF(INDEX(Azioni!$J:$J,$N138)="","",INDEX(Azioni!$J:$J,$N138)))</f>
        <v/>
      </c>
      <c r="I138" s="76" t="str">
        <f>IF(OR($N138="",H138=""),"",IF(OR(G138="Approvata",G138="In corso"),EDATE(H138,N(INDEX(Azioni!$G:$G,$N138))),""))</f>
        <v/>
      </c>
      <c r="J138" s="74"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74" t="str">
        <f>IF($N139="","",INDEX(Azioni!$A:$A,$N139)&amp;"")</f>
        <v/>
      </c>
      <c r="B139" s="74" t="str">
        <f>IF($N139="","",INDEX(Azioni!$B:$B,$N139)&amp;"")</f>
        <v/>
      </c>
      <c r="C139" s="74" t="str">
        <f>IF($N139="","",INDEX(Azioni!$C:$C,$N139)&amp;"")</f>
        <v/>
      </c>
      <c r="D139" s="75" t="str">
        <f>IF($N139="","",INDEX(Azioni!$D:$D,$N139)&amp;"")</f>
        <v/>
      </c>
      <c r="E139" s="74" t="str">
        <f>IF($N139="","",INDEX(Azioni!$E:$E,$N139)&amp;"")</f>
        <v/>
      </c>
      <c r="F139" s="74" t="str">
        <f>IF($N139="","",INDEX(Azioni!$F:$F,$N139)&amp;"")</f>
        <v/>
      </c>
      <c r="G139" s="74" t="str">
        <f>IF($N139="","",INDEX(Azioni!$I:$I,$N139)&amp;"")</f>
        <v/>
      </c>
      <c r="H139" s="76" t="str">
        <f>IF($N139="","",IF(INDEX(Azioni!$J:$J,$N139)="","",INDEX(Azioni!$J:$J,$N139)))</f>
        <v/>
      </c>
      <c r="I139" s="76" t="str">
        <f>IF(OR($N139="",H139=""),"",IF(OR(G139="Approvata",G139="In corso"),EDATE(H139,N(INDEX(Azioni!$G:$G,$N139))),""))</f>
        <v/>
      </c>
      <c r="J139" s="74"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74" t="str">
        <f>IF($N140="","",INDEX(Azioni!$A:$A,$N140)&amp;"")</f>
        <v/>
      </c>
      <c r="B140" s="74" t="str">
        <f>IF($N140="","",INDEX(Azioni!$B:$B,$N140)&amp;"")</f>
        <v/>
      </c>
      <c r="C140" s="74" t="str">
        <f>IF($N140="","",INDEX(Azioni!$C:$C,$N140)&amp;"")</f>
        <v/>
      </c>
      <c r="D140" s="75" t="str">
        <f>IF($N140="","",INDEX(Azioni!$D:$D,$N140)&amp;"")</f>
        <v/>
      </c>
      <c r="E140" s="74" t="str">
        <f>IF($N140="","",INDEX(Azioni!$E:$E,$N140)&amp;"")</f>
        <v/>
      </c>
      <c r="F140" s="74" t="str">
        <f>IF($N140="","",INDEX(Azioni!$F:$F,$N140)&amp;"")</f>
        <v/>
      </c>
      <c r="G140" s="74" t="str">
        <f>IF($N140="","",INDEX(Azioni!$I:$I,$N140)&amp;"")</f>
        <v/>
      </c>
      <c r="H140" s="76" t="str">
        <f>IF($N140="","",IF(INDEX(Azioni!$J:$J,$N140)="","",INDEX(Azioni!$J:$J,$N140)))</f>
        <v/>
      </c>
      <c r="I140" s="76" t="str">
        <f>IF(OR($N140="",H140=""),"",IF(OR(G140="Approvata",G140="In corso"),EDATE(H140,N(INDEX(Azioni!$G:$G,$N140))),""))</f>
        <v/>
      </c>
      <c r="J140" s="74"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74" t="str">
        <f>IF($N141="","",INDEX(Azioni!$A:$A,$N141)&amp;"")</f>
        <v/>
      </c>
      <c r="B141" s="74" t="str">
        <f>IF($N141="","",INDEX(Azioni!$B:$B,$N141)&amp;"")</f>
        <v/>
      </c>
      <c r="C141" s="74" t="str">
        <f>IF($N141="","",INDEX(Azioni!$C:$C,$N141)&amp;"")</f>
        <v/>
      </c>
      <c r="D141" s="75" t="str">
        <f>IF($N141="","",INDEX(Azioni!$D:$D,$N141)&amp;"")</f>
        <v/>
      </c>
      <c r="E141" s="74" t="str">
        <f>IF($N141="","",INDEX(Azioni!$E:$E,$N141)&amp;"")</f>
        <v/>
      </c>
      <c r="F141" s="74" t="str">
        <f>IF($N141="","",INDEX(Azioni!$F:$F,$N141)&amp;"")</f>
        <v/>
      </c>
      <c r="G141" s="74" t="str">
        <f>IF($N141="","",INDEX(Azioni!$I:$I,$N141)&amp;"")</f>
        <v/>
      </c>
      <c r="H141" s="76" t="str">
        <f>IF($N141="","",IF(INDEX(Azioni!$J:$J,$N141)="","",INDEX(Azioni!$J:$J,$N141)))</f>
        <v/>
      </c>
      <c r="I141" s="76" t="str">
        <f>IF(OR($N141="",H141=""),"",IF(OR(G141="Approvata",G141="In corso"),EDATE(H141,N(INDEX(Azioni!$G:$G,$N141))),""))</f>
        <v/>
      </c>
      <c r="J141" s="74"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74" t="str">
        <f>IF($N142="","",INDEX(Azioni!$A:$A,$N142)&amp;"")</f>
        <v/>
      </c>
      <c r="B142" s="74" t="str">
        <f>IF($N142="","",INDEX(Azioni!$B:$B,$N142)&amp;"")</f>
        <v/>
      </c>
      <c r="C142" s="74" t="str">
        <f>IF($N142="","",INDEX(Azioni!$C:$C,$N142)&amp;"")</f>
        <v/>
      </c>
      <c r="D142" s="75" t="str">
        <f>IF($N142="","",INDEX(Azioni!$D:$D,$N142)&amp;"")</f>
        <v/>
      </c>
      <c r="E142" s="74" t="str">
        <f>IF($N142="","",INDEX(Azioni!$E:$E,$N142)&amp;"")</f>
        <v/>
      </c>
      <c r="F142" s="74" t="str">
        <f>IF($N142="","",INDEX(Azioni!$F:$F,$N142)&amp;"")</f>
        <v/>
      </c>
      <c r="G142" s="74" t="str">
        <f>IF($N142="","",INDEX(Azioni!$I:$I,$N142)&amp;"")</f>
        <v/>
      </c>
      <c r="H142" s="76" t="str">
        <f>IF($N142="","",IF(INDEX(Azioni!$J:$J,$N142)="","",INDEX(Azioni!$J:$J,$N142)))</f>
        <v/>
      </c>
      <c r="I142" s="76" t="str">
        <f>IF(OR($N142="",H142=""),"",IF(OR(G142="Approvata",G142="In corso"),EDATE(H142,N(INDEX(Azioni!$G:$G,$N142))),""))</f>
        <v/>
      </c>
      <c r="J142" s="74"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74" t="str">
        <f>IF($N143="","",INDEX(Azioni!$A:$A,$N143)&amp;"")</f>
        <v/>
      </c>
      <c r="B143" s="74" t="str">
        <f>IF($N143="","",INDEX(Azioni!$B:$B,$N143)&amp;"")</f>
        <v/>
      </c>
      <c r="C143" s="74" t="str">
        <f>IF($N143="","",INDEX(Azioni!$C:$C,$N143)&amp;"")</f>
        <v/>
      </c>
      <c r="D143" s="75" t="str">
        <f>IF($N143="","",INDEX(Azioni!$D:$D,$N143)&amp;"")</f>
        <v/>
      </c>
      <c r="E143" s="74" t="str">
        <f>IF($N143="","",INDEX(Azioni!$E:$E,$N143)&amp;"")</f>
        <v/>
      </c>
      <c r="F143" s="74" t="str">
        <f>IF($N143="","",INDEX(Azioni!$F:$F,$N143)&amp;"")</f>
        <v/>
      </c>
      <c r="G143" s="74" t="str">
        <f>IF($N143="","",INDEX(Azioni!$I:$I,$N143)&amp;"")</f>
        <v/>
      </c>
      <c r="H143" s="76" t="str">
        <f>IF($N143="","",IF(INDEX(Azioni!$J:$J,$N143)="","",INDEX(Azioni!$J:$J,$N143)))</f>
        <v/>
      </c>
      <c r="I143" s="76" t="str">
        <f>IF(OR($N143="",H143=""),"",IF(OR(G143="Approvata",G143="In corso"),EDATE(H143,N(INDEX(Azioni!$G:$G,$N143))),""))</f>
        <v/>
      </c>
      <c r="J143" s="74"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74" t="str">
        <f>IF($N144="","",INDEX(Azioni!$A:$A,$N144)&amp;"")</f>
        <v/>
      </c>
      <c r="B144" s="74" t="str">
        <f>IF($N144="","",INDEX(Azioni!$B:$B,$N144)&amp;"")</f>
        <v/>
      </c>
      <c r="C144" s="74" t="str">
        <f>IF($N144="","",INDEX(Azioni!$C:$C,$N144)&amp;"")</f>
        <v/>
      </c>
      <c r="D144" s="75" t="str">
        <f>IF($N144="","",INDEX(Azioni!$D:$D,$N144)&amp;"")</f>
        <v/>
      </c>
      <c r="E144" s="74" t="str">
        <f>IF($N144="","",INDEX(Azioni!$E:$E,$N144)&amp;"")</f>
        <v/>
      </c>
      <c r="F144" s="74" t="str">
        <f>IF($N144="","",INDEX(Azioni!$F:$F,$N144)&amp;"")</f>
        <v/>
      </c>
      <c r="G144" s="74" t="str">
        <f>IF($N144="","",INDEX(Azioni!$I:$I,$N144)&amp;"")</f>
        <v/>
      </c>
      <c r="H144" s="76" t="str">
        <f>IF($N144="","",IF(INDEX(Azioni!$J:$J,$N144)="","",INDEX(Azioni!$J:$J,$N144)))</f>
        <v/>
      </c>
      <c r="I144" s="76" t="str">
        <f>IF(OR($N144="",H144=""),"",IF(OR(G144="Approvata",G144="In corso"),EDATE(H144,N(INDEX(Azioni!$G:$G,$N144))),""))</f>
        <v/>
      </c>
      <c r="J144" s="74"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74" t="str">
        <f>IF($N145="","",INDEX(Azioni!$A:$A,$N145)&amp;"")</f>
        <v/>
      </c>
      <c r="B145" s="74" t="str">
        <f>IF($N145="","",INDEX(Azioni!$B:$B,$N145)&amp;"")</f>
        <v/>
      </c>
      <c r="C145" s="74" t="str">
        <f>IF($N145="","",INDEX(Azioni!$C:$C,$N145)&amp;"")</f>
        <v/>
      </c>
      <c r="D145" s="75" t="str">
        <f>IF($N145="","",INDEX(Azioni!$D:$D,$N145)&amp;"")</f>
        <v/>
      </c>
      <c r="E145" s="74" t="str">
        <f>IF($N145="","",INDEX(Azioni!$E:$E,$N145)&amp;"")</f>
        <v/>
      </c>
      <c r="F145" s="74" t="str">
        <f>IF($N145="","",INDEX(Azioni!$F:$F,$N145)&amp;"")</f>
        <v/>
      </c>
      <c r="G145" s="74" t="str">
        <f>IF($N145="","",INDEX(Azioni!$I:$I,$N145)&amp;"")</f>
        <v/>
      </c>
      <c r="H145" s="76" t="str">
        <f>IF($N145="","",IF(INDEX(Azioni!$J:$J,$N145)="","",INDEX(Azioni!$J:$J,$N145)))</f>
        <v/>
      </c>
      <c r="I145" s="76" t="str">
        <f>IF(OR($N145="",H145=""),"",IF(OR(G145="Approvata",G145="In corso"),EDATE(H145,N(INDEX(Azioni!$G:$G,$N145))),""))</f>
        <v/>
      </c>
      <c r="J145" s="74"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74" t="str">
        <f>IF($N146="","",INDEX(Azioni!$A:$A,$N146)&amp;"")</f>
        <v/>
      </c>
      <c r="B146" s="74" t="str">
        <f>IF($N146="","",INDEX(Azioni!$B:$B,$N146)&amp;"")</f>
        <v/>
      </c>
      <c r="C146" s="74" t="str">
        <f>IF($N146="","",INDEX(Azioni!$C:$C,$N146)&amp;"")</f>
        <v/>
      </c>
      <c r="D146" s="75" t="str">
        <f>IF($N146="","",INDEX(Azioni!$D:$D,$N146)&amp;"")</f>
        <v/>
      </c>
      <c r="E146" s="74" t="str">
        <f>IF($N146="","",INDEX(Azioni!$E:$E,$N146)&amp;"")</f>
        <v/>
      </c>
      <c r="F146" s="74" t="str">
        <f>IF($N146="","",INDEX(Azioni!$F:$F,$N146)&amp;"")</f>
        <v/>
      </c>
      <c r="G146" s="74" t="str">
        <f>IF($N146="","",INDEX(Azioni!$I:$I,$N146)&amp;"")</f>
        <v/>
      </c>
      <c r="H146" s="76" t="str">
        <f>IF($N146="","",IF(INDEX(Azioni!$J:$J,$N146)="","",INDEX(Azioni!$J:$J,$N146)))</f>
        <v/>
      </c>
      <c r="I146" s="76" t="str">
        <f>IF(OR($N146="",H146=""),"",IF(OR(G146="Approvata",G146="In corso"),EDATE(H146,N(INDEX(Azioni!$G:$G,$N146))),""))</f>
        <v/>
      </c>
      <c r="J146" s="74"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74" t="str">
        <f>IF($N147="","",INDEX(Azioni!$A:$A,$N147)&amp;"")</f>
        <v/>
      </c>
      <c r="B147" s="74" t="str">
        <f>IF($N147="","",INDEX(Azioni!$B:$B,$N147)&amp;"")</f>
        <v/>
      </c>
      <c r="C147" s="74" t="str">
        <f>IF($N147="","",INDEX(Azioni!$C:$C,$N147)&amp;"")</f>
        <v/>
      </c>
      <c r="D147" s="75" t="str">
        <f>IF($N147="","",INDEX(Azioni!$D:$D,$N147)&amp;"")</f>
        <v/>
      </c>
      <c r="E147" s="74" t="str">
        <f>IF($N147="","",INDEX(Azioni!$E:$E,$N147)&amp;"")</f>
        <v/>
      </c>
      <c r="F147" s="74" t="str">
        <f>IF($N147="","",INDEX(Azioni!$F:$F,$N147)&amp;"")</f>
        <v/>
      </c>
      <c r="G147" s="74" t="str">
        <f>IF($N147="","",INDEX(Azioni!$I:$I,$N147)&amp;"")</f>
        <v/>
      </c>
      <c r="H147" s="76" t="str">
        <f>IF($N147="","",IF(INDEX(Azioni!$J:$J,$N147)="","",INDEX(Azioni!$J:$J,$N147)))</f>
        <v/>
      </c>
      <c r="I147" s="76" t="str">
        <f>IF(OR($N147="",H147=""),"",IF(OR(G147="Approvata",G147="In corso"),EDATE(H147,N(INDEX(Azioni!$G:$G,$N147))),""))</f>
        <v/>
      </c>
      <c r="J147" s="74"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74" t="str">
        <f>IF($N148="","",INDEX(Azioni!$A:$A,$N148)&amp;"")</f>
        <v/>
      </c>
      <c r="B148" s="74" t="str">
        <f>IF($N148="","",INDEX(Azioni!$B:$B,$N148)&amp;"")</f>
        <v/>
      </c>
      <c r="C148" s="74" t="str">
        <f>IF($N148="","",INDEX(Azioni!$C:$C,$N148)&amp;"")</f>
        <v/>
      </c>
      <c r="D148" s="75" t="str">
        <f>IF($N148="","",INDEX(Azioni!$D:$D,$N148)&amp;"")</f>
        <v/>
      </c>
      <c r="E148" s="74" t="str">
        <f>IF($N148="","",INDEX(Azioni!$E:$E,$N148)&amp;"")</f>
        <v/>
      </c>
      <c r="F148" s="74" t="str">
        <f>IF($N148="","",INDEX(Azioni!$F:$F,$N148)&amp;"")</f>
        <v/>
      </c>
      <c r="G148" s="74" t="str">
        <f>IF($N148="","",INDEX(Azioni!$I:$I,$N148)&amp;"")</f>
        <v/>
      </c>
      <c r="H148" s="76" t="str">
        <f>IF($N148="","",IF(INDEX(Azioni!$J:$J,$N148)="","",INDEX(Azioni!$J:$J,$N148)))</f>
        <v/>
      </c>
      <c r="I148" s="76" t="str">
        <f>IF(OR($N148="",H148=""),"",IF(OR(G148="Approvata",G148="In corso"),EDATE(H148,N(INDEX(Azioni!$G:$G,$N148))),""))</f>
        <v/>
      </c>
      <c r="J148" s="74"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74" t="str">
        <f>IF($N149="","",INDEX(Azioni!$A:$A,$N149)&amp;"")</f>
        <v/>
      </c>
      <c r="B149" s="74" t="str">
        <f>IF($N149="","",INDEX(Azioni!$B:$B,$N149)&amp;"")</f>
        <v/>
      </c>
      <c r="C149" s="74" t="str">
        <f>IF($N149="","",INDEX(Azioni!$C:$C,$N149)&amp;"")</f>
        <v/>
      </c>
      <c r="D149" s="75" t="str">
        <f>IF($N149="","",INDEX(Azioni!$D:$D,$N149)&amp;"")</f>
        <v/>
      </c>
      <c r="E149" s="74" t="str">
        <f>IF($N149="","",INDEX(Azioni!$E:$E,$N149)&amp;"")</f>
        <v/>
      </c>
      <c r="F149" s="74" t="str">
        <f>IF($N149="","",INDEX(Azioni!$F:$F,$N149)&amp;"")</f>
        <v/>
      </c>
      <c r="G149" s="74" t="str">
        <f>IF($N149="","",INDEX(Azioni!$I:$I,$N149)&amp;"")</f>
        <v/>
      </c>
      <c r="H149" s="76" t="str">
        <f>IF($N149="","",IF(INDEX(Azioni!$J:$J,$N149)="","",INDEX(Azioni!$J:$J,$N149)))</f>
        <v/>
      </c>
      <c r="I149" s="76" t="str">
        <f>IF(OR($N149="",H149=""),"",IF(OR(G149="Approvata",G149="In corso"),EDATE(H149,N(INDEX(Azioni!$G:$G,$N149))),""))</f>
        <v/>
      </c>
      <c r="J149" s="74"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74" t="str">
        <f>IF($N150="","",INDEX(Azioni!$A:$A,$N150)&amp;"")</f>
        <v/>
      </c>
      <c r="B150" s="74" t="str">
        <f>IF($N150="","",INDEX(Azioni!$B:$B,$N150)&amp;"")</f>
        <v/>
      </c>
      <c r="C150" s="74" t="str">
        <f>IF($N150="","",INDEX(Azioni!$C:$C,$N150)&amp;"")</f>
        <v/>
      </c>
      <c r="D150" s="75" t="str">
        <f>IF($N150="","",INDEX(Azioni!$D:$D,$N150)&amp;"")</f>
        <v/>
      </c>
      <c r="E150" s="74" t="str">
        <f>IF($N150="","",INDEX(Azioni!$E:$E,$N150)&amp;"")</f>
        <v/>
      </c>
      <c r="F150" s="74" t="str">
        <f>IF($N150="","",INDEX(Azioni!$F:$F,$N150)&amp;"")</f>
        <v/>
      </c>
      <c r="G150" s="74" t="str">
        <f>IF($N150="","",INDEX(Azioni!$I:$I,$N150)&amp;"")</f>
        <v/>
      </c>
      <c r="H150" s="76" t="str">
        <f>IF($N150="","",IF(INDEX(Azioni!$J:$J,$N150)="","",INDEX(Azioni!$J:$J,$N150)))</f>
        <v/>
      </c>
      <c r="I150" s="76" t="str">
        <f>IF(OR($N150="",H150=""),"",IF(OR(G150="Approvata",G150="In corso"),EDATE(H150,N(INDEX(Azioni!$G:$G,$N150))),""))</f>
        <v/>
      </c>
      <c r="J150" s="74"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74" t="str">
        <f>IF($N151="","",INDEX(Azioni!$A:$A,$N151)&amp;"")</f>
        <v/>
      </c>
      <c r="B151" s="74" t="str">
        <f>IF($N151="","",INDEX(Azioni!$B:$B,$N151)&amp;"")</f>
        <v/>
      </c>
      <c r="C151" s="74" t="str">
        <f>IF($N151="","",INDEX(Azioni!$C:$C,$N151)&amp;"")</f>
        <v/>
      </c>
      <c r="D151" s="75" t="str">
        <f>IF($N151="","",INDEX(Azioni!$D:$D,$N151)&amp;"")</f>
        <v/>
      </c>
      <c r="E151" s="74" t="str">
        <f>IF($N151="","",INDEX(Azioni!$E:$E,$N151)&amp;"")</f>
        <v/>
      </c>
      <c r="F151" s="74" t="str">
        <f>IF($N151="","",INDEX(Azioni!$F:$F,$N151)&amp;"")</f>
        <v/>
      </c>
      <c r="G151" s="74" t="str">
        <f>IF($N151="","",INDEX(Azioni!$I:$I,$N151)&amp;"")</f>
        <v/>
      </c>
      <c r="H151" s="76" t="str">
        <f>IF($N151="","",IF(INDEX(Azioni!$J:$J,$N151)="","",INDEX(Azioni!$J:$J,$N151)))</f>
        <v/>
      </c>
      <c r="I151" s="76" t="str">
        <f>IF(OR($N151="",H151=""),"",IF(OR(G151="Approvata",G151="In corso"),EDATE(H151,N(INDEX(Azioni!$G:$G,$N151))),""))</f>
        <v/>
      </c>
      <c r="J151" s="74"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74" t="str">
        <f>IF($N152="","",INDEX(Azioni!$A:$A,$N152)&amp;"")</f>
        <v/>
      </c>
      <c r="B152" s="74" t="str">
        <f>IF($N152="","",INDEX(Azioni!$B:$B,$N152)&amp;"")</f>
        <v/>
      </c>
      <c r="C152" s="74" t="str">
        <f>IF($N152="","",INDEX(Azioni!$C:$C,$N152)&amp;"")</f>
        <v/>
      </c>
      <c r="D152" s="75" t="str">
        <f>IF($N152="","",INDEX(Azioni!$D:$D,$N152)&amp;"")</f>
        <v/>
      </c>
      <c r="E152" s="74" t="str">
        <f>IF($N152="","",INDEX(Azioni!$E:$E,$N152)&amp;"")</f>
        <v/>
      </c>
      <c r="F152" s="74" t="str">
        <f>IF($N152="","",INDEX(Azioni!$F:$F,$N152)&amp;"")</f>
        <v/>
      </c>
      <c r="G152" s="74" t="str">
        <f>IF($N152="","",INDEX(Azioni!$I:$I,$N152)&amp;"")</f>
        <v/>
      </c>
      <c r="H152" s="76" t="str">
        <f>IF($N152="","",IF(INDEX(Azioni!$J:$J,$N152)="","",INDEX(Azioni!$J:$J,$N152)))</f>
        <v/>
      </c>
      <c r="I152" s="76" t="str">
        <f>IF(OR($N152="",H152=""),"",IF(OR(G152="Approvata",G152="In corso"),EDATE(H152,N(INDEX(Azioni!$G:$G,$N152))),""))</f>
        <v/>
      </c>
      <c r="J152" s="74"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74" t="str">
        <f>IF($N153="","",INDEX(Azioni!$A:$A,$N153)&amp;"")</f>
        <v/>
      </c>
      <c r="B153" s="74" t="str">
        <f>IF($N153="","",INDEX(Azioni!$B:$B,$N153)&amp;"")</f>
        <v/>
      </c>
      <c r="C153" s="74" t="str">
        <f>IF($N153="","",INDEX(Azioni!$C:$C,$N153)&amp;"")</f>
        <v/>
      </c>
      <c r="D153" s="75" t="str">
        <f>IF($N153="","",INDEX(Azioni!$D:$D,$N153)&amp;"")</f>
        <v/>
      </c>
      <c r="E153" s="74" t="str">
        <f>IF($N153="","",INDEX(Azioni!$E:$E,$N153)&amp;"")</f>
        <v/>
      </c>
      <c r="F153" s="74" t="str">
        <f>IF($N153="","",INDEX(Azioni!$F:$F,$N153)&amp;"")</f>
        <v/>
      </c>
      <c r="G153" s="74" t="str">
        <f>IF($N153="","",INDEX(Azioni!$I:$I,$N153)&amp;"")</f>
        <v/>
      </c>
      <c r="H153" s="76" t="str">
        <f>IF($N153="","",IF(INDEX(Azioni!$J:$J,$N153)="","",INDEX(Azioni!$J:$J,$N153)))</f>
        <v/>
      </c>
      <c r="I153" s="76" t="str">
        <f>IF(OR($N153="",H153=""),"",IF(OR(G153="Approvata",G153="In corso"),EDATE(H153,N(INDEX(Azioni!$G:$G,$N153))),""))</f>
        <v/>
      </c>
      <c r="J153" s="74"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74" t="str">
        <f>IF($N154="","",INDEX(Azioni!$A:$A,$N154)&amp;"")</f>
        <v/>
      </c>
      <c r="B154" s="74" t="str">
        <f>IF($N154="","",INDEX(Azioni!$B:$B,$N154)&amp;"")</f>
        <v/>
      </c>
      <c r="C154" s="74" t="str">
        <f>IF($N154="","",INDEX(Azioni!$C:$C,$N154)&amp;"")</f>
        <v/>
      </c>
      <c r="D154" s="75" t="str">
        <f>IF($N154="","",INDEX(Azioni!$D:$D,$N154)&amp;"")</f>
        <v/>
      </c>
      <c r="E154" s="74" t="str">
        <f>IF($N154="","",INDEX(Azioni!$E:$E,$N154)&amp;"")</f>
        <v/>
      </c>
      <c r="F154" s="74" t="str">
        <f>IF($N154="","",INDEX(Azioni!$F:$F,$N154)&amp;"")</f>
        <v/>
      </c>
      <c r="G154" s="74" t="str">
        <f>IF($N154="","",INDEX(Azioni!$I:$I,$N154)&amp;"")</f>
        <v/>
      </c>
      <c r="H154" s="76" t="str">
        <f>IF($N154="","",IF(INDEX(Azioni!$J:$J,$N154)="","",INDEX(Azioni!$J:$J,$N154)))</f>
        <v/>
      </c>
      <c r="I154" s="76" t="str">
        <f>IF(OR($N154="",H154=""),"",IF(OR(G154="Approvata",G154="In corso"),EDATE(H154,N(INDEX(Azioni!$G:$G,$N154))),""))</f>
        <v/>
      </c>
      <c r="J154" s="74"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74" t="str">
        <f>IF($N155="","",INDEX(Azioni!$A:$A,$N155)&amp;"")</f>
        <v/>
      </c>
      <c r="B155" s="74" t="str">
        <f>IF($N155="","",INDEX(Azioni!$B:$B,$N155)&amp;"")</f>
        <v/>
      </c>
      <c r="C155" s="74" t="str">
        <f>IF($N155="","",INDEX(Azioni!$C:$C,$N155)&amp;"")</f>
        <v/>
      </c>
      <c r="D155" s="75" t="str">
        <f>IF($N155="","",INDEX(Azioni!$D:$D,$N155)&amp;"")</f>
        <v/>
      </c>
      <c r="E155" s="74" t="str">
        <f>IF($N155="","",INDEX(Azioni!$E:$E,$N155)&amp;"")</f>
        <v/>
      </c>
      <c r="F155" s="74" t="str">
        <f>IF($N155="","",INDEX(Azioni!$F:$F,$N155)&amp;"")</f>
        <v/>
      </c>
      <c r="G155" s="74" t="str">
        <f>IF($N155="","",INDEX(Azioni!$I:$I,$N155)&amp;"")</f>
        <v/>
      </c>
      <c r="H155" s="76" t="str">
        <f>IF($N155="","",IF(INDEX(Azioni!$J:$J,$N155)="","",INDEX(Azioni!$J:$J,$N155)))</f>
        <v/>
      </c>
      <c r="I155" s="76" t="str">
        <f>IF(OR($N155="",H155=""),"",IF(OR(G155="Approvata",G155="In corso"),EDATE(H155,N(INDEX(Azioni!$G:$G,$N155))),""))</f>
        <v/>
      </c>
      <c r="J155" s="74"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42" t="s">
        <v>464</v>
      </c>
      <c r="B157" s="116"/>
      <c r="C157" s="116"/>
      <c r="D157" s="116"/>
      <c r="E157" s="116"/>
      <c r="F157" s="116"/>
      <c r="G157" s="116"/>
      <c r="H157" s="116"/>
      <c r="I157" s="116"/>
      <c r="J157" s="116"/>
    </row>
  </sheetData>
  <mergeCells count="5">
    <mergeCell ref="A1:J1"/>
    <mergeCell ref="A2:J2"/>
    <mergeCell ref="G4:I4"/>
    <mergeCell ref="A157:J157"/>
    <mergeCell ref="A4:F4"/>
  </mergeCells>
  <conditionalFormatting sqref="G6:G155">
    <cfRule type="expression" dxfId="49" priority="1">
      <formula>G6="Proposta — da valutare"</formula>
    </cfRule>
    <cfRule type="expression" dxfId="48" priority="2">
      <formula>G6="Approvata"</formula>
    </cfRule>
    <cfRule type="expression" dxfId="47" priority="3">
      <formula>G6="In corso"</formula>
    </cfRule>
    <cfRule type="expression" dxfId="46" priority="4">
      <formula>G6="Completata"</formula>
    </cfRule>
    <cfRule type="expression" dxfId="45" priority="5">
      <formula>G6="Respinta"</formula>
    </cfRule>
    <cfRule type="expression" dxfId="44" priority="6">
      <formula>G6="Annullata"</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pageSetUpPr fitToPage="1"/>
  </sheetPr>
  <dimension ref="A1:V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s>
  <sheetData>
    <row r="1" spans="1:22" ht="28" customHeight="1" x14ac:dyDescent="0.4">
      <c r="A1" s="146" t="str">
        <f>"Horizon Scan NFR — Validazione: una riga per rischio, KRI, azione e notizia   ·   "&amp;etichettaCiclo</f>
        <v>Horizon Scan NFR — Validazione: una riga per rischio, KRI, azione e notizia   ·   Ciclo 2026Q3 · dati al 30/09/2026 · da validare · Uso interno</v>
      </c>
      <c r="B1" s="147"/>
      <c r="C1" s="147"/>
      <c r="D1" s="147"/>
      <c r="E1" s="147"/>
      <c r="F1" s="147"/>
      <c r="G1" s="147"/>
      <c r="H1" s="147"/>
      <c r="I1" s="147"/>
      <c r="J1" s="147"/>
      <c r="K1" s="147"/>
      <c r="L1" s="147"/>
      <c r="M1" s="147"/>
      <c r="N1" s="147"/>
      <c r="O1" s="147"/>
    </row>
    <row r="2" spans="1:22" ht="153.55000000000001" customHeight="1" x14ac:dyDescent="0.4">
      <c r="A2" s="168" t="s">
        <v>465</v>
      </c>
      <c r="B2" s="116"/>
      <c r="C2" s="116"/>
      <c r="D2" s="116"/>
      <c r="E2" s="116"/>
      <c r="F2" s="116"/>
      <c r="G2" s="116"/>
      <c r="H2" s="116"/>
      <c r="I2" s="116"/>
      <c r="J2" s="116"/>
      <c r="K2" s="116"/>
      <c r="L2" s="116"/>
      <c r="M2" s="116"/>
      <c r="N2" s="116"/>
      <c r="O2" s="116"/>
    </row>
    <row r="3" spans="1:22" ht="22" customHeight="1" x14ac:dyDescent="0.4">
      <c r="A3" s="197" t="s">
        <v>1478</v>
      </c>
      <c r="B3" s="125"/>
      <c r="C3" s="125"/>
      <c r="D3" s="125"/>
      <c r="E3" s="125"/>
      <c r="F3" s="125"/>
      <c r="G3" s="125"/>
      <c r="H3" s="125"/>
      <c r="I3" s="125"/>
      <c r="J3" s="125"/>
      <c r="K3" s="125"/>
      <c r="L3" s="125"/>
      <c r="M3" s="125"/>
      <c r="N3" s="125"/>
      <c r="O3" s="125"/>
    </row>
    <row r="5" spans="1:22" ht="15.9" x14ac:dyDescent="0.45">
      <c r="A5" s="191" t="s">
        <v>1475</v>
      </c>
      <c r="B5" s="123"/>
      <c r="C5" s="123"/>
      <c r="D5" s="123"/>
      <c r="E5" s="123"/>
      <c r="F5" s="123"/>
      <c r="G5" s="123"/>
      <c r="H5" s="123"/>
      <c r="I5" s="123"/>
      <c r="J5" s="123"/>
      <c r="K5" s="123"/>
      <c r="L5" s="123"/>
      <c r="M5" s="123"/>
      <c r="N5" s="123"/>
      <c r="O5" s="123"/>
      <c r="P5" s="77"/>
    </row>
    <row r="6" spans="1:22" ht="30" customHeight="1" x14ac:dyDescent="0.4">
      <c r="A6" s="78" t="s">
        <v>161</v>
      </c>
      <c r="B6" s="78" t="s">
        <v>18</v>
      </c>
      <c r="C6" s="79" t="s">
        <v>466</v>
      </c>
      <c r="D6" s="80" t="s">
        <v>467</v>
      </c>
      <c r="E6" s="79" t="s">
        <v>468</v>
      </c>
      <c r="F6" s="80" t="s">
        <v>469</v>
      </c>
      <c r="G6" s="79" t="s">
        <v>470</v>
      </c>
      <c r="H6" s="80" t="s">
        <v>471</v>
      </c>
      <c r="I6" s="79" t="s">
        <v>472</v>
      </c>
      <c r="J6" s="80" t="s">
        <v>473</v>
      </c>
      <c r="K6" s="79" t="s">
        <v>474</v>
      </c>
      <c r="L6" s="80" t="s">
        <v>475</v>
      </c>
      <c r="M6" s="80" t="s">
        <v>476</v>
      </c>
      <c r="N6" s="81" t="s">
        <v>477</v>
      </c>
      <c r="O6" s="81" t="s">
        <v>478</v>
      </c>
      <c r="P6" s="78" t="s">
        <v>479</v>
      </c>
    </row>
    <row r="7" spans="1:22" ht="24" customHeight="1" x14ac:dyDescent="0.4">
      <c r="A7" s="186" t="s">
        <v>508</v>
      </c>
      <c r="B7" s="187" t="s">
        <v>509</v>
      </c>
      <c r="C7" s="83">
        <v>4</v>
      </c>
      <c r="D7" s="84">
        <v>4</v>
      </c>
      <c r="E7" s="83">
        <v>4</v>
      </c>
      <c r="F7" s="84">
        <v>4</v>
      </c>
      <c r="G7" s="83">
        <v>4</v>
      </c>
      <c r="H7" s="84">
        <v>4</v>
      </c>
      <c r="I7" s="83">
        <v>5</v>
      </c>
      <c r="J7" s="84">
        <v>5</v>
      </c>
      <c r="K7" s="189" t="s">
        <v>629</v>
      </c>
      <c r="L7" s="84"/>
      <c r="M7" s="85"/>
      <c r="N7" s="86" t="str">
        <f t="shared" ref="N7:N26" si="0">IF(NOT(ISNUMBER($U7)),"",FIXED($U7,2)&amp;IF(AND(ISNUMBER($V7),$V7&lt;&gt;$U7),"  (era "&amp;FIXED($V7,2)&amp;")",""))</f>
        <v>4,20</v>
      </c>
      <c r="O7" s="87" t="str">
        <f t="shared" ref="O7:O26" si="1">IF(NOT(ISNUMBER($S7)),"",IF($S7&lt;0,"AGIRE ORA",IF($S7&lt;1,"Entro l'anno","Margine"))&amp;" · "&amp;FIXED($S7,2)&amp;IF(AND(ISNUMBER($T7),ROUND($T7,2)&lt;&gt;ROUND($S7,2)),"  (era "&amp;FIXED($T7,2)&amp;")",""))</f>
        <v>AGIRE ORA · -0,25</v>
      </c>
      <c r="P7" s="88"/>
      <c r="Q7" s="188" t="s">
        <v>1361</v>
      </c>
      <c r="S7">
        <f t="shared" ref="S7:S26" si="2">IFERROR(IF(NOT(ISNUMBER($H7)),"",INDEX(anniProssimita,$H7)-(moscaX+MAX(IF(COUNTIFS($R$113:$R$212,$A7,$Q$113:$Q$212,$Q7,$S$113:$S$212,"&gt;0")=0,moscaYDefault,_xlfn.MAXIFS($S$113:$S$212,$R$113:$R$212,$A7,$Q$113:$Q$212,$Q7)/12),IF(ISNUMBER($L7),$L7,IFERROR(N(INDEX(ANA_Anni_Adeguamento,MATCH($A7,ANA_ID,0))),0))))),"")</f>
        <v>-0.25</v>
      </c>
      <c r="T7">
        <f t="shared" ref="T7:T26" si="3">IFERROR(IF(NOT(ISNUMBER($G7)),"",INDEX(anniProssimita,$G7)-(moscaX+MAX(IF(COUNTIFS($R$113:$R$212,$A7,$Q$113:$Q$212,$Q7,$T$113:$T$212,"&gt;0")=0,moscaYDefault,_xlfn.MAXIFS($T$113:$T$212,$R$113:$R$212,$A7,$Q$113:$Q$212,$Q7)/12),IF(ISNUMBER($K7),$K7,IFERROR(N(INDEX(ANA_Anni_Adeguamento,MATCH($A7,ANA_ID,0))),0))))),"")</f>
        <v>-0.25</v>
      </c>
      <c r="U7">
        <f t="shared" ref="U7:U26" si="4">IFERROR(IF(COUNT($D7,$F7,$H7)&lt;3,"",ROUND((pesoImpatto*$D7+pesoProbabilita*$F7+pesoProssimita*$H7+IF(ISNUMBER($J7),pesoVelocity*$J7,0))/(pesoImpatto+pesoProbabilita+pesoProssimita+IF(ISNUMBER($J7),pesoVelocity,0)),2)),"")</f>
        <v>4.2</v>
      </c>
      <c r="V7">
        <f t="shared" ref="V7:V26" si="5">IFERROR(IF(COUNT($C7,$E7,$G7)&lt;3,"",ROUND((pesoImpatto*$C7+pesoProbabilita*$E7+pesoProssimita*$G7+IF(ISNUMBER($I7),pesoVelocity*$I7,0))/(pesoImpatto+pesoProbabilita+pesoProssimita+IF(ISNUMBER($I7),pesoVelocity,0)),2)),"")</f>
        <v>4.2</v>
      </c>
    </row>
    <row r="8" spans="1:22" ht="24" customHeight="1" x14ac:dyDescent="0.4">
      <c r="A8" s="186" t="s">
        <v>514</v>
      </c>
      <c r="B8" s="187" t="s">
        <v>515</v>
      </c>
      <c r="C8" s="83">
        <v>4</v>
      </c>
      <c r="D8" s="84">
        <v>4</v>
      </c>
      <c r="E8" s="83">
        <v>2</v>
      </c>
      <c r="F8" s="84">
        <v>2</v>
      </c>
      <c r="G8" s="83">
        <v>3</v>
      </c>
      <c r="H8" s="84">
        <v>3</v>
      </c>
      <c r="I8" s="83">
        <v>4</v>
      </c>
      <c r="J8" s="84">
        <v>4</v>
      </c>
      <c r="K8" s="189" t="s">
        <v>629</v>
      </c>
      <c r="L8" s="84"/>
      <c r="M8" s="85"/>
      <c r="N8" s="86" t="str">
        <f t="shared" si="0"/>
        <v>3,30</v>
      </c>
      <c r="O8" s="87" t="str">
        <f t="shared" si="1"/>
        <v>Entro l'anno · 0,25</v>
      </c>
      <c r="P8" s="190" t="s">
        <v>1402</v>
      </c>
      <c r="Q8" s="188" t="s">
        <v>1361</v>
      </c>
      <c r="S8">
        <f t="shared" si="2"/>
        <v>0.25</v>
      </c>
      <c r="T8">
        <f t="shared" si="3"/>
        <v>0.25</v>
      </c>
      <c r="U8">
        <f t="shared" si="4"/>
        <v>3.3</v>
      </c>
      <c r="V8">
        <f t="shared" si="5"/>
        <v>3.3</v>
      </c>
    </row>
    <row r="9" spans="1:22" ht="24" customHeight="1" x14ac:dyDescent="0.4">
      <c r="A9" s="186" t="s">
        <v>520</v>
      </c>
      <c r="B9" s="187" t="s">
        <v>521</v>
      </c>
      <c r="C9" s="83">
        <v>3</v>
      </c>
      <c r="D9" s="84">
        <v>3</v>
      </c>
      <c r="E9" s="83">
        <v>3</v>
      </c>
      <c r="F9" s="84">
        <v>3</v>
      </c>
      <c r="G9" s="83">
        <v>4</v>
      </c>
      <c r="H9" s="84">
        <v>4</v>
      </c>
      <c r="I9" s="83">
        <v>2</v>
      </c>
      <c r="J9" s="84">
        <v>2</v>
      </c>
      <c r="K9" s="189" t="s">
        <v>629</v>
      </c>
      <c r="L9" s="84"/>
      <c r="M9" s="85"/>
      <c r="N9" s="86" t="str">
        <f t="shared" si="0"/>
        <v>3,00</v>
      </c>
      <c r="O9" s="87" t="str">
        <f t="shared" si="1"/>
        <v>Entro l'anno · 0,00</v>
      </c>
      <c r="P9" s="88"/>
      <c r="Q9" s="188" t="s">
        <v>1361</v>
      </c>
      <c r="S9">
        <f t="shared" si="2"/>
        <v>0</v>
      </c>
      <c r="T9">
        <f t="shared" si="3"/>
        <v>0</v>
      </c>
      <c r="U9">
        <f t="shared" si="4"/>
        <v>3</v>
      </c>
      <c r="V9">
        <f t="shared" si="5"/>
        <v>3</v>
      </c>
    </row>
    <row r="10" spans="1:22" ht="24" customHeight="1" x14ac:dyDescent="0.4">
      <c r="A10" s="186" t="s">
        <v>526</v>
      </c>
      <c r="B10" s="187" t="s">
        <v>527</v>
      </c>
      <c r="C10" s="83">
        <v>3</v>
      </c>
      <c r="D10" s="84">
        <v>3</v>
      </c>
      <c r="E10" s="83">
        <v>3</v>
      </c>
      <c r="F10" s="84">
        <v>3</v>
      </c>
      <c r="G10" s="83">
        <v>3</v>
      </c>
      <c r="H10" s="84">
        <v>3</v>
      </c>
      <c r="I10" s="83">
        <v>2</v>
      </c>
      <c r="J10" s="84">
        <v>2</v>
      </c>
      <c r="K10" s="189" t="s">
        <v>629</v>
      </c>
      <c r="L10" s="84"/>
      <c r="M10" s="85"/>
      <c r="N10" s="86" t="str">
        <f t="shared" si="0"/>
        <v>2,80</v>
      </c>
      <c r="O10" s="87" t="str">
        <f t="shared" si="1"/>
        <v>Entro l'anno · 0,75</v>
      </c>
      <c r="P10" s="88"/>
      <c r="Q10" s="188" t="s">
        <v>1361</v>
      </c>
      <c r="S10">
        <f t="shared" si="2"/>
        <v>0.75</v>
      </c>
      <c r="T10">
        <f t="shared" si="3"/>
        <v>0.75</v>
      </c>
      <c r="U10">
        <f t="shared" si="4"/>
        <v>2.8</v>
      </c>
      <c r="V10">
        <f t="shared" si="5"/>
        <v>2.8</v>
      </c>
    </row>
    <row r="11" spans="1:22" ht="24" customHeight="1" x14ac:dyDescent="0.4">
      <c r="A11" s="186" t="s">
        <v>530</v>
      </c>
      <c r="B11" s="187" t="s">
        <v>531</v>
      </c>
      <c r="C11" s="83">
        <v>3</v>
      </c>
      <c r="D11" s="84">
        <v>3</v>
      </c>
      <c r="E11" s="83">
        <v>3</v>
      </c>
      <c r="F11" s="84">
        <v>3</v>
      </c>
      <c r="G11" s="83">
        <v>3</v>
      </c>
      <c r="H11" s="84">
        <v>3</v>
      </c>
      <c r="I11" s="83">
        <v>3</v>
      </c>
      <c r="J11" s="84">
        <v>3</v>
      </c>
      <c r="K11" s="189" t="s">
        <v>629</v>
      </c>
      <c r="L11" s="84"/>
      <c r="M11" s="85"/>
      <c r="N11" s="86" t="str">
        <f t="shared" si="0"/>
        <v>3,00</v>
      </c>
      <c r="O11" s="87" t="str">
        <f t="shared" si="1"/>
        <v>Margine · 1,00</v>
      </c>
      <c r="P11" s="88"/>
      <c r="Q11" s="188" t="s">
        <v>1361</v>
      </c>
      <c r="S11">
        <f t="shared" si="2"/>
        <v>1</v>
      </c>
      <c r="T11">
        <f t="shared" si="3"/>
        <v>1</v>
      </c>
      <c r="U11">
        <f t="shared" si="4"/>
        <v>3</v>
      </c>
      <c r="V11">
        <f t="shared" si="5"/>
        <v>3</v>
      </c>
    </row>
    <row r="12" spans="1:22" ht="30.35" customHeight="1" x14ac:dyDescent="0.4">
      <c r="A12" s="186" t="s">
        <v>535</v>
      </c>
      <c r="B12" s="187" t="s">
        <v>536</v>
      </c>
      <c r="C12" s="83">
        <v>3</v>
      </c>
      <c r="D12" s="84">
        <v>3</v>
      </c>
      <c r="E12" s="83">
        <v>3</v>
      </c>
      <c r="F12" s="84">
        <v>3</v>
      </c>
      <c r="G12" s="83">
        <v>3</v>
      </c>
      <c r="H12" s="84">
        <v>3</v>
      </c>
      <c r="I12" s="83">
        <v>3</v>
      </c>
      <c r="J12" s="84">
        <v>3</v>
      </c>
      <c r="K12" s="189" t="s">
        <v>629</v>
      </c>
      <c r="L12" s="84"/>
      <c r="M12" s="85"/>
      <c r="N12" s="86" t="str">
        <f t="shared" si="0"/>
        <v>3,00</v>
      </c>
      <c r="O12" s="87" t="str">
        <f t="shared" si="1"/>
        <v>Entro l'anno · 0,75</v>
      </c>
      <c r="P12" s="190" t="s">
        <v>1411</v>
      </c>
      <c r="Q12" s="188" t="s">
        <v>1361</v>
      </c>
      <c r="S12">
        <f t="shared" si="2"/>
        <v>0.75</v>
      </c>
      <c r="T12">
        <f t="shared" si="3"/>
        <v>0.75</v>
      </c>
      <c r="U12">
        <f t="shared" si="4"/>
        <v>3</v>
      </c>
      <c r="V12">
        <f t="shared" si="5"/>
        <v>3</v>
      </c>
    </row>
    <row r="13" spans="1:22" ht="24" customHeight="1" x14ac:dyDescent="0.4">
      <c r="A13" s="186" t="s">
        <v>541</v>
      </c>
      <c r="B13" s="187" t="s">
        <v>542</v>
      </c>
      <c r="C13" s="83">
        <v>4</v>
      </c>
      <c r="D13" s="84">
        <v>4</v>
      </c>
      <c r="E13" s="83">
        <v>3</v>
      </c>
      <c r="F13" s="84">
        <v>3</v>
      </c>
      <c r="G13" s="83">
        <v>3</v>
      </c>
      <c r="H13" s="84">
        <v>3</v>
      </c>
      <c r="I13" s="83">
        <v>5</v>
      </c>
      <c r="J13" s="84">
        <v>5</v>
      </c>
      <c r="K13" s="189" t="s">
        <v>629</v>
      </c>
      <c r="L13" s="84"/>
      <c r="M13" s="85"/>
      <c r="N13" s="86" t="str">
        <f t="shared" si="0"/>
        <v>3,75</v>
      </c>
      <c r="O13" s="87" t="str">
        <f t="shared" si="1"/>
        <v>Entro l'anno · 0,75</v>
      </c>
      <c r="P13" s="88"/>
      <c r="Q13" s="188" t="s">
        <v>1361</v>
      </c>
      <c r="S13">
        <f t="shared" si="2"/>
        <v>0.75</v>
      </c>
      <c r="T13">
        <f t="shared" si="3"/>
        <v>0.75</v>
      </c>
      <c r="U13">
        <f t="shared" si="4"/>
        <v>3.75</v>
      </c>
      <c r="V13">
        <f t="shared" si="5"/>
        <v>3.75</v>
      </c>
    </row>
    <row r="14" spans="1:22" ht="24" customHeight="1" x14ac:dyDescent="0.4">
      <c r="A14" s="186" t="s">
        <v>545</v>
      </c>
      <c r="B14" s="187" t="s">
        <v>546</v>
      </c>
      <c r="C14" s="83">
        <v>3</v>
      </c>
      <c r="D14" s="84">
        <v>3</v>
      </c>
      <c r="E14" s="83">
        <v>2</v>
      </c>
      <c r="F14" s="84">
        <v>2</v>
      </c>
      <c r="G14" s="83">
        <v>3</v>
      </c>
      <c r="H14" s="84">
        <v>3</v>
      </c>
      <c r="I14" s="83">
        <v>3</v>
      </c>
      <c r="J14" s="84">
        <v>3</v>
      </c>
      <c r="K14" s="189" t="s">
        <v>629</v>
      </c>
      <c r="L14" s="84"/>
      <c r="M14" s="85"/>
      <c r="N14" s="86" t="str">
        <f t="shared" si="0"/>
        <v>2,75</v>
      </c>
      <c r="O14" s="87" t="str">
        <f t="shared" si="1"/>
        <v>Margine · 1,00</v>
      </c>
      <c r="P14" s="88"/>
      <c r="Q14" s="188" t="s">
        <v>1361</v>
      </c>
      <c r="S14">
        <f t="shared" si="2"/>
        <v>1</v>
      </c>
      <c r="T14">
        <f t="shared" si="3"/>
        <v>1</v>
      </c>
      <c r="U14">
        <f t="shared" si="4"/>
        <v>2.75</v>
      </c>
      <c r="V14">
        <f t="shared" si="5"/>
        <v>2.75</v>
      </c>
    </row>
    <row r="15" spans="1:22" ht="30.35" customHeight="1" x14ac:dyDescent="0.4">
      <c r="A15" s="186" t="s">
        <v>550</v>
      </c>
      <c r="B15" s="187" t="s">
        <v>551</v>
      </c>
      <c r="C15" s="83">
        <v>4</v>
      </c>
      <c r="D15" s="84">
        <v>4</v>
      </c>
      <c r="E15" s="83">
        <v>2</v>
      </c>
      <c r="F15" s="84">
        <v>2</v>
      </c>
      <c r="G15" s="83">
        <v>2</v>
      </c>
      <c r="H15" s="84">
        <v>2</v>
      </c>
      <c r="I15" s="83">
        <v>3</v>
      </c>
      <c r="J15" s="84">
        <v>3</v>
      </c>
      <c r="K15" s="189" t="s">
        <v>629</v>
      </c>
      <c r="L15" s="84"/>
      <c r="M15" s="85"/>
      <c r="N15" s="86" t="str">
        <f t="shared" si="0"/>
        <v>2,90</v>
      </c>
      <c r="O15" s="87" t="str">
        <f t="shared" si="1"/>
        <v>Margine · 1,25</v>
      </c>
      <c r="P15" s="88"/>
      <c r="Q15" s="188" t="s">
        <v>1361</v>
      </c>
      <c r="S15">
        <f t="shared" si="2"/>
        <v>1.25</v>
      </c>
      <c r="T15">
        <f t="shared" si="3"/>
        <v>1.25</v>
      </c>
      <c r="U15">
        <f t="shared" si="4"/>
        <v>2.9</v>
      </c>
      <c r="V15">
        <f t="shared" si="5"/>
        <v>2.9</v>
      </c>
    </row>
    <row r="16" spans="1:22" ht="30.35" customHeight="1" x14ac:dyDescent="0.4">
      <c r="A16" s="186" t="s">
        <v>555</v>
      </c>
      <c r="B16" s="187" t="s">
        <v>556</v>
      </c>
      <c r="C16" s="83">
        <v>3</v>
      </c>
      <c r="D16" s="84">
        <v>3</v>
      </c>
      <c r="E16" s="83">
        <v>3</v>
      </c>
      <c r="F16" s="84">
        <v>3</v>
      </c>
      <c r="G16" s="83">
        <v>3</v>
      </c>
      <c r="H16" s="84">
        <v>3</v>
      </c>
      <c r="I16" s="189" t="s">
        <v>1474</v>
      </c>
      <c r="J16" s="84"/>
      <c r="K16" s="189" t="s">
        <v>629</v>
      </c>
      <c r="L16" s="84"/>
      <c r="M16" s="85"/>
      <c r="N16" s="86" t="str">
        <f t="shared" si="0"/>
        <v>3,00</v>
      </c>
      <c r="O16" s="87" t="str">
        <f t="shared" si="1"/>
        <v>Margine · 1,00</v>
      </c>
      <c r="P16" s="88"/>
      <c r="Q16" s="188" t="s">
        <v>1361</v>
      </c>
      <c r="S16">
        <f t="shared" si="2"/>
        <v>1</v>
      </c>
      <c r="T16">
        <f t="shared" si="3"/>
        <v>1</v>
      </c>
      <c r="U16">
        <f t="shared" si="4"/>
        <v>3</v>
      </c>
      <c r="V16">
        <f t="shared" si="5"/>
        <v>3</v>
      </c>
    </row>
    <row r="17" spans="1:22" ht="24" customHeight="1" x14ac:dyDescent="0.4">
      <c r="A17" s="186" t="s">
        <v>562</v>
      </c>
      <c r="B17" s="187" t="s">
        <v>563</v>
      </c>
      <c r="C17" s="83">
        <v>3</v>
      </c>
      <c r="D17" s="84">
        <v>3</v>
      </c>
      <c r="E17" s="83">
        <v>3</v>
      </c>
      <c r="F17" s="84">
        <v>3</v>
      </c>
      <c r="G17" s="83">
        <v>3</v>
      </c>
      <c r="H17" s="84">
        <v>3</v>
      </c>
      <c r="I17" s="83">
        <v>2</v>
      </c>
      <c r="J17" s="84">
        <v>2</v>
      </c>
      <c r="K17" s="83">
        <v>3</v>
      </c>
      <c r="L17" s="84">
        <v>3</v>
      </c>
      <c r="M17" s="85"/>
      <c r="N17" s="86" t="str">
        <f t="shared" si="0"/>
        <v>2,80</v>
      </c>
      <c r="O17" s="87" t="str">
        <f t="shared" si="1"/>
        <v>AGIRE ORA · -1,75</v>
      </c>
      <c r="P17" s="88"/>
      <c r="Q17" s="188" t="s">
        <v>1361</v>
      </c>
      <c r="S17">
        <f t="shared" si="2"/>
        <v>-1.75</v>
      </c>
      <c r="T17">
        <f t="shared" si="3"/>
        <v>-1.75</v>
      </c>
      <c r="U17">
        <f t="shared" si="4"/>
        <v>2.8</v>
      </c>
      <c r="V17">
        <f t="shared" si="5"/>
        <v>2.8</v>
      </c>
    </row>
    <row r="18" spans="1:22" ht="24" customHeight="1" x14ac:dyDescent="0.4">
      <c r="A18" s="186" t="s">
        <v>569</v>
      </c>
      <c r="B18" s="187" t="s">
        <v>570</v>
      </c>
      <c r="C18" s="83">
        <v>3</v>
      </c>
      <c r="D18" s="84">
        <v>3</v>
      </c>
      <c r="E18" s="83">
        <v>4</v>
      </c>
      <c r="F18" s="84">
        <v>4</v>
      </c>
      <c r="G18" s="83">
        <v>4</v>
      </c>
      <c r="H18" s="84">
        <v>4</v>
      </c>
      <c r="I18" s="83">
        <v>4</v>
      </c>
      <c r="J18" s="84">
        <v>4</v>
      </c>
      <c r="K18" s="189" t="s">
        <v>629</v>
      </c>
      <c r="L18" s="84"/>
      <c r="M18" s="85"/>
      <c r="N18" s="86" t="str">
        <f t="shared" si="0"/>
        <v>3,65</v>
      </c>
      <c r="O18" s="87" t="str">
        <f t="shared" si="1"/>
        <v>Entro l'anno · 0,00</v>
      </c>
      <c r="P18" s="88"/>
      <c r="Q18" s="188" t="s">
        <v>1361</v>
      </c>
      <c r="S18">
        <f t="shared" si="2"/>
        <v>0</v>
      </c>
      <c r="T18">
        <f t="shared" si="3"/>
        <v>0</v>
      </c>
      <c r="U18">
        <f t="shared" si="4"/>
        <v>3.65</v>
      </c>
      <c r="V18">
        <f t="shared" si="5"/>
        <v>3.65</v>
      </c>
    </row>
    <row r="19" spans="1:22" ht="30" hidden="1" customHeight="1" x14ac:dyDescent="0.4">
      <c r="A19" s="82"/>
      <c r="B19" s="15"/>
      <c r="C19" s="83"/>
      <c r="D19" s="84"/>
      <c r="E19" s="83"/>
      <c r="F19" s="84"/>
      <c r="G19" s="83"/>
      <c r="H19" s="84"/>
      <c r="I19" s="83"/>
      <c r="J19" s="84"/>
      <c r="K19" s="83"/>
      <c r="L19" s="84"/>
      <c r="M19" s="85"/>
      <c r="N19" s="86" t="str">
        <f t="shared" si="0"/>
        <v/>
      </c>
      <c r="O19" s="87" t="str">
        <f t="shared" si="1"/>
        <v/>
      </c>
      <c r="P19" s="88"/>
      <c r="S19" t="str">
        <f t="shared" si="2"/>
        <v/>
      </c>
      <c r="T19" t="str">
        <f t="shared" si="3"/>
        <v/>
      </c>
      <c r="U19" t="str">
        <f t="shared" si="4"/>
        <v/>
      </c>
      <c r="V19" t="str">
        <f t="shared" si="5"/>
        <v/>
      </c>
    </row>
    <row r="20" spans="1:22" ht="30" hidden="1" customHeight="1" x14ac:dyDescent="0.4">
      <c r="A20" s="82"/>
      <c r="B20" s="15"/>
      <c r="C20" s="83"/>
      <c r="D20" s="84"/>
      <c r="E20" s="83"/>
      <c r="F20" s="84"/>
      <c r="G20" s="83"/>
      <c r="H20" s="84"/>
      <c r="I20" s="83"/>
      <c r="J20" s="84"/>
      <c r="K20" s="83"/>
      <c r="L20" s="84"/>
      <c r="M20" s="85"/>
      <c r="N20" s="86" t="str">
        <f t="shared" si="0"/>
        <v/>
      </c>
      <c r="O20" s="87" t="str">
        <f t="shared" si="1"/>
        <v/>
      </c>
      <c r="P20" s="88"/>
      <c r="S20" t="str">
        <f t="shared" si="2"/>
        <v/>
      </c>
      <c r="T20" t="str">
        <f t="shared" si="3"/>
        <v/>
      </c>
      <c r="U20" t="str">
        <f t="shared" si="4"/>
        <v/>
      </c>
      <c r="V20" t="str">
        <f t="shared" si="5"/>
        <v/>
      </c>
    </row>
    <row r="21" spans="1:22" ht="30" hidden="1" customHeight="1" x14ac:dyDescent="0.4">
      <c r="A21" s="82"/>
      <c r="B21" s="15"/>
      <c r="C21" s="83"/>
      <c r="D21" s="84"/>
      <c r="E21" s="83"/>
      <c r="F21" s="84"/>
      <c r="G21" s="83"/>
      <c r="H21" s="84"/>
      <c r="I21" s="83"/>
      <c r="J21" s="84"/>
      <c r="K21" s="83"/>
      <c r="L21" s="84"/>
      <c r="M21" s="85"/>
      <c r="N21" s="86" t="str">
        <f t="shared" si="0"/>
        <v/>
      </c>
      <c r="O21" s="87" t="str">
        <f t="shared" si="1"/>
        <v/>
      </c>
      <c r="P21" s="88"/>
      <c r="S21" t="str">
        <f t="shared" si="2"/>
        <v/>
      </c>
      <c r="T21" t="str">
        <f t="shared" si="3"/>
        <v/>
      </c>
      <c r="U21" t="str">
        <f t="shared" si="4"/>
        <v/>
      </c>
      <c r="V21" t="str">
        <f t="shared" si="5"/>
        <v/>
      </c>
    </row>
    <row r="22" spans="1:22" ht="30" hidden="1" customHeight="1" x14ac:dyDescent="0.4">
      <c r="A22" s="82"/>
      <c r="B22" s="15"/>
      <c r="C22" s="83"/>
      <c r="D22" s="84"/>
      <c r="E22" s="83"/>
      <c r="F22" s="84"/>
      <c r="G22" s="83"/>
      <c r="H22" s="84"/>
      <c r="I22" s="83"/>
      <c r="J22" s="84"/>
      <c r="K22" s="83"/>
      <c r="L22" s="84"/>
      <c r="M22" s="85"/>
      <c r="N22" s="86" t="str">
        <f t="shared" si="0"/>
        <v/>
      </c>
      <c r="O22" s="87" t="str">
        <f t="shared" si="1"/>
        <v/>
      </c>
      <c r="P22" s="88"/>
      <c r="S22" t="str">
        <f t="shared" si="2"/>
        <v/>
      </c>
      <c r="T22" t="str">
        <f t="shared" si="3"/>
        <v/>
      </c>
      <c r="U22" t="str">
        <f t="shared" si="4"/>
        <v/>
      </c>
      <c r="V22" t="str">
        <f t="shared" si="5"/>
        <v/>
      </c>
    </row>
    <row r="23" spans="1:22" ht="30" hidden="1" customHeight="1" x14ac:dyDescent="0.4">
      <c r="A23" s="82"/>
      <c r="B23" s="15"/>
      <c r="C23" s="83"/>
      <c r="D23" s="84"/>
      <c r="E23" s="83"/>
      <c r="F23" s="84"/>
      <c r="G23" s="83"/>
      <c r="H23" s="84"/>
      <c r="I23" s="83"/>
      <c r="J23" s="84"/>
      <c r="K23" s="83"/>
      <c r="L23" s="84"/>
      <c r="M23" s="85"/>
      <c r="N23" s="86" t="str">
        <f t="shared" si="0"/>
        <v/>
      </c>
      <c r="O23" s="87" t="str">
        <f t="shared" si="1"/>
        <v/>
      </c>
      <c r="P23" s="88"/>
      <c r="S23" t="str">
        <f t="shared" si="2"/>
        <v/>
      </c>
      <c r="T23" t="str">
        <f t="shared" si="3"/>
        <v/>
      </c>
      <c r="U23" t="str">
        <f t="shared" si="4"/>
        <v/>
      </c>
      <c r="V23" t="str">
        <f t="shared" si="5"/>
        <v/>
      </c>
    </row>
    <row r="24" spans="1:22" ht="30" hidden="1" customHeight="1" x14ac:dyDescent="0.4">
      <c r="A24" s="82"/>
      <c r="B24" s="15"/>
      <c r="C24" s="83"/>
      <c r="D24" s="84"/>
      <c r="E24" s="83"/>
      <c r="F24" s="84"/>
      <c r="G24" s="83"/>
      <c r="H24" s="84"/>
      <c r="I24" s="83"/>
      <c r="J24" s="84"/>
      <c r="K24" s="83"/>
      <c r="L24" s="84"/>
      <c r="M24" s="85"/>
      <c r="N24" s="86" t="str">
        <f t="shared" si="0"/>
        <v/>
      </c>
      <c r="O24" s="87" t="str">
        <f t="shared" si="1"/>
        <v/>
      </c>
      <c r="P24" s="88"/>
      <c r="S24" t="str">
        <f t="shared" si="2"/>
        <v/>
      </c>
      <c r="T24" t="str">
        <f t="shared" si="3"/>
        <v/>
      </c>
      <c r="U24" t="str">
        <f t="shared" si="4"/>
        <v/>
      </c>
      <c r="V24" t="str">
        <f t="shared" si="5"/>
        <v/>
      </c>
    </row>
    <row r="25" spans="1:22" ht="30" hidden="1" customHeight="1" x14ac:dyDescent="0.4">
      <c r="A25" s="82"/>
      <c r="B25" s="15"/>
      <c r="C25" s="83"/>
      <c r="D25" s="84"/>
      <c r="E25" s="83"/>
      <c r="F25" s="84"/>
      <c r="G25" s="83"/>
      <c r="H25" s="84"/>
      <c r="I25" s="83"/>
      <c r="J25" s="84"/>
      <c r="K25" s="83"/>
      <c r="L25" s="84"/>
      <c r="M25" s="85"/>
      <c r="N25" s="86" t="str">
        <f t="shared" si="0"/>
        <v/>
      </c>
      <c r="O25" s="87" t="str">
        <f t="shared" si="1"/>
        <v/>
      </c>
      <c r="P25" s="88"/>
      <c r="S25" t="str">
        <f t="shared" si="2"/>
        <v/>
      </c>
      <c r="T25" t="str">
        <f t="shared" si="3"/>
        <v/>
      </c>
      <c r="U25" t="str">
        <f t="shared" si="4"/>
        <v/>
      </c>
      <c r="V25" t="str">
        <f t="shared" si="5"/>
        <v/>
      </c>
    </row>
    <row r="26" spans="1:22" ht="30" hidden="1" customHeight="1" x14ac:dyDescent="0.4">
      <c r="A26" s="82"/>
      <c r="B26" s="15"/>
      <c r="C26" s="83"/>
      <c r="D26" s="84"/>
      <c r="E26" s="83"/>
      <c r="F26" s="84"/>
      <c r="G26" s="83"/>
      <c r="H26" s="84"/>
      <c r="I26" s="83"/>
      <c r="J26" s="84"/>
      <c r="K26" s="83"/>
      <c r="L26" s="84"/>
      <c r="M26" s="85"/>
      <c r="N26" s="86" t="str">
        <f t="shared" si="0"/>
        <v/>
      </c>
      <c r="O26" s="87" t="str">
        <f t="shared" si="1"/>
        <v/>
      </c>
      <c r="P26" s="88"/>
      <c r="S26" t="str">
        <f t="shared" si="2"/>
        <v/>
      </c>
      <c r="T26" t="str">
        <f t="shared" si="3"/>
        <v/>
      </c>
      <c r="U26" t="str">
        <f t="shared" si="4"/>
        <v/>
      </c>
      <c r="V26" t="str">
        <f t="shared" si="5"/>
        <v/>
      </c>
    </row>
    <row r="28" spans="1:22" ht="15.9" x14ac:dyDescent="0.45">
      <c r="A28" s="191" t="s">
        <v>1476</v>
      </c>
      <c r="B28" s="123"/>
      <c r="C28" s="123"/>
      <c r="D28" s="123"/>
      <c r="E28" s="123"/>
      <c r="F28" s="123"/>
      <c r="G28" s="123"/>
      <c r="H28" s="123"/>
      <c r="I28" s="123"/>
      <c r="J28" s="123"/>
      <c r="K28" s="123"/>
      <c r="L28" s="123"/>
      <c r="M28" s="123"/>
      <c r="N28" s="123"/>
      <c r="O28" s="123"/>
    </row>
    <row r="29" spans="1:22" ht="30" customHeight="1" x14ac:dyDescent="0.4">
      <c r="A29" s="78" t="s">
        <v>114</v>
      </c>
      <c r="B29" s="78" t="s">
        <v>480</v>
      </c>
      <c r="C29" s="78" t="s">
        <v>420</v>
      </c>
      <c r="D29" s="79" t="s">
        <v>481</v>
      </c>
      <c r="E29" s="80" t="s">
        <v>415</v>
      </c>
      <c r="F29" s="79" t="s">
        <v>482</v>
      </c>
      <c r="G29" s="80" t="s">
        <v>483</v>
      </c>
      <c r="H29" s="79" t="s">
        <v>484</v>
      </c>
      <c r="I29" s="80" t="s">
        <v>485</v>
      </c>
      <c r="J29" s="80" t="s">
        <v>486</v>
      </c>
      <c r="M29" s="80" t="s">
        <v>487</v>
      </c>
    </row>
    <row r="30" spans="1:22" ht="24" customHeight="1" x14ac:dyDescent="0.4">
      <c r="A30" s="186" t="s">
        <v>410</v>
      </c>
      <c r="B30" s="187" t="s">
        <v>1150</v>
      </c>
      <c r="C30" s="192" t="s">
        <v>732</v>
      </c>
      <c r="D30" s="83">
        <v>5.0999999999999996</v>
      </c>
      <c r="E30" s="84">
        <v>5.0999999999999996</v>
      </c>
      <c r="F30" s="83">
        <v>3</v>
      </c>
      <c r="G30" s="84">
        <v>3</v>
      </c>
      <c r="H30" s="83">
        <v>6</v>
      </c>
      <c r="I30" s="84">
        <v>6</v>
      </c>
      <c r="J30" s="90"/>
      <c r="K30" s="16"/>
      <c r="L30" s="16"/>
      <c r="M30" s="85"/>
      <c r="N30" s="16"/>
      <c r="O30" s="16"/>
      <c r="Q30" s="188" t="s">
        <v>1361</v>
      </c>
    </row>
    <row r="31" spans="1:22" ht="24" customHeight="1" x14ac:dyDescent="0.4">
      <c r="A31" s="186" t="s">
        <v>1152</v>
      </c>
      <c r="B31" s="187" t="s">
        <v>1153</v>
      </c>
      <c r="C31" s="192" t="s">
        <v>1154</v>
      </c>
      <c r="D31" s="83">
        <v>3</v>
      </c>
      <c r="E31" s="84">
        <v>3</v>
      </c>
      <c r="F31" s="83">
        <v>4</v>
      </c>
      <c r="G31" s="84">
        <v>4</v>
      </c>
      <c r="H31" s="83">
        <v>12</v>
      </c>
      <c r="I31" s="84">
        <v>12</v>
      </c>
      <c r="J31" s="90"/>
      <c r="K31" s="16"/>
      <c r="L31" s="16"/>
      <c r="M31" s="85"/>
      <c r="N31" s="16"/>
      <c r="O31" s="16"/>
      <c r="Q31" s="188" t="s">
        <v>1361</v>
      </c>
    </row>
    <row r="32" spans="1:22" ht="24" customHeight="1" x14ac:dyDescent="0.4">
      <c r="A32" s="186" t="s">
        <v>1158</v>
      </c>
      <c r="B32" s="187" t="s">
        <v>1159</v>
      </c>
      <c r="C32" s="192" t="s">
        <v>1154</v>
      </c>
      <c r="D32" s="83">
        <v>72</v>
      </c>
      <c r="E32" s="84">
        <v>72</v>
      </c>
      <c r="F32" s="83">
        <v>60</v>
      </c>
      <c r="G32" s="84">
        <v>60</v>
      </c>
      <c r="H32" s="83">
        <v>75</v>
      </c>
      <c r="I32" s="84">
        <v>75</v>
      </c>
      <c r="J32" s="90"/>
      <c r="K32" s="16"/>
      <c r="L32" s="16"/>
      <c r="M32" s="85"/>
      <c r="N32" s="16"/>
      <c r="O32" s="16"/>
      <c r="Q32" s="188" t="s">
        <v>1361</v>
      </c>
    </row>
    <row r="33" spans="1:17" ht="30.35" customHeight="1" x14ac:dyDescent="0.4">
      <c r="A33" s="186" t="s">
        <v>1163</v>
      </c>
      <c r="B33" s="187" t="s">
        <v>1164</v>
      </c>
      <c r="C33" s="192" t="s">
        <v>732</v>
      </c>
      <c r="D33" s="83">
        <v>0</v>
      </c>
      <c r="E33" s="84">
        <v>0</v>
      </c>
      <c r="F33" s="83">
        <v>2</v>
      </c>
      <c r="G33" s="84">
        <v>2</v>
      </c>
      <c r="H33" s="83">
        <v>4</v>
      </c>
      <c r="I33" s="84">
        <v>4</v>
      </c>
      <c r="J33" s="90"/>
      <c r="K33" s="16"/>
      <c r="L33" s="16"/>
      <c r="M33" s="85"/>
      <c r="N33" s="16"/>
      <c r="O33" s="16"/>
      <c r="Q33" s="188" t="s">
        <v>1361</v>
      </c>
    </row>
    <row r="34" spans="1:17" ht="24" customHeight="1" x14ac:dyDescent="0.4">
      <c r="A34" s="186" t="s">
        <v>1168</v>
      </c>
      <c r="B34" s="187" t="s">
        <v>1169</v>
      </c>
      <c r="C34" s="192" t="s">
        <v>732</v>
      </c>
      <c r="D34" s="83">
        <v>1.9</v>
      </c>
      <c r="E34" s="84">
        <v>1.9</v>
      </c>
      <c r="F34" s="83">
        <v>1.5</v>
      </c>
      <c r="G34" s="84">
        <v>1.5</v>
      </c>
      <c r="H34" s="83">
        <v>3</v>
      </c>
      <c r="I34" s="84">
        <v>3</v>
      </c>
      <c r="J34" s="90"/>
      <c r="K34" s="16"/>
      <c r="L34" s="16"/>
      <c r="M34" s="85"/>
      <c r="N34" s="16"/>
      <c r="O34" s="16"/>
      <c r="Q34" s="188" t="s">
        <v>1361</v>
      </c>
    </row>
    <row r="35" spans="1:17" ht="24" customHeight="1" x14ac:dyDescent="0.4">
      <c r="A35" s="186" t="s">
        <v>1173</v>
      </c>
      <c r="B35" s="187" t="s">
        <v>1174</v>
      </c>
      <c r="C35" s="192" t="s">
        <v>1154</v>
      </c>
      <c r="D35" s="189" t="s">
        <v>629</v>
      </c>
      <c r="E35" s="84"/>
      <c r="F35" s="83">
        <v>20</v>
      </c>
      <c r="G35" s="84">
        <v>20</v>
      </c>
      <c r="H35" s="83">
        <v>40</v>
      </c>
      <c r="I35" s="84">
        <v>40</v>
      </c>
      <c r="J35" s="90"/>
      <c r="K35" s="16"/>
      <c r="L35" s="16"/>
      <c r="M35" s="85"/>
      <c r="N35" s="16"/>
      <c r="O35" s="16"/>
      <c r="Q35" s="188" t="s">
        <v>1361</v>
      </c>
    </row>
    <row r="36" spans="1:17" ht="30.35" customHeight="1" x14ac:dyDescent="0.4">
      <c r="A36" s="186" t="s">
        <v>1177</v>
      </c>
      <c r="B36" s="187" t="s">
        <v>1178</v>
      </c>
      <c r="C36" s="192" t="s">
        <v>1154</v>
      </c>
      <c r="D36" s="83">
        <v>2</v>
      </c>
      <c r="E36" s="84">
        <v>2</v>
      </c>
      <c r="F36" s="83">
        <v>1</v>
      </c>
      <c r="G36" s="84">
        <v>1</v>
      </c>
      <c r="H36" s="83">
        <v>3</v>
      </c>
      <c r="I36" s="84">
        <v>3</v>
      </c>
      <c r="J36" s="90"/>
      <c r="K36" s="16"/>
      <c r="L36" s="16"/>
      <c r="M36" s="85"/>
      <c r="N36" s="16"/>
      <c r="O36" s="16"/>
      <c r="Q36" s="188" t="s">
        <v>1361</v>
      </c>
    </row>
    <row r="37" spans="1:17" ht="24" customHeight="1" x14ac:dyDescent="0.4">
      <c r="A37" s="186" t="s">
        <v>1181</v>
      </c>
      <c r="B37" s="187" t="s">
        <v>1182</v>
      </c>
      <c r="C37" s="192" t="s">
        <v>732</v>
      </c>
      <c r="D37" s="83">
        <v>0</v>
      </c>
      <c r="E37" s="84">
        <v>0</v>
      </c>
      <c r="F37" s="83">
        <v>2</v>
      </c>
      <c r="G37" s="84">
        <v>2</v>
      </c>
      <c r="H37" s="83">
        <v>5</v>
      </c>
      <c r="I37" s="84">
        <v>5</v>
      </c>
      <c r="J37" s="90"/>
      <c r="K37" s="16"/>
      <c r="L37" s="16"/>
      <c r="M37" s="85"/>
      <c r="N37" s="16"/>
      <c r="O37" s="16"/>
      <c r="Q37" s="188" t="s">
        <v>1361</v>
      </c>
    </row>
    <row r="38" spans="1:17" ht="24" customHeight="1" x14ac:dyDescent="0.4">
      <c r="A38" s="186" t="s">
        <v>1186</v>
      </c>
      <c r="B38" s="187" t="s">
        <v>1187</v>
      </c>
      <c r="C38" s="192" t="s">
        <v>732</v>
      </c>
      <c r="D38" s="83">
        <v>4</v>
      </c>
      <c r="E38" s="84">
        <v>4</v>
      </c>
      <c r="F38" s="83">
        <v>3</v>
      </c>
      <c r="G38" s="84">
        <v>3</v>
      </c>
      <c r="H38" s="83">
        <v>6</v>
      </c>
      <c r="I38" s="84">
        <v>6</v>
      </c>
      <c r="J38" s="90"/>
      <c r="K38" s="16"/>
      <c r="L38" s="16"/>
      <c r="M38" s="85"/>
      <c r="N38" s="16"/>
      <c r="O38" s="16"/>
      <c r="Q38" s="188" t="s">
        <v>1361</v>
      </c>
    </row>
    <row r="39" spans="1:17" ht="30.35" customHeight="1" x14ac:dyDescent="0.4">
      <c r="A39" s="186" t="s">
        <v>1190</v>
      </c>
      <c r="B39" s="187" t="s">
        <v>1191</v>
      </c>
      <c r="C39" s="192" t="s">
        <v>1154</v>
      </c>
      <c r="D39" s="83">
        <v>18</v>
      </c>
      <c r="E39" s="84">
        <v>18</v>
      </c>
      <c r="F39" s="83">
        <v>30</v>
      </c>
      <c r="G39" s="84">
        <v>30</v>
      </c>
      <c r="H39" s="83">
        <v>60</v>
      </c>
      <c r="I39" s="84">
        <v>60</v>
      </c>
      <c r="J39" s="90"/>
      <c r="K39" s="16"/>
      <c r="L39" s="16"/>
      <c r="M39" s="85"/>
      <c r="N39" s="16"/>
      <c r="O39" s="16"/>
      <c r="Q39" s="188" t="s">
        <v>1361</v>
      </c>
    </row>
    <row r="40" spans="1:17" ht="30.35" customHeight="1" x14ac:dyDescent="0.4">
      <c r="A40" s="186" t="s">
        <v>1226</v>
      </c>
      <c r="B40" s="187" t="s">
        <v>1227</v>
      </c>
      <c r="C40" s="192" t="s">
        <v>732</v>
      </c>
      <c r="D40" s="83">
        <v>6</v>
      </c>
      <c r="E40" s="84">
        <v>6</v>
      </c>
      <c r="F40" s="83">
        <v>10</v>
      </c>
      <c r="G40" s="84">
        <v>10</v>
      </c>
      <c r="H40" s="83">
        <v>30</v>
      </c>
      <c r="I40" s="84">
        <v>30</v>
      </c>
      <c r="J40" s="90"/>
      <c r="K40" s="16"/>
      <c r="L40" s="16"/>
      <c r="M40" s="85"/>
      <c r="N40" s="16"/>
      <c r="O40" s="16"/>
      <c r="Q40" s="188" t="s">
        <v>1361</v>
      </c>
    </row>
    <row r="41" spans="1:17" ht="24" customHeight="1" x14ac:dyDescent="0.4">
      <c r="A41" s="186" t="s">
        <v>1230</v>
      </c>
      <c r="B41" s="187" t="s">
        <v>1231</v>
      </c>
      <c r="C41" s="192" t="s">
        <v>1154</v>
      </c>
      <c r="D41" s="83">
        <v>22</v>
      </c>
      <c r="E41" s="84">
        <v>22</v>
      </c>
      <c r="F41" s="83">
        <v>20</v>
      </c>
      <c r="G41" s="84">
        <v>20</v>
      </c>
      <c r="H41" s="83">
        <v>40</v>
      </c>
      <c r="I41" s="84">
        <v>40</v>
      </c>
      <c r="J41" s="90"/>
      <c r="K41" s="16"/>
      <c r="L41" s="16"/>
      <c r="M41" s="85"/>
      <c r="N41" s="16"/>
      <c r="O41" s="16"/>
      <c r="Q41" s="188" t="s">
        <v>1361</v>
      </c>
    </row>
    <row r="42" spans="1:17" ht="30.35" customHeight="1" x14ac:dyDescent="0.4">
      <c r="A42" s="186" t="s">
        <v>1194</v>
      </c>
      <c r="B42" s="187" t="s">
        <v>1195</v>
      </c>
      <c r="C42" s="192" t="s">
        <v>1154</v>
      </c>
      <c r="D42" s="83">
        <v>1</v>
      </c>
      <c r="E42" s="84">
        <v>1</v>
      </c>
      <c r="F42" s="83">
        <v>1</v>
      </c>
      <c r="G42" s="84">
        <v>1</v>
      </c>
      <c r="H42" s="83">
        <v>2</v>
      </c>
      <c r="I42" s="84">
        <v>2</v>
      </c>
      <c r="J42" s="90"/>
      <c r="K42" s="16"/>
      <c r="L42" s="16"/>
      <c r="M42" s="85"/>
      <c r="N42" s="16"/>
      <c r="O42" s="16"/>
      <c r="Q42" s="188" t="s">
        <v>1361</v>
      </c>
    </row>
    <row r="43" spans="1:17" ht="30.35" customHeight="1" x14ac:dyDescent="0.4">
      <c r="A43" s="186" t="s">
        <v>1197</v>
      </c>
      <c r="B43" s="187" t="s">
        <v>1198</v>
      </c>
      <c r="C43" s="192" t="s">
        <v>732</v>
      </c>
      <c r="D43" s="83">
        <v>2.5</v>
      </c>
      <c r="E43" s="84">
        <v>2.5</v>
      </c>
      <c r="F43" s="83">
        <v>4</v>
      </c>
      <c r="G43" s="84">
        <v>4</v>
      </c>
      <c r="H43" s="83">
        <v>12</v>
      </c>
      <c r="I43" s="84">
        <v>12</v>
      </c>
      <c r="J43" s="90"/>
      <c r="K43" s="16"/>
      <c r="L43" s="16"/>
      <c r="M43" s="85"/>
      <c r="N43" s="16"/>
      <c r="O43" s="16"/>
      <c r="Q43" s="188" t="s">
        <v>1361</v>
      </c>
    </row>
    <row r="44" spans="1:17" ht="24" customHeight="1" x14ac:dyDescent="0.4">
      <c r="A44" s="186" t="s">
        <v>1200</v>
      </c>
      <c r="B44" s="187" t="s">
        <v>1201</v>
      </c>
      <c r="C44" s="192" t="s">
        <v>732</v>
      </c>
      <c r="D44" s="83">
        <v>22</v>
      </c>
      <c r="E44" s="84">
        <v>22</v>
      </c>
      <c r="F44" s="83">
        <v>20</v>
      </c>
      <c r="G44" s="84">
        <v>20</v>
      </c>
      <c r="H44" s="83">
        <v>50</v>
      </c>
      <c r="I44" s="84">
        <v>50</v>
      </c>
      <c r="J44" s="90"/>
      <c r="K44" s="16"/>
      <c r="L44" s="16"/>
      <c r="M44" s="85"/>
      <c r="N44" s="16"/>
      <c r="O44" s="16"/>
      <c r="Q44" s="188" t="s">
        <v>1361</v>
      </c>
    </row>
    <row r="45" spans="1:17" ht="24" customHeight="1" x14ac:dyDescent="0.4">
      <c r="A45" s="186" t="s">
        <v>1205</v>
      </c>
      <c r="B45" s="187" t="s">
        <v>1206</v>
      </c>
      <c r="C45" s="192" t="s">
        <v>1154</v>
      </c>
      <c r="D45" s="83">
        <v>5</v>
      </c>
      <c r="E45" s="84">
        <v>5</v>
      </c>
      <c r="F45" s="83">
        <v>5</v>
      </c>
      <c r="G45" s="84">
        <v>5</v>
      </c>
      <c r="H45" s="83">
        <v>15</v>
      </c>
      <c r="I45" s="84">
        <v>15</v>
      </c>
      <c r="J45" s="90"/>
      <c r="K45" s="16"/>
      <c r="L45" s="16"/>
      <c r="M45" s="85"/>
      <c r="N45" s="16"/>
      <c r="O45" s="16"/>
      <c r="Q45" s="188" t="s">
        <v>1361</v>
      </c>
    </row>
    <row r="46" spans="1:17" ht="30.35" customHeight="1" x14ac:dyDescent="0.4">
      <c r="A46" s="186" t="s">
        <v>1234</v>
      </c>
      <c r="B46" s="187" t="s">
        <v>1235</v>
      </c>
      <c r="C46" s="192" t="s">
        <v>732</v>
      </c>
      <c r="D46" s="83">
        <v>4.2</v>
      </c>
      <c r="E46" s="84">
        <v>4.2</v>
      </c>
      <c r="F46" s="83">
        <v>2</v>
      </c>
      <c r="G46" s="84">
        <v>2</v>
      </c>
      <c r="H46" s="83">
        <v>5</v>
      </c>
      <c r="I46" s="84">
        <v>5</v>
      </c>
      <c r="J46" s="90"/>
      <c r="K46" s="16"/>
      <c r="L46" s="16"/>
      <c r="M46" s="85"/>
      <c r="N46" s="16"/>
      <c r="O46" s="16"/>
      <c r="Q46" s="188" t="s">
        <v>1361</v>
      </c>
    </row>
    <row r="47" spans="1:17" ht="30.35" customHeight="1" x14ac:dyDescent="0.4">
      <c r="A47" s="186" t="s">
        <v>1238</v>
      </c>
      <c r="B47" s="187" t="s">
        <v>1239</v>
      </c>
      <c r="C47" s="192" t="s">
        <v>1154</v>
      </c>
      <c r="D47" s="83">
        <v>9</v>
      </c>
      <c r="E47" s="84">
        <v>9</v>
      </c>
      <c r="F47" s="83">
        <v>5</v>
      </c>
      <c r="G47" s="84">
        <v>5</v>
      </c>
      <c r="H47" s="83">
        <v>15</v>
      </c>
      <c r="I47" s="84">
        <v>15</v>
      </c>
      <c r="J47" s="90"/>
      <c r="K47" s="16"/>
      <c r="L47" s="16"/>
      <c r="M47" s="85"/>
      <c r="N47" s="16"/>
      <c r="O47" s="16"/>
      <c r="Q47" s="188" t="s">
        <v>1361</v>
      </c>
    </row>
    <row r="48" spans="1:17" ht="24" customHeight="1" x14ac:dyDescent="0.4">
      <c r="A48" s="186" t="s">
        <v>1242</v>
      </c>
      <c r="B48" s="187" t="s">
        <v>1243</v>
      </c>
      <c r="C48" s="192" t="s">
        <v>732</v>
      </c>
      <c r="D48" s="83">
        <v>1.9</v>
      </c>
      <c r="E48" s="84">
        <v>1.9</v>
      </c>
      <c r="F48" s="189" t="s">
        <v>629</v>
      </c>
      <c r="G48" s="84"/>
      <c r="H48" s="189" t="s">
        <v>629</v>
      </c>
      <c r="I48" s="84"/>
      <c r="J48" s="90"/>
      <c r="K48" s="16"/>
      <c r="L48" s="16"/>
      <c r="M48" s="85"/>
      <c r="N48" s="16"/>
      <c r="O48" s="16"/>
      <c r="Q48" s="188" t="s">
        <v>1361</v>
      </c>
    </row>
    <row r="49" spans="1:17" ht="30.35" customHeight="1" x14ac:dyDescent="0.4">
      <c r="A49" s="186" t="s">
        <v>1246</v>
      </c>
      <c r="B49" s="187" t="s">
        <v>1247</v>
      </c>
      <c r="C49" s="192" t="s">
        <v>1154</v>
      </c>
      <c r="D49" s="83">
        <v>45</v>
      </c>
      <c r="E49" s="84">
        <v>45</v>
      </c>
      <c r="F49" s="83">
        <v>20</v>
      </c>
      <c r="G49" s="84">
        <v>20</v>
      </c>
      <c r="H49" s="83">
        <v>50</v>
      </c>
      <c r="I49" s="84">
        <v>50</v>
      </c>
      <c r="J49" s="90"/>
      <c r="K49" s="16"/>
      <c r="L49" s="16"/>
      <c r="M49" s="85"/>
      <c r="N49" s="16"/>
      <c r="O49" s="16"/>
      <c r="Q49" s="188" t="s">
        <v>1361</v>
      </c>
    </row>
    <row r="50" spans="1:17" ht="24" customHeight="1" x14ac:dyDescent="0.4">
      <c r="A50" s="186" t="s">
        <v>1209</v>
      </c>
      <c r="B50" s="187" t="s">
        <v>1210</v>
      </c>
      <c r="C50" s="192" t="s">
        <v>1154</v>
      </c>
      <c r="D50" s="83">
        <v>6</v>
      </c>
      <c r="E50" s="84">
        <v>6</v>
      </c>
      <c r="F50" s="83">
        <v>3</v>
      </c>
      <c r="G50" s="84">
        <v>3</v>
      </c>
      <c r="H50" s="83">
        <v>8</v>
      </c>
      <c r="I50" s="84">
        <v>8</v>
      </c>
      <c r="J50" s="90"/>
      <c r="K50" s="16"/>
      <c r="L50" s="16"/>
      <c r="M50" s="85"/>
      <c r="N50" s="16"/>
      <c r="O50" s="16"/>
      <c r="Q50" s="188" t="s">
        <v>1361</v>
      </c>
    </row>
    <row r="51" spans="1:17" ht="24" customHeight="1" x14ac:dyDescent="0.4">
      <c r="A51" s="186" t="s">
        <v>1213</v>
      </c>
      <c r="B51" s="187" t="s">
        <v>1214</v>
      </c>
      <c r="C51" s="192" t="s">
        <v>732</v>
      </c>
      <c r="D51" s="83">
        <v>5</v>
      </c>
      <c r="E51" s="84">
        <v>5</v>
      </c>
      <c r="F51" s="83">
        <v>2</v>
      </c>
      <c r="G51" s="84">
        <v>2</v>
      </c>
      <c r="H51" s="83">
        <v>6</v>
      </c>
      <c r="I51" s="84">
        <v>6</v>
      </c>
      <c r="J51" s="90"/>
      <c r="K51" s="16"/>
      <c r="L51" s="16"/>
      <c r="M51" s="85"/>
      <c r="N51" s="16"/>
      <c r="O51" s="16"/>
      <c r="Q51" s="188" t="s">
        <v>1361</v>
      </c>
    </row>
    <row r="52" spans="1:17" ht="30.35" customHeight="1" x14ac:dyDescent="0.4">
      <c r="A52" s="186" t="s">
        <v>1217</v>
      </c>
      <c r="B52" s="187" t="s">
        <v>1218</v>
      </c>
      <c r="C52" s="192" t="s">
        <v>732</v>
      </c>
      <c r="D52" s="83">
        <v>12</v>
      </c>
      <c r="E52" s="84">
        <v>12</v>
      </c>
      <c r="F52" s="83">
        <v>10</v>
      </c>
      <c r="G52" s="84">
        <v>10</v>
      </c>
      <c r="H52" s="83">
        <v>30</v>
      </c>
      <c r="I52" s="84">
        <v>30</v>
      </c>
      <c r="J52" s="90"/>
      <c r="K52" s="16"/>
      <c r="L52" s="16"/>
      <c r="M52" s="85"/>
      <c r="N52" s="16"/>
      <c r="O52" s="16"/>
      <c r="Q52" s="188" t="s">
        <v>1361</v>
      </c>
    </row>
    <row r="53" spans="1:17" ht="30.35" customHeight="1" x14ac:dyDescent="0.4">
      <c r="A53" s="186" t="s">
        <v>1221</v>
      </c>
      <c r="B53" s="187" t="s">
        <v>1222</v>
      </c>
      <c r="C53" s="192" t="s">
        <v>1154</v>
      </c>
      <c r="D53" s="83">
        <v>4.5</v>
      </c>
      <c r="E53" s="84">
        <v>4.5</v>
      </c>
      <c r="F53" s="83">
        <v>4</v>
      </c>
      <c r="G53" s="84">
        <v>4</v>
      </c>
      <c r="H53" s="83">
        <v>12</v>
      </c>
      <c r="I53" s="84">
        <v>12</v>
      </c>
      <c r="J53" s="90"/>
      <c r="K53" s="16"/>
      <c r="L53" s="16"/>
      <c r="M53" s="85"/>
      <c r="N53" s="16"/>
      <c r="O53" s="16"/>
      <c r="Q53" s="188" t="s">
        <v>1361</v>
      </c>
    </row>
    <row r="54" spans="1:17" ht="30.35" customHeight="1" x14ac:dyDescent="0.4">
      <c r="A54" s="186" t="s">
        <v>1394</v>
      </c>
      <c r="B54" s="187" t="s">
        <v>1395</v>
      </c>
      <c r="C54" s="192" t="s">
        <v>732</v>
      </c>
      <c r="D54" s="189" t="s">
        <v>629</v>
      </c>
      <c r="E54" s="84"/>
      <c r="F54" s="83">
        <v>1</v>
      </c>
      <c r="G54" s="84">
        <v>1</v>
      </c>
      <c r="H54" s="83">
        <v>3</v>
      </c>
      <c r="I54" s="84">
        <v>3</v>
      </c>
      <c r="J54" s="90"/>
      <c r="K54" s="16"/>
      <c r="L54" s="16"/>
      <c r="M54" s="85"/>
      <c r="N54" s="16"/>
      <c r="O54" s="16"/>
      <c r="Q54" s="188" t="s">
        <v>1361</v>
      </c>
    </row>
    <row r="55" spans="1:17" ht="30" hidden="1" customHeight="1" x14ac:dyDescent="0.4">
      <c r="A55" s="82"/>
      <c r="B55" s="15"/>
      <c r="C55" s="89"/>
      <c r="D55" s="83"/>
      <c r="E55" s="84"/>
      <c r="F55" s="83"/>
      <c r="G55" s="84"/>
      <c r="H55" s="83"/>
      <c r="I55" s="84"/>
      <c r="J55" s="90"/>
      <c r="K55" s="16"/>
      <c r="L55" s="16"/>
      <c r="M55" s="85"/>
      <c r="N55" s="16"/>
      <c r="O55" s="16"/>
    </row>
    <row r="56" spans="1:17" ht="30" hidden="1" customHeight="1" x14ac:dyDescent="0.4">
      <c r="A56" s="82"/>
      <c r="B56" s="15"/>
      <c r="C56" s="89"/>
      <c r="D56" s="83"/>
      <c r="E56" s="84"/>
      <c r="F56" s="83"/>
      <c r="G56" s="84"/>
      <c r="H56" s="83"/>
      <c r="I56" s="84"/>
      <c r="J56" s="90"/>
      <c r="K56" s="16"/>
      <c r="L56" s="16"/>
      <c r="M56" s="85"/>
      <c r="N56" s="16"/>
      <c r="O56" s="16"/>
    </row>
    <row r="57" spans="1:17" ht="30" hidden="1" customHeight="1" x14ac:dyDescent="0.4">
      <c r="A57" s="82"/>
      <c r="B57" s="15"/>
      <c r="C57" s="89"/>
      <c r="D57" s="83"/>
      <c r="E57" s="84"/>
      <c r="F57" s="83"/>
      <c r="G57" s="84"/>
      <c r="H57" s="83"/>
      <c r="I57" s="84"/>
      <c r="J57" s="90"/>
      <c r="K57" s="16"/>
      <c r="L57" s="16"/>
      <c r="M57" s="85"/>
      <c r="N57" s="16"/>
      <c r="O57" s="16"/>
    </row>
    <row r="58" spans="1:17" ht="30" hidden="1" customHeight="1" x14ac:dyDescent="0.4">
      <c r="A58" s="82"/>
      <c r="B58" s="15"/>
      <c r="C58" s="89"/>
      <c r="D58" s="83"/>
      <c r="E58" s="84"/>
      <c r="F58" s="83"/>
      <c r="G58" s="84"/>
      <c r="H58" s="83"/>
      <c r="I58" s="84"/>
      <c r="J58" s="90"/>
      <c r="K58" s="16"/>
      <c r="L58" s="16"/>
      <c r="M58" s="85"/>
      <c r="N58" s="16"/>
      <c r="O58" s="16"/>
    </row>
    <row r="59" spans="1:17" ht="30" hidden="1" customHeight="1" x14ac:dyDescent="0.4">
      <c r="A59" s="82"/>
      <c r="B59" s="15"/>
      <c r="C59" s="89"/>
      <c r="D59" s="83"/>
      <c r="E59" s="84"/>
      <c r="F59" s="83"/>
      <c r="G59" s="84"/>
      <c r="H59" s="83"/>
      <c r="I59" s="84"/>
      <c r="J59" s="90"/>
      <c r="K59" s="16"/>
      <c r="L59" s="16"/>
      <c r="M59" s="85"/>
      <c r="N59" s="16"/>
      <c r="O59" s="16"/>
    </row>
    <row r="60" spans="1:17" ht="30" hidden="1" customHeight="1" x14ac:dyDescent="0.4">
      <c r="A60" s="82"/>
      <c r="B60" s="15"/>
      <c r="C60" s="89"/>
      <c r="D60" s="83"/>
      <c r="E60" s="84"/>
      <c r="F60" s="83"/>
      <c r="G60" s="84"/>
      <c r="H60" s="83"/>
      <c r="I60" s="84"/>
      <c r="J60" s="90"/>
      <c r="K60" s="16"/>
      <c r="L60" s="16"/>
      <c r="M60" s="85"/>
      <c r="N60" s="16"/>
      <c r="O60" s="16"/>
    </row>
    <row r="61" spans="1:17" ht="30" hidden="1" customHeight="1" x14ac:dyDescent="0.4">
      <c r="A61" s="82"/>
      <c r="B61" s="15"/>
      <c r="C61" s="89"/>
      <c r="D61" s="83"/>
      <c r="E61" s="84"/>
      <c r="F61" s="83"/>
      <c r="G61" s="84"/>
      <c r="H61" s="83"/>
      <c r="I61" s="84"/>
      <c r="J61" s="90"/>
      <c r="K61" s="16"/>
      <c r="L61" s="16"/>
      <c r="M61" s="85"/>
      <c r="N61" s="16"/>
      <c r="O61" s="16"/>
    </row>
    <row r="62" spans="1:17" ht="30" hidden="1" customHeight="1" x14ac:dyDescent="0.4">
      <c r="A62" s="82"/>
      <c r="B62" s="15"/>
      <c r="C62" s="89"/>
      <c r="D62" s="83"/>
      <c r="E62" s="84"/>
      <c r="F62" s="83"/>
      <c r="G62" s="84"/>
      <c r="H62" s="83"/>
      <c r="I62" s="84"/>
      <c r="J62" s="90"/>
      <c r="K62" s="16"/>
      <c r="L62" s="16"/>
      <c r="M62" s="85"/>
      <c r="N62" s="16"/>
      <c r="O62" s="16"/>
    </row>
    <row r="63" spans="1:17" ht="30" hidden="1" customHeight="1" x14ac:dyDescent="0.4">
      <c r="A63" s="82"/>
      <c r="B63" s="15"/>
      <c r="C63" s="89"/>
      <c r="D63" s="83"/>
      <c r="E63" s="84"/>
      <c r="F63" s="83"/>
      <c r="G63" s="84"/>
      <c r="H63" s="83"/>
      <c r="I63" s="84"/>
      <c r="J63" s="90"/>
      <c r="K63" s="16"/>
      <c r="L63" s="16"/>
      <c r="M63" s="85"/>
      <c r="N63" s="16"/>
      <c r="O63" s="16"/>
    </row>
    <row r="64" spans="1:17" ht="30" hidden="1" customHeight="1" x14ac:dyDescent="0.4">
      <c r="A64" s="82"/>
      <c r="B64" s="15"/>
      <c r="C64" s="89"/>
      <c r="D64" s="83"/>
      <c r="E64" s="84"/>
      <c r="F64" s="83"/>
      <c r="G64" s="84"/>
      <c r="H64" s="83"/>
      <c r="I64" s="84"/>
      <c r="J64" s="90"/>
      <c r="K64" s="16"/>
      <c r="L64" s="16"/>
      <c r="M64" s="85"/>
      <c r="N64" s="16"/>
      <c r="O64" s="16"/>
    </row>
    <row r="65" spans="1:15" ht="30" hidden="1" customHeight="1" x14ac:dyDescent="0.4">
      <c r="A65" s="82"/>
      <c r="B65" s="15"/>
      <c r="C65" s="89"/>
      <c r="D65" s="83"/>
      <c r="E65" s="84"/>
      <c r="F65" s="83"/>
      <c r="G65" s="84"/>
      <c r="H65" s="83"/>
      <c r="I65" s="84"/>
      <c r="J65" s="90"/>
      <c r="K65" s="16"/>
      <c r="L65" s="16"/>
      <c r="M65" s="85"/>
      <c r="N65" s="16"/>
      <c r="O65" s="16"/>
    </row>
    <row r="66" spans="1:15" ht="30" hidden="1" customHeight="1" x14ac:dyDescent="0.4">
      <c r="A66" s="82"/>
      <c r="B66" s="15"/>
      <c r="C66" s="89"/>
      <c r="D66" s="83"/>
      <c r="E66" s="84"/>
      <c r="F66" s="83"/>
      <c r="G66" s="84"/>
      <c r="H66" s="83"/>
      <c r="I66" s="84"/>
      <c r="J66" s="90"/>
      <c r="K66" s="16"/>
      <c r="L66" s="16"/>
      <c r="M66" s="85"/>
      <c r="N66" s="16"/>
      <c r="O66" s="16"/>
    </row>
    <row r="67" spans="1:15" ht="30" hidden="1" customHeight="1" x14ac:dyDescent="0.4">
      <c r="A67" s="82"/>
      <c r="B67" s="15"/>
      <c r="C67" s="89"/>
      <c r="D67" s="83"/>
      <c r="E67" s="84"/>
      <c r="F67" s="83"/>
      <c r="G67" s="84"/>
      <c r="H67" s="83"/>
      <c r="I67" s="84"/>
      <c r="J67" s="90"/>
      <c r="K67" s="16"/>
      <c r="L67" s="16"/>
      <c r="M67" s="85"/>
      <c r="N67" s="16"/>
      <c r="O67" s="16"/>
    </row>
    <row r="68" spans="1:15" ht="30" hidden="1" customHeight="1" x14ac:dyDescent="0.4">
      <c r="A68" s="82"/>
      <c r="B68" s="15"/>
      <c r="C68" s="89"/>
      <c r="D68" s="83"/>
      <c r="E68" s="84"/>
      <c r="F68" s="83"/>
      <c r="G68" s="84"/>
      <c r="H68" s="83"/>
      <c r="I68" s="84"/>
      <c r="J68" s="90"/>
      <c r="K68" s="16"/>
      <c r="L68" s="16"/>
      <c r="M68" s="85"/>
      <c r="N68" s="16"/>
      <c r="O68" s="16"/>
    </row>
    <row r="69" spans="1:15" ht="30" hidden="1" customHeight="1" x14ac:dyDescent="0.4">
      <c r="A69" s="82"/>
      <c r="B69" s="15"/>
      <c r="C69" s="89"/>
      <c r="D69" s="83"/>
      <c r="E69" s="84"/>
      <c r="F69" s="83"/>
      <c r="G69" s="84"/>
      <c r="H69" s="83"/>
      <c r="I69" s="84"/>
      <c r="J69" s="90"/>
      <c r="K69" s="16"/>
      <c r="L69" s="16"/>
      <c r="M69" s="85"/>
      <c r="N69" s="16"/>
      <c r="O69" s="16"/>
    </row>
    <row r="70" spans="1:15" ht="30" hidden="1" customHeight="1" x14ac:dyDescent="0.4">
      <c r="A70" s="82"/>
      <c r="B70" s="15"/>
      <c r="C70" s="89"/>
      <c r="D70" s="83"/>
      <c r="E70" s="84"/>
      <c r="F70" s="83"/>
      <c r="G70" s="84"/>
      <c r="H70" s="83"/>
      <c r="I70" s="84"/>
      <c r="J70" s="90"/>
      <c r="K70" s="16"/>
      <c r="L70" s="16"/>
      <c r="M70" s="85"/>
      <c r="N70" s="16"/>
      <c r="O70" s="16"/>
    </row>
    <row r="71" spans="1:15" ht="30" hidden="1" customHeight="1" x14ac:dyDescent="0.4">
      <c r="A71" s="82"/>
      <c r="B71" s="15"/>
      <c r="C71" s="89"/>
      <c r="D71" s="83"/>
      <c r="E71" s="84"/>
      <c r="F71" s="83"/>
      <c r="G71" s="84"/>
      <c r="H71" s="83"/>
      <c r="I71" s="84"/>
      <c r="J71" s="90"/>
      <c r="K71" s="16"/>
      <c r="L71" s="16"/>
      <c r="M71" s="85"/>
      <c r="N71" s="16"/>
      <c r="O71" s="16"/>
    </row>
    <row r="72" spans="1:15" ht="30" hidden="1" customHeight="1" x14ac:dyDescent="0.4">
      <c r="A72" s="82"/>
      <c r="B72" s="15"/>
      <c r="C72" s="89"/>
      <c r="D72" s="83"/>
      <c r="E72" s="84"/>
      <c r="F72" s="83"/>
      <c r="G72" s="84"/>
      <c r="H72" s="83"/>
      <c r="I72" s="84"/>
      <c r="J72" s="90"/>
      <c r="K72" s="16"/>
      <c r="L72" s="16"/>
      <c r="M72" s="85"/>
      <c r="N72" s="16"/>
      <c r="O72" s="16"/>
    </row>
    <row r="73" spans="1:15" ht="30" hidden="1" customHeight="1" x14ac:dyDescent="0.4">
      <c r="A73" s="82"/>
      <c r="B73" s="15"/>
      <c r="C73" s="89"/>
      <c r="D73" s="83"/>
      <c r="E73" s="84"/>
      <c r="F73" s="83"/>
      <c r="G73" s="84"/>
      <c r="H73" s="83"/>
      <c r="I73" s="84"/>
      <c r="J73" s="90"/>
      <c r="K73" s="16"/>
      <c r="L73" s="16"/>
      <c r="M73" s="85"/>
      <c r="N73" s="16"/>
      <c r="O73" s="16"/>
    </row>
    <row r="74" spans="1:15" ht="30" hidden="1" customHeight="1" x14ac:dyDescent="0.4">
      <c r="A74" s="82"/>
      <c r="B74" s="15"/>
      <c r="C74" s="89"/>
      <c r="D74" s="83"/>
      <c r="E74" s="84"/>
      <c r="F74" s="83"/>
      <c r="G74" s="84"/>
      <c r="H74" s="83"/>
      <c r="I74" s="84"/>
      <c r="J74" s="90"/>
      <c r="K74" s="16"/>
      <c r="L74" s="16"/>
      <c r="M74" s="85"/>
      <c r="N74" s="16"/>
      <c r="O74" s="16"/>
    </row>
    <row r="75" spans="1:15" ht="30" hidden="1" customHeight="1" x14ac:dyDescent="0.4">
      <c r="A75" s="82"/>
      <c r="B75" s="15"/>
      <c r="C75" s="89"/>
      <c r="D75" s="83"/>
      <c r="E75" s="84"/>
      <c r="F75" s="83"/>
      <c r="G75" s="84"/>
      <c r="H75" s="83"/>
      <c r="I75" s="84"/>
      <c r="J75" s="90"/>
      <c r="K75" s="16"/>
      <c r="L75" s="16"/>
      <c r="M75" s="85"/>
      <c r="N75" s="16"/>
      <c r="O75" s="16"/>
    </row>
    <row r="76" spans="1:15" ht="30" hidden="1" customHeight="1" x14ac:dyDescent="0.4">
      <c r="A76" s="82"/>
      <c r="B76" s="15"/>
      <c r="C76" s="89"/>
      <c r="D76" s="83"/>
      <c r="E76" s="84"/>
      <c r="F76" s="83"/>
      <c r="G76" s="84"/>
      <c r="H76" s="83"/>
      <c r="I76" s="84"/>
      <c r="J76" s="90"/>
      <c r="K76" s="16"/>
      <c r="L76" s="16"/>
      <c r="M76" s="85"/>
      <c r="N76" s="16"/>
      <c r="O76" s="16"/>
    </row>
    <row r="77" spans="1:15" ht="30" hidden="1" customHeight="1" x14ac:dyDescent="0.4">
      <c r="A77" s="82"/>
      <c r="B77" s="15"/>
      <c r="C77" s="89"/>
      <c r="D77" s="83"/>
      <c r="E77" s="84"/>
      <c r="F77" s="83"/>
      <c r="G77" s="84"/>
      <c r="H77" s="83"/>
      <c r="I77" s="84"/>
      <c r="J77" s="90"/>
      <c r="K77" s="16"/>
      <c r="L77" s="16"/>
      <c r="M77" s="85"/>
      <c r="N77" s="16"/>
      <c r="O77" s="16"/>
    </row>
    <row r="78" spans="1:15" ht="30" hidden="1" customHeight="1" x14ac:dyDescent="0.4">
      <c r="A78" s="82"/>
      <c r="B78" s="15"/>
      <c r="C78" s="89"/>
      <c r="D78" s="83"/>
      <c r="E78" s="84"/>
      <c r="F78" s="83"/>
      <c r="G78" s="84"/>
      <c r="H78" s="83"/>
      <c r="I78" s="84"/>
      <c r="J78" s="90"/>
      <c r="K78" s="16"/>
      <c r="L78" s="16"/>
      <c r="M78" s="85"/>
      <c r="N78" s="16"/>
      <c r="O78" s="16"/>
    </row>
    <row r="79" spans="1:15" ht="30" hidden="1" customHeight="1" x14ac:dyDescent="0.4">
      <c r="A79" s="82"/>
      <c r="B79" s="15"/>
      <c r="C79" s="89"/>
      <c r="D79" s="83"/>
      <c r="E79" s="84"/>
      <c r="F79" s="83"/>
      <c r="G79" s="84"/>
      <c r="H79" s="83"/>
      <c r="I79" s="84"/>
      <c r="J79" s="90"/>
      <c r="K79" s="16"/>
      <c r="L79" s="16"/>
      <c r="M79" s="85"/>
      <c r="N79" s="16"/>
      <c r="O79" s="16"/>
    </row>
    <row r="80" spans="1:15" ht="30" hidden="1" customHeight="1" x14ac:dyDescent="0.4">
      <c r="A80" s="82"/>
      <c r="B80" s="15"/>
      <c r="C80" s="89"/>
      <c r="D80" s="83"/>
      <c r="E80" s="84"/>
      <c r="F80" s="83"/>
      <c r="G80" s="84"/>
      <c r="H80" s="83"/>
      <c r="I80" s="84"/>
      <c r="J80" s="90"/>
      <c r="K80" s="16"/>
      <c r="L80" s="16"/>
      <c r="M80" s="85"/>
      <c r="N80" s="16"/>
      <c r="O80" s="16"/>
    </row>
    <row r="81" spans="1:15" ht="30" hidden="1" customHeight="1" x14ac:dyDescent="0.4">
      <c r="A81" s="82"/>
      <c r="B81" s="15"/>
      <c r="C81" s="89"/>
      <c r="D81" s="83"/>
      <c r="E81" s="84"/>
      <c r="F81" s="83"/>
      <c r="G81" s="84"/>
      <c r="H81" s="83"/>
      <c r="I81" s="84"/>
      <c r="J81" s="90"/>
      <c r="K81" s="16"/>
      <c r="L81" s="16"/>
      <c r="M81" s="85"/>
      <c r="N81" s="16"/>
      <c r="O81" s="16"/>
    </row>
    <row r="82" spans="1:15" ht="30" hidden="1" customHeight="1" x14ac:dyDescent="0.4">
      <c r="A82" s="82"/>
      <c r="B82" s="15"/>
      <c r="C82" s="89"/>
      <c r="D82" s="83"/>
      <c r="E82" s="84"/>
      <c r="F82" s="83"/>
      <c r="G82" s="84"/>
      <c r="H82" s="83"/>
      <c r="I82" s="84"/>
      <c r="J82" s="90"/>
      <c r="K82" s="16"/>
      <c r="L82" s="16"/>
      <c r="M82" s="85"/>
      <c r="N82" s="16"/>
      <c r="O82" s="16"/>
    </row>
    <row r="83" spans="1:15" ht="30" hidden="1" customHeight="1" x14ac:dyDescent="0.4">
      <c r="A83" s="82"/>
      <c r="B83" s="15"/>
      <c r="C83" s="89"/>
      <c r="D83" s="83"/>
      <c r="E83" s="84"/>
      <c r="F83" s="83"/>
      <c r="G83" s="84"/>
      <c r="H83" s="83"/>
      <c r="I83" s="84"/>
      <c r="J83" s="90"/>
      <c r="K83" s="16"/>
      <c r="L83" s="16"/>
      <c r="M83" s="85"/>
      <c r="N83" s="16"/>
      <c r="O83" s="16"/>
    </row>
    <row r="84" spans="1:15" ht="30" hidden="1" customHeight="1" x14ac:dyDescent="0.4">
      <c r="A84" s="82"/>
      <c r="B84" s="15"/>
      <c r="C84" s="89"/>
      <c r="D84" s="83"/>
      <c r="E84" s="84"/>
      <c r="F84" s="83"/>
      <c r="G84" s="84"/>
      <c r="H84" s="83"/>
      <c r="I84" s="84"/>
      <c r="J84" s="90"/>
      <c r="K84" s="16"/>
      <c r="L84" s="16"/>
      <c r="M84" s="85"/>
      <c r="N84" s="16"/>
      <c r="O84" s="16"/>
    </row>
    <row r="85" spans="1:15" ht="30" hidden="1" customHeight="1" x14ac:dyDescent="0.4">
      <c r="A85" s="82"/>
      <c r="B85" s="15"/>
      <c r="C85" s="89"/>
      <c r="D85" s="83"/>
      <c r="E85" s="84"/>
      <c r="F85" s="83"/>
      <c r="G85" s="84"/>
      <c r="H85" s="83"/>
      <c r="I85" s="84"/>
      <c r="J85" s="90"/>
      <c r="K85" s="16"/>
      <c r="L85" s="16"/>
      <c r="M85" s="85"/>
      <c r="N85" s="16"/>
      <c r="O85" s="16"/>
    </row>
    <row r="86" spans="1:15" ht="30" hidden="1" customHeight="1" x14ac:dyDescent="0.4">
      <c r="A86" s="82"/>
      <c r="B86" s="15"/>
      <c r="C86" s="89"/>
      <c r="D86" s="83"/>
      <c r="E86" s="84"/>
      <c r="F86" s="83"/>
      <c r="G86" s="84"/>
      <c r="H86" s="83"/>
      <c r="I86" s="84"/>
      <c r="J86" s="90"/>
      <c r="K86" s="16"/>
      <c r="L86" s="16"/>
      <c r="M86" s="85"/>
      <c r="N86" s="16"/>
      <c r="O86" s="16"/>
    </row>
    <row r="87" spans="1:15" ht="30" hidden="1" customHeight="1" x14ac:dyDescent="0.4">
      <c r="A87" s="82"/>
      <c r="B87" s="15"/>
      <c r="C87" s="89"/>
      <c r="D87" s="83"/>
      <c r="E87" s="84"/>
      <c r="F87" s="83"/>
      <c r="G87" s="84"/>
      <c r="H87" s="83"/>
      <c r="I87" s="84"/>
      <c r="J87" s="90"/>
      <c r="K87" s="16"/>
      <c r="L87" s="16"/>
      <c r="M87" s="85"/>
      <c r="N87" s="16"/>
      <c r="O87" s="16"/>
    </row>
    <row r="88" spans="1:15" ht="30" hidden="1" customHeight="1" x14ac:dyDescent="0.4">
      <c r="A88" s="82"/>
      <c r="B88" s="15"/>
      <c r="C88" s="89"/>
      <c r="D88" s="83"/>
      <c r="E88" s="84"/>
      <c r="F88" s="83"/>
      <c r="G88" s="84"/>
      <c r="H88" s="83"/>
      <c r="I88" s="84"/>
      <c r="J88" s="90"/>
      <c r="K88" s="16"/>
      <c r="L88" s="16"/>
      <c r="M88" s="85"/>
      <c r="N88" s="16"/>
      <c r="O88" s="16"/>
    </row>
    <row r="89" spans="1:15" ht="30" hidden="1" customHeight="1" x14ac:dyDescent="0.4">
      <c r="A89" s="82"/>
      <c r="B89" s="15"/>
      <c r="C89" s="89"/>
      <c r="D89" s="83"/>
      <c r="E89" s="84"/>
      <c r="F89" s="83"/>
      <c r="G89" s="84"/>
      <c r="H89" s="83"/>
      <c r="I89" s="84"/>
      <c r="J89" s="90"/>
      <c r="K89" s="16"/>
      <c r="L89" s="16"/>
      <c r="M89" s="85"/>
      <c r="N89" s="16"/>
      <c r="O89" s="16"/>
    </row>
    <row r="90" spans="1:15" ht="30" hidden="1" customHeight="1" x14ac:dyDescent="0.4">
      <c r="A90" s="82"/>
      <c r="B90" s="15"/>
      <c r="C90" s="89"/>
      <c r="D90" s="83"/>
      <c r="E90" s="84"/>
      <c r="F90" s="83"/>
      <c r="G90" s="84"/>
      <c r="H90" s="83"/>
      <c r="I90" s="84"/>
      <c r="J90" s="90"/>
      <c r="K90" s="16"/>
      <c r="L90" s="16"/>
      <c r="M90" s="85"/>
      <c r="N90" s="16"/>
      <c r="O90" s="16"/>
    </row>
    <row r="91" spans="1:15" ht="30" hidden="1" customHeight="1" x14ac:dyDescent="0.4">
      <c r="A91" s="82"/>
      <c r="B91" s="15"/>
      <c r="C91" s="89"/>
      <c r="D91" s="83"/>
      <c r="E91" s="84"/>
      <c r="F91" s="83"/>
      <c r="G91" s="84"/>
      <c r="H91" s="83"/>
      <c r="I91" s="84"/>
      <c r="J91" s="90"/>
      <c r="K91" s="16"/>
      <c r="L91" s="16"/>
      <c r="M91" s="85"/>
      <c r="N91" s="16"/>
      <c r="O91" s="16"/>
    </row>
    <row r="92" spans="1:15" ht="30" hidden="1" customHeight="1" x14ac:dyDescent="0.4">
      <c r="A92" s="82"/>
      <c r="B92" s="15"/>
      <c r="C92" s="89"/>
      <c r="D92" s="83"/>
      <c r="E92" s="84"/>
      <c r="F92" s="83"/>
      <c r="G92" s="84"/>
      <c r="H92" s="83"/>
      <c r="I92" s="84"/>
      <c r="J92" s="90"/>
      <c r="K92" s="16"/>
      <c r="L92" s="16"/>
      <c r="M92" s="85"/>
      <c r="N92" s="16"/>
      <c r="O92" s="16"/>
    </row>
    <row r="93" spans="1:15" ht="30" hidden="1" customHeight="1" x14ac:dyDescent="0.4">
      <c r="A93" s="82"/>
      <c r="B93" s="15"/>
      <c r="C93" s="89"/>
      <c r="D93" s="83"/>
      <c r="E93" s="84"/>
      <c r="F93" s="83"/>
      <c r="G93" s="84"/>
      <c r="H93" s="83"/>
      <c r="I93" s="84"/>
      <c r="J93" s="90"/>
      <c r="K93" s="16"/>
      <c r="L93" s="16"/>
      <c r="M93" s="85"/>
      <c r="N93" s="16"/>
      <c r="O93" s="16"/>
    </row>
    <row r="94" spans="1:15" ht="30" hidden="1" customHeight="1" x14ac:dyDescent="0.4">
      <c r="A94" s="82"/>
      <c r="B94" s="15"/>
      <c r="C94" s="89"/>
      <c r="D94" s="83"/>
      <c r="E94" s="84"/>
      <c r="F94" s="83"/>
      <c r="G94" s="84"/>
      <c r="H94" s="83"/>
      <c r="I94" s="84"/>
      <c r="J94" s="90"/>
      <c r="K94" s="16"/>
      <c r="L94" s="16"/>
      <c r="M94" s="85"/>
      <c r="N94" s="16"/>
      <c r="O94" s="16"/>
    </row>
    <row r="95" spans="1:15" ht="30" hidden="1" customHeight="1" x14ac:dyDescent="0.4">
      <c r="A95" s="82"/>
      <c r="B95" s="15"/>
      <c r="C95" s="89"/>
      <c r="D95" s="83"/>
      <c r="E95" s="84"/>
      <c r="F95" s="83"/>
      <c r="G95" s="84"/>
      <c r="H95" s="83"/>
      <c r="I95" s="84"/>
      <c r="J95" s="90"/>
      <c r="K95" s="16"/>
      <c r="L95" s="16"/>
      <c r="M95" s="85"/>
      <c r="N95" s="16"/>
      <c r="O95" s="16"/>
    </row>
    <row r="96" spans="1:15" ht="30" hidden="1" customHeight="1" x14ac:dyDescent="0.4">
      <c r="A96" s="82"/>
      <c r="B96" s="15"/>
      <c r="C96" s="89"/>
      <c r="D96" s="83"/>
      <c r="E96" s="84"/>
      <c r="F96" s="83"/>
      <c r="G96" s="84"/>
      <c r="H96" s="83"/>
      <c r="I96" s="84"/>
      <c r="J96" s="90"/>
      <c r="K96" s="16"/>
      <c r="L96" s="16"/>
      <c r="M96" s="85"/>
      <c r="N96" s="16"/>
      <c r="O96" s="16"/>
    </row>
    <row r="97" spans="1:15" ht="30" hidden="1" customHeight="1" x14ac:dyDescent="0.4">
      <c r="A97" s="82"/>
      <c r="B97" s="15"/>
      <c r="C97" s="89"/>
      <c r="D97" s="83"/>
      <c r="E97" s="84"/>
      <c r="F97" s="83"/>
      <c r="G97" s="84"/>
      <c r="H97" s="83"/>
      <c r="I97" s="84"/>
      <c r="J97" s="90"/>
      <c r="K97" s="16"/>
      <c r="L97" s="16"/>
      <c r="M97" s="85"/>
      <c r="N97" s="16"/>
      <c r="O97" s="16"/>
    </row>
    <row r="98" spans="1:15" ht="30" hidden="1" customHeight="1" x14ac:dyDescent="0.4">
      <c r="A98" s="82"/>
      <c r="B98" s="15"/>
      <c r="C98" s="89"/>
      <c r="D98" s="83"/>
      <c r="E98" s="84"/>
      <c r="F98" s="83"/>
      <c r="G98" s="84"/>
      <c r="H98" s="83"/>
      <c r="I98" s="84"/>
      <c r="J98" s="90"/>
      <c r="K98" s="16"/>
      <c r="L98" s="16"/>
      <c r="M98" s="85"/>
      <c r="N98" s="16"/>
      <c r="O98" s="16"/>
    </row>
    <row r="99" spans="1:15" ht="30" hidden="1" customHeight="1" x14ac:dyDescent="0.4">
      <c r="A99" s="82"/>
      <c r="B99" s="15"/>
      <c r="C99" s="89"/>
      <c r="D99" s="83"/>
      <c r="E99" s="84"/>
      <c r="F99" s="83"/>
      <c r="G99" s="84"/>
      <c r="H99" s="83"/>
      <c r="I99" s="84"/>
      <c r="J99" s="90"/>
      <c r="K99" s="16"/>
      <c r="L99" s="16"/>
      <c r="M99" s="85"/>
      <c r="N99" s="16"/>
      <c r="O99" s="16"/>
    </row>
    <row r="100" spans="1:15" ht="30" hidden="1" customHeight="1" x14ac:dyDescent="0.4">
      <c r="A100" s="82"/>
      <c r="B100" s="15"/>
      <c r="C100" s="89"/>
      <c r="D100" s="83"/>
      <c r="E100" s="84"/>
      <c r="F100" s="83"/>
      <c r="G100" s="84"/>
      <c r="H100" s="83"/>
      <c r="I100" s="84"/>
      <c r="J100" s="90"/>
      <c r="K100" s="16"/>
      <c r="L100" s="16"/>
      <c r="M100" s="85"/>
      <c r="N100" s="16"/>
      <c r="O100" s="16"/>
    </row>
    <row r="101" spans="1:15" ht="30" hidden="1" customHeight="1" x14ac:dyDescent="0.4">
      <c r="A101" s="82"/>
      <c r="B101" s="15"/>
      <c r="C101" s="89"/>
      <c r="D101" s="83"/>
      <c r="E101" s="84"/>
      <c r="F101" s="83"/>
      <c r="G101" s="84"/>
      <c r="H101" s="83"/>
      <c r="I101" s="84"/>
      <c r="J101" s="90"/>
      <c r="K101" s="16"/>
      <c r="L101" s="16"/>
      <c r="M101" s="85"/>
      <c r="N101" s="16"/>
      <c r="O101" s="16"/>
    </row>
    <row r="102" spans="1:15" ht="30" hidden="1" customHeight="1" x14ac:dyDescent="0.4">
      <c r="A102" s="82"/>
      <c r="B102" s="15"/>
      <c r="C102" s="89"/>
      <c r="D102" s="83"/>
      <c r="E102" s="84"/>
      <c r="F102" s="83"/>
      <c r="G102" s="84"/>
      <c r="H102" s="83"/>
      <c r="I102" s="84"/>
      <c r="J102" s="90"/>
      <c r="K102" s="16"/>
      <c r="L102" s="16"/>
      <c r="M102" s="85"/>
      <c r="N102" s="16"/>
      <c r="O102" s="16"/>
    </row>
    <row r="103" spans="1:15" ht="30" hidden="1" customHeight="1" x14ac:dyDescent="0.4">
      <c r="A103" s="82"/>
      <c r="B103" s="15"/>
      <c r="C103" s="89"/>
      <c r="D103" s="83"/>
      <c r="E103" s="84"/>
      <c r="F103" s="83"/>
      <c r="G103" s="84"/>
      <c r="H103" s="83"/>
      <c r="I103" s="84"/>
      <c r="J103" s="90"/>
      <c r="K103" s="16"/>
      <c r="L103" s="16"/>
      <c r="M103" s="85"/>
      <c r="N103" s="16"/>
      <c r="O103" s="16"/>
    </row>
    <row r="104" spans="1:15" ht="30" hidden="1" customHeight="1" x14ac:dyDescent="0.4">
      <c r="A104" s="82"/>
      <c r="B104" s="15"/>
      <c r="C104" s="89"/>
      <c r="D104" s="83"/>
      <c r="E104" s="84"/>
      <c r="F104" s="83"/>
      <c r="G104" s="84"/>
      <c r="H104" s="83"/>
      <c r="I104" s="84"/>
      <c r="J104" s="90"/>
      <c r="K104" s="16"/>
      <c r="L104" s="16"/>
      <c r="M104" s="85"/>
      <c r="N104" s="16"/>
      <c r="O104" s="16"/>
    </row>
    <row r="105" spans="1:15" ht="30" hidden="1" customHeight="1" x14ac:dyDescent="0.4">
      <c r="A105" s="82"/>
      <c r="B105" s="15"/>
      <c r="C105" s="89"/>
      <c r="D105" s="83"/>
      <c r="E105" s="84"/>
      <c r="F105" s="83"/>
      <c r="G105" s="84"/>
      <c r="H105" s="83"/>
      <c r="I105" s="84"/>
      <c r="J105" s="90"/>
      <c r="K105" s="16"/>
      <c r="L105" s="16"/>
      <c r="M105" s="85"/>
      <c r="N105" s="16"/>
      <c r="O105" s="16"/>
    </row>
    <row r="106" spans="1:15" ht="30" hidden="1" customHeight="1" x14ac:dyDescent="0.4">
      <c r="A106" s="82"/>
      <c r="B106" s="15"/>
      <c r="C106" s="89"/>
      <c r="D106" s="83"/>
      <c r="E106" s="84"/>
      <c r="F106" s="83"/>
      <c r="G106" s="84"/>
      <c r="H106" s="83"/>
      <c r="I106" s="84"/>
      <c r="J106" s="90"/>
      <c r="K106" s="16"/>
      <c r="L106" s="16"/>
      <c r="M106" s="85"/>
      <c r="N106" s="16"/>
      <c r="O106" s="16"/>
    </row>
    <row r="107" spans="1:15" ht="30" hidden="1" customHeight="1" x14ac:dyDescent="0.4">
      <c r="A107" s="82"/>
      <c r="B107" s="15"/>
      <c r="C107" s="89"/>
      <c r="D107" s="83"/>
      <c r="E107" s="84"/>
      <c r="F107" s="83"/>
      <c r="G107" s="84"/>
      <c r="H107" s="83"/>
      <c r="I107" s="84"/>
      <c r="J107" s="90"/>
      <c r="K107" s="16"/>
      <c r="L107" s="16"/>
      <c r="M107" s="85"/>
      <c r="N107" s="16"/>
      <c r="O107" s="16"/>
    </row>
    <row r="108" spans="1:15" ht="30" hidden="1" customHeight="1" x14ac:dyDescent="0.4">
      <c r="A108" s="82"/>
      <c r="B108" s="15"/>
      <c r="C108" s="89"/>
      <c r="D108" s="83"/>
      <c r="E108" s="84"/>
      <c r="F108" s="83"/>
      <c r="G108" s="84"/>
      <c r="H108" s="83"/>
      <c r="I108" s="84"/>
      <c r="J108" s="90"/>
      <c r="K108" s="16"/>
      <c r="L108" s="16"/>
      <c r="M108" s="85"/>
      <c r="N108" s="16"/>
      <c r="O108" s="16"/>
    </row>
    <row r="109" spans="1:15" ht="30" hidden="1" customHeight="1" x14ac:dyDescent="0.4">
      <c r="A109" s="82"/>
      <c r="B109" s="15"/>
      <c r="C109" s="89"/>
      <c r="D109" s="83"/>
      <c r="E109" s="84"/>
      <c r="F109" s="83"/>
      <c r="G109" s="84"/>
      <c r="H109" s="83"/>
      <c r="I109" s="84"/>
      <c r="J109" s="90"/>
      <c r="K109" s="16"/>
      <c r="L109" s="16"/>
      <c r="M109" s="85"/>
      <c r="N109" s="16"/>
      <c r="O109" s="16"/>
    </row>
    <row r="111" spans="1:15" ht="15.9" x14ac:dyDescent="0.45">
      <c r="A111" s="191" t="s">
        <v>1477</v>
      </c>
      <c r="B111" s="123"/>
      <c r="C111" s="123"/>
      <c r="D111" s="123"/>
      <c r="E111" s="123"/>
      <c r="F111" s="123"/>
      <c r="G111" s="123"/>
      <c r="H111" s="123"/>
      <c r="I111" s="123"/>
      <c r="J111" s="123"/>
      <c r="K111" s="123"/>
      <c r="L111" s="123"/>
      <c r="M111" s="123"/>
      <c r="N111" s="123"/>
      <c r="O111" s="123"/>
    </row>
    <row r="112" spans="1:15" ht="30" customHeight="1" x14ac:dyDescent="0.4">
      <c r="A112" s="78" t="s">
        <v>460</v>
      </c>
      <c r="B112" s="78" t="s">
        <v>488</v>
      </c>
      <c r="C112" s="176" t="s">
        <v>489</v>
      </c>
      <c r="D112" s="116"/>
      <c r="E112" s="175" t="s">
        <v>490</v>
      </c>
      <c r="F112" s="116"/>
      <c r="G112" s="79" t="s">
        <v>491</v>
      </c>
      <c r="H112" s="80" t="s">
        <v>461</v>
      </c>
      <c r="I112" s="80" t="s">
        <v>486</v>
      </c>
      <c r="M112" s="80" t="s">
        <v>487</v>
      </c>
    </row>
    <row r="113" spans="1:20" ht="30.35" customHeight="1" x14ac:dyDescent="0.4">
      <c r="A113" s="193" t="s">
        <v>1423</v>
      </c>
      <c r="B113" s="187" t="s">
        <v>1424</v>
      </c>
      <c r="C113" s="194" t="s">
        <v>511</v>
      </c>
      <c r="D113" s="172"/>
      <c r="E113" s="195" t="s">
        <v>511</v>
      </c>
      <c r="F113" s="172"/>
      <c r="G113" s="189" t="s">
        <v>1105</v>
      </c>
      <c r="H113" s="196" t="s">
        <v>1105</v>
      </c>
      <c r="I113" s="90"/>
      <c r="J113" s="16"/>
      <c r="K113" s="16"/>
      <c r="L113" s="16"/>
      <c r="M113" s="85"/>
      <c r="N113" s="16"/>
      <c r="O113" s="16"/>
      <c r="Q113" s="188" t="s">
        <v>1361</v>
      </c>
      <c r="R113" s="188" t="s">
        <v>508</v>
      </c>
      <c r="S113">
        <f t="shared" ref="S113:S144" si="6">IF($A113="","",IF(OR($I113="Sì",$I113="Si"),0,IFERROR(VALUE(LEFT($H113,FIND(" ",$H113)-1)),0)))</f>
        <v>3</v>
      </c>
      <c r="T113">
        <f t="shared" ref="T113:T144" si="7">IF($A113="","",IFERROR(VALUE(LEFT($G113,FIND(" ",$G113)-1)),0))</f>
        <v>3</v>
      </c>
    </row>
    <row r="114" spans="1:20" ht="33" customHeight="1" x14ac:dyDescent="0.4">
      <c r="A114" s="193" t="s">
        <v>1427</v>
      </c>
      <c r="B114" s="187" t="s">
        <v>1428</v>
      </c>
      <c r="C114" s="194" t="s">
        <v>1429</v>
      </c>
      <c r="D114" s="172"/>
      <c r="E114" s="195" t="s">
        <v>1429</v>
      </c>
      <c r="F114" s="172"/>
      <c r="G114" s="189" t="s">
        <v>708</v>
      </c>
      <c r="H114" s="196" t="s">
        <v>708</v>
      </c>
      <c r="I114" s="90"/>
      <c r="J114" s="16"/>
      <c r="K114" s="16"/>
      <c r="L114" s="16"/>
      <c r="M114" s="85"/>
      <c r="N114" s="16"/>
      <c r="O114" s="16"/>
      <c r="Q114" s="188" t="s">
        <v>1361</v>
      </c>
      <c r="R114" s="188" t="s">
        <v>508</v>
      </c>
      <c r="S114">
        <f t="shared" si="6"/>
        <v>6</v>
      </c>
      <c r="T114">
        <f t="shared" si="7"/>
        <v>6</v>
      </c>
    </row>
    <row r="115" spans="1:20" ht="33" customHeight="1" x14ac:dyDescent="0.4">
      <c r="A115" s="193" t="s">
        <v>1431</v>
      </c>
      <c r="B115" s="187" t="s">
        <v>1432</v>
      </c>
      <c r="C115" s="194" t="s">
        <v>517</v>
      </c>
      <c r="D115" s="172"/>
      <c r="E115" s="195" t="s">
        <v>517</v>
      </c>
      <c r="F115" s="172"/>
      <c r="G115" s="189" t="s">
        <v>1105</v>
      </c>
      <c r="H115" s="196" t="s">
        <v>1105</v>
      </c>
      <c r="I115" s="90"/>
      <c r="J115" s="16"/>
      <c r="K115" s="16"/>
      <c r="L115" s="16"/>
      <c r="M115" s="85"/>
      <c r="N115" s="16"/>
      <c r="O115" s="16"/>
      <c r="Q115" s="188" t="s">
        <v>1361</v>
      </c>
      <c r="R115" s="188" t="s">
        <v>514</v>
      </c>
      <c r="S115">
        <f t="shared" si="6"/>
        <v>3</v>
      </c>
      <c r="T115">
        <f t="shared" si="7"/>
        <v>3</v>
      </c>
    </row>
    <row r="116" spans="1:20" ht="33" customHeight="1" x14ac:dyDescent="0.4">
      <c r="A116" s="193" t="s">
        <v>1434</v>
      </c>
      <c r="B116" s="187" t="s">
        <v>1435</v>
      </c>
      <c r="C116" s="194" t="s">
        <v>1436</v>
      </c>
      <c r="D116" s="172"/>
      <c r="E116" s="195" t="s">
        <v>1436</v>
      </c>
      <c r="F116" s="172"/>
      <c r="G116" s="189" t="s">
        <v>1095</v>
      </c>
      <c r="H116" s="196" t="s">
        <v>1095</v>
      </c>
      <c r="I116" s="90"/>
      <c r="J116" s="16"/>
      <c r="K116" s="16"/>
      <c r="L116" s="16"/>
      <c r="M116" s="85"/>
      <c r="N116" s="16"/>
      <c r="O116" s="16"/>
      <c r="Q116" s="188" t="s">
        <v>1361</v>
      </c>
      <c r="R116" s="188" t="s">
        <v>514</v>
      </c>
      <c r="S116">
        <f t="shared" si="6"/>
        <v>12</v>
      </c>
      <c r="T116">
        <f t="shared" si="7"/>
        <v>12</v>
      </c>
    </row>
    <row r="117" spans="1:20" ht="30.35" customHeight="1" x14ac:dyDescent="0.4">
      <c r="A117" s="193" t="s">
        <v>1438</v>
      </c>
      <c r="B117" s="187" t="s">
        <v>1439</v>
      </c>
      <c r="C117" s="194" t="s">
        <v>523</v>
      </c>
      <c r="D117" s="172"/>
      <c r="E117" s="195" t="s">
        <v>523</v>
      </c>
      <c r="F117" s="172"/>
      <c r="G117" s="189" t="s">
        <v>1105</v>
      </c>
      <c r="H117" s="196" t="s">
        <v>1105</v>
      </c>
      <c r="I117" s="90"/>
      <c r="J117" s="16"/>
      <c r="K117" s="16"/>
      <c r="L117" s="16"/>
      <c r="M117" s="85"/>
      <c r="N117" s="16"/>
      <c r="O117" s="16"/>
      <c r="Q117" s="188" t="s">
        <v>1361</v>
      </c>
      <c r="R117" s="188" t="s">
        <v>520</v>
      </c>
      <c r="S117">
        <f t="shared" si="6"/>
        <v>3</v>
      </c>
      <c r="T117">
        <f t="shared" si="7"/>
        <v>3</v>
      </c>
    </row>
    <row r="118" spans="1:20" ht="33" customHeight="1" x14ac:dyDescent="0.4">
      <c r="A118" s="193" t="s">
        <v>1441</v>
      </c>
      <c r="B118" s="187" t="s">
        <v>1442</v>
      </c>
      <c r="C118" s="194" t="s">
        <v>529</v>
      </c>
      <c r="D118" s="172"/>
      <c r="E118" s="195" t="s">
        <v>529</v>
      </c>
      <c r="F118" s="172"/>
      <c r="G118" s="189" t="s">
        <v>708</v>
      </c>
      <c r="H118" s="196" t="s">
        <v>708</v>
      </c>
      <c r="I118" s="90"/>
      <c r="J118" s="16"/>
      <c r="K118" s="16"/>
      <c r="L118" s="16"/>
      <c r="M118" s="85"/>
      <c r="N118" s="16"/>
      <c r="O118" s="16"/>
      <c r="Q118" s="188" t="s">
        <v>1361</v>
      </c>
      <c r="R118" s="188" t="s">
        <v>526</v>
      </c>
      <c r="S118">
        <f t="shared" si="6"/>
        <v>6</v>
      </c>
      <c r="T118">
        <f t="shared" si="7"/>
        <v>6</v>
      </c>
    </row>
    <row r="119" spans="1:20" ht="30.35" customHeight="1" x14ac:dyDescent="0.4">
      <c r="A119" s="193" t="s">
        <v>1444</v>
      </c>
      <c r="B119" s="187" t="s">
        <v>1104</v>
      </c>
      <c r="C119" s="194" t="s">
        <v>533</v>
      </c>
      <c r="D119" s="172"/>
      <c r="E119" s="195" t="s">
        <v>533</v>
      </c>
      <c r="F119" s="172"/>
      <c r="G119" s="189" t="s">
        <v>1105</v>
      </c>
      <c r="H119" s="196" t="s">
        <v>1105</v>
      </c>
      <c r="I119" s="90"/>
      <c r="J119" s="16"/>
      <c r="K119" s="16"/>
      <c r="L119" s="16"/>
      <c r="M119" s="85"/>
      <c r="N119" s="16"/>
      <c r="O119" s="16"/>
      <c r="Q119" s="188" t="s">
        <v>1361</v>
      </c>
      <c r="R119" s="188" t="s">
        <v>530</v>
      </c>
      <c r="S119">
        <f t="shared" si="6"/>
        <v>3</v>
      </c>
      <c r="T119">
        <f t="shared" si="7"/>
        <v>3</v>
      </c>
    </row>
    <row r="120" spans="1:20" ht="30.35" customHeight="1" x14ac:dyDescent="0.4">
      <c r="A120" s="193" t="s">
        <v>1446</v>
      </c>
      <c r="B120" s="187" t="s">
        <v>1447</v>
      </c>
      <c r="C120" s="194" t="s">
        <v>1448</v>
      </c>
      <c r="D120" s="172"/>
      <c r="E120" s="195" t="s">
        <v>1448</v>
      </c>
      <c r="F120" s="172"/>
      <c r="G120" s="189" t="s">
        <v>708</v>
      </c>
      <c r="H120" s="196" t="s">
        <v>708</v>
      </c>
      <c r="I120" s="90"/>
      <c r="J120" s="16"/>
      <c r="K120" s="16"/>
      <c r="L120" s="16"/>
      <c r="M120" s="85"/>
      <c r="N120" s="16"/>
      <c r="O120" s="16"/>
      <c r="Q120" s="188" t="s">
        <v>1361</v>
      </c>
      <c r="R120" s="188" t="s">
        <v>535</v>
      </c>
      <c r="S120">
        <f t="shared" si="6"/>
        <v>6</v>
      </c>
      <c r="T120">
        <f t="shared" si="7"/>
        <v>6</v>
      </c>
    </row>
    <row r="121" spans="1:20" ht="33" customHeight="1" x14ac:dyDescent="0.4">
      <c r="A121" s="193" t="s">
        <v>1450</v>
      </c>
      <c r="B121" s="187" t="s">
        <v>1451</v>
      </c>
      <c r="C121" s="194" t="s">
        <v>538</v>
      </c>
      <c r="D121" s="172"/>
      <c r="E121" s="195" t="s">
        <v>538</v>
      </c>
      <c r="F121" s="172"/>
      <c r="G121" s="189" t="s">
        <v>708</v>
      </c>
      <c r="H121" s="196" t="s">
        <v>708</v>
      </c>
      <c r="I121" s="90"/>
      <c r="J121" s="16"/>
      <c r="K121" s="16"/>
      <c r="L121" s="16"/>
      <c r="M121" s="85"/>
      <c r="N121" s="16"/>
      <c r="O121" s="16"/>
      <c r="Q121" s="188" t="s">
        <v>1361</v>
      </c>
      <c r="R121" s="188" t="s">
        <v>535</v>
      </c>
      <c r="S121">
        <f t="shared" si="6"/>
        <v>6</v>
      </c>
      <c r="T121">
        <f t="shared" si="7"/>
        <v>6</v>
      </c>
    </row>
    <row r="122" spans="1:20" ht="42.45" customHeight="1" x14ac:dyDescent="0.4">
      <c r="A122" s="193" t="s">
        <v>1453</v>
      </c>
      <c r="B122" s="187" t="s">
        <v>1454</v>
      </c>
      <c r="C122" s="194" t="s">
        <v>517</v>
      </c>
      <c r="D122" s="172"/>
      <c r="E122" s="195" t="s">
        <v>517</v>
      </c>
      <c r="F122" s="172"/>
      <c r="G122" s="189" t="s">
        <v>708</v>
      </c>
      <c r="H122" s="196" t="s">
        <v>708</v>
      </c>
      <c r="I122" s="90"/>
      <c r="J122" s="16"/>
      <c r="K122" s="16"/>
      <c r="L122" s="16"/>
      <c r="M122" s="85"/>
      <c r="N122" s="16"/>
      <c r="O122" s="16"/>
      <c r="Q122" s="188" t="s">
        <v>1361</v>
      </c>
      <c r="R122" s="188" t="s">
        <v>541</v>
      </c>
      <c r="S122">
        <f t="shared" si="6"/>
        <v>6</v>
      </c>
      <c r="T122">
        <f t="shared" si="7"/>
        <v>6</v>
      </c>
    </row>
    <row r="123" spans="1:20" ht="33" customHeight="1" x14ac:dyDescent="0.4">
      <c r="A123" s="193" t="s">
        <v>1456</v>
      </c>
      <c r="B123" s="187" t="s">
        <v>1457</v>
      </c>
      <c r="C123" s="194" t="s">
        <v>538</v>
      </c>
      <c r="D123" s="172"/>
      <c r="E123" s="195" t="s">
        <v>538</v>
      </c>
      <c r="F123" s="172"/>
      <c r="G123" s="189" t="s">
        <v>1105</v>
      </c>
      <c r="H123" s="196" t="s">
        <v>1105</v>
      </c>
      <c r="I123" s="90"/>
      <c r="J123" s="16"/>
      <c r="K123" s="16"/>
      <c r="L123" s="16"/>
      <c r="M123" s="85"/>
      <c r="N123" s="16"/>
      <c r="O123" s="16"/>
      <c r="Q123" s="188" t="s">
        <v>1361</v>
      </c>
      <c r="R123" s="188" t="s">
        <v>545</v>
      </c>
      <c r="S123">
        <f t="shared" si="6"/>
        <v>3</v>
      </c>
      <c r="T123">
        <f t="shared" si="7"/>
        <v>3</v>
      </c>
    </row>
    <row r="124" spans="1:20" ht="30.35" customHeight="1" x14ac:dyDescent="0.4">
      <c r="A124" s="193" t="s">
        <v>1459</v>
      </c>
      <c r="B124" s="187" t="s">
        <v>1460</v>
      </c>
      <c r="C124" s="194" t="s">
        <v>523</v>
      </c>
      <c r="D124" s="172"/>
      <c r="E124" s="195" t="s">
        <v>523</v>
      </c>
      <c r="F124" s="172"/>
      <c r="G124" s="189" t="s">
        <v>1095</v>
      </c>
      <c r="H124" s="196" t="s">
        <v>1095</v>
      </c>
      <c r="I124" s="90"/>
      <c r="J124" s="16"/>
      <c r="K124" s="16"/>
      <c r="L124" s="16"/>
      <c r="M124" s="85"/>
      <c r="N124" s="16"/>
      <c r="O124" s="16"/>
      <c r="Q124" s="188" t="s">
        <v>1361</v>
      </c>
      <c r="R124" s="188" t="s">
        <v>550</v>
      </c>
      <c r="S124">
        <f t="shared" si="6"/>
        <v>12</v>
      </c>
      <c r="T124">
        <f t="shared" si="7"/>
        <v>12</v>
      </c>
    </row>
    <row r="125" spans="1:20" ht="42.45" customHeight="1" x14ac:dyDescent="0.4">
      <c r="A125" s="193" t="s">
        <v>1462</v>
      </c>
      <c r="B125" s="187" t="s">
        <v>1463</v>
      </c>
      <c r="C125" s="194" t="s">
        <v>558</v>
      </c>
      <c r="D125" s="172"/>
      <c r="E125" s="195" t="s">
        <v>558</v>
      </c>
      <c r="F125" s="172"/>
      <c r="G125" s="189" t="s">
        <v>1105</v>
      </c>
      <c r="H125" s="196" t="s">
        <v>1105</v>
      </c>
      <c r="I125" s="90"/>
      <c r="J125" s="16"/>
      <c r="K125" s="16"/>
      <c r="L125" s="16"/>
      <c r="M125" s="85"/>
      <c r="N125" s="16"/>
      <c r="O125" s="16"/>
      <c r="Q125" s="188" t="s">
        <v>1361</v>
      </c>
      <c r="R125" s="188" t="s">
        <v>555</v>
      </c>
      <c r="S125">
        <f t="shared" si="6"/>
        <v>3</v>
      </c>
      <c r="T125">
        <f t="shared" si="7"/>
        <v>3</v>
      </c>
    </row>
    <row r="126" spans="1:20" ht="42.45" customHeight="1" x14ac:dyDescent="0.4">
      <c r="A126" s="193" t="s">
        <v>1465</v>
      </c>
      <c r="B126" s="187" t="s">
        <v>1466</v>
      </c>
      <c r="C126" s="194" t="s">
        <v>564</v>
      </c>
      <c r="D126" s="172"/>
      <c r="E126" s="195" t="s">
        <v>564</v>
      </c>
      <c r="F126" s="172"/>
      <c r="G126" s="189" t="s">
        <v>1095</v>
      </c>
      <c r="H126" s="196" t="s">
        <v>1095</v>
      </c>
      <c r="I126" s="90"/>
      <c r="J126" s="16"/>
      <c r="K126" s="16"/>
      <c r="L126" s="16"/>
      <c r="M126" s="85"/>
      <c r="N126" s="16"/>
      <c r="O126" s="16"/>
      <c r="Q126" s="188" t="s">
        <v>1361</v>
      </c>
      <c r="R126" s="188" t="s">
        <v>562</v>
      </c>
      <c r="S126">
        <f t="shared" si="6"/>
        <v>12</v>
      </c>
      <c r="T126">
        <f t="shared" si="7"/>
        <v>12</v>
      </c>
    </row>
    <row r="127" spans="1:20" ht="42.45" customHeight="1" x14ac:dyDescent="0.4">
      <c r="A127" s="193" t="s">
        <v>1468</v>
      </c>
      <c r="B127" s="187" t="s">
        <v>1469</v>
      </c>
      <c r="C127" s="194" t="s">
        <v>533</v>
      </c>
      <c r="D127" s="172"/>
      <c r="E127" s="195" t="s">
        <v>533</v>
      </c>
      <c r="F127" s="172"/>
      <c r="G127" s="189" t="s">
        <v>1105</v>
      </c>
      <c r="H127" s="196" t="s">
        <v>1105</v>
      </c>
      <c r="I127" s="90"/>
      <c r="J127" s="16"/>
      <c r="K127" s="16"/>
      <c r="L127" s="16"/>
      <c r="M127" s="85"/>
      <c r="N127" s="16"/>
      <c r="O127" s="16"/>
      <c r="Q127" s="188" t="s">
        <v>1361</v>
      </c>
      <c r="R127" s="188" t="s">
        <v>569</v>
      </c>
      <c r="S127">
        <f t="shared" si="6"/>
        <v>3</v>
      </c>
      <c r="T127">
        <f t="shared" si="7"/>
        <v>3</v>
      </c>
    </row>
    <row r="128" spans="1:20" ht="30" hidden="1" customHeight="1" x14ac:dyDescent="0.4">
      <c r="A128" s="91"/>
      <c r="B128" s="15"/>
      <c r="C128" s="173"/>
      <c r="D128" s="172"/>
      <c r="E128" s="171"/>
      <c r="F128" s="172"/>
      <c r="G128" s="83"/>
      <c r="H128" s="84"/>
      <c r="I128" s="90"/>
      <c r="J128" s="16"/>
      <c r="K128" s="16"/>
      <c r="L128" s="16"/>
      <c r="M128" s="85"/>
      <c r="N128" s="16"/>
      <c r="O128" s="16"/>
      <c r="S128" t="str">
        <f t="shared" si="6"/>
        <v/>
      </c>
      <c r="T128" t="str">
        <f t="shared" si="7"/>
        <v/>
      </c>
    </row>
    <row r="129" spans="1:20" ht="30" hidden="1" customHeight="1" x14ac:dyDescent="0.4">
      <c r="A129" s="91"/>
      <c r="B129" s="15"/>
      <c r="C129" s="173"/>
      <c r="D129" s="172"/>
      <c r="E129" s="171"/>
      <c r="F129" s="172"/>
      <c r="G129" s="83"/>
      <c r="H129" s="84"/>
      <c r="I129" s="90"/>
      <c r="J129" s="16"/>
      <c r="K129" s="16"/>
      <c r="L129" s="16"/>
      <c r="M129" s="85"/>
      <c r="N129" s="16"/>
      <c r="O129" s="16"/>
      <c r="S129" t="str">
        <f t="shared" si="6"/>
        <v/>
      </c>
      <c r="T129" t="str">
        <f t="shared" si="7"/>
        <v/>
      </c>
    </row>
    <row r="130" spans="1:20" ht="30" hidden="1" customHeight="1" x14ac:dyDescent="0.4">
      <c r="A130" s="91"/>
      <c r="B130" s="15"/>
      <c r="C130" s="173"/>
      <c r="D130" s="172"/>
      <c r="E130" s="171"/>
      <c r="F130" s="172"/>
      <c r="G130" s="83"/>
      <c r="H130" s="84"/>
      <c r="I130" s="90"/>
      <c r="J130" s="16"/>
      <c r="K130" s="16"/>
      <c r="L130" s="16"/>
      <c r="M130" s="85"/>
      <c r="N130" s="16"/>
      <c r="O130" s="16"/>
      <c r="S130" t="str">
        <f t="shared" si="6"/>
        <v/>
      </c>
      <c r="T130" t="str">
        <f t="shared" si="7"/>
        <v/>
      </c>
    </row>
    <row r="131" spans="1:20" ht="30" hidden="1" customHeight="1" x14ac:dyDescent="0.4">
      <c r="A131" s="91"/>
      <c r="B131" s="15"/>
      <c r="C131" s="173"/>
      <c r="D131" s="172"/>
      <c r="E131" s="171"/>
      <c r="F131" s="172"/>
      <c r="G131" s="83"/>
      <c r="H131" s="84"/>
      <c r="I131" s="90"/>
      <c r="J131" s="16"/>
      <c r="K131" s="16"/>
      <c r="L131" s="16"/>
      <c r="M131" s="85"/>
      <c r="N131" s="16"/>
      <c r="O131" s="16"/>
      <c r="S131" t="str">
        <f t="shared" si="6"/>
        <v/>
      </c>
      <c r="T131" t="str">
        <f t="shared" si="7"/>
        <v/>
      </c>
    </row>
    <row r="132" spans="1:20" ht="30" hidden="1" customHeight="1" x14ac:dyDescent="0.4">
      <c r="A132" s="91"/>
      <c r="B132" s="15"/>
      <c r="C132" s="173"/>
      <c r="D132" s="172"/>
      <c r="E132" s="171"/>
      <c r="F132" s="172"/>
      <c r="G132" s="83"/>
      <c r="H132" s="84"/>
      <c r="I132" s="90"/>
      <c r="J132" s="16"/>
      <c r="K132" s="16"/>
      <c r="L132" s="16"/>
      <c r="M132" s="85"/>
      <c r="N132" s="16"/>
      <c r="O132" s="16"/>
      <c r="S132" t="str">
        <f t="shared" si="6"/>
        <v/>
      </c>
      <c r="T132" t="str">
        <f t="shared" si="7"/>
        <v/>
      </c>
    </row>
    <row r="133" spans="1:20" ht="30" hidden="1" customHeight="1" x14ac:dyDescent="0.4">
      <c r="A133" s="91"/>
      <c r="B133" s="15"/>
      <c r="C133" s="173"/>
      <c r="D133" s="172"/>
      <c r="E133" s="171"/>
      <c r="F133" s="172"/>
      <c r="G133" s="83"/>
      <c r="H133" s="84"/>
      <c r="I133" s="90"/>
      <c r="J133" s="16"/>
      <c r="K133" s="16"/>
      <c r="L133" s="16"/>
      <c r="M133" s="85"/>
      <c r="N133" s="16"/>
      <c r="O133" s="16"/>
      <c r="S133" t="str">
        <f t="shared" si="6"/>
        <v/>
      </c>
      <c r="T133" t="str">
        <f t="shared" si="7"/>
        <v/>
      </c>
    </row>
    <row r="134" spans="1:20" ht="30" hidden="1" customHeight="1" x14ac:dyDescent="0.4">
      <c r="A134" s="91"/>
      <c r="B134" s="15"/>
      <c r="C134" s="173"/>
      <c r="D134" s="172"/>
      <c r="E134" s="171"/>
      <c r="F134" s="172"/>
      <c r="G134" s="83"/>
      <c r="H134" s="84"/>
      <c r="I134" s="90"/>
      <c r="J134" s="16"/>
      <c r="K134" s="16"/>
      <c r="L134" s="16"/>
      <c r="M134" s="85"/>
      <c r="N134" s="16"/>
      <c r="O134" s="16"/>
      <c r="S134" t="str">
        <f t="shared" si="6"/>
        <v/>
      </c>
      <c r="T134" t="str">
        <f t="shared" si="7"/>
        <v/>
      </c>
    </row>
    <row r="135" spans="1:20" ht="30" hidden="1" customHeight="1" x14ac:dyDescent="0.4">
      <c r="A135" s="91"/>
      <c r="B135" s="15"/>
      <c r="C135" s="173"/>
      <c r="D135" s="172"/>
      <c r="E135" s="171"/>
      <c r="F135" s="172"/>
      <c r="G135" s="83"/>
      <c r="H135" s="84"/>
      <c r="I135" s="90"/>
      <c r="J135" s="16"/>
      <c r="K135" s="16"/>
      <c r="L135" s="16"/>
      <c r="M135" s="85"/>
      <c r="N135" s="16"/>
      <c r="O135" s="16"/>
      <c r="S135" t="str">
        <f t="shared" si="6"/>
        <v/>
      </c>
      <c r="T135" t="str">
        <f t="shared" si="7"/>
        <v/>
      </c>
    </row>
    <row r="136" spans="1:20" ht="30" hidden="1" customHeight="1" x14ac:dyDescent="0.4">
      <c r="A136" s="91"/>
      <c r="B136" s="15"/>
      <c r="C136" s="173"/>
      <c r="D136" s="172"/>
      <c r="E136" s="171"/>
      <c r="F136" s="172"/>
      <c r="G136" s="83"/>
      <c r="H136" s="84"/>
      <c r="I136" s="90"/>
      <c r="J136" s="16"/>
      <c r="K136" s="16"/>
      <c r="L136" s="16"/>
      <c r="M136" s="85"/>
      <c r="N136" s="16"/>
      <c r="O136" s="16"/>
      <c r="S136" t="str">
        <f t="shared" si="6"/>
        <v/>
      </c>
      <c r="T136" t="str">
        <f t="shared" si="7"/>
        <v/>
      </c>
    </row>
    <row r="137" spans="1:20" ht="30" hidden="1" customHeight="1" x14ac:dyDescent="0.4">
      <c r="A137" s="91"/>
      <c r="B137" s="15"/>
      <c r="C137" s="173"/>
      <c r="D137" s="172"/>
      <c r="E137" s="171"/>
      <c r="F137" s="172"/>
      <c r="G137" s="83"/>
      <c r="H137" s="84"/>
      <c r="I137" s="90"/>
      <c r="J137" s="16"/>
      <c r="K137" s="16"/>
      <c r="L137" s="16"/>
      <c r="M137" s="85"/>
      <c r="N137" s="16"/>
      <c r="O137" s="16"/>
      <c r="S137" t="str">
        <f t="shared" si="6"/>
        <v/>
      </c>
      <c r="T137" t="str">
        <f t="shared" si="7"/>
        <v/>
      </c>
    </row>
    <row r="138" spans="1:20" ht="30" hidden="1" customHeight="1" x14ac:dyDescent="0.4">
      <c r="A138" s="91"/>
      <c r="B138" s="15"/>
      <c r="C138" s="173"/>
      <c r="D138" s="172"/>
      <c r="E138" s="171"/>
      <c r="F138" s="172"/>
      <c r="G138" s="83"/>
      <c r="H138" s="84"/>
      <c r="I138" s="90"/>
      <c r="J138" s="16"/>
      <c r="K138" s="16"/>
      <c r="L138" s="16"/>
      <c r="M138" s="85"/>
      <c r="N138" s="16"/>
      <c r="O138" s="16"/>
      <c r="S138" t="str">
        <f t="shared" si="6"/>
        <v/>
      </c>
      <c r="T138" t="str">
        <f t="shared" si="7"/>
        <v/>
      </c>
    </row>
    <row r="139" spans="1:20" ht="30" hidden="1" customHeight="1" x14ac:dyDescent="0.4">
      <c r="A139" s="91"/>
      <c r="B139" s="15"/>
      <c r="C139" s="173"/>
      <c r="D139" s="172"/>
      <c r="E139" s="171"/>
      <c r="F139" s="172"/>
      <c r="G139" s="83"/>
      <c r="H139" s="84"/>
      <c r="I139" s="90"/>
      <c r="J139" s="16"/>
      <c r="K139" s="16"/>
      <c r="L139" s="16"/>
      <c r="M139" s="85"/>
      <c r="N139" s="16"/>
      <c r="O139" s="16"/>
      <c r="S139" t="str">
        <f t="shared" si="6"/>
        <v/>
      </c>
      <c r="T139" t="str">
        <f t="shared" si="7"/>
        <v/>
      </c>
    </row>
    <row r="140" spans="1:20" ht="30" hidden="1" customHeight="1" x14ac:dyDescent="0.4">
      <c r="A140" s="91"/>
      <c r="B140" s="15"/>
      <c r="C140" s="173"/>
      <c r="D140" s="172"/>
      <c r="E140" s="171"/>
      <c r="F140" s="172"/>
      <c r="G140" s="83"/>
      <c r="H140" s="84"/>
      <c r="I140" s="90"/>
      <c r="J140" s="16"/>
      <c r="K140" s="16"/>
      <c r="L140" s="16"/>
      <c r="M140" s="85"/>
      <c r="N140" s="16"/>
      <c r="O140" s="16"/>
      <c r="S140" t="str">
        <f t="shared" si="6"/>
        <v/>
      </c>
      <c r="T140" t="str">
        <f t="shared" si="7"/>
        <v/>
      </c>
    </row>
    <row r="141" spans="1:20" ht="30" hidden="1" customHeight="1" x14ac:dyDescent="0.4">
      <c r="A141" s="91"/>
      <c r="B141" s="15"/>
      <c r="C141" s="173"/>
      <c r="D141" s="172"/>
      <c r="E141" s="171"/>
      <c r="F141" s="172"/>
      <c r="G141" s="83"/>
      <c r="H141" s="84"/>
      <c r="I141" s="90"/>
      <c r="J141" s="16"/>
      <c r="K141" s="16"/>
      <c r="L141" s="16"/>
      <c r="M141" s="85"/>
      <c r="N141" s="16"/>
      <c r="O141" s="16"/>
      <c r="S141" t="str">
        <f t="shared" si="6"/>
        <v/>
      </c>
      <c r="T141" t="str">
        <f t="shared" si="7"/>
        <v/>
      </c>
    </row>
    <row r="142" spans="1:20" ht="30" hidden="1" customHeight="1" x14ac:dyDescent="0.4">
      <c r="A142" s="91"/>
      <c r="B142" s="15"/>
      <c r="C142" s="173"/>
      <c r="D142" s="172"/>
      <c r="E142" s="171"/>
      <c r="F142" s="172"/>
      <c r="G142" s="83"/>
      <c r="H142" s="84"/>
      <c r="I142" s="90"/>
      <c r="J142" s="16"/>
      <c r="K142" s="16"/>
      <c r="L142" s="16"/>
      <c r="M142" s="85"/>
      <c r="N142" s="16"/>
      <c r="O142" s="16"/>
      <c r="S142" t="str">
        <f t="shared" si="6"/>
        <v/>
      </c>
      <c r="T142" t="str">
        <f t="shared" si="7"/>
        <v/>
      </c>
    </row>
    <row r="143" spans="1:20" ht="30" hidden="1" customHeight="1" x14ac:dyDescent="0.4">
      <c r="A143" s="91"/>
      <c r="B143" s="15"/>
      <c r="C143" s="173"/>
      <c r="D143" s="172"/>
      <c r="E143" s="171"/>
      <c r="F143" s="172"/>
      <c r="G143" s="83"/>
      <c r="H143" s="84"/>
      <c r="I143" s="90"/>
      <c r="J143" s="16"/>
      <c r="K143" s="16"/>
      <c r="L143" s="16"/>
      <c r="M143" s="85"/>
      <c r="N143" s="16"/>
      <c r="O143" s="16"/>
      <c r="S143" t="str">
        <f t="shared" si="6"/>
        <v/>
      </c>
      <c r="T143" t="str">
        <f t="shared" si="7"/>
        <v/>
      </c>
    </row>
    <row r="144" spans="1:20" ht="30" hidden="1" customHeight="1" x14ac:dyDescent="0.4">
      <c r="A144" s="91"/>
      <c r="B144" s="15"/>
      <c r="C144" s="173"/>
      <c r="D144" s="172"/>
      <c r="E144" s="171"/>
      <c r="F144" s="172"/>
      <c r="G144" s="83"/>
      <c r="H144" s="84"/>
      <c r="I144" s="90"/>
      <c r="J144" s="16"/>
      <c r="K144" s="16"/>
      <c r="L144" s="16"/>
      <c r="M144" s="85"/>
      <c r="N144" s="16"/>
      <c r="O144" s="16"/>
      <c r="S144" t="str">
        <f t="shared" si="6"/>
        <v/>
      </c>
      <c r="T144" t="str">
        <f t="shared" si="7"/>
        <v/>
      </c>
    </row>
    <row r="145" spans="1:20" ht="30" hidden="1" customHeight="1" x14ac:dyDescent="0.4">
      <c r="A145" s="91"/>
      <c r="B145" s="15"/>
      <c r="C145" s="173"/>
      <c r="D145" s="172"/>
      <c r="E145" s="171"/>
      <c r="F145" s="172"/>
      <c r="G145" s="83"/>
      <c r="H145" s="84"/>
      <c r="I145" s="90"/>
      <c r="J145" s="16"/>
      <c r="K145" s="16"/>
      <c r="L145" s="16"/>
      <c r="M145" s="85"/>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91"/>
      <c r="B146" s="15"/>
      <c r="C146" s="173"/>
      <c r="D146" s="172"/>
      <c r="E146" s="171"/>
      <c r="F146" s="172"/>
      <c r="G146" s="83"/>
      <c r="H146" s="84"/>
      <c r="I146" s="90"/>
      <c r="J146" s="16"/>
      <c r="K146" s="16"/>
      <c r="L146" s="16"/>
      <c r="M146" s="85"/>
      <c r="N146" s="16"/>
      <c r="O146" s="16"/>
      <c r="S146" t="str">
        <f t="shared" si="8"/>
        <v/>
      </c>
      <c r="T146" t="str">
        <f t="shared" si="9"/>
        <v/>
      </c>
    </row>
    <row r="147" spans="1:20" ht="30" hidden="1" customHeight="1" x14ac:dyDescent="0.4">
      <c r="A147" s="91"/>
      <c r="B147" s="15"/>
      <c r="C147" s="173"/>
      <c r="D147" s="172"/>
      <c r="E147" s="171"/>
      <c r="F147" s="172"/>
      <c r="G147" s="83"/>
      <c r="H147" s="84"/>
      <c r="I147" s="90"/>
      <c r="J147" s="16"/>
      <c r="K147" s="16"/>
      <c r="L147" s="16"/>
      <c r="M147" s="85"/>
      <c r="N147" s="16"/>
      <c r="O147" s="16"/>
      <c r="S147" t="str">
        <f t="shared" si="8"/>
        <v/>
      </c>
      <c r="T147" t="str">
        <f t="shared" si="9"/>
        <v/>
      </c>
    </row>
    <row r="148" spans="1:20" ht="30" hidden="1" customHeight="1" x14ac:dyDescent="0.4">
      <c r="A148" s="91"/>
      <c r="B148" s="15"/>
      <c r="C148" s="173"/>
      <c r="D148" s="172"/>
      <c r="E148" s="171"/>
      <c r="F148" s="172"/>
      <c r="G148" s="83"/>
      <c r="H148" s="84"/>
      <c r="I148" s="90"/>
      <c r="J148" s="16"/>
      <c r="K148" s="16"/>
      <c r="L148" s="16"/>
      <c r="M148" s="85"/>
      <c r="N148" s="16"/>
      <c r="O148" s="16"/>
      <c r="S148" t="str">
        <f t="shared" si="8"/>
        <v/>
      </c>
      <c r="T148" t="str">
        <f t="shared" si="9"/>
        <v/>
      </c>
    </row>
    <row r="149" spans="1:20" ht="30" hidden="1" customHeight="1" x14ac:dyDescent="0.4">
      <c r="A149" s="91"/>
      <c r="B149" s="15"/>
      <c r="C149" s="173"/>
      <c r="D149" s="172"/>
      <c r="E149" s="171"/>
      <c r="F149" s="172"/>
      <c r="G149" s="83"/>
      <c r="H149" s="84"/>
      <c r="I149" s="90"/>
      <c r="J149" s="16"/>
      <c r="K149" s="16"/>
      <c r="L149" s="16"/>
      <c r="M149" s="85"/>
      <c r="N149" s="16"/>
      <c r="O149" s="16"/>
      <c r="S149" t="str">
        <f t="shared" si="8"/>
        <v/>
      </c>
      <c r="T149" t="str">
        <f t="shared" si="9"/>
        <v/>
      </c>
    </row>
    <row r="150" spans="1:20" ht="30" hidden="1" customHeight="1" x14ac:dyDescent="0.4">
      <c r="A150" s="91"/>
      <c r="B150" s="15"/>
      <c r="C150" s="173"/>
      <c r="D150" s="172"/>
      <c r="E150" s="171"/>
      <c r="F150" s="172"/>
      <c r="G150" s="83"/>
      <c r="H150" s="84"/>
      <c r="I150" s="90"/>
      <c r="J150" s="16"/>
      <c r="K150" s="16"/>
      <c r="L150" s="16"/>
      <c r="M150" s="85"/>
      <c r="N150" s="16"/>
      <c r="O150" s="16"/>
      <c r="S150" t="str">
        <f t="shared" si="8"/>
        <v/>
      </c>
      <c r="T150" t="str">
        <f t="shared" si="9"/>
        <v/>
      </c>
    </row>
    <row r="151" spans="1:20" ht="30" hidden="1" customHeight="1" x14ac:dyDescent="0.4">
      <c r="A151" s="91"/>
      <c r="B151" s="15"/>
      <c r="C151" s="173"/>
      <c r="D151" s="172"/>
      <c r="E151" s="171"/>
      <c r="F151" s="172"/>
      <c r="G151" s="83"/>
      <c r="H151" s="84"/>
      <c r="I151" s="90"/>
      <c r="J151" s="16"/>
      <c r="K151" s="16"/>
      <c r="L151" s="16"/>
      <c r="M151" s="85"/>
      <c r="N151" s="16"/>
      <c r="O151" s="16"/>
      <c r="S151" t="str">
        <f t="shared" si="8"/>
        <v/>
      </c>
      <c r="T151" t="str">
        <f t="shared" si="9"/>
        <v/>
      </c>
    </row>
    <row r="152" spans="1:20" ht="30" hidden="1" customHeight="1" x14ac:dyDescent="0.4">
      <c r="A152" s="91"/>
      <c r="B152" s="15"/>
      <c r="C152" s="173"/>
      <c r="D152" s="172"/>
      <c r="E152" s="171"/>
      <c r="F152" s="172"/>
      <c r="G152" s="83"/>
      <c r="H152" s="84"/>
      <c r="I152" s="90"/>
      <c r="J152" s="16"/>
      <c r="K152" s="16"/>
      <c r="L152" s="16"/>
      <c r="M152" s="85"/>
      <c r="N152" s="16"/>
      <c r="O152" s="16"/>
      <c r="S152" t="str">
        <f t="shared" si="8"/>
        <v/>
      </c>
      <c r="T152" t="str">
        <f t="shared" si="9"/>
        <v/>
      </c>
    </row>
    <row r="153" spans="1:20" ht="30" hidden="1" customHeight="1" x14ac:dyDescent="0.4">
      <c r="A153" s="91"/>
      <c r="B153" s="15"/>
      <c r="C153" s="173"/>
      <c r="D153" s="172"/>
      <c r="E153" s="171"/>
      <c r="F153" s="172"/>
      <c r="G153" s="83"/>
      <c r="H153" s="84"/>
      <c r="I153" s="90"/>
      <c r="J153" s="16"/>
      <c r="K153" s="16"/>
      <c r="L153" s="16"/>
      <c r="M153" s="85"/>
      <c r="N153" s="16"/>
      <c r="O153" s="16"/>
      <c r="S153" t="str">
        <f t="shared" si="8"/>
        <v/>
      </c>
      <c r="T153" t="str">
        <f t="shared" si="9"/>
        <v/>
      </c>
    </row>
    <row r="154" spans="1:20" ht="30" hidden="1" customHeight="1" x14ac:dyDescent="0.4">
      <c r="A154" s="91"/>
      <c r="B154" s="15"/>
      <c r="C154" s="173"/>
      <c r="D154" s="172"/>
      <c r="E154" s="171"/>
      <c r="F154" s="172"/>
      <c r="G154" s="83"/>
      <c r="H154" s="84"/>
      <c r="I154" s="90"/>
      <c r="J154" s="16"/>
      <c r="K154" s="16"/>
      <c r="L154" s="16"/>
      <c r="M154" s="85"/>
      <c r="N154" s="16"/>
      <c r="O154" s="16"/>
      <c r="S154" t="str">
        <f t="shared" si="8"/>
        <v/>
      </c>
      <c r="T154" t="str">
        <f t="shared" si="9"/>
        <v/>
      </c>
    </row>
    <row r="155" spans="1:20" ht="30" hidden="1" customHeight="1" x14ac:dyDescent="0.4">
      <c r="A155" s="91"/>
      <c r="B155" s="15"/>
      <c r="C155" s="173"/>
      <c r="D155" s="172"/>
      <c r="E155" s="171"/>
      <c r="F155" s="172"/>
      <c r="G155" s="83"/>
      <c r="H155" s="84"/>
      <c r="I155" s="90"/>
      <c r="J155" s="16"/>
      <c r="K155" s="16"/>
      <c r="L155" s="16"/>
      <c r="M155" s="85"/>
      <c r="N155" s="16"/>
      <c r="O155" s="16"/>
      <c r="S155" t="str">
        <f t="shared" si="8"/>
        <v/>
      </c>
      <c r="T155" t="str">
        <f t="shared" si="9"/>
        <v/>
      </c>
    </row>
    <row r="156" spans="1:20" ht="30" hidden="1" customHeight="1" x14ac:dyDescent="0.4">
      <c r="A156" s="91"/>
      <c r="B156" s="15"/>
      <c r="C156" s="173"/>
      <c r="D156" s="172"/>
      <c r="E156" s="171"/>
      <c r="F156" s="172"/>
      <c r="G156" s="83"/>
      <c r="H156" s="84"/>
      <c r="I156" s="90"/>
      <c r="J156" s="16"/>
      <c r="K156" s="16"/>
      <c r="L156" s="16"/>
      <c r="M156" s="85"/>
      <c r="N156" s="16"/>
      <c r="O156" s="16"/>
      <c r="S156" t="str">
        <f t="shared" si="8"/>
        <v/>
      </c>
      <c r="T156" t="str">
        <f t="shared" si="9"/>
        <v/>
      </c>
    </row>
    <row r="157" spans="1:20" ht="30" hidden="1" customHeight="1" x14ac:dyDescent="0.4">
      <c r="A157" s="91"/>
      <c r="B157" s="15"/>
      <c r="C157" s="173"/>
      <c r="D157" s="172"/>
      <c r="E157" s="171"/>
      <c r="F157" s="172"/>
      <c r="G157" s="83"/>
      <c r="H157" s="84"/>
      <c r="I157" s="90"/>
      <c r="J157" s="16"/>
      <c r="K157" s="16"/>
      <c r="L157" s="16"/>
      <c r="M157" s="85"/>
      <c r="N157" s="16"/>
      <c r="O157" s="16"/>
      <c r="S157" t="str">
        <f t="shared" si="8"/>
        <v/>
      </c>
      <c r="T157" t="str">
        <f t="shared" si="9"/>
        <v/>
      </c>
    </row>
    <row r="158" spans="1:20" ht="30" hidden="1" customHeight="1" x14ac:dyDescent="0.4">
      <c r="A158" s="91"/>
      <c r="B158" s="15"/>
      <c r="C158" s="173"/>
      <c r="D158" s="172"/>
      <c r="E158" s="171"/>
      <c r="F158" s="172"/>
      <c r="G158" s="83"/>
      <c r="H158" s="84"/>
      <c r="I158" s="90"/>
      <c r="J158" s="16"/>
      <c r="K158" s="16"/>
      <c r="L158" s="16"/>
      <c r="M158" s="85"/>
      <c r="N158" s="16"/>
      <c r="O158" s="16"/>
      <c r="S158" t="str">
        <f t="shared" si="8"/>
        <v/>
      </c>
      <c r="T158" t="str">
        <f t="shared" si="9"/>
        <v/>
      </c>
    </row>
    <row r="159" spans="1:20" ht="30" hidden="1" customHeight="1" x14ac:dyDescent="0.4">
      <c r="A159" s="91"/>
      <c r="B159" s="15"/>
      <c r="C159" s="173"/>
      <c r="D159" s="172"/>
      <c r="E159" s="171"/>
      <c r="F159" s="172"/>
      <c r="G159" s="83"/>
      <c r="H159" s="84"/>
      <c r="I159" s="90"/>
      <c r="J159" s="16"/>
      <c r="K159" s="16"/>
      <c r="L159" s="16"/>
      <c r="M159" s="85"/>
      <c r="N159" s="16"/>
      <c r="O159" s="16"/>
      <c r="S159" t="str">
        <f t="shared" si="8"/>
        <v/>
      </c>
      <c r="T159" t="str">
        <f t="shared" si="9"/>
        <v/>
      </c>
    </row>
    <row r="160" spans="1:20" ht="30" hidden="1" customHeight="1" x14ac:dyDescent="0.4">
      <c r="A160" s="91"/>
      <c r="B160" s="15"/>
      <c r="C160" s="173"/>
      <c r="D160" s="172"/>
      <c r="E160" s="171"/>
      <c r="F160" s="172"/>
      <c r="G160" s="83"/>
      <c r="H160" s="84"/>
      <c r="I160" s="90"/>
      <c r="J160" s="16"/>
      <c r="K160" s="16"/>
      <c r="L160" s="16"/>
      <c r="M160" s="85"/>
      <c r="N160" s="16"/>
      <c r="O160" s="16"/>
      <c r="S160" t="str">
        <f t="shared" si="8"/>
        <v/>
      </c>
      <c r="T160" t="str">
        <f t="shared" si="9"/>
        <v/>
      </c>
    </row>
    <row r="161" spans="1:20" ht="30" hidden="1" customHeight="1" x14ac:dyDescent="0.4">
      <c r="A161" s="91"/>
      <c r="B161" s="15"/>
      <c r="C161" s="173"/>
      <c r="D161" s="172"/>
      <c r="E161" s="171"/>
      <c r="F161" s="172"/>
      <c r="G161" s="83"/>
      <c r="H161" s="84"/>
      <c r="I161" s="90"/>
      <c r="J161" s="16"/>
      <c r="K161" s="16"/>
      <c r="L161" s="16"/>
      <c r="M161" s="85"/>
      <c r="N161" s="16"/>
      <c r="O161" s="16"/>
      <c r="S161" t="str">
        <f t="shared" si="8"/>
        <v/>
      </c>
      <c r="T161" t="str">
        <f t="shared" si="9"/>
        <v/>
      </c>
    </row>
    <row r="162" spans="1:20" ht="30" hidden="1" customHeight="1" x14ac:dyDescent="0.4">
      <c r="A162" s="91"/>
      <c r="B162" s="15"/>
      <c r="C162" s="173"/>
      <c r="D162" s="172"/>
      <c r="E162" s="171"/>
      <c r="F162" s="172"/>
      <c r="G162" s="83"/>
      <c r="H162" s="84"/>
      <c r="I162" s="90"/>
      <c r="J162" s="16"/>
      <c r="K162" s="16"/>
      <c r="L162" s="16"/>
      <c r="M162" s="85"/>
      <c r="N162" s="16"/>
      <c r="O162" s="16"/>
      <c r="S162" t="str">
        <f t="shared" si="8"/>
        <v/>
      </c>
      <c r="T162" t="str">
        <f t="shared" si="9"/>
        <v/>
      </c>
    </row>
    <row r="163" spans="1:20" ht="30" hidden="1" customHeight="1" x14ac:dyDescent="0.4">
      <c r="A163" s="91"/>
      <c r="B163" s="15"/>
      <c r="C163" s="173"/>
      <c r="D163" s="172"/>
      <c r="E163" s="171"/>
      <c r="F163" s="172"/>
      <c r="G163" s="83"/>
      <c r="H163" s="84"/>
      <c r="I163" s="90"/>
      <c r="J163" s="16"/>
      <c r="K163" s="16"/>
      <c r="L163" s="16"/>
      <c r="M163" s="85"/>
      <c r="N163" s="16"/>
      <c r="O163" s="16"/>
      <c r="S163" t="str">
        <f t="shared" si="8"/>
        <v/>
      </c>
      <c r="T163" t="str">
        <f t="shared" si="9"/>
        <v/>
      </c>
    </row>
    <row r="164" spans="1:20" ht="30" hidden="1" customHeight="1" x14ac:dyDescent="0.4">
      <c r="A164" s="91"/>
      <c r="B164" s="15"/>
      <c r="C164" s="173"/>
      <c r="D164" s="172"/>
      <c r="E164" s="171"/>
      <c r="F164" s="172"/>
      <c r="G164" s="83"/>
      <c r="H164" s="84"/>
      <c r="I164" s="90"/>
      <c r="J164" s="16"/>
      <c r="K164" s="16"/>
      <c r="L164" s="16"/>
      <c r="M164" s="85"/>
      <c r="N164" s="16"/>
      <c r="O164" s="16"/>
      <c r="S164" t="str">
        <f t="shared" si="8"/>
        <v/>
      </c>
      <c r="T164" t="str">
        <f t="shared" si="9"/>
        <v/>
      </c>
    </row>
    <row r="165" spans="1:20" ht="30" hidden="1" customHeight="1" x14ac:dyDescent="0.4">
      <c r="A165" s="91"/>
      <c r="B165" s="15"/>
      <c r="C165" s="173"/>
      <c r="D165" s="172"/>
      <c r="E165" s="171"/>
      <c r="F165" s="172"/>
      <c r="G165" s="83"/>
      <c r="H165" s="84"/>
      <c r="I165" s="90"/>
      <c r="J165" s="16"/>
      <c r="K165" s="16"/>
      <c r="L165" s="16"/>
      <c r="M165" s="85"/>
      <c r="N165" s="16"/>
      <c r="O165" s="16"/>
      <c r="S165" t="str">
        <f t="shared" si="8"/>
        <v/>
      </c>
      <c r="T165" t="str">
        <f t="shared" si="9"/>
        <v/>
      </c>
    </row>
    <row r="166" spans="1:20" ht="30" hidden="1" customHeight="1" x14ac:dyDescent="0.4">
      <c r="A166" s="91"/>
      <c r="B166" s="15"/>
      <c r="C166" s="173"/>
      <c r="D166" s="172"/>
      <c r="E166" s="171"/>
      <c r="F166" s="172"/>
      <c r="G166" s="83"/>
      <c r="H166" s="84"/>
      <c r="I166" s="90"/>
      <c r="J166" s="16"/>
      <c r="K166" s="16"/>
      <c r="L166" s="16"/>
      <c r="M166" s="85"/>
      <c r="N166" s="16"/>
      <c r="O166" s="16"/>
      <c r="S166" t="str">
        <f t="shared" si="8"/>
        <v/>
      </c>
      <c r="T166" t="str">
        <f t="shared" si="9"/>
        <v/>
      </c>
    </row>
    <row r="167" spans="1:20" ht="30" hidden="1" customHeight="1" x14ac:dyDescent="0.4">
      <c r="A167" s="91"/>
      <c r="B167" s="15"/>
      <c r="C167" s="173"/>
      <c r="D167" s="172"/>
      <c r="E167" s="171"/>
      <c r="F167" s="172"/>
      <c r="G167" s="83"/>
      <c r="H167" s="84"/>
      <c r="I167" s="90"/>
      <c r="J167" s="16"/>
      <c r="K167" s="16"/>
      <c r="L167" s="16"/>
      <c r="M167" s="85"/>
      <c r="N167" s="16"/>
      <c r="O167" s="16"/>
      <c r="S167" t="str">
        <f t="shared" si="8"/>
        <v/>
      </c>
      <c r="T167" t="str">
        <f t="shared" si="9"/>
        <v/>
      </c>
    </row>
    <row r="168" spans="1:20" ht="30" hidden="1" customHeight="1" x14ac:dyDescent="0.4">
      <c r="A168" s="91"/>
      <c r="B168" s="15"/>
      <c r="C168" s="173"/>
      <c r="D168" s="172"/>
      <c r="E168" s="171"/>
      <c r="F168" s="172"/>
      <c r="G168" s="83"/>
      <c r="H168" s="84"/>
      <c r="I168" s="90"/>
      <c r="J168" s="16"/>
      <c r="K168" s="16"/>
      <c r="L168" s="16"/>
      <c r="M168" s="85"/>
      <c r="N168" s="16"/>
      <c r="O168" s="16"/>
      <c r="S168" t="str">
        <f t="shared" si="8"/>
        <v/>
      </c>
      <c r="T168" t="str">
        <f t="shared" si="9"/>
        <v/>
      </c>
    </row>
    <row r="169" spans="1:20" ht="30" hidden="1" customHeight="1" x14ac:dyDescent="0.4">
      <c r="A169" s="91"/>
      <c r="B169" s="15"/>
      <c r="C169" s="173"/>
      <c r="D169" s="172"/>
      <c r="E169" s="171"/>
      <c r="F169" s="172"/>
      <c r="G169" s="83"/>
      <c r="H169" s="84"/>
      <c r="I169" s="90"/>
      <c r="J169" s="16"/>
      <c r="K169" s="16"/>
      <c r="L169" s="16"/>
      <c r="M169" s="85"/>
      <c r="N169" s="16"/>
      <c r="O169" s="16"/>
      <c r="S169" t="str">
        <f t="shared" si="8"/>
        <v/>
      </c>
      <c r="T169" t="str">
        <f t="shared" si="9"/>
        <v/>
      </c>
    </row>
    <row r="170" spans="1:20" ht="30" hidden="1" customHeight="1" x14ac:dyDescent="0.4">
      <c r="A170" s="91"/>
      <c r="B170" s="15"/>
      <c r="C170" s="173"/>
      <c r="D170" s="172"/>
      <c r="E170" s="171"/>
      <c r="F170" s="172"/>
      <c r="G170" s="83"/>
      <c r="H170" s="84"/>
      <c r="I170" s="90"/>
      <c r="J170" s="16"/>
      <c r="K170" s="16"/>
      <c r="L170" s="16"/>
      <c r="M170" s="85"/>
      <c r="N170" s="16"/>
      <c r="O170" s="16"/>
      <c r="S170" t="str">
        <f t="shared" si="8"/>
        <v/>
      </c>
      <c r="T170" t="str">
        <f t="shared" si="9"/>
        <v/>
      </c>
    </row>
    <row r="171" spans="1:20" ht="30" hidden="1" customHeight="1" x14ac:dyDescent="0.4">
      <c r="A171" s="91"/>
      <c r="B171" s="15"/>
      <c r="C171" s="173"/>
      <c r="D171" s="172"/>
      <c r="E171" s="171"/>
      <c r="F171" s="172"/>
      <c r="G171" s="83"/>
      <c r="H171" s="84"/>
      <c r="I171" s="90"/>
      <c r="J171" s="16"/>
      <c r="K171" s="16"/>
      <c r="L171" s="16"/>
      <c r="M171" s="85"/>
      <c r="N171" s="16"/>
      <c r="O171" s="16"/>
      <c r="S171" t="str">
        <f t="shared" si="8"/>
        <v/>
      </c>
      <c r="T171" t="str">
        <f t="shared" si="9"/>
        <v/>
      </c>
    </row>
    <row r="172" spans="1:20" ht="30" hidden="1" customHeight="1" x14ac:dyDescent="0.4">
      <c r="A172" s="91"/>
      <c r="B172" s="15"/>
      <c r="C172" s="173"/>
      <c r="D172" s="172"/>
      <c r="E172" s="171"/>
      <c r="F172" s="172"/>
      <c r="G172" s="83"/>
      <c r="H172" s="84"/>
      <c r="I172" s="90"/>
      <c r="J172" s="16"/>
      <c r="K172" s="16"/>
      <c r="L172" s="16"/>
      <c r="M172" s="85"/>
      <c r="N172" s="16"/>
      <c r="O172" s="16"/>
      <c r="S172" t="str">
        <f t="shared" si="8"/>
        <v/>
      </c>
      <c r="T172" t="str">
        <f t="shared" si="9"/>
        <v/>
      </c>
    </row>
    <row r="173" spans="1:20" ht="30" hidden="1" customHeight="1" x14ac:dyDescent="0.4">
      <c r="A173" s="91"/>
      <c r="B173" s="15"/>
      <c r="C173" s="173"/>
      <c r="D173" s="172"/>
      <c r="E173" s="171"/>
      <c r="F173" s="172"/>
      <c r="G173" s="83"/>
      <c r="H173" s="84"/>
      <c r="I173" s="90"/>
      <c r="J173" s="16"/>
      <c r="K173" s="16"/>
      <c r="L173" s="16"/>
      <c r="M173" s="85"/>
      <c r="N173" s="16"/>
      <c r="O173" s="16"/>
      <c r="S173" t="str">
        <f t="shared" si="8"/>
        <v/>
      </c>
      <c r="T173" t="str">
        <f t="shared" si="9"/>
        <v/>
      </c>
    </row>
    <row r="174" spans="1:20" ht="30" hidden="1" customHeight="1" x14ac:dyDescent="0.4">
      <c r="A174" s="91"/>
      <c r="B174" s="15"/>
      <c r="C174" s="173"/>
      <c r="D174" s="172"/>
      <c r="E174" s="171"/>
      <c r="F174" s="172"/>
      <c r="G174" s="83"/>
      <c r="H174" s="84"/>
      <c r="I174" s="90"/>
      <c r="J174" s="16"/>
      <c r="K174" s="16"/>
      <c r="L174" s="16"/>
      <c r="M174" s="85"/>
      <c r="N174" s="16"/>
      <c r="O174" s="16"/>
      <c r="S174" t="str">
        <f t="shared" si="8"/>
        <v/>
      </c>
      <c r="T174" t="str">
        <f t="shared" si="9"/>
        <v/>
      </c>
    </row>
    <row r="175" spans="1:20" ht="30" hidden="1" customHeight="1" x14ac:dyDescent="0.4">
      <c r="A175" s="91"/>
      <c r="B175" s="15"/>
      <c r="C175" s="173"/>
      <c r="D175" s="172"/>
      <c r="E175" s="171"/>
      <c r="F175" s="172"/>
      <c r="G175" s="83"/>
      <c r="H175" s="84"/>
      <c r="I175" s="90"/>
      <c r="J175" s="16"/>
      <c r="K175" s="16"/>
      <c r="L175" s="16"/>
      <c r="M175" s="85"/>
      <c r="N175" s="16"/>
      <c r="O175" s="16"/>
      <c r="S175" t="str">
        <f t="shared" si="8"/>
        <v/>
      </c>
      <c r="T175" t="str">
        <f t="shared" si="9"/>
        <v/>
      </c>
    </row>
    <row r="176" spans="1:20" ht="30" hidden="1" customHeight="1" x14ac:dyDescent="0.4">
      <c r="A176" s="91"/>
      <c r="B176" s="15"/>
      <c r="C176" s="173"/>
      <c r="D176" s="172"/>
      <c r="E176" s="171"/>
      <c r="F176" s="172"/>
      <c r="G176" s="83"/>
      <c r="H176" s="84"/>
      <c r="I176" s="90"/>
      <c r="J176" s="16"/>
      <c r="K176" s="16"/>
      <c r="L176" s="16"/>
      <c r="M176" s="85"/>
      <c r="N176" s="16"/>
      <c r="O176" s="16"/>
      <c r="S176" t="str">
        <f t="shared" si="8"/>
        <v/>
      </c>
      <c r="T176" t="str">
        <f t="shared" si="9"/>
        <v/>
      </c>
    </row>
    <row r="177" spans="1:20" ht="30" hidden="1" customHeight="1" x14ac:dyDescent="0.4">
      <c r="A177" s="91"/>
      <c r="B177" s="15"/>
      <c r="C177" s="173"/>
      <c r="D177" s="172"/>
      <c r="E177" s="171"/>
      <c r="F177" s="172"/>
      <c r="G177" s="83"/>
      <c r="H177" s="84"/>
      <c r="I177" s="90"/>
      <c r="J177" s="16"/>
      <c r="K177" s="16"/>
      <c r="L177" s="16"/>
      <c r="M177" s="85"/>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91"/>
      <c r="B178" s="15"/>
      <c r="C178" s="173"/>
      <c r="D178" s="172"/>
      <c r="E178" s="171"/>
      <c r="F178" s="172"/>
      <c r="G178" s="83"/>
      <c r="H178" s="84"/>
      <c r="I178" s="90"/>
      <c r="J178" s="16"/>
      <c r="K178" s="16"/>
      <c r="L178" s="16"/>
      <c r="M178" s="85"/>
      <c r="N178" s="16"/>
      <c r="O178" s="16"/>
      <c r="S178" t="str">
        <f t="shared" si="10"/>
        <v/>
      </c>
      <c r="T178" t="str">
        <f t="shared" si="11"/>
        <v/>
      </c>
    </row>
    <row r="179" spans="1:20" ht="30" hidden="1" customHeight="1" x14ac:dyDescent="0.4">
      <c r="A179" s="91"/>
      <c r="B179" s="15"/>
      <c r="C179" s="173"/>
      <c r="D179" s="172"/>
      <c r="E179" s="171"/>
      <c r="F179" s="172"/>
      <c r="G179" s="83"/>
      <c r="H179" s="84"/>
      <c r="I179" s="90"/>
      <c r="J179" s="16"/>
      <c r="K179" s="16"/>
      <c r="L179" s="16"/>
      <c r="M179" s="85"/>
      <c r="N179" s="16"/>
      <c r="O179" s="16"/>
      <c r="S179" t="str">
        <f t="shared" si="10"/>
        <v/>
      </c>
      <c r="T179" t="str">
        <f t="shared" si="11"/>
        <v/>
      </c>
    </row>
    <row r="180" spans="1:20" ht="30" hidden="1" customHeight="1" x14ac:dyDescent="0.4">
      <c r="A180" s="91"/>
      <c r="B180" s="15"/>
      <c r="C180" s="173"/>
      <c r="D180" s="172"/>
      <c r="E180" s="171"/>
      <c r="F180" s="172"/>
      <c r="G180" s="83"/>
      <c r="H180" s="84"/>
      <c r="I180" s="90"/>
      <c r="J180" s="16"/>
      <c r="K180" s="16"/>
      <c r="L180" s="16"/>
      <c r="M180" s="85"/>
      <c r="N180" s="16"/>
      <c r="O180" s="16"/>
      <c r="S180" t="str">
        <f t="shared" si="10"/>
        <v/>
      </c>
      <c r="T180" t="str">
        <f t="shared" si="11"/>
        <v/>
      </c>
    </row>
    <row r="181" spans="1:20" ht="30" hidden="1" customHeight="1" x14ac:dyDescent="0.4">
      <c r="A181" s="91"/>
      <c r="B181" s="15"/>
      <c r="C181" s="173"/>
      <c r="D181" s="172"/>
      <c r="E181" s="171"/>
      <c r="F181" s="172"/>
      <c r="G181" s="83"/>
      <c r="H181" s="84"/>
      <c r="I181" s="90"/>
      <c r="J181" s="16"/>
      <c r="K181" s="16"/>
      <c r="L181" s="16"/>
      <c r="M181" s="85"/>
      <c r="N181" s="16"/>
      <c r="O181" s="16"/>
      <c r="S181" t="str">
        <f t="shared" si="10"/>
        <v/>
      </c>
      <c r="T181" t="str">
        <f t="shared" si="11"/>
        <v/>
      </c>
    </row>
    <row r="182" spans="1:20" ht="30" hidden="1" customHeight="1" x14ac:dyDescent="0.4">
      <c r="A182" s="91"/>
      <c r="B182" s="15"/>
      <c r="C182" s="173"/>
      <c r="D182" s="172"/>
      <c r="E182" s="171"/>
      <c r="F182" s="172"/>
      <c r="G182" s="83"/>
      <c r="H182" s="84"/>
      <c r="I182" s="90"/>
      <c r="J182" s="16"/>
      <c r="K182" s="16"/>
      <c r="L182" s="16"/>
      <c r="M182" s="85"/>
      <c r="N182" s="16"/>
      <c r="O182" s="16"/>
      <c r="S182" t="str">
        <f t="shared" si="10"/>
        <v/>
      </c>
      <c r="T182" t="str">
        <f t="shared" si="11"/>
        <v/>
      </c>
    </row>
    <row r="183" spans="1:20" ht="30" hidden="1" customHeight="1" x14ac:dyDescent="0.4">
      <c r="A183" s="91"/>
      <c r="B183" s="15"/>
      <c r="C183" s="173"/>
      <c r="D183" s="172"/>
      <c r="E183" s="171"/>
      <c r="F183" s="172"/>
      <c r="G183" s="83"/>
      <c r="H183" s="84"/>
      <c r="I183" s="90"/>
      <c r="J183" s="16"/>
      <c r="K183" s="16"/>
      <c r="L183" s="16"/>
      <c r="M183" s="85"/>
      <c r="N183" s="16"/>
      <c r="O183" s="16"/>
      <c r="S183" t="str">
        <f t="shared" si="10"/>
        <v/>
      </c>
      <c r="T183" t="str">
        <f t="shared" si="11"/>
        <v/>
      </c>
    </row>
    <row r="184" spans="1:20" ht="30" hidden="1" customHeight="1" x14ac:dyDescent="0.4">
      <c r="A184" s="91"/>
      <c r="B184" s="15"/>
      <c r="C184" s="173"/>
      <c r="D184" s="172"/>
      <c r="E184" s="171"/>
      <c r="F184" s="172"/>
      <c r="G184" s="83"/>
      <c r="H184" s="84"/>
      <c r="I184" s="90"/>
      <c r="J184" s="16"/>
      <c r="K184" s="16"/>
      <c r="L184" s="16"/>
      <c r="M184" s="85"/>
      <c r="N184" s="16"/>
      <c r="O184" s="16"/>
      <c r="S184" t="str">
        <f t="shared" si="10"/>
        <v/>
      </c>
      <c r="T184" t="str">
        <f t="shared" si="11"/>
        <v/>
      </c>
    </row>
    <row r="185" spans="1:20" ht="30" hidden="1" customHeight="1" x14ac:dyDescent="0.4">
      <c r="A185" s="91"/>
      <c r="B185" s="15"/>
      <c r="C185" s="173"/>
      <c r="D185" s="172"/>
      <c r="E185" s="171"/>
      <c r="F185" s="172"/>
      <c r="G185" s="83"/>
      <c r="H185" s="84"/>
      <c r="I185" s="90"/>
      <c r="J185" s="16"/>
      <c r="K185" s="16"/>
      <c r="L185" s="16"/>
      <c r="M185" s="85"/>
      <c r="N185" s="16"/>
      <c r="O185" s="16"/>
      <c r="S185" t="str">
        <f t="shared" si="10"/>
        <v/>
      </c>
      <c r="T185" t="str">
        <f t="shared" si="11"/>
        <v/>
      </c>
    </row>
    <row r="186" spans="1:20" ht="30" hidden="1" customHeight="1" x14ac:dyDescent="0.4">
      <c r="A186" s="91"/>
      <c r="B186" s="15"/>
      <c r="C186" s="173"/>
      <c r="D186" s="172"/>
      <c r="E186" s="171"/>
      <c r="F186" s="172"/>
      <c r="G186" s="83"/>
      <c r="H186" s="84"/>
      <c r="I186" s="90"/>
      <c r="J186" s="16"/>
      <c r="K186" s="16"/>
      <c r="L186" s="16"/>
      <c r="M186" s="85"/>
      <c r="N186" s="16"/>
      <c r="O186" s="16"/>
      <c r="S186" t="str">
        <f t="shared" si="10"/>
        <v/>
      </c>
      <c r="T186" t="str">
        <f t="shared" si="11"/>
        <v/>
      </c>
    </row>
    <row r="187" spans="1:20" ht="30" hidden="1" customHeight="1" x14ac:dyDescent="0.4">
      <c r="A187" s="91"/>
      <c r="B187" s="15"/>
      <c r="C187" s="173"/>
      <c r="D187" s="172"/>
      <c r="E187" s="171"/>
      <c r="F187" s="172"/>
      <c r="G187" s="83"/>
      <c r="H187" s="84"/>
      <c r="I187" s="90"/>
      <c r="J187" s="16"/>
      <c r="K187" s="16"/>
      <c r="L187" s="16"/>
      <c r="M187" s="85"/>
      <c r="N187" s="16"/>
      <c r="O187" s="16"/>
      <c r="S187" t="str">
        <f t="shared" si="10"/>
        <v/>
      </c>
      <c r="T187" t="str">
        <f t="shared" si="11"/>
        <v/>
      </c>
    </row>
    <row r="188" spans="1:20" ht="30" hidden="1" customHeight="1" x14ac:dyDescent="0.4">
      <c r="A188" s="91"/>
      <c r="B188" s="15"/>
      <c r="C188" s="173"/>
      <c r="D188" s="172"/>
      <c r="E188" s="171"/>
      <c r="F188" s="172"/>
      <c r="G188" s="83"/>
      <c r="H188" s="84"/>
      <c r="I188" s="90"/>
      <c r="J188" s="16"/>
      <c r="K188" s="16"/>
      <c r="L188" s="16"/>
      <c r="M188" s="85"/>
      <c r="N188" s="16"/>
      <c r="O188" s="16"/>
      <c r="S188" t="str">
        <f t="shared" si="10"/>
        <v/>
      </c>
      <c r="T188" t="str">
        <f t="shared" si="11"/>
        <v/>
      </c>
    </row>
    <row r="189" spans="1:20" ht="30" hidden="1" customHeight="1" x14ac:dyDescent="0.4">
      <c r="A189" s="91"/>
      <c r="B189" s="15"/>
      <c r="C189" s="173"/>
      <c r="D189" s="172"/>
      <c r="E189" s="171"/>
      <c r="F189" s="172"/>
      <c r="G189" s="83"/>
      <c r="H189" s="84"/>
      <c r="I189" s="90"/>
      <c r="J189" s="16"/>
      <c r="K189" s="16"/>
      <c r="L189" s="16"/>
      <c r="M189" s="85"/>
      <c r="N189" s="16"/>
      <c r="O189" s="16"/>
      <c r="S189" t="str">
        <f t="shared" si="10"/>
        <v/>
      </c>
      <c r="T189" t="str">
        <f t="shared" si="11"/>
        <v/>
      </c>
    </row>
    <row r="190" spans="1:20" ht="30" hidden="1" customHeight="1" x14ac:dyDescent="0.4">
      <c r="A190" s="91"/>
      <c r="B190" s="15"/>
      <c r="C190" s="173"/>
      <c r="D190" s="172"/>
      <c r="E190" s="171"/>
      <c r="F190" s="172"/>
      <c r="G190" s="83"/>
      <c r="H190" s="84"/>
      <c r="I190" s="90"/>
      <c r="J190" s="16"/>
      <c r="K190" s="16"/>
      <c r="L190" s="16"/>
      <c r="M190" s="85"/>
      <c r="N190" s="16"/>
      <c r="O190" s="16"/>
      <c r="S190" t="str">
        <f t="shared" si="10"/>
        <v/>
      </c>
      <c r="T190" t="str">
        <f t="shared" si="11"/>
        <v/>
      </c>
    </row>
    <row r="191" spans="1:20" ht="30" hidden="1" customHeight="1" x14ac:dyDescent="0.4">
      <c r="A191" s="91"/>
      <c r="B191" s="15"/>
      <c r="C191" s="173"/>
      <c r="D191" s="172"/>
      <c r="E191" s="171"/>
      <c r="F191" s="172"/>
      <c r="G191" s="83"/>
      <c r="H191" s="84"/>
      <c r="I191" s="90"/>
      <c r="J191" s="16"/>
      <c r="K191" s="16"/>
      <c r="L191" s="16"/>
      <c r="M191" s="85"/>
      <c r="N191" s="16"/>
      <c r="O191" s="16"/>
      <c r="S191" t="str">
        <f t="shared" si="10"/>
        <v/>
      </c>
      <c r="T191" t="str">
        <f t="shared" si="11"/>
        <v/>
      </c>
    </row>
    <row r="192" spans="1:20" ht="30" hidden="1" customHeight="1" x14ac:dyDescent="0.4">
      <c r="A192" s="91"/>
      <c r="B192" s="15"/>
      <c r="C192" s="173"/>
      <c r="D192" s="172"/>
      <c r="E192" s="171"/>
      <c r="F192" s="172"/>
      <c r="G192" s="83"/>
      <c r="H192" s="84"/>
      <c r="I192" s="90"/>
      <c r="J192" s="16"/>
      <c r="K192" s="16"/>
      <c r="L192" s="16"/>
      <c r="M192" s="85"/>
      <c r="N192" s="16"/>
      <c r="O192" s="16"/>
      <c r="S192" t="str">
        <f t="shared" si="10"/>
        <v/>
      </c>
      <c r="T192" t="str">
        <f t="shared" si="11"/>
        <v/>
      </c>
    </row>
    <row r="193" spans="1:20" ht="30" hidden="1" customHeight="1" x14ac:dyDescent="0.4">
      <c r="A193" s="91"/>
      <c r="B193" s="15"/>
      <c r="C193" s="173"/>
      <c r="D193" s="172"/>
      <c r="E193" s="171"/>
      <c r="F193" s="172"/>
      <c r="G193" s="83"/>
      <c r="H193" s="84"/>
      <c r="I193" s="90"/>
      <c r="J193" s="16"/>
      <c r="K193" s="16"/>
      <c r="L193" s="16"/>
      <c r="M193" s="85"/>
      <c r="N193" s="16"/>
      <c r="O193" s="16"/>
      <c r="S193" t="str">
        <f t="shared" si="10"/>
        <v/>
      </c>
      <c r="T193" t="str">
        <f t="shared" si="11"/>
        <v/>
      </c>
    </row>
    <row r="194" spans="1:20" ht="30" hidden="1" customHeight="1" x14ac:dyDescent="0.4">
      <c r="A194" s="91"/>
      <c r="B194" s="15"/>
      <c r="C194" s="173"/>
      <c r="D194" s="172"/>
      <c r="E194" s="171"/>
      <c r="F194" s="172"/>
      <c r="G194" s="83"/>
      <c r="H194" s="84"/>
      <c r="I194" s="90"/>
      <c r="J194" s="16"/>
      <c r="K194" s="16"/>
      <c r="L194" s="16"/>
      <c r="M194" s="85"/>
      <c r="N194" s="16"/>
      <c r="O194" s="16"/>
      <c r="S194" t="str">
        <f t="shared" si="10"/>
        <v/>
      </c>
      <c r="T194" t="str">
        <f t="shared" si="11"/>
        <v/>
      </c>
    </row>
    <row r="195" spans="1:20" ht="30" hidden="1" customHeight="1" x14ac:dyDescent="0.4">
      <c r="A195" s="91"/>
      <c r="B195" s="15"/>
      <c r="C195" s="173"/>
      <c r="D195" s="172"/>
      <c r="E195" s="171"/>
      <c r="F195" s="172"/>
      <c r="G195" s="83"/>
      <c r="H195" s="84"/>
      <c r="I195" s="90"/>
      <c r="J195" s="16"/>
      <c r="K195" s="16"/>
      <c r="L195" s="16"/>
      <c r="M195" s="85"/>
      <c r="N195" s="16"/>
      <c r="O195" s="16"/>
      <c r="S195" t="str">
        <f t="shared" si="10"/>
        <v/>
      </c>
      <c r="T195" t="str">
        <f t="shared" si="11"/>
        <v/>
      </c>
    </row>
    <row r="196" spans="1:20" ht="30" hidden="1" customHeight="1" x14ac:dyDescent="0.4">
      <c r="A196" s="91"/>
      <c r="B196" s="15"/>
      <c r="C196" s="173"/>
      <c r="D196" s="172"/>
      <c r="E196" s="171"/>
      <c r="F196" s="172"/>
      <c r="G196" s="83"/>
      <c r="H196" s="84"/>
      <c r="I196" s="90"/>
      <c r="J196" s="16"/>
      <c r="K196" s="16"/>
      <c r="L196" s="16"/>
      <c r="M196" s="85"/>
      <c r="N196" s="16"/>
      <c r="O196" s="16"/>
      <c r="S196" t="str">
        <f t="shared" si="10"/>
        <v/>
      </c>
      <c r="T196" t="str">
        <f t="shared" si="11"/>
        <v/>
      </c>
    </row>
    <row r="197" spans="1:20" ht="30" hidden="1" customHeight="1" x14ac:dyDescent="0.4">
      <c r="A197" s="91"/>
      <c r="B197" s="15"/>
      <c r="C197" s="173"/>
      <c r="D197" s="172"/>
      <c r="E197" s="171"/>
      <c r="F197" s="172"/>
      <c r="G197" s="83"/>
      <c r="H197" s="84"/>
      <c r="I197" s="90"/>
      <c r="J197" s="16"/>
      <c r="K197" s="16"/>
      <c r="L197" s="16"/>
      <c r="M197" s="85"/>
      <c r="N197" s="16"/>
      <c r="O197" s="16"/>
      <c r="S197" t="str">
        <f t="shared" si="10"/>
        <v/>
      </c>
      <c r="T197" t="str">
        <f t="shared" si="11"/>
        <v/>
      </c>
    </row>
    <row r="198" spans="1:20" ht="30" hidden="1" customHeight="1" x14ac:dyDescent="0.4">
      <c r="A198" s="91"/>
      <c r="B198" s="15"/>
      <c r="C198" s="173"/>
      <c r="D198" s="172"/>
      <c r="E198" s="171"/>
      <c r="F198" s="172"/>
      <c r="G198" s="83"/>
      <c r="H198" s="84"/>
      <c r="I198" s="90"/>
      <c r="J198" s="16"/>
      <c r="K198" s="16"/>
      <c r="L198" s="16"/>
      <c r="M198" s="85"/>
      <c r="N198" s="16"/>
      <c r="O198" s="16"/>
      <c r="S198" t="str">
        <f t="shared" si="10"/>
        <v/>
      </c>
      <c r="T198" t="str">
        <f t="shared" si="11"/>
        <v/>
      </c>
    </row>
    <row r="199" spans="1:20" ht="30" hidden="1" customHeight="1" x14ac:dyDescent="0.4">
      <c r="A199" s="91"/>
      <c r="B199" s="15"/>
      <c r="C199" s="173"/>
      <c r="D199" s="172"/>
      <c r="E199" s="171"/>
      <c r="F199" s="172"/>
      <c r="G199" s="83"/>
      <c r="H199" s="84"/>
      <c r="I199" s="90"/>
      <c r="J199" s="16"/>
      <c r="K199" s="16"/>
      <c r="L199" s="16"/>
      <c r="M199" s="85"/>
      <c r="N199" s="16"/>
      <c r="O199" s="16"/>
      <c r="S199" t="str">
        <f t="shared" si="10"/>
        <v/>
      </c>
      <c r="T199" t="str">
        <f t="shared" si="11"/>
        <v/>
      </c>
    </row>
    <row r="200" spans="1:20" ht="30" hidden="1" customHeight="1" x14ac:dyDescent="0.4">
      <c r="A200" s="91"/>
      <c r="B200" s="15"/>
      <c r="C200" s="173"/>
      <c r="D200" s="172"/>
      <c r="E200" s="171"/>
      <c r="F200" s="172"/>
      <c r="G200" s="83"/>
      <c r="H200" s="84"/>
      <c r="I200" s="90"/>
      <c r="J200" s="16"/>
      <c r="K200" s="16"/>
      <c r="L200" s="16"/>
      <c r="M200" s="85"/>
      <c r="N200" s="16"/>
      <c r="O200" s="16"/>
      <c r="S200" t="str">
        <f t="shared" si="10"/>
        <v/>
      </c>
      <c r="T200" t="str">
        <f t="shared" si="11"/>
        <v/>
      </c>
    </row>
    <row r="201" spans="1:20" ht="30" hidden="1" customHeight="1" x14ac:dyDescent="0.4">
      <c r="A201" s="91"/>
      <c r="B201" s="15"/>
      <c r="C201" s="173"/>
      <c r="D201" s="172"/>
      <c r="E201" s="171"/>
      <c r="F201" s="172"/>
      <c r="G201" s="83"/>
      <c r="H201" s="84"/>
      <c r="I201" s="90"/>
      <c r="J201" s="16"/>
      <c r="K201" s="16"/>
      <c r="L201" s="16"/>
      <c r="M201" s="85"/>
      <c r="N201" s="16"/>
      <c r="O201" s="16"/>
      <c r="S201" t="str">
        <f t="shared" si="10"/>
        <v/>
      </c>
      <c r="T201" t="str">
        <f t="shared" si="11"/>
        <v/>
      </c>
    </row>
    <row r="202" spans="1:20" ht="30" hidden="1" customHeight="1" x14ac:dyDescent="0.4">
      <c r="A202" s="91"/>
      <c r="B202" s="15"/>
      <c r="C202" s="173"/>
      <c r="D202" s="172"/>
      <c r="E202" s="171"/>
      <c r="F202" s="172"/>
      <c r="G202" s="83"/>
      <c r="H202" s="84"/>
      <c r="I202" s="90"/>
      <c r="J202" s="16"/>
      <c r="K202" s="16"/>
      <c r="L202" s="16"/>
      <c r="M202" s="85"/>
      <c r="N202" s="16"/>
      <c r="O202" s="16"/>
      <c r="S202" t="str">
        <f t="shared" si="10"/>
        <v/>
      </c>
      <c r="T202" t="str">
        <f t="shared" si="11"/>
        <v/>
      </c>
    </row>
    <row r="203" spans="1:20" ht="30" hidden="1" customHeight="1" x14ac:dyDescent="0.4">
      <c r="A203" s="91"/>
      <c r="B203" s="15"/>
      <c r="C203" s="173"/>
      <c r="D203" s="172"/>
      <c r="E203" s="171"/>
      <c r="F203" s="172"/>
      <c r="G203" s="83"/>
      <c r="H203" s="84"/>
      <c r="I203" s="90"/>
      <c r="J203" s="16"/>
      <c r="K203" s="16"/>
      <c r="L203" s="16"/>
      <c r="M203" s="85"/>
      <c r="N203" s="16"/>
      <c r="O203" s="16"/>
      <c r="S203" t="str">
        <f t="shared" si="10"/>
        <v/>
      </c>
      <c r="T203" t="str">
        <f t="shared" si="11"/>
        <v/>
      </c>
    </row>
    <row r="204" spans="1:20" ht="30" hidden="1" customHeight="1" x14ac:dyDescent="0.4">
      <c r="A204" s="91"/>
      <c r="B204" s="15"/>
      <c r="C204" s="173"/>
      <c r="D204" s="172"/>
      <c r="E204" s="171"/>
      <c r="F204" s="172"/>
      <c r="G204" s="83"/>
      <c r="H204" s="84"/>
      <c r="I204" s="90"/>
      <c r="J204" s="16"/>
      <c r="K204" s="16"/>
      <c r="L204" s="16"/>
      <c r="M204" s="85"/>
      <c r="N204" s="16"/>
      <c r="O204" s="16"/>
      <c r="S204" t="str">
        <f t="shared" si="10"/>
        <v/>
      </c>
      <c r="T204" t="str">
        <f t="shared" si="11"/>
        <v/>
      </c>
    </row>
    <row r="205" spans="1:20" ht="30" hidden="1" customHeight="1" x14ac:dyDescent="0.4">
      <c r="A205" s="91"/>
      <c r="B205" s="15"/>
      <c r="C205" s="173"/>
      <c r="D205" s="172"/>
      <c r="E205" s="171"/>
      <c r="F205" s="172"/>
      <c r="G205" s="83"/>
      <c r="H205" s="84"/>
      <c r="I205" s="90"/>
      <c r="J205" s="16"/>
      <c r="K205" s="16"/>
      <c r="L205" s="16"/>
      <c r="M205" s="85"/>
      <c r="N205" s="16"/>
      <c r="O205" s="16"/>
      <c r="S205" t="str">
        <f t="shared" si="10"/>
        <v/>
      </c>
      <c r="T205" t="str">
        <f t="shared" si="11"/>
        <v/>
      </c>
    </row>
    <row r="206" spans="1:20" ht="30" hidden="1" customHeight="1" x14ac:dyDescent="0.4">
      <c r="A206" s="91"/>
      <c r="B206" s="15"/>
      <c r="C206" s="173"/>
      <c r="D206" s="172"/>
      <c r="E206" s="171"/>
      <c r="F206" s="172"/>
      <c r="G206" s="83"/>
      <c r="H206" s="84"/>
      <c r="I206" s="90"/>
      <c r="J206" s="16"/>
      <c r="K206" s="16"/>
      <c r="L206" s="16"/>
      <c r="M206" s="85"/>
      <c r="N206" s="16"/>
      <c r="O206" s="16"/>
      <c r="S206" t="str">
        <f t="shared" si="10"/>
        <v/>
      </c>
      <c r="T206" t="str">
        <f t="shared" si="11"/>
        <v/>
      </c>
    </row>
    <row r="207" spans="1:20" ht="30" hidden="1" customHeight="1" x14ac:dyDescent="0.4">
      <c r="A207" s="91"/>
      <c r="B207" s="15"/>
      <c r="C207" s="173"/>
      <c r="D207" s="172"/>
      <c r="E207" s="171"/>
      <c r="F207" s="172"/>
      <c r="G207" s="83"/>
      <c r="H207" s="84"/>
      <c r="I207" s="90"/>
      <c r="J207" s="16"/>
      <c r="K207" s="16"/>
      <c r="L207" s="16"/>
      <c r="M207" s="85"/>
      <c r="N207" s="16"/>
      <c r="O207" s="16"/>
      <c r="S207" t="str">
        <f t="shared" si="10"/>
        <v/>
      </c>
      <c r="T207" t="str">
        <f t="shared" si="11"/>
        <v/>
      </c>
    </row>
    <row r="208" spans="1:20" ht="30" hidden="1" customHeight="1" x14ac:dyDescent="0.4">
      <c r="A208" s="91"/>
      <c r="B208" s="15"/>
      <c r="C208" s="173"/>
      <c r="D208" s="172"/>
      <c r="E208" s="171"/>
      <c r="F208" s="172"/>
      <c r="G208" s="83"/>
      <c r="H208" s="84"/>
      <c r="I208" s="90"/>
      <c r="J208" s="16"/>
      <c r="K208" s="16"/>
      <c r="L208" s="16"/>
      <c r="M208" s="85"/>
      <c r="N208" s="16"/>
      <c r="O208" s="16"/>
      <c r="S208" t="str">
        <f t="shared" si="10"/>
        <v/>
      </c>
      <c r="T208" t="str">
        <f t="shared" si="11"/>
        <v/>
      </c>
    </row>
    <row r="209" spans="1:20" ht="30" hidden="1" customHeight="1" x14ac:dyDescent="0.4">
      <c r="A209" s="91"/>
      <c r="B209" s="15"/>
      <c r="C209" s="173"/>
      <c r="D209" s="172"/>
      <c r="E209" s="171"/>
      <c r="F209" s="172"/>
      <c r="G209" s="83"/>
      <c r="H209" s="84"/>
      <c r="I209" s="90"/>
      <c r="J209" s="16"/>
      <c r="K209" s="16"/>
      <c r="L209" s="16"/>
      <c r="M209" s="85"/>
      <c r="N209" s="16"/>
      <c r="O209" s="16"/>
      <c r="S209" t="str">
        <f t="shared" si="10"/>
        <v/>
      </c>
      <c r="T209" t="str">
        <f t="shared" si="11"/>
        <v/>
      </c>
    </row>
    <row r="210" spans="1:20" ht="30" hidden="1" customHeight="1" x14ac:dyDescent="0.4">
      <c r="A210" s="91"/>
      <c r="B210" s="15"/>
      <c r="C210" s="173"/>
      <c r="D210" s="172"/>
      <c r="E210" s="171"/>
      <c r="F210" s="172"/>
      <c r="G210" s="83"/>
      <c r="H210" s="84"/>
      <c r="I210" s="90"/>
      <c r="J210" s="16"/>
      <c r="K210" s="16"/>
      <c r="L210" s="16"/>
      <c r="M210" s="85"/>
      <c r="N210" s="16"/>
      <c r="O210" s="16"/>
      <c r="S210" t="str">
        <f t="shared" si="10"/>
        <v/>
      </c>
      <c r="T210" t="str">
        <f t="shared" si="11"/>
        <v/>
      </c>
    </row>
    <row r="211" spans="1:20" ht="30" hidden="1" customHeight="1" x14ac:dyDescent="0.4">
      <c r="A211" s="91"/>
      <c r="B211" s="15"/>
      <c r="C211" s="173"/>
      <c r="D211" s="172"/>
      <c r="E211" s="171"/>
      <c r="F211" s="172"/>
      <c r="G211" s="83"/>
      <c r="H211" s="84"/>
      <c r="I211" s="90"/>
      <c r="J211" s="16"/>
      <c r="K211" s="16"/>
      <c r="L211" s="16"/>
      <c r="M211" s="85"/>
      <c r="N211" s="16"/>
      <c r="O211" s="16"/>
      <c r="S211" t="str">
        <f t="shared" si="10"/>
        <v/>
      </c>
      <c r="T211" t="str">
        <f t="shared" si="11"/>
        <v/>
      </c>
    </row>
    <row r="212" spans="1:20" ht="30" hidden="1" customHeight="1" x14ac:dyDescent="0.4">
      <c r="A212" s="91"/>
      <c r="B212" s="15"/>
      <c r="C212" s="173"/>
      <c r="D212" s="172"/>
      <c r="E212" s="171"/>
      <c r="F212" s="172"/>
      <c r="G212" s="83"/>
      <c r="H212" s="84"/>
      <c r="I212" s="90"/>
      <c r="J212" s="16"/>
      <c r="K212" s="16"/>
      <c r="L212" s="16"/>
      <c r="M212" s="85"/>
      <c r="N212" s="16"/>
      <c r="O212" s="16"/>
      <c r="S212" t="str">
        <f t="shared" si="10"/>
        <v/>
      </c>
      <c r="T212" t="str">
        <f t="shared" si="11"/>
        <v/>
      </c>
    </row>
    <row r="214" spans="1:20" ht="15.9" x14ac:dyDescent="0.45">
      <c r="A214" s="191" t="s">
        <v>492</v>
      </c>
      <c r="B214" s="123"/>
      <c r="C214" s="123"/>
      <c r="D214" s="123"/>
      <c r="E214" s="123"/>
      <c r="F214" s="123"/>
      <c r="G214" s="123"/>
      <c r="H214" s="123"/>
      <c r="I214" s="123"/>
      <c r="J214" s="123"/>
      <c r="K214" s="123"/>
      <c r="L214" s="123"/>
      <c r="M214" s="123"/>
      <c r="N214" s="123"/>
      <c r="O214" s="123"/>
    </row>
    <row r="215" spans="1:20" ht="30" customHeight="1" x14ac:dyDescent="0.4">
      <c r="A215" s="78" t="s">
        <v>493</v>
      </c>
      <c r="B215" s="78" t="s">
        <v>494</v>
      </c>
      <c r="C215" s="176" t="s">
        <v>495</v>
      </c>
      <c r="D215" s="116"/>
      <c r="E215" s="175" t="s">
        <v>18</v>
      </c>
      <c r="F215" s="116"/>
      <c r="G215" s="79" t="s">
        <v>496</v>
      </c>
      <c r="H215" s="80" t="s">
        <v>497</v>
      </c>
      <c r="I215" s="80" t="s">
        <v>486</v>
      </c>
      <c r="J215" s="78" t="s">
        <v>451</v>
      </c>
      <c r="M215" s="80" t="s">
        <v>487</v>
      </c>
    </row>
    <row r="216" spans="1:20" ht="30" hidden="1" customHeight="1" x14ac:dyDescent="0.4">
      <c r="A216" s="91"/>
      <c r="B216" s="15"/>
      <c r="C216" s="173"/>
      <c r="D216" s="172"/>
      <c r="E216" s="171"/>
      <c r="F216" s="172"/>
      <c r="G216" s="83"/>
      <c r="H216" s="84"/>
      <c r="I216" s="90"/>
      <c r="J216" s="89"/>
      <c r="K216" s="16"/>
      <c r="L216" s="16"/>
      <c r="M216" s="85"/>
      <c r="N216" s="16"/>
      <c r="O216" s="16"/>
    </row>
    <row r="217" spans="1:20" ht="30" hidden="1" customHeight="1" x14ac:dyDescent="0.4">
      <c r="A217" s="91"/>
      <c r="B217" s="15"/>
      <c r="C217" s="173"/>
      <c r="D217" s="172"/>
      <c r="E217" s="171"/>
      <c r="F217" s="172"/>
      <c r="G217" s="83"/>
      <c r="H217" s="84"/>
      <c r="I217" s="90"/>
      <c r="J217" s="89"/>
      <c r="K217" s="16"/>
      <c r="L217" s="16"/>
      <c r="M217" s="85"/>
      <c r="N217" s="16"/>
      <c r="O217" s="16"/>
    </row>
    <row r="218" spans="1:20" ht="30" hidden="1" customHeight="1" x14ac:dyDescent="0.4">
      <c r="A218" s="91"/>
      <c r="B218" s="15"/>
      <c r="C218" s="173"/>
      <c r="D218" s="172"/>
      <c r="E218" s="171"/>
      <c r="F218" s="172"/>
      <c r="G218" s="83"/>
      <c r="H218" s="84"/>
      <c r="I218" s="90"/>
      <c r="J218" s="89"/>
      <c r="K218" s="16"/>
      <c r="L218" s="16"/>
      <c r="M218" s="85"/>
      <c r="N218" s="16"/>
      <c r="O218" s="16"/>
    </row>
    <row r="219" spans="1:20" ht="30" hidden="1" customHeight="1" x14ac:dyDescent="0.4">
      <c r="A219" s="91"/>
      <c r="B219" s="15"/>
      <c r="C219" s="173"/>
      <c r="D219" s="172"/>
      <c r="E219" s="171"/>
      <c r="F219" s="172"/>
      <c r="G219" s="83"/>
      <c r="H219" s="84"/>
      <c r="I219" s="90"/>
      <c r="J219" s="89"/>
      <c r="K219" s="16"/>
      <c r="L219" s="16"/>
      <c r="M219" s="85"/>
      <c r="N219" s="16"/>
      <c r="O219" s="16"/>
    </row>
    <row r="220" spans="1:20" ht="30" hidden="1" customHeight="1" x14ac:dyDescent="0.4">
      <c r="A220" s="91"/>
      <c r="B220" s="15"/>
      <c r="C220" s="173"/>
      <c r="D220" s="172"/>
      <c r="E220" s="171"/>
      <c r="F220" s="172"/>
      <c r="G220" s="83"/>
      <c r="H220" s="84"/>
      <c r="I220" s="90"/>
      <c r="J220" s="89"/>
      <c r="K220" s="16"/>
      <c r="L220" s="16"/>
      <c r="M220" s="85"/>
      <c r="N220" s="16"/>
      <c r="O220" s="16"/>
    </row>
    <row r="221" spans="1:20" ht="30" hidden="1" customHeight="1" x14ac:dyDescent="0.4">
      <c r="A221" s="91"/>
      <c r="B221" s="15"/>
      <c r="C221" s="173"/>
      <c r="D221" s="172"/>
      <c r="E221" s="171"/>
      <c r="F221" s="172"/>
      <c r="G221" s="83"/>
      <c r="H221" s="84"/>
      <c r="I221" s="90"/>
      <c r="J221" s="89"/>
      <c r="K221" s="16"/>
      <c r="L221" s="16"/>
      <c r="M221" s="85"/>
      <c r="N221" s="16"/>
      <c r="O221" s="16"/>
    </row>
    <row r="222" spans="1:20" ht="30" hidden="1" customHeight="1" x14ac:dyDescent="0.4">
      <c r="A222" s="91"/>
      <c r="B222" s="15"/>
      <c r="C222" s="173"/>
      <c r="D222" s="172"/>
      <c r="E222" s="171"/>
      <c r="F222" s="172"/>
      <c r="G222" s="83"/>
      <c r="H222" s="84"/>
      <c r="I222" s="90"/>
      <c r="J222" s="89"/>
      <c r="K222" s="16"/>
      <c r="L222" s="16"/>
      <c r="M222" s="85"/>
      <c r="N222" s="16"/>
      <c r="O222" s="16"/>
    </row>
    <row r="223" spans="1:20" ht="30" hidden="1" customHeight="1" x14ac:dyDescent="0.4">
      <c r="A223" s="91"/>
      <c r="B223" s="15"/>
      <c r="C223" s="173"/>
      <c r="D223" s="172"/>
      <c r="E223" s="171"/>
      <c r="F223" s="172"/>
      <c r="G223" s="83"/>
      <c r="H223" s="84"/>
      <c r="I223" s="90"/>
      <c r="J223" s="89"/>
      <c r="K223" s="16"/>
      <c r="L223" s="16"/>
      <c r="M223" s="85"/>
      <c r="N223" s="16"/>
      <c r="O223" s="16"/>
    </row>
    <row r="224" spans="1:20" ht="30" hidden="1" customHeight="1" x14ac:dyDescent="0.4">
      <c r="A224" s="91"/>
      <c r="B224" s="15"/>
      <c r="C224" s="173"/>
      <c r="D224" s="172"/>
      <c r="E224" s="171"/>
      <c r="F224" s="172"/>
      <c r="G224" s="83"/>
      <c r="H224" s="84"/>
      <c r="I224" s="90"/>
      <c r="J224" s="89"/>
      <c r="K224" s="16"/>
      <c r="L224" s="16"/>
      <c r="M224" s="85"/>
      <c r="N224" s="16"/>
      <c r="O224" s="16"/>
    </row>
    <row r="225" spans="1:15" ht="30" hidden="1" customHeight="1" x14ac:dyDescent="0.4">
      <c r="A225" s="91"/>
      <c r="B225" s="15"/>
      <c r="C225" s="173"/>
      <c r="D225" s="172"/>
      <c r="E225" s="171"/>
      <c r="F225" s="172"/>
      <c r="G225" s="83"/>
      <c r="H225" s="84"/>
      <c r="I225" s="90"/>
      <c r="J225" s="89"/>
      <c r="K225" s="16"/>
      <c r="L225" s="16"/>
      <c r="M225" s="85"/>
      <c r="N225" s="16"/>
      <c r="O225" s="16"/>
    </row>
    <row r="226" spans="1:15" ht="30" hidden="1" customHeight="1" x14ac:dyDescent="0.4">
      <c r="A226" s="91"/>
      <c r="B226" s="15"/>
      <c r="C226" s="173"/>
      <c r="D226" s="172"/>
      <c r="E226" s="171"/>
      <c r="F226" s="172"/>
      <c r="G226" s="83"/>
      <c r="H226" s="84"/>
      <c r="I226" s="90"/>
      <c r="J226" s="89"/>
      <c r="K226" s="16"/>
      <c r="L226" s="16"/>
      <c r="M226" s="85"/>
      <c r="N226" s="16"/>
      <c r="O226" s="16"/>
    </row>
    <row r="227" spans="1:15" ht="30" hidden="1" customHeight="1" x14ac:dyDescent="0.4">
      <c r="A227" s="91"/>
      <c r="B227" s="15"/>
      <c r="C227" s="173"/>
      <c r="D227" s="172"/>
      <c r="E227" s="171"/>
      <c r="F227" s="172"/>
      <c r="G227" s="83"/>
      <c r="H227" s="84"/>
      <c r="I227" s="90"/>
      <c r="J227" s="89"/>
      <c r="K227" s="16"/>
      <c r="L227" s="16"/>
      <c r="M227" s="85"/>
      <c r="N227" s="16"/>
      <c r="O227" s="16"/>
    </row>
    <row r="228" spans="1:15" ht="30" hidden="1" customHeight="1" x14ac:dyDescent="0.4">
      <c r="A228" s="91"/>
      <c r="B228" s="15"/>
      <c r="C228" s="173"/>
      <c r="D228" s="172"/>
      <c r="E228" s="171"/>
      <c r="F228" s="172"/>
      <c r="G228" s="83"/>
      <c r="H228" s="84"/>
      <c r="I228" s="90"/>
      <c r="J228" s="89"/>
      <c r="K228" s="16"/>
      <c r="L228" s="16"/>
      <c r="M228" s="85"/>
      <c r="N228" s="16"/>
      <c r="O228" s="16"/>
    </row>
    <row r="229" spans="1:15" ht="30" hidden="1" customHeight="1" x14ac:dyDescent="0.4">
      <c r="A229" s="91"/>
      <c r="B229" s="15"/>
      <c r="C229" s="173"/>
      <c r="D229" s="172"/>
      <c r="E229" s="171"/>
      <c r="F229" s="172"/>
      <c r="G229" s="83"/>
      <c r="H229" s="84"/>
      <c r="I229" s="90"/>
      <c r="J229" s="89"/>
      <c r="K229" s="16"/>
      <c r="L229" s="16"/>
      <c r="M229" s="85"/>
      <c r="N229" s="16"/>
      <c r="O229" s="16"/>
    </row>
    <row r="230" spans="1:15" ht="30" hidden="1" customHeight="1" x14ac:dyDescent="0.4">
      <c r="A230" s="91"/>
      <c r="B230" s="15"/>
      <c r="C230" s="173"/>
      <c r="D230" s="172"/>
      <c r="E230" s="171"/>
      <c r="F230" s="172"/>
      <c r="G230" s="83"/>
      <c r="H230" s="84"/>
      <c r="I230" s="90"/>
      <c r="J230" s="89"/>
      <c r="K230" s="16"/>
      <c r="L230" s="16"/>
      <c r="M230" s="85"/>
      <c r="N230" s="16"/>
      <c r="O230" s="16"/>
    </row>
    <row r="231" spans="1:15" ht="30" hidden="1" customHeight="1" x14ac:dyDescent="0.4">
      <c r="A231" s="91"/>
      <c r="B231" s="15"/>
      <c r="C231" s="173"/>
      <c r="D231" s="172"/>
      <c r="E231" s="171"/>
      <c r="F231" s="172"/>
      <c r="G231" s="83"/>
      <c r="H231" s="84"/>
      <c r="I231" s="90"/>
      <c r="J231" s="89"/>
      <c r="K231" s="16"/>
      <c r="L231" s="16"/>
      <c r="M231" s="85"/>
      <c r="N231" s="16"/>
      <c r="O231" s="16"/>
    </row>
    <row r="232" spans="1:15" ht="30" hidden="1" customHeight="1" x14ac:dyDescent="0.4">
      <c r="A232" s="91"/>
      <c r="B232" s="15"/>
      <c r="C232" s="173"/>
      <c r="D232" s="172"/>
      <c r="E232" s="171"/>
      <c r="F232" s="172"/>
      <c r="G232" s="83"/>
      <c r="H232" s="84"/>
      <c r="I232" s="90"/>
      <c r="J232" s="89"/>
      <c r="K232" s="16"/>
      <c r="L232" s="16"/>
      <c r="M232" s="85"/>
      <c r="N232" s="16"/>
      <c r="O232" s="16"/>
    </row>
    <row r="233" spans="1:15" ht="30" hidden="1" customHeight="1" x14ac:dyDescent="0.4">
      <c r="A233" s="91"/>
      <c r="B233" s="15"/>
      <c r="C233" s="173"/>
      <c r="D233" s="172"/>
      <c r="E233" s="171"/>
      <c r="F233" s="172"/>
      <c r="G233" s="83"/>
      <c r="H233" s="84"/>
      <c r="I233" s="90"/>
      <c r="J233" s="89"/>
      <c r="K233" s="16"/>
      <c r="L233" s="16"/>
      <c r="M233" s="85"/>
      <c r="N233" s="16"/>
      <c r="O233" s="16"/>
    </row>
    <row r="234" spans="1:15" ht="30" hidden="1" customHeight="1" x14ac:dyDescent="0.4">
      <c r="A234" s="91"/>
      <c r="B234" s="15"/>
      <c r="C234" s="173"/>
      <c r="D234" s="172"/>
      <c r="E234" s="171"/>
      <c r="F234" s="172"/>
      <c r="G234" s="83"/>
      <c r="H234" s="84"/>
      <c r="I234" s="90"/>
      <c r="J234" s="89"/>
      <c r="K234" s="16"/>
      <c r="L234" s="16"/>
      <c r="M234" s="85"/>
      <c r="N234" s="16"/>
      <c r="O234" s="16"/>
    </row>
    <row r="235" spans="1:15" ht="30" hidden="1" customHeight="1" x14ac:dyDescent="0.4">
      <c r="A235" s="91"/>
      <c r="B235" s="15"/>
      <c r="C235" s="173"/>
      <c r="D235" s="172"/>
      <c r="E235" s="171"/>
      <c r="F235" s="172"/>
      <c r="G235" s="83"/>
      <c r="H235" s="84"/>
      <c r="I235" s="90"/>
      <c r="J235" s="89"/>
      <c r="K235" s="16"/>
      <c r="L235" s="16"/>
      <c r="M235" s="85"/>
      <c r="N235" s="16"/>
      <c r="O235" s="16"/>
    </row>
    <row r="236" spans="1:15" ht="30" hidden="1" customHeight="1" x14ac:dyDescent="0.4">
      <c r="A236" s="91"/>
      <c r="B236" s="15"/>
      <c r="C236" s="173"/>
      <c r="D236" s="172"/>
      <c r="E236" s="171"/>
      <c r="F236" s="172"/>
      <c r="G236" s="83"/>
      <c r="H236" s="84"/>
      <c r="I236" s="90"/>
      <c r="J236" s="89"/>
      <c r="K236" s="16"/>
      <c r="L236" s="16"/>
      <c r="M236" s="85"/>
      <c r="N236" s="16"/>
      <c r="O236" s="16"/>
    </row>
    <row r="237" spans="1:15" ht="30" hidden="1" customHeight="1" x14ac:dyDescent="0.4">
      <c r="A237" s="91"/>
      <c r="B237" s="15"/>
      <c r="C237" s="173"/>
      <c r="D237" s="172"/>
      <c r="E237" s="171"/>
      <c r="F237" s="172"/>
      <c r="G237" s="83"/>
      <c r="H237" s="84"/>
      <c r="I237" s="90"/>
      <c r="J237" s="89"/>
      <c r="K237" s="16"/>
      <c r="L237" s="16"/>
      <c r="M237" s="85"/>
      <c r="N237" s="16"/>
      <c r="O237" s="16"/>
    </row>
    <row r="238" spans="1:15" ht="30" hidden="1" customHeight="1" x14ac:dyDescent="0.4">
      <c r="A238" s="91"/>
      <c r="B238" s="15"/>
      <c r="C238" s="173"/>
      <c r="D238" s="172"/>
      <c r="E238" s="171"/>
      <c r="F238" s="172"/>
      <c r="G238" s="83"/>
      <c r="H238" s="84"/>
      <c r="I238" s="90"/>
      <c r="J238" s="89"/>
      <c r="K238" s="16"/>
      <c r="L238" s="16"/>
      <c r="M238" s="85"/>
      <c r="N238" s="16"/>
      <c r="O238" s="16"/>
    </row>
    <row r="239" spans="1:15" ht="30" hidden="1" customHeight="1" x14ac:dyDescent="0.4">
      <c r="A239" s="91"/>
      <c r="B239" s="15"/>
      <c r="C239" s="173"/>
      <c r="D239" s="172"/>
      <c r="E239" s="171"/>
      <c r="F239" s="172"/>
      <c r="G239" s="83"/>
      <c r="H239" s="84"/>
      <c r="I239" s="90"/>
      <c r="J239" s="89"/>
      <c r="K239" s="16"/>
      <c r="L239" s="16"/>
      <c r="M239" s="85"/>
      <c r="N239" s="16"/>
      <c r="O239" s="16"/>
    </row>
    <row r="240" spans="1:15" ht="30" hidden="1" customHeight="1" x14ac:dyDescent="0.4">
      <c r="A240" s="91"/>
      <c r="B240" s="15"/>
      <c r="C240" s="173"/>
      <c r="D240" s="172"/>
      <c r="E240" s="171"/>
      <c r="F240" s="172"/>
      <c r="G240" s="83"/>
      <c r="H240" s="84"/>
      <c r="I240" s="90"/>
      <c r="J240" s="89"/>
      <c r="K240" s="16"/>
      <c r="L240" s="16"/>
      <c r="M240" s="85"/>
      <c r="N240" s="16"/>
      <c r="O240" s="16"/>
    </row>
    <row r="241" spans="1:15" ht="30" hidden="1" customHeight="1" x14ac:dyDescent="0.4">
      <c r="A241" s="91"/>
      <c r="B241" s="15"/>
      <c r="C241" s="173"/>
      <c r="D241" s="172"/>
      <c r="E241" s="171"/>
      <c r="F241" s="172"/>
      <c r="G241" s="83"/>
      <c r="H241" s="84"/>
      <c r="I241" s="90"/>
      <c r="J241" s="89"/>
      <c r="K241" s="16"/>
      <c r="L241" s="16"/>
      <c r="M241" s="85"/>
      <c r="N241" s="16"/>
      <c r="O241" s="16"/>
    </row>
    <row r="242" spans="1:15" ht="30" hidden="1" customHeight="1" x14ac:dyDescent="0.4">
      <c r="A242" s="91"/>
      <c r="B242" s="15"/>
      <c r="C242" s="173"/>
      <c r="D242" s="172"/>
      <c r="E242" s="171"/>
      <c r="F242" s="172"/>
      <c r="G242" s="83"/>
      <c r="H242" s="84"/>
      <c r="I242" s="90"/>
      <c r="J242" s="89"/>
      <c r="K242" s="16"/>
      <c r="L242" s="16"/>
      <c r="M242" s="85"/>
      <c r="N242" s="16"/>
      <c r="O242" s="16"/>
    </row>
    <row r="243" spans="1:15" ht="30" hidden="1" customHeight="1" x14ac:dyDescent="0.4">
      <c r="A243" s="91"/>
      <c r="B243" s="15"/>
      <c r="C243" s="173"/>
      <c r="D243" s="172"/>
      <c r="E243" s="171"/>
      <c r="F243" s="172"/>
      <c r="G243" s="83"/>
      <c r="H243" s="84"/>
      <c r="I243" s="90"/>
      <c r="J243" s="89"/>
      <c r="K243" s="16"/>
      <c r="L243" s="16"/>
      <c r="M243" s="85"/>
      <c r="N243" s="16"/>
      <c r="O243" s="16"/>
    </row>
    <row r="244" spans="1:15" ht="30" hidden="1" customHeight="1" x14ac:dyDescent="0.4">
      <c r="A244" s="91"/>
      <c r="B244" s="15"/>
      <c r="C244" s="173"/>
      <c r="D244" s="172"/>
      <c r="E244" s="171"/>
      <c r="F244" s="172"/>
      <c r="G244" s="83"/>
      <c r="H244" s="84"/>
      <c r="I244" s="90"/>
      <c r="J244" s="89"/>
      <c r="K244" s="16"/>
      <c r="L244" s="16"/>
      <c r="M244" s="85"/>
      <c r="N244" s="16"/>
      <c r="O244" s="16"/>
    </row>
    <row r="245" spans="1:15" ht="30" hidden="1" customHeight="1" x14ac:dyDescent="0.4">
      <c r="A245" s="91"/>
      <c r="B245" s="15"/>
      <c r="C245" s="173"/>
      <c r="D245" s="172"/>
      <c r="E245" s="171"/>
      <c r="F245" s="172"/>
      <c r="G245" s="83"/>
      <c r="H245" s="84"/>
      <c r="I245" s="90"/>
      <c r="J245" s="89"/>
      <c r="K245" s="16"/>
      <c r="L245" s="16"/>
      <c r="M245" s="85"/>
      <c r="N245" s="16"/>
      <c r="O245" s="16"/>
    </row>
    <row r="246" spans="1:15" ht="30" hidden="1" customHeight="1" x14ac:dyDescent="0.4">
      <c r="A246" s="91"/>
      <c r="B246" s="15"/>
      <c r="C246" s="173"/>
      <c r="D246" s="172"/>
      <c r="E246" s="171"/>
      <c r="F246" s="172"/>
      <c r="G246" s="83"/>
      <c r="H246" s="84"/>
      <c r="I246" s="90"/>
      <c r="J246" s="89"/>
      <c r="K246" s="16"/>
      <c r="L246" s="16"/>
      <c r="M246" s="85"/>
      <c r="N246" s="16"/>
      <c r="O246" s="16"/>
    </row>
    <row r="247" spans="1:15" ht="30" hidden="1" customHeight="1" x14ac:dyDescent="0.4">
      <c r="A247" s="91"/>
      <c r="B247" s="15"/>
      <c r="C247" s="173"/>
      <c r="D247" s="172"/>
      <c r="E247" s="171"/>
      <c r="F247" s="172"/>
      <c r="G247" s="83"/>
      <c r="H247" s="84"/>
      <c r="I247" s="90"/>
      <c r="J247" s="89"/>
      <c r="K247" s="16"/>
      <c r="L247" s="16"/>
      <c r="M247" s="85"/>
      <c r="N247" s="16"/>
      <c r="O247" s="16"/>
    </row>
    <row r="248" spans="1:15" ht="30" hidden="1" customHeight="1" x14ac:dyDescent="0.4">
      <c r="A248" s="91"/>
      <c r="B248" s="15"/>
      <c r="C248" s="173"/>
      <c r="D248" s="172"/>
      <c r="E248" s="171"/>
      <c r="F248" s="172"/>
      <c r="G248" s="83"/>
      <c r="H248" s="84"/>
      <c r="I248" s="90"/>
      <c r="J248" s="89"/>
      <c r="K248" s="16"/>
      <c r="L248" s="16"/>
      <c r="M248" s="85"/>
      <c r="N248" s="16"/>
      <c r="O248" s="16"/>
    </row>
    <row r="249" spans="1:15" ht="30" hidden="1" customHeight="1" x14ac:dyDescent="0.4">
      <c r="A249" s="91"/>
      <c r="B249" s="15"/>
      <c r="C249" s="173"/>
      <c r="D249" s="172"/>
      <c r="E249" s="171"/>
      <c r="F249" s="172"/>
      <c r="G249" s="83"/>
      <c r="H249" s="84"/>
      <c r="I249" s="90"/>
      <c r="J249" s="89"/>
      <c r="K249" s="16"/>
      <c r="L249" s="16"/>
      <c r="M249" s="85"/>
      <c r="N249" s="16"/>
      <c r="O249" s="16"/>
    </row>
    <row r="250" spans="1:15" ht="30" hidden="1" customHeight="1" x14ac:dyDescent="0.4">
      <c r="A250" s="91"/>
      <c r="B250" s="15"/>
      <c r="C250" s="173"/>
      <c r="D250" s="172"/>
      <c r="E250" s="171"/>
      <c r="F250" s="172"/>
      <c r="G250" s="83"/>
      <c r="H250" s="84"/>
      <c r="I250" s="90"/>
      <c r="J250" s="89"/>
      <c r="K250" s="16"/>
      <c r="L250" s="16"/>
      <c r="M250" s="85"/>
      <c r="N250" s="16"/>
      <c r="O250" s="16"/>
    </row>
    <row r="251" spans="1:15" ht="30" hidden="1" customHeight="1" x14ac:dyDescent="0.4">
      <c r="A251" s="91"/>
      <c r="B251" s="15"/>
      <c r="C251" s="173"/>
      <c r="D251" s="172"/>
      <c r="E251" s="171"/>
      <c r="F251" s="172"/>
      <c r="G251" s="83"/>
      <c r="H251" s="84"/>
      <c r="I251" s="90"/>
      <c r="J251" s="89"/>
      <c r="K251" s="16"/>
      <c r="L251" s="16"/>
      <c r="M251" s="85"/>
      <c r="N251" s="16"/>
      <c r="O251" s="16"/>
    </row>
    <row r="252" spans="1:15" ht="30" hidden="1" customHeight="1" x14ac:dyDescent="0.4">
      <c r="A252" s="91"/>
      <c r="B252" s="15"/>
      <c r="C252" s="173"/>
      <c r="D252" s="172"/>
      <c r="E252" s="171"/>
      <c r="F252" s="172"/>
      <c r="G252" s="83"/>
      <c r="H252" s="84"/>
      <c r="I252" s="90"/>
      <c r="J252" s="89"/>
      <c r="K252" s="16"/>
      <c r="L252" s="16"/>
      <c r="M252" s="85"/>
      <c r="N252" s="16"/>
      <c r="O252" s="16"/>
    </row>
    <row r="253" spans="1:15" ht="30" hidden="1" customHeight="1" x14ac:dyDescent="0.4">
      <c r="A253" s="91"/>
      <c r="B253" s="15"/>
      <c r="C253" s="173"/>
      <c r="D253" s="172"/>
      <c r="E253" s="171"/>
      <c r="F253" s="172"/>
      <c r="G253" s="83"/>
      <c r="H253" s="84"/>
      <c r="I253" s="90"/>
      <c r="J253" s="89"/>
      <c r="K253" s="16"/>
      <c r="L253" s="16"/>
      <c r="M253" s="85"/>
      <c r="N253" s="16"/>
      <c r="O253" s="16"/>
    </row>
    <row r="254" spans="1:15" ht="30" hidden="1" customHeight="1" x14ac:dyDescent="0.4">
      <c r="A254" s="91"/>
      <c r="B254" s="15"/>
      <c r="C254" s="173"/>
      <c r="D254" s="172"/>
      <c r="E254" s="171"/>
      <c r="F254" s="172"/>
      <c r="G254" s="83"/>
      <c r="H254" s="84"/>
      <c r="I254" s="90"/>
      <c r="J254" s="89"/>
      <c r="K254" s="16"/>
      <c r="L254" s="16"/>
      <c r="M254" s="85"/>
      <c r="N254" s="16"/>
      <c r="O254" s="16"/>
    </row>
    <row r="255" spans="1:15" ht="30" hidden="1" customHeight="1" x14ac:dyDescent="0.4">
      <c r="A255" s="91"/>
      <c r="B255" s="15"/>
      <c r="C255" s="173"/>
      <c r="D255" s="172"/>
      <c r="E255" s="171"/>
      <c r="F255" s="172"/>
      <c r="G255" s="83"/>
      <c r="H255" s="84"/>
      <c r="I255" s="90"/>
      <c r="J255" s="89"/>
      <c r="K255" s="16"/>
      <c r="L255" s="16"/>
      <c r="M255" s="85"/>
      <c r="N255" s="16"/>
      <c r="O255" s="16"/>
    </row>
    <row r="256" spans="1:15" ht="30" hidden="1" customHeight="1" x14ac:dyDescent="0.4">
      <c r="A256" s="91"/>
      <c r="B256" s="15"/>
      <c r="C256" s="173"/>
      <c r="D256" s="172"/>
      <c r="E256" s="171"/>
      <c r="F256" s="172"/>
      <c r="G256" s="83"/>
      <c r="H256" s="84"/>
      <c r="I256" s="90"/>
      <c r="J256" s="89"/>
      <c r="K256" s="16"/>
      <c r="L256" s="16"/>
      <c r="M256" s="85"/>
      <c r="N256" s="16"/>
      <c r="O256" s="16"/>
    </row>
    <row r="257" spans="1:15" ht="30" hidden="1" customHeight="1" x14ac:dyDescent="0.4">
      <c r="A257" s="91"/>
      <c r="B257" s="15"/>
      <c r="C257" s="173"/>
      <c r="D257" s="172"/>
      <c r="E257" s="171"/>
      <c r="F257" s="172"/>
      <c r="G257" s="83"/>
      <c r="H257" s="84"/>
      <c r="I257" s="90"/>
      <c r="J257" s="89"/>
      <c r="K257" s="16"/>
      <c r="L257" s="16"/>
      <c r="M257" s="85"/>
      <c r="N257" s="16"/>
      <c r="O257" s="16"/>
    </row>
    <row r="258" spans="1:15" ht="30" hidden="1" customHeight="1" x14ac:dyDescent="0.4">
      <c r="A258" s="91"/>
      <c r="B258" s="15"/>
      <c r="C258" s="173"/>
      <c r="D258" s="172"/>
      <c r="E258" s="171"/>
      <c r="F258" s="172"/>
      <c r="G258" s="83"/>
      <c r="H258" s="84"/>
      <c r="I258" s="90"/>
      <c r="J258" s="89"/>
      <c r="K258" s="16"/>
      <c r="L258" s="16"/>
      <c r="M258" s="85"/>
      <c r="N258" s="16"/>
      <c r="O258" s="16"/>
    </row>
    <row r="259" spans="1:15" ht="30" hidden="1" customHeight="1" x14ac:dyDescent="0.4">
      <c r="A259" s="91"/>
      <c r="B259" s="15"/>
      <c r="C259" s="173"/>
      <c r="D259" s="172"/>
      <c r="E259" s="171"/>
      <c r="F259" s="172"/>
      <c r="G259" s="83"/>
      <c r="H259" s="84"/>
      <c r="I259" s="90"/>
      <c r="J259" s="89"/>
      <c r="K259" s="16"/>
      <c r="L259" s="16"/>
      <c r="M259" s="85"/>
      <c r="N259" s="16"/>
      <c r="O259" s="16"/>
    </row>
    <row r="260" spans="1:15" ht="30" hidden="1" customHeight="1" x14ac:dyDescent="0.4">
      <c r="A260" s="91"/>
      <c r="B260" s="15"/>
      <c r="C260" s="173"/>
      <c r="D260" s="172"/>
      <c r="E260" s="171"/>
      <c r="F260" s="172"/>
      <c r="G260" s="83"/>
      <c r="H260" s="84"/>
      <c r="I260" s="90"/>
      <c r="J260" s="89"/>
      <c r="K260" s="16"/>
      <c r="L260" s="16"/>
      <c r="M260" s="85"/>
      <c r="N260" s="16"/>
      <c r="O260" s="16"/>
    </row>
    <row r="261" spans="1:15" ht="30" hidden="1" customHeight="1" x14ac:dyDescent="0.4">
      <c r="A261" s="91"/>
      <c r="B261" s="15"/>
      <c r="C261" s="173"/>
      <c r="D261" s="172"/>
      <c r="E261" s="171"/>
      <c r="F261" s="172"/>
      <c r="G261" s="83"/>
      <c r="H261" s="84"/>
      <c r="I261" s="90"/>
      <c r="J261" s="89"/>
      <c r="K261" s="16"/>
      <c r="L261" s="16"/>
      <c r="M261" s="85"/>
      <c r="N261" s="16"/>
      <c r="O261" s="16"/>
    </row>
    <row r="262" spans="1:15" ht="30" hidden="1" customHeight="1" x14ac:dyDescent="0.4">
      <c r="A262" s="91"/>
      <c r="B262" s="15"/>
      <c r="C262" s="173"/>
      <c r="D262" s="172"/>
      <c r="E262" s="171"/>
      <c r="F262" s="172"/>
      <c r="G262" s="83"/>
      <c r="H262" s="84"/>
      <c r="I262" s="90"/>
      <c r="J262" s="89"/>
      <c r="K262" s="16"/>
      <c r="L262" s="16"/>
      <c r="M262" s="85"/>
      <c r="N262" s="16"/>
      <c r="O262" s="16"/>
    </row>
    <row r="263" spans="1:15" ht="30" hidden="1" customHeight="1" x14ac:dyDescent="0.4">
      <c r="A263" s="91"/>
      <c r="B263" s="15"/>
      <c r="C263" s="173"/>
      <c r="D263" s="172"/>
      <c r="E263" s="171"/>
      <c r="F263" s="172"/>
      <c r="G263" s="83"/>
      <c r="H263" s="84"/>
      <c r="I263" s="90"/>
      <c r="J263" s="89"/>
      <c r="K263" s="16"/>
      <c r="L263" s="16"/>
      <c r="M263" s="85"/>
      <c r="N263" s="16"/>
      <c r="O263" s="16"/>
    </row>
    <row r="264" spans="1:15" ht="30" hidden="1" customHeight="1" x14ac:dyDescent="0.4">
      <c r="A264" s="91"/>
      <c r="B264" s="15"/>
      <c r="C264" s="173"/>
      <c r="D264" s="172"/>
      <c r="E264" s="171"/>
      <c r="F264" s="172"/>
      <c r="G264" s="83"/>
      <c r="H264" s="84"/>
      <c r="I264" s="90"/>
      <c r="J264" s="89"/>
      <c r="K264" s="16"/>
      <c r="L264" s="16"/>
      <c r="M264" s="85"/>
      <c r="N264" s="16"/>
      <c r="O264" s="16"/>
    </row>
    <row r="265" spans="1:15" ht="30" hidden="1" customHeight="1" x14ac:dyDescent="0.4">
      <c r="A265" s="91"/>
      <c r="B265" s="15"/>
      <c r="C265" s="173"/>
      <c r="D265" s="172"/>
      <c r="E265" s="171"/>
      <c r="F265" s="172"/>
      <c r="G265" s="83"/>
      <c r="H265" s="84"/>
      <c r="I265" s="90"/>
      <c r="J265" s="89"/>
      <c r="K265" s="16"/>
      <c r="L265" s="16"/>
      <c r="M265" s="85"/>
      <c r="N265" s="16"/>
      <c r="O265" s="16"/>
    </row>
    <row r="266" spans="1:15" ht="30" hidden="1" customHeight="1" x14ac:dyDescent="0.4">
      <c r="A266" s="91"/>
      <c r="B266" s="15"/>
      <c r="C266" s="173"/>
      <c r="D266" s="172"/>
      <c r="E266" s="171"/>
      <c r="F266" s="172"/>
      <c r="G266" s="83"/>
      <c r="H266" s="84"/>
      <c r="I266" s="90"/>
      <c r="J266" s="89"/>
      <c r="K266" s="16"/>
      <c r="L266" s="16"/>
      <c r="M266" s="85"/>
      <c r="N266" s="16"/>
      <c r="O266" s="16"/>
    </row>
    <row r="267" spans="1:15" ht="30" hidden="1" customHeight="1" x14ac:dyDescent="0.4">
      <c r="A267" s="91"/>
      <c r="B267" s="15"/>
      <c r="C267" s="173"/>
      <c r="D267" s="172"/>
      <c r="E267" s="171"/>
      <c r="F267" s="172"/>
      <c r="G267" s="83"/>
      <c r="H267" s="84"/>
      <c r="I267" s="90"/>
      <c r="J267" s="89"/>
      <c r="K267" s="16"/>
      <c r="L267" s="16"/>
      <c r="M267" s="85"/>
      <c r="N267" s="16"/>
      <c r="O267" s="16"/>
    </row>
    <row r="268" spans="1:15" ht="30" hidden="1" customHeight="1" x14ac:dyDescent="0.4">
      <c r="A268" s="91"/>
      <c r="B268" s="15"/>
      <c r="C268" s="173"/>
      <c r="D268" s="172"/>
      <c r="E268" s="171"/>
      <c r="F268" s="172"/>
      <c r="G268" s="83"/>
      <c r="H268" s="84"/>
      <c r="I268" s="90"/>
      <c r="J268" s="89"/>
      <c r="K268" s="16"/>
      <c r="L268" s="16"/>
      <c r="M268" s="85"/>
      <c r="N268" s="16"/>
      <c r="O268" s="16"/>
    </row>
    <row r="269" spans="1:15" ht="30" hidden="1" customHeight="1" x14ac:dyDescent="0.4">
      <c r="A269" s="91"/>
      <c r="B269" s="15"/>
      <c r="C269" s="173"/>
      <c r="D269" s="172"/>
      <c r="E269" s="171"/>
      <c r="F269" s="172"/>
      <c r="G269" s="83"/>
      <c r="H269" s="84"/>
      <c r="I269" s="90"/>
      <c r="J269" s="89"/>
      <c r="K269" s="16"/>
      <c r="L269" s="16"/>
      <c r="M269" s="85"/>
      <c r="N269" s="16"/>
      <c r="O269" s="16"/>
    </row>
    <row r="270" spans="1:15" ht="30" hidden="1" customHeight="1" x14ac:dyDescent="0.4">
      <c r="A270" s="91"/>
      <c r="B270" s="15"/>
      <c r="C270" s="173"/>
      <c r="D270" s="172"/>
      <c r="E270" s="171"/>
      <c r="F270" s="172"/>
      <c r="G270" s="83"/>
      <c r="H270" s="84"/>
      <c r="I270" s="90"/>
      <c r="J270" s="89"/>
      <c r="K270" s="16"/>
      <c r="L270" s="16"/>
      <c r="M270" s="85"/>
      <c r="N270" s="16"/>
      <c r="O270" s="16"/>
    </row>
    <row r="271" spans="1:15" ht="30" hidden="1" customHeight="1" x14ac:dyDescent="0.4">
      <c r="A271" s="91"/>
      <c r="B271" s="15"/>
      <c r="C271" s="173"/>
      <c r="D271" s="172"/>
      <c r="E271" s="171"/>
      <c r="F271" s="172"/>
      <c r="G271" s="83"/>
      <c r="H271" s="84"/>
      <c r="I271" s="90"/>
      <c r="J271" s="89"/>
      <c r="K271" s="16"/>
      <c r="L271" s="16"/>
      <c r="M271" s="85"/>
      <c r="N271" s="16"/>
      <c r="O271" s="16"/>
    </row>
    <row r="272" spans="1:15" ht="30" hidden="1" customHeight="1" x14ac:dyDescent="0.4">
      <c r="A272" s="91"/>
      <c r="B272" s="15"/>
      <c r="C272" s="173"/>
      <c r="D272" s="172"/>
      <c r="E272" s="171"/>
      <c r="F272" s="172"/>
      <c r="G272" s="83"/>
      <c r="H272" s="84"/>
      <c r="I272" s="90"/>
      <c r="J272" s="89"/>
      <c r="K272" s="16"/>
      <c r="L272" s="16"/>
      <c r="M272" s="85"/>
      <c r="N272" s="16"/>
      <c r="O272" s="16"/>
    </row>
    <row r="273" spans="1:15" ht="30" hidden="1" customHeight="1" x14ac:dyDescent="0.4">
      <c r="A273" s="91"/>
      <c r="B273" s="15"/>
      <c r="C273" s="173"/>
      <c r="D273" s="172"/>
      <c r="E273" s="171"/>
      <c r="F273" s="172"/>
      <c r="G273" s="83"/>
      <c r="H273" s="84"/>
      <c r="I273" s="90"/>
      <c r="J273" s="89"/>
      <c r="K273" s="16"/>
      <c r="L273" s="16"/>
      <c r="M273" s="85"/>
      <c r="N273" s="16"/>
      <c r="O273" s="16"/>
    </row>
    <row r="274" spans="1:15" ht="30" hidden="1" customHeight="1" x14ac:dyDescent="0.4">
      <c r="A274" s="91"/>
      <c r="B274" s="15"/>
      <c r="C274" s="173"/>
      <c r="D274" s="172"/>
      <c r="E274" s="171"/>
      <c r="F274" s="172"/>
      <c r="G274" s="83"/>
      <c r="H274" s="84"/>
      <c r="I274" s="90"/>
      <c r="J274" s="89"/>
      <c r="K274" s="16"/>
      <c r="L274" s="16"/>
      <c r="M274" s="85"/>
      <c r="N274" s="16"/>
      <c r="O274" s="16"/>
    </row>
    <row r="275" spans="1:15" ht="30" hidden="1" customHeight="1" x14ac:dyDescent="0.4">
      <c r="A275" s="91"/>
      <c r="B275" s="15"/>
      <c r="C275" s="173"/>
      <c r="D275" s="172"/>
      <c r="E275" s="171"/>
      <c r="F275" s="172"/>
      <c r="G275" s="83"/>
      <c r="H275" s="84"/>
      <c r="I275" s="90"/>
      <c r="J275" s="89"/>
      <c r="K275" s="16"/>
      <c r="L275" s="16"/>
      <c r="M275" s="85"/>
      <c r="N275" s="16"/>
      <c r="O275" s="16"/>
    </row>
    <row r="276" spans="1:15" ht="30" hidden="1" customHeight="1" x14ac:dyDescent="0.4">
      <c r="A276" s="91"/>
      <c r="B276" s="15"/>
      <c r="C276" s="173"/>
      <c r="D276" s="172"/>
      <c r="E276" s="171"/>
      <c r="F276" s="172"/>
      <c r="G276" s="83"/>
      <c r="H276" s="84"/>
      <c r="I276" s="90"/>
      <c r="J276" s="89"/>
      <c r="K276" s="16"/>
      <c r="L276" s="16"/>
      <c r="M276" s="85"/>
      <c r="N276" s="16"/>
      <c r="O276" s="16"/>
    </row>
    <row r="277" spans="1:15" ht="30" hidden="1" customHeight="1" x14ac:dyDescent="0.4">
      <c r="A277" s="91"/>
      <c r="B277" s="15"/>
      <c r="C277" s="173"/>
      <c r="D277" s="172"/>
      <c r="E277" s="171"/>
      <c r="F277" s="172"/>
      <c r="G277" s="83"/>
      <c r="H277" s="84"/>
      <c r="I277" s="90"/>
      <c r="J277" s="89"/>
      <c r="K277" s="16"/>
      <c r="L277" s="16"/>
      <c r="M277" s="85"/>
      <c r="N277" s="16"/>
      <c r="O277" s="16"/>
    </row>
    <row r="278" spans="1:15" ht="30" hidden="1" customHeight="1" x14ac:dyDescent="0.4">
      <c r="A278" s="91"/>
      <c r="B278" s="15"/>
      <c r="C278" s="173"/>
      <c r="D278" s="172"/>
      <c r="E278" s="171"/>
      <c r="F278" s="172"/>
      <c r="G278" s="83"/>
      <c r="H278" s="84"/>
      <c r="I278" s="90"/>
      <c r="J278" s="89"/>
      <c r="K278" s="16"/>
      <c r="L278" s="16"/>
      <c r="M278" s="85"/>
      <c r="N278" s="16"/>
      <c r="O278" s="16"/>
    </row>
    <row r="279" spans="1:15" ht="30" hidden="1" customHeight="1" x14ac:dyDescent="0.4">
      <c r="A279" s="91"/>
      <c r="B279" s="15"/>
      <c r="C279" s="173"/>
      <c r="D279" s="172"/>
      <c r="E279" s="171"/>
      <c r="F279" s="172"/>
      <c r="G279" s="83"/>
      <c r="H279" s="84"/>
      <c r="I279" s="90"/>
      <c r="J279" s="89"/>
      <c r="K279" s="16"/>
      <c r="L279" s="16"/>
      <c r="M279" s="85"/>
      <c r="N279" s="16"/>
      <c r="O279" s="16"/>
    </row>
    <row r="280" spans="1:15" ht="30" hidden="1" customHeight="1" x14ac:dyDescent="0.4">
      <c r="A280" s="91"/>
      <c r="B280" s="15"/>
      <c r="C280" s="173"/>
      <c r="D280" s="172"/>
      <c r="E280" s="171"/>
      <c r="F280" s="172"/>
      <c r="G280" s="83"/>
      <c r="H280" s="84"/>
      <c r="I280" s="90"/>
      <c r="J280" s="89"/>
      <c r="K280" s="16"/>
      <c r="L280" s="16"/>
      <c r="M280" s="85"/>
      <c r="N280" s="16"/>
      <c r="O280" s="16"/>
    </row>
    <row r="281" spans="1:15" ht="30" hidden="1" customHeight="1" x14ac:dyDescent="0.4">
      <c r="A281" s="91"/>
      <c r="B281" s="15"/>
      <c r="C281" s="173"/>
      <c r="D281" s="172"/>
      <c r="E281" s="171"/>
      <c r="F281" s="172"/>
      <c r="G281" s="83"/>
      <c r="H281" s="84"/>
      <c r="I281" s="90"/>
      <c r="J281" s="89"/>
      <c r="K281" s="16"/>
      <c r="L281" s="16"/>
      <c r="M281" s="85"/>
      <c r="N281" s="16"/>
      <c r="O281" s="16"/>
    </row>
    <row r="282" spans="1:15" ht="30" hidden="1" customHeight="1" x14ac:dyDescent="0.4">
      <c r="A282" s="91"/>
      <c r="B282" s="15"/>
      <c r="C282" s="173"/>
      <c r="D282" s="172"/>
      <c r="E282" s="171"/>
      <c r="F282" s="172"/>
      <c r="G282" s="83"/>
      <c r="H282" s="84"/>
      <c r="I282" s="90"/>
      <c r="J282" s="89"/>
      <c r="K282" s="16"/>
      <c r="L282" s="16"/>
      <c r="M282" s="85"/>
      <c r="N282" s="16"/>
      <c r="O282" s="16"/>
    </row>
    <row r="283" spans="1:15" ht="30" hidden="1" customHeight="1" x14ac:dyDescent="0.4">
      <c r="A283" s="91"/>
      <c r="B283" s="15"/>
      <c r="C283" s="173"/>
      <c r="D283" s="172"/>
      <c r="E283" s="171"/>
      <c r="F283" s="172"/>
      <c r="G283" s="83"/>
      <c r="H283" s="84"/>
      <c r="I283" s="90"/>
      <c r="J283" s="89"/>
      <c r="K283" s="16"/>
      <c r="L283" s="16"/>
      <c r="M283" s="85"/>
      <c r="N283" s="16"/>
      <c r="O283" s="16"/>
    </row>
    <row r="284" spans="1:15" ht="30" hidden="1" customHeight="1" x14ac:dyDescent="0.4">
      <c r="A284" s="91"/>
      <c r="B284" s="15"/>
      <c r="C284" s="173"/>
      <c r="D284" s="172"/>
      <c r="E284" s="171"/>
      <c r="F284" s="172"/>
      <c r="G284" s="83"/>
      <c r="H284" s="84"/>
      <c r="I284" s="90"/>
      <c r="J284" s="89"/>
      <c r="K284" s="16"/>
      <c r="L284" s="16"/>
      <c r="M284" s="85"/>
      <c r="N284" s="16"/>
      <c r="O284" s="16"/>
    </row>
    <row r="285" spans="1:15" ht="30" hidden="1" customHeight="1" x14ac:dyDescent="0.4">
      <c r="A285" s="91"/>
      <c r="B285" s="15"/>
      <c r="C285" s="173"/>
      <c r="D285" s="172"/>
      <c r="E285" s="171"/>
      <c r="F285" s="172"/>
      <c r="G285" s="83"/>
      <c r="H285" s="84"/>
      <c r="I285" s="90"/>
      <c r="J285" s="89"/>
      <c r="K285" s="16"/>
      <c r="L285" s="16"/>
      <c r="M285" s="85"/>
      <c r="N285" s="16"/>
      <c r="O285" s="16"/>
    </row>
    <row r="286" spans="1:15" ht="30" hidden="1" customHeight="1" x14ac:dyDescent="0.4">
      <c r="A286" s="91"/>
      <c r="B286" s="15"/>
      <c r="C286" s="173"/>
      <c r="D286" s="172"/>
      <c r="E286" s="171"/>
      <c r="F286" s="172"/>
      <c r="G286" s="83"/>
      <c r="H286" s="84"/>
      <c r="I286" s="90"/>
      <c r="J286" s="89"/>
      <c r="K286" s="16"/>
      <c r="L286" s="16"/>
      <c r="M286" s="85"/>
      <c r="N286" s="16"/>
      <c r="O286" s="16"/>
    </row>
    <row r="287" spans="1:15" ht="30" hidden="1" customHeight="1" x14ac:dyDescent="0.4">
      <c r="A287" s="91"/>
      <c r="B287" s="15"/>
      <c r="C287" s="173"/>
      <c r="D287" s="172"/>
      <c r="E287" s="171"/>
      <c r="F287" s="172"/>
      <c r="G287" s="83"/>
      <c r="H287" s="84"/>
      <c r="I287" s="90"/>
      <c r="J287" s="89"/>
      <c r="K287" s="16"/>
      <c r="L287" s="16"/>
      <c r="M287" s="85"/>
      <c r="N287" s="16"/>
      <c r="O287" s="16"/>
    </row>
    <row r="288" spans="1:15" ht="30" hidden="1" customHeight="1" x14ac:dyDescent="0.4">
      <c r="A288" s="91"/>
      <c r="B288" s="15"/>
      <c r="C288" s="173"/>
      <c r="D288" s="172"/>
      <c r="E288" s="171"/>
      <c r="F288" s="172"/>
      <c r="G288" s="83"/>
      <c r="H288" s="84"/>
      <c r="I288" s="90"/>
      <c r="J288" s="89"/>
      <c r="K288" s="16"/>
      <c r="L288" s="16"/>
      <c r="M288" s="85"/>
      <c r="N288" s="16"/>
      <c r="O288" s="16"/>
    </row>
    <row r="289" spans="1:15" ht="30" hidden="1" customHeight="1" x14ac:dyDescent="0.4">
      <c r="A289" s="91"/>
      <c r="B289" s="15"/>
      <c r="C289" s="173"/>
      <c r="D289" s="172"/>
      <c r="E289" s="171"/>
      <c r="F289" s="172"/>
      <c r="G289" s="83"/>
      <c r="H289" s="84"/>
      <c r="I289" s="90"/>
      <c r="J289" s="89"/>
      <c r="K289" s="16"/>
      <c r="L289" s="16"/>
      <c r="M289" s="85"/>
      <c r="N289" s="16"/>
      <c r="O289" s="16"/>
    </row>
    <row r="290" spans="1:15" ht="30" hidden="1" customHeight="1" x14ac:dyDescent="0.4">
      <c r="A290" s="91"/>
      <c r="B290" s="15"/>
      <c r="C290" s="173"/>
      <c r="D290" s="172"/>
      <c r="E290" s="171"/>
      <c r="F290" s="172"/>
      <c r="G290" s="83"/>
      <c r="H290" s="84"/>
      <c r="I290" s="90"/>
      <c r="J290" s="89"/>
      <c r="K290" s="16"/>
      <c r="L290" s="16"/>
      <c r="M290" s="85"/>
      <c r="N290" s="16"/>
      <c r="O290" s="16"/>
    </row>
    <row r="291" spans="1:15" ht="30" hidden="1" customHeight="1" x14ac:dyDescent="0.4">
      <c r="A291" s="91"/>
      <c r="B291" s="15"/>
      <c r="C291" s="173"/>
      <c r="D291" s="172"/>
      <c r="E291" s="171"/>
      <c r="F291" s="172"/>
      <c r="G291" s="83"/>
      <c r="H291" s="84"/>
      <c r="I291" s="90"/>
      <c r="J291" s="89"/>
      <c r="K291" s="16"/>
      <c r="L291" s="16"/>
      <c r="M291" s="85"/>
      <c r="N291" s="16"/>
      <c r="O291" s="16"/>
    </row>
    <row r="292" spans="1:15" ht="30" hidden="1" customHeight="1" x14ac:dyDescent="0.4">
      <c r="A292" s="91"/>
      <c r="B292" s="15"/>
      <c r="C292" s="173"/>
      <c r="D292" s="172"/>
      <c r="E292" s="171"/>
      <c r="F292" s="172"/>
      <c r="G292" s="83"/>
      <c r="H292" s="84"/>
      <c r="I292" s="90"/>
      <c r="J292" s="89"/>
      <c r="K292" s="16"/>
      <c r="L292" s="16"/>
      <c r="M292" s="85"/>
      <c r="N292" s="16"/>
      <c r="O292" s="16"/>
    </row>
    <row r="293" spans="1:15" ht="30" hidden="1" customHeight="1" x14ac:dyDescent="0.4">
      <c r="A293" s="91"/>
      <c r="B293" s="15"/>
      <c r="C293" s="173"/>
      <c r="D293" s="172"/>
      <c r="E293" s="171"/>
      <c r="F293" s="172"/>
      <c r="G293" s="83"/>
      <c r="H293" s="84"/>
      <c r="I293" s="90"/>
      <c r="J293" s="89"/>
      <c r="K293" s="16"/>
      <c r="L293" s="16"/>
      <c r="M293" s="85"/>
      <c r="N293" s="16"/>
      <c r="O293" s="16"/>
    </row>
    <row r="294" spans="1:15" ht="30" hidden="1" customHeight="1" x14ac:dyDescent="0.4">
      <c r="A294" s="91"/>
      <c r="B294" s="15"/>
      <c r="C294" s="173"/>
      <c r="D294" s="172"/>
      <c r="E294" s="171"/>
      <c r="F294" s="172"/>
      <c r="G294" s="83"/>
      <c r="H294" s="84"/>
      <c r="I294" s="90"/>
      <c r="J294" s="89"/>
      <c r="K294" s="16"/>
      <c r="L294" s="16"/>
      <c r="M294" s="85"/>
      <c r="N294" s="16"/>
      <c r="O294" s="16"/>
    </row>
    <row r="295" spans="1:15" ht="30" hidden="1" customHeight="1" x14ac:dyDescent="0.4">
      <c r="A295" s="91"/>
      <c r="B295" s="15"/>
      <c r="C295" s="173"/>
      <c r="D295" s="172"/>
      <c r="E295" s="171"/>
      <c r="F295" s="172"/>
      <c r="G295" s="83"/>
      <c r="H295" s="84"/>
      <c r="I295" s="90"/>
      <c r="J295" s="89"/>
      <c r="K295" s="16"/>
      <c r="L295" s="16"/>
      <c r="M295" s="85"/>
      <c r="N295" s="16"/>
      <c r="O295" s="16"/>
    </row>
    <row r="296" spans="1:15" ht="30" hidden="1" customHeight="1" x14ac:dyDescent="0.4">
      <c r="A296" s="91"/>
      <c r="B296" s="15"/>
      <c r="C296" s="173"/>
      <c r="D296" s="172"/>
      <c r="E296" s="171"/>
      <c r="F296" s="172"/>
      <c r="G296" s="83"/>
      <c r="H296" s="84"/>
      <c r="I296" s="90"/>
      <c r="J296" s="89"/>
      <c r="K296" s="16"/>
      <c r="L296" s="16"/>
      <c r="M296" s="85"/>
      <c r="N296" s="16"/>
      <c r="O296" s="16"/>
    </row>
    <row r="297" spans="1:15" ht="30" hidden="1" customHeight="1" x14ac:dyDescent="0.4">
      <c r="A297" s="91"/>
      <c r="B297" s="15"/>
      <c r="C297" s="173"/>
      <c r="D297" s="172"/>
      <c r="E297" s="171"/>
      <c r="F297" s="172"/>
      <c r="G297" s="83"/>
      <c r="H297" s="84"/>
      <c r="I297" s="90"/>
      <c r="J297" s="89"/>
      <c r="K297" s="16"/>
      <c r="L297" s="16"/>
      <c r="M297" s="85"/>
      <c r="N297" s="16"/>
      <c r="O297" s="16"/>
    </row>
    <row r="298" spans="1:15" ht="30" hidden="1" customHeight="1" x14ac:dyDescent="0.4">
      <c r="A298" s="91"/>
      <c r="B298" s="15"/>
      <c r="C298" s="173"/>
      <c r="D298" s="172"/>
      <c r="E298" s="171"/>
      <c r="F298" s="172"/>
      <c r="G298" s="83"/>
      <c r="H298" s="84"/>
      <c r="I298" s="90"/>
      <c r="J298" s="89"/>
      <c r="K298" s="16"/>
      <c r="L298" s="16"/>
      <c r="M298" s="85"/>
      <c r="N298" s="16"/>
      <c r="O298" s="16"/>
    </row>
    <row r="299" spans="1:15" ht="30" hidden="1" customHeight="1" x14ac:dyDescent="0.4">
      <c r="A299" s="91"/>
      <c r="B299" s="15"/>
      <c r="C299" s="173"/>
      <c r="D299" s="172"/>
      <c r="E299" s="171"/>
      <c r="F299" s="172"/>
      <c r="G299" s="83"/>
      <c r="H299" s="84"/>
      <c r="I299" s="90"/>
      <c r="J299" s="89"/>
      <c r="K299" s="16"/>
      <c r="L299" s="16"/>
      <c r="M299" s="85"/>
      <c r="N299" s="16"/>
      <c r="O299" s="16"/>
    </row>
    <row r="300" spans="1:15" ht="30" hidden="1" customHeight="1" x14ac:dyDescent="0.4">
      <c r="A300" s="91"/>
      <c r="B300" s="15"/>
      <c r="C300" s="173"/>
      <c r="D300" s="172"/>
      <c r="E300" s="171"/>
      <c r="F300" s="172"/>
      <c r="G300" s="83"/>
      <c r="H300" s="84"/>
      <c r="I300" s="90"/>
      <c r="J300" s="89"/>
      <c r="K300" s="16"/>
      <c r="L300" s="16"/>
      <c r="M300" s="85"/>
      <c r="N300" s="16"/>
      <c r="O300" s="16"/>
    </row>
    <row r="301" spans="1:15" ht="30" hidden="1" customHeight="1" x14ac:dyDescent="0.4">
      <c r="A301" s="91"/>
      <c r="B301" s="15"/>
      <c r="C301" s="173"/>
      <c r="D301" s="172"/>
      <c r="E301" s="171"/>
      <c r="F301" s="172"/>
      <c r="G301" s="83"/>
      <c r="H301" s="84"/>
      <c r="I301" s="90"/>
      <c r="J301" s="89"/>
      <c r="K301" s="16"/>
      <c r="L301" s="16"/>
      <c r="M301" s="85"/>
      <c r="N301" s="16"/>
      <c r="O301" s="16"/>
    </row>
    <row r="302" spans="1:15" ht="30" hidden="1" customHeight="1" x14ac:dyDescent="0.4">
      <c r="A302" s="91"/>
      <c r="B302" s="15"/>
      <c r="C302" s="173"/>
      <c r="D302" s="172"/>
      <c r="E302" s="171"/>
      <c r="F302" s="172"/>
      <c r="G302" s="83"/>
      <c r="H302" s="84"/>
      <c r="I302" s="90"/>
      <c r="J302" s="89"/>
      <c r="K302" s="16"/>
      <c r="L302" s="16"/>
      <c r="M302" s="85"/>
      <c r="N302" s="16"/>
      <c r="O302" s="16"/>
    </row>
    <row r="303" spans="1:15" ht="30" hidden="1" customHeight="1" x14ac:dyDescent="0.4">
      <c r="A303" s="91"/>
      <c r="B303" s="15"/>
      <c r="C303" s="173"/>
      <c r="D303" s="172"/>
      <c r="E303" s="171"/>
      <c r="F303" s="172"/>
      <c r="G303" s="83"/>
      <c r="H303" s="84"/>
      <c r="I303" s="90"/>
      <c r="J303" s="89"/>
      <c r="K303" s="16"/>
      <c r="L303" s="16"/>
      <c r="M303" s="85"/>
      <c r="N303" s="16"/>
      <c r="O303" s="16"/>
    </row>
    <row r="304" spans="1:15" ht="30" hidden="1" customHeight="1" x14ac:dyDescent="0.4">
      <c r="A304" s="91"/>
      <c r="B304" s="15"/>
      <c r="C304" s="173"/>
      <c r="D304" s="172"/>
      <c r="E304" s="171"/>
      <c r="F304" s="172"/>
      <c r="G304" s="83"/>
      <c r="H304" s="84"/>
      <c r="I304" s="90"/>
      <c r="J304" s="89"/>
      <c r="K304" s="16"/>
      <c r="L304" s="16"/>
      <c r="M304" s="85"/>
      <c r="N304" s="16"/>
      <c r="O304" s="16"/>
    </row>
    <row r="305" spans="1:15" ht="30" hidden="1" customHeight="1" x14ac:dyDescent="0.4">
      <c r="A305" s="91"/>
      <c r="B305" s="15"/>
      <c r="C305" s="173"/>
      <c r="D305" s="172"/>
      <c r="E305" s="171"/>
      <c r="F305" s="172"/>
      <c r="G305" s="83"/>
      <c r="H305" s="84"/>
      <c r="I305" s="90"/>
      <c r="J305" s="89"/>
      <c r="K305" s="16"/>
      <c r="L305" s="16"/>
      <c r="M305" s="85"/>
      <c r="N305" s="16"/>
      <c r="O305" s="16"/>
    </row>
    <row r="306" spans="1:15" ht="30" hidden="1" customHeight="1" x14ac:dyDescent="0.4">
      <c r="A306" s="91"/>
      <c r="B306" s="15"/>
      <c r="C306" s="173"/>
      <c r="D306" s="172"/>
      <c r="E306" s="171"/>
      <c r="F306" s="172"/>
      <c r="G306" s="83"/>
      <c r="H306" s="84"/>
      <c r="I306" s="90"/>
      <c r="J306" s="89"/>
      <c r="K306" s="16"/>
      <c r="L306" s="16"/>
      <c r="M306" s="85"/>
      <c r="N306" s="16"/>
      <c r="O306" s="16"/>
    </row>
    <row r="307" spans="1:15" ht="30" hidden="1" customHeight="1" x14ac:dyDescent="0.4">
      <c r="A307" s="91"/>
      <c r="B307" s="15"/>
      <c r="C307" s="173"/>
      <c r="D307" s="172"/>
      <c r="E307" s="171"/>
      <c r="F307" s="172"/>
      <c r="G307" s="83"/>
      <c r="H307" s="84"/>
      <c r="I307" s="90"/>
      <c r="J307" s="89"/>
      <c r="K307" s="16"/>
      <c r="L307" s="16"/>
      <c r="M307" s="85"/>
      <c r="N307" s="16"/>
      <c r="O307" s="16"/>
    </row>
    <row r="308" spans="1:15" ht="30" hidden="1" customHeight="1" x14ac:dyDescent="0.4">
      <c r="A308" s="91"/>
      <c r="B308" s="15"/>
      <c r="C308" s="173"/>
      <c r="D308" s="172"/>
      <c r="E308" s="171"/>
      <c r="F308" s="172"/>
      <c r="G308" s="83"/>
      <c r="H308" s="84"/>
      <c r="I308" s="90"/>
      <c r="J308" s="89"/>
      <c r="K308" s="16"/>
      <c r="L308" s="16"/>
      <c r="M308" s="85"/>
      <c r="N308" s="16"/>
      <c r="O308" s="16"/>
    </row>
    <row r="309" spans="1:15" ht="30" hidden="1" customHeight="1" x14ac:dyDescent="0.4">
      <c r="A309" s="91"/>
      <c r="B309" s="15"/>
      <c r="C309" s="173"/>
      <c r="D309" s="172"/>
      <c r="E309" s="171"/>
      <c r="F309" s="172"/>
      <c r="G309" s="83"/>
      <c r="H309" s="84"/>
      <c r="I309" s="90"/>
      <c r="J309" s="89"/>
      <c r="K309" s="16"/>
      <c r="L309" s="16"/>
      <c r="M309" s="85"/>
      <c r="N309" s="16"/>
      <c r="O309" s="16"/>
    </row>
    <row r="310" spans="1:15" ht="30" hidden="1" customHeight="1" x14ac:dyDescent="0.4">
      <c r="A310" s="91"/>
      <c r="B310" s="15"/>
      <c r="C310" s="173"/>
      <c r="D310" s="172"/>
      <c r="E310" s="171"/>
      <c r="F310" s="172"/>
      <c r="G310" s="83"/>
      <c r="H310" s="84"/>
      <c r="I310" s="90"/>
      <c r="J310" s="89"/>
      <c r="K310" s="16"/>
      <c r="L310" s="16"/>
      <c r="M310" s="85"/>
      <c r="N310" s="16"/>
      <c r="O310" s="16"/>
    </row>
    <row r="311" spans="1:15" ht="30" hidden="1" customHeight="1" x14ac:dyDescent="0.4">
      <c r="A311" s="91"/>
      <c r="B311" s="15"/>
      <c r="C311" s="173"/>
      <c r="D311" s="172"/>
      <c r="E311" s="171"/>
      <c r="F311" s="172"/>
      <c r="G311" s="83"/>
      <c r="H311" s="84"/>
      <c r="I311" s="90"/>
      <c r="J311" s="89"/>
      <c r="K311" s="16"/>
      <c r="L311" s="16"/>
      <c r="M311" s="85"/>
      <c r="N311" s="16"/>
      <c r="O311" s="16"/>
    </row>
    <row r="312" spans="1:15" ht="30" hidden="1" customHeight="1" x14ac:dyDescent="0.4">
      <c r="A312" s="91"/>
      <c r="B312" s="15"/>
      <c r="C312" s="173"/>
      <c r="D312" s="172"/>
      <c r="E312" s="171"/>
      <c r="F312" s="172"/>
      <c r="G312" s="83"/>
      <c r="H312" s="84"/>
      <c r="I312" s="90"/>
      <c r="J312" s="89"/>
      <c r="K312" s="16"/>
      <c r="L312" s="16"/>
      <c r="M312" s="85"/>
      <c r="N312" s="16"/>
      <c r="O312" s="16"/>
    </row>
    <row r="313" spans="1:15" ht="30" hidden="1" customHeight="1" x14ac:dyDescent="0.4">
      <c r="A313" s="91"/>
      <c r="B313" s="15"/>
      <c r="C313" s="173"/>
      <c r="D313" s="172"/>
      <c r="E313" s="171"/>
      <c r="F313" s="172"/>
      <c r="G313" s="83"/>
      <c r="H313" s="84"/>
      <c r="I313" s="90"/>
      <c r="J313" s="89"/>
      <c r="K313" s="16"/>
      <c r="L313" s="16"/>
      <c r="M313" s="85"/>
      <c r="N313" s="16"/>
      <c r="O313" s="16"/>
    </row>
    <row r="314" spans="1:15" ht="30" hidden="1" customHeight="1" x14ac:dyDescent="0.4">
      <c r="A314" s="91"/>
      <c r="B314" s="15"/>
      <c r="C314" s="173"/>
      <c r="D314" s="172"/>
      <c r="E314" s="171"/>
      <c r="F314" s="172"/>
      <c r="G314" s="83"/>
      <c r="H314" s="84"/>
      <c r="I314" s="90"/>
      <c r="J314" s="89"/>
      <c r="K314" s="16"/>
      <c r="L314" s="16"/>
      <c r="M314" s="85"/>
      <c r="N314" s="16"/>
      <c r="O314" s="16"/>
    </row>
    <row r="315" spans="1:15" ht="30" hidden="1" customHeight="1" x14ac:dyDescent="0.4">
      <c r="A315" s="91"/>
      <c r="B315" s="15"/>
      <c r="C315" s="173"/>
      <c r="D315" s="172"/>
      <c r="E315" s="171"/>
      <c r="F315" s="172"/>
      <c r="G315" s="83"/>
      <c r="H315" s="84"/>
      <c r="I315" s="90"/>
      <c r="J315" s="89"/>
      <c r="K315" s="16"/>
      <c r="L315" s="16"/>
      <c r="M315" s="85"/>
      <c r="N315" s="16"/>
      <c r="O315" s="16"/>
    </row>
    <row r="316" spans="1:15" ht="30" hidden="1" customHeight="1" x14ac:dyDescent="0.4">
      <c r="A316" s="91"/>
      <c r="B316" s="15"/>
      <c r="C316" s="173"/>
      <c r="D316" s="172"/>
      <c r="E316" s="171"/>
      <c r="F316" s="172"/>
      <c r="G316" s="83"/>
      <c r="H316" s="84"/>
      <c r="I316" s="90"/>
      <c r="J316" s="89"/>
      <c r="K316" s="16"/>
      <c r="L316" s="16"/>
      <c r="M316" s="85"/>
      <c r="N316" s="16"/>
      <c r="O316" s="16"/>
    </row>
    <row r="317" spans="1:15" ht="30" hidden="1" customHeight="1" x14ac:dyDescent="0.4">
      <c r="A317" s="91"/>
      <c r="B317" s="15"/>
      <c r="C317" s="173"/>
      <c r="D317" s="172"/>
      <c r="E317" s="171"/>
      <c r="F317" s="172"/>
      <c r="G317" s="83"/>
      <c r="H317" s="84"/>
      <c r="I317" s="90"/>
      <c r="J317" s="89"/>
      <c r="K317" s="16"/>
      <c r="L317" s="16"/>
      <c r="M317" s="85"/>
      <c r="N317" s="16"/>
      <c r="O317" s="16"/>
    </row>
    <row r="318" spans="1:15" ht="30" hidden="1" customHeight="1" x14ac:dyDescent="0.4">
      <c r="A318" s="91"/>
      <c r="B318" s="15"/>
      <c r="C318" s="173"/>
      <c r="D318" s="172"/>
      <c r="E318" s="171"/>
      <c r="F318" s="172"/>
      <c r="G318" s="83"/>
      <c r="H318" s="84"/>
      <c r="I318" s="90"/>
      <c r="J318" s="89"/>
      <c r="K318" s="16"/>
      <c r="L318" s="16"/>
      <c r="M318" s="85"/>
      <c r="N318" s="16"/>
      <c r="O318" s="16"/>
    </row>
    <row r="319" spans="1:15" ht="30" hidden="1" customHeight="1" x14ac:dyDescent="0.4">
      <c r="A319" s="91"/>
      <c r="B319" s="15"/>
      <c r="C319" s="173"/>
      <c r="D319" s="172"/>
      <c r="E319" s="171"/>
      <c r="F319" s="172"/>
      <c r="G319" s="83"/>
      <c r="H319" s="84"/>
      <c r="I319" s="90"/>
      <c r="J319" s="89"/>
      <c r="K319" s="16"/>
      <c r="L319" s="16"/>
      <c r="M319" s="85"/>
      <c r="N319" s="16"/>
      <c r="O319" s="16"/>
    </row>
    <row r="320" spans="1:15" ht="30" hidden="1" customHeight="1" x14ac:dyDescent="0.4">
      <c r="A320" s="91"/>
      <c r="B320" s="15"/>
      <c r="C320" s="173"/>
      <c r="D320" s="172"/>
      <c r="E320" s="171"/>
      <c r="F320" s="172"/>
      <c r="G320" s="83"/>
      <c r="H320" s="84"/>
      <c r="I320" s="90"/>
      <c r="J320" s="89"/>
      <c r="K320" s="16"/>
      <c r="L320" s="16"/>
      <c r="M320" s="85"/>
      <c r="N320" s="16"/>
      <c r="O320" s="16"/>
    </row>
    <row r="321" spans="1:15" ht="30" hidden="1" customHeight="1" x14ac:dyDescent="0.4">
      <c r="A321" s="91"/>
      <c r="B321" s="15"/>
      <c r="C321" s="173"/>
      <c r="D321" s="172"/>
      <c r="E321" s="171"/>
      <c r="F321" s="172"/>
      <c r="G321" s="83"/>
      <c r="H321" s="84"/>
      <c r="I321" s="90"/>
      <c r="J321" s="89"/>
      <c r="K321" s="16"/>
      <c r="L321" s="16"/>
      <c r="M321" s="85"/>
      <c r="N321" s="16"/>
      <c r="O321" s="16"/>
    </row>
    <row r="322" spans="1:15" ht="30" hidden="1" customHeight="1" x14ac:dyDescent="0.4">
      <c r="A322" s="91"/>
      <c r="B322" s="15"/>
      <c r="C322" s="173"/>
      <c r="D322" s="172"/>
      <c r="E322" s="171"/>
      <c r="F322" s="172"/>
      <c r="G322" s="83"/>
      <c r="H322" s="84"/>
      <c r="I322" s="90"/>
      <c r="J322" s="89"/>
      <c r="K322" s="16"/>
      <c r="L322" s="16"/>
      <c r="M322" s="85"/>
      <c r="N322" s="16"/>
      <c r="O322" s="16"/>
    </row>
    <row r="323" spans="1:15" ht="30" hidden="1" customHeight="1" x14ac:dyDescent="0.4">
      <c r="A323" s="91"/>
      <c r="B323" s="15"/>
      <c r="C323" s="173"/>
      <c r="D323" s="172"/>
      <c r="E323" s="171"/>
      <c r="F323" s="172"/>
      <c r="G323" s="83"/>
      <c r="H323" s="84"/>
      <c r="I323" s="90"/>
      <c r="J323" s="89"/>
      <c r="K323" s="16"/>
      <c r="L323" s="16"/>
      <c r="M323" s="85"/>
      <c r="N323" s="16"/>
      <c r="O323" s="16"/>
    </row>
    <row r="324" spans="1:15" ht="30" hidden="1" customHeight="1" x14ac:dyDescent="0.4">
      <c r="A324" s="91"/>
      <c r="B324" s="15"/>
      <c r="C324" s="173"/>
      <c r="D324" s="172"/>
      <c r="E324" s="171"/>
      <c r="F324" s="172"/>
      <c r="G324" s="83"/>
      <c r="H324" s="84"/>
      <c r="I324" s="90"/>
      <c r="J324" s="89"/>
      <c r="K324" s="16"/>
      <c r="L324" s="16"/>
      <c r="M324" s="85"/>
      <c r="N324" s="16"/>
      <c r="O324" s="16"/>
    </row>
    <row r="325" spans="1:15" ht="30" hidden="1" customHeight="1" x14ac:dyDescent="0.4">
      <c r="A325" s="91"/>
      <c r="B325" s="15"/>
      <c r="C325" s="173"/>
      <c r="D325" s="172"/>
      <c r="E325" s="171"/>
      <c r="F325" s="172"/>
      <c r="G325" s="83"/>
      <c r="H325" s="84"/>
      <c r="I325" s="90"/>
      <c r="J325" s="89"/>
      <c r="K325" s="16"/>
      <c r="L325" s="16"/>
      <c r="M325" s="85"/>
      <c r="N325" s="16"/>
      <c r="O325" s="16"/>
    </row>
    <row r="326" spans="1:15" ht="30" hidden="1" customHeight="1" x14ac:dyDescent="0.4">
      <c r="A326" s="91"/>
      <c r="B326" s="15"/>
      <c r="C326" s="173"/>
      <c r="D326" s="172"/>
      <c r="E326" s="171"/>
      <c r="F326" s="172"/>
      <c r="G326" s="83"/>
      <c r="H326" s="84"/>
      <c r="I326" s="90"/>
      <c r="J326" s="89"/>
      <c r="K326" s="16"/>
      <c r="L326" s="16"/>
      <c r="M326" s="85"/>
      <c r="N326" s="16"/>
      <c r="O326" s="16"/>
    </row>
    <row r="327" spans="1:15" ht="30" hidden="1" customHeight="1" x14ac:dyDescent="0.4">
      <c r="A327" s="91"/>
      <c r="B327" s="15"/>
      <c r="C327" s="173"/>
      <c r="D327" s="172"/>
      <c r="E327" s="171"/>
      <c r="F327" s="172"/>
      <c r="G327" s="83"/>
      <c r="H327" s="84"/>
      <c r="I327" s="90"/>
      <c r="J327" s="89"/>
      <c r="K327" s="16"/>
      <c r="L327" s="16"/>
      <c r="M327" s="85"/>
      <c r="N327" s="16"/>
      <c r="O327" s="16"/>
    </row>
    <row r="328" spans="1:15" ht="30" hidden="1" customHeight="1" x14ac:dyDescent="0.4">
      <c r="A328" s="91"/>
      <c r="B328" s="15"/>
      <c r="C328" s="173"/>
      <c r="D328" s="172"/>
      <c r="E328" s="171"/>
      <c r="F328" s="172"/>
      <c r="G328" s="83"/>
      <c r="H328" s="84"/>
      <c r="I328" s="90"/>
      <c r="J328" s="89"/>
      <c r="K328" s="16"/>
      <c r="L328" s="16"/>
      <c r="M328" s="85"/>
      <c r="N328" s="16"/>
      <c r="O328" s="16"/>
    </row>
    <row r="329" spans="1:15" ht="30" hidden="1" customHeight="1" x14ac:dyDescent="0.4">
      <c r="A329" s="91"/>
      <c r="B329" s="15"/>
      <c r="C329" s="173"/>
      <c r="D329" s="172"/>
      <c r="E329" s="171"/>
      <c r="F329" s="172"/>
      <c r="G329" s="83"/>
      <c r="H329" s="84"/>
      <c r="I329" s="90"/>
      <c r="J329" s="89"/>
      <c r="K329" s="16"/>
      <c r="L329" s="16"/>
      <c r="M329" s="85"/>
      <c r="N329" s="16"/>
      <c r="O329" s="16"/>
    </row>
    <row r="330" spans="1:15" ht="30" hidden="1" customHeight="1" x14ac:dyDescent="0.4">
      <c r="A330" s="91"/>
      <c r="B330" s="15"/>
      <c r="C330" s="173"/>
      <c r="D330" s="172"/>
      <c r="E330" s="171"/>
      <c r="F330" s="172"/>
      <c r="G330" s="83"/>
      <c r="H330" s="84"/>
      <c r="I330" s="90"/>
      <c r="J330" s="89"/>
      <c r="K330" s="16"/>
      <c r="L330" s="16"/>
      <c r="M330" s="85"/>
      <c r="N330" s="16"/>
      <c r="O330" s="16"/>
    </row>
    <row r="331" spans="1:15" ht="30" hidden="1" customHeight="1" x14ac:dyDescent="0.4">
      <c r="A331" s="91"/>
      <c r="B331" s="15"/>
      <c r="C331" s="173"/>
      <c r="D331" s="172"/>
      <c r="E331" s="171"/>
      <c r="F331" s="172"/>
      <c r="G331" s="83"/>
      <c r="H331" s="84"/>
      <c r="I331" s="90"/>
      <c r="J331" s="89"/>
      <c r="K331" s="16"/>
      <c r="L331" s="16"/>
      <c r="M331" s="85"/>
      <c r="N331" s="16"/>
      <c r="O331" s="16"/>
    </row>
    <row r="332" spans="1:15" ht="30" hidden="1" customHeight="1" x14ac:dyDescent="0.4">
      <c r="A332" s="91"/>
      <c r="B332" s="15"/>
      <c r="C332" s="173"/>
      <c r="D332" s="172"/>
      <c r="E332" s="171"/>
      <c r="F332" s="172"/>
      <c r="G332" s="83"/>
      <c r="H332" s="84"/>
      <c r="I332" s="90"/>
      <c r="J332" s="89"/>
      <c r="K332" s="16"/>
      <c r="L332" s="16"/>
      <c r="M332" s="85"/>
      <c r="N332" s="16"/>
      <c r="O332" s="16"/>
    </row>
    <row r="333" spans="1:15" ht="30" hidden="1" customHeight="1" x14ac:dyDescent="0.4">
      <c r="A333" s="91"/>
      <c r="B333" s="15"/>
      <c r="C333" s="173"/>
      <c r="D333" s="172"/>
      <c r="E333" s="171"/>
      <c r="F333" s="172"/>
      <c r="G333" s="83"/>
      <c r="H333" s="84"/>
      <c r="I333" s="90"/>
      <c r="J333" s="89"/>
      <c r="K333" s="16"/>
      <c r="L333" s="16"/>
      <c r="M333" s="85"/>
      <c r="N333" s="16"/>
      <c r="O333" s="16"/>
    </row>
    <row r="334" spans="1:15" ht="30" hidden="1" customHeight="1" x14ac:dyDescent="0.4">
      <c r="A334" s="91"/>
      <c r="B334" s="15"/>
      <c r="C334" s="173"/>
      <c r="D334" s="172"/>
      <c r="E334" s="171"/>
      <c r="F334" s="172"/>
      <c r="G334" s="83"/>
      <c r="H334" s="84"/>
      <c r="I334" s="90"/>
      <c r="J334" s="89"/>
      <c r="K334" s="16"/>
      <c r="L334" s="16"/>
      <c r="M334" s="85"/>
      <c r="N334" s="16"/>
      <c r="O334" s="16"/>
    </row>
    <row r="335" spans="1:15" ht="30" hidden="1" customHeight="1" x14ac:dyDescent="0.4">
      <c r="A335" s="91"/>
      <c r="B335" s="15"/>
      <c r="C335" s="173"/>
      <c r="D335" s="172"/>
      <c r="E335" s="171"/>
      <c r="F335" s="172"/>
      <c r="G335" s="83"/>
      <c r="H335" s="84"/>
      <c r="I335" s="90"/>
      <c r="J335" s="89"/>
      <c r="K335" s="16"/>
      <c r="L335" s="16"/>
      <c r="M335" s="85"/>
      <c r="N335" s="16"/>
      <c r="O335" s="16"/>
    </row>
    <row r="336" spans="1:15" ht="30" hidden="1" customHeight="1" x14ac:dyDescent="0.4">
      <c r="A336" s="91"/>
      <c r="B336" s="15"/>
      <c r="C336" s="173"/>
      <c r="D336" s="172"/>
      <c r="E336" s="171"/>
      <c r="F336" s="172"/>
      <c r="G336" s="83"/>
      <c r="H336" s="84"/>
      <c r="I336" s="90"/>
      <c r="J336" s="89"/>
      <c r="K336" s="16"/>
      <c r="L336" s="16"/>
      <c r="M336" s="85"/>
      <c r="N336" s="16"/>
      <c r="O336" s="16"/>
    </row>
    <row r="337" spans="1:15" ht="30" hidden="1" customHeight="1" x14ac:dyDescent="0.4">
      <c r="A337" s="91"/>
      <c r="B337" s="15"/>
      <c r="C337" s="173"/>
      <c r="D337" s="172"/>
      <c r="E337" s="171"/>
      <c r="F337" s="172"/>
      <c r="G337" s="83"/>
      <c r="H337" s="84"/>
      <c r="I337" s="90"/>
      <c r="J337" s="89"/>
      <c r="K337" s="16"/>
      <c r="L337" s="16"/>
      <c r="M337" s="85"/>
      <c r="N337" s="16"/>
      <c r="O337" s="16"/>
    </row>
    <row r="338" spans="1:15" ht="30" hidden="1" customHeight="1" x14ac:dyDescent="0.4">
      <c r="A338" s="91"/>
      <c r="B338" s="15"/>
      <c r="C338" s="173"/>
      <c r="D338" s="172"/>
      <c r="E338" s="171"/>
      <c r="F338" s="172"/>
      <c r="G338" s="83"/>
      <c r="H338" s="84"/>
      <c r="I338" s="90"/>
      <c r="J338" s="89"/>
      <c r="K338" s="16"/>
      <c r="L338" s="16"/>
      <c r="M338" s="85"/>
      <c r="N338" s="16"/>
      <c r="O338" s="16"/>
    </row>
    <row r="339" spans="1:15" ht="30" hidden="1" customHeight="1" x14ac:dyDescent="0.4">
      <c r="A339" s="91"/>
      <c r="B339" s="15"/>
      <c r="C339" s="173"/>
      <c r="D339" s="172"/>
      <c r="E339" s="171"/>
      <c r="F339" s="172"/>
      <c r="G339" s="83"/>
      <c r="H339" s="84"/>
      <c r="I339" s="90"/>
      <c r="J339" s="89"/>
      <c r="K339" s="16"/>
      <c r="L339" s="16"/>
      <c r="M339" s="85"/>
      <c r="N339" s="16"/>
      <c r="O339" s="16"/>
    </row>
    <row r="340" spans="1:15" ht="30" hidden="1" customHeight="1" x14ac:dyDescent="0.4">
      <c r="A340" s="91"/>
      <c r="B340" s="15"/>
      <c r="C340" s="173"/>
      <c r="D340" s="172"/>
      <c r="E340" s="171"/>
      <c r="F340" s="172"/>
      <c r="G340" s="83"/>
      <c r="H340" s="84"/>
      <c r="I340" s="90"/>
      <c r="J340" s="89"/>
      <c r="K340" s="16"/>
      <c r="L340" s="16"/>
      <c r="M340" s="85"/>
      <c r="N340" s="16"/>
      <c r="O340" s="16"/>
    </row>
    <row r="341" spans="1:15" ht="30" hidden="1" customHeight="1" x14ac:dyDescent="0.4">
      <c r="A341" s="91"/>
      <c r="B341" s="15"/>
      <c r="C341" s="173"/>
      <c r="D341" s="172"/>
      <c r="E341" s="171"/>
      <c r="F341" s="172"/>
      <c r="G341" s="83"/>
      <c r="H341" s="84"/>
      <c r="I341" s="90"/>
      <c r="J341" s="89"/>
      <c r="K341" s="16"/>
      <c r="L341" s="16"/>
      <c r="M341" s="85"/>
      <c r="N341" s="16"/>
      <c r="O341" s="16"/>
    </row>
    <row r="342" spans="1:15" ht="30" hidden="1" customHeight="1" x14ac:dyDescent="0.4">
      <c r="A342" s="91"/>
      <c r="B342" s="15"/>
      <c r="C342" s="173"/>
      <c r="D342" s="172"/>
      <c r="E342" s="171"/>
      <c r="F342" s="172"/>
      <c r="G342" s="83"/>
      <c r="H342" s="84"/>
      <c r="I342" s="90"/>
      <c r="J342" s="89"/>
      <c r="K342" s="16"/>
      <c r="L342" s="16"/>
      <c r="M342" s="85"/>
      <c r="N342" s="16"/>
      <c r="O342" s="16"/>
    </row>
    <row r="343" spans="1:15" ht="30" hidden="1" customHeight="1" x14ac:dyDescent="0.4">
      <c r="A343" s="91"/>
      <c r="B343" s="15"/>
      <c r="C343" s="173"/>
      <c r="D343" s="172"/>
      <c r="E343" s="171"/>
      <c r="F343" s="172"/>
      <c r="G343" s="83"/>
      <c r="H343" s="84"/>
      <c r="I343" s="90"/>
      <c r="J343" s="89"/>
      <c r="K343" s="16"/>
      <c r="L343" s="16"/>
      <c r="M343" s="85"/>
      <c r="N343" s="16"/>
      <c r="O343" s="16"/>
    </row>
    <row r="344" spans="1:15" ht="30" hidden="1" customHeight="1" x14ac:dyDescent="0.4">
      <c r="A344" s="91"/>
      <c r="B344" s="15"/>
      <c r="C344" s="173"/>
      <c r="D344" s="172"/>
      <c r="E344" s="171"/>
      <c r="F344" s="172"/>
      <c r="G344" s="83"/>
      <c r="H344" s="84"/>
      <c r="I344" s="90"/>
      <c r="J344" s="89"/>
      <c r="K344" s="16"/>
      <c r="L344" s="16"/>
      <c r="M344" s="85"/>
      <c r="N344" s="16"/>
      <c r="O344" s="16"/>
    </row>
    <row r="345" spans="1:15" ht="30" hidden="1" customHeight="1" x14ac:dyDescent="0.4">
      <c r="A345" s="91"/>
      <c r="B345" s="15"/>
      <c r="C345" s="173"/>
      <c r="D345" s="172"/>
      <c r="E345" s="171"/>
      <c r="F345" s="172"/>
      <c r="G345" s="83"/>
      <c r="H345" s="84"/>
      <c r="I345" s="90"/>
      <c r="J345" s="89"/>
      <c r="K345" s="16"/>
      <c r="L345" s="16"/>
      <c r="M345" s="85"/>
      <c r="N345" s="16"/>
      <c r="O345" s="16"/>
    </row>
    <row r="346" spans="1:15" ht="30" hidden="1" customHeight="1" x14ac:dyDescent="0.4">
      <c r="A346" s="91"/>
      <c r="B346" s="15"/>
      <c r="C346" s="173"/>
      <c r="D346" s="172"/>
      <c r="E346" s="171"/>
      <c r="F346" s="172"/>
      <c r="G346" s="83"/>
      <c r="H346" s="84"/>
      <c r="I346" s="90"/>
      <c r="J346" s="89"/>
      <c r="K346" s="16"/>
      <c r="L346" s="16"/>
      <c r="M346" s="85"/>
      <c r="N346" s="16"/>
      <c r="O346" s="16"/>
    </row>
    <row r="347" spans="1:15" ht="30" hidden="1" customHeight="1" x14ac:dyDescent="0.4">
      <c r="A347" s="91"/>
      <c r="B347" s="15"/>
      <c r="C347" s="173"/>
      <c r="D347" s="172"/>
      <c r="E347" s="171"/>
      <c r="F347" s="172"/>
      <c r="G347" s="83"/>
      <c r="H347" s="84"/>
      <c r="I347" s="90"/>
      <c r="J347" s="89"/>
      <c r="K347" s="16"/>
      <c r="L347" s="16"/>
      <c r="M347" s="85"/>
      <c r="N347" s="16"/>
      <c r="O347" s="16"/>
    </row>
    <row r="348" spans="1:15" ht="30" hidden="1" customHeight="1" x14ac:dyDescent="0.4">
      <c r="A348" s="91"/>
      <c r="B348" s="15"/>
      <c r="C348" s="173"/>
      <c r="D348" s="172"/>
      <c r="E348" s="171"/>
      <c r="F348" s="172"/>
      <c r="G348" s="83"/>
      <c r="H348" s="84"/>
      <c r="I348" s="90"/>
      <c r="J348" s="89"/>
      <c r="K348" s="16"/>
      <c r="L348" s="16"/>
      <c r="M348" s="85"/>
      <c r="N348" s="16"/>
      <c r="O348" s="16"/>
    </row>
    <row r="349" spans="1:15" ht="30" hidden="1" customHeight="1" x14ac:dyDescent="0.4">
      <c r="A349" s="91"/>
      <c r="B349" s="15"/>
      <c r="C349" s="173"/>
      <c r="D349" s="172"/>
      <c r="E349" s="171"/>
      <c r="F349" s="172"/>
      <c r="G349" s="83"/>
      <c r="H349" s="84"/>
      <c r="I349" s="90"/>
      <c r="J349" s="89"/>
      <c r="K349" s="16"/>
      <c r="L349" s="16"/>
      <c r="M349" s="85"/>
      <c r="N349" s="16"/>
      <c r="O349" s="16"/>
    </row>
    <row r="350" spans="1:15" ht="30" hidden="1" customHeight="1" x14ac:dyDescent="0.4">
      <c r="A350" s="91"/>
      <c r="B350" s="15"/>
      <c r="C350" s="173"/>
      <c r="D350" s="172"/>
      <c r="E350" s="171"/>
      <c r="F350" s="172"/>
      <c r="G350" s="83"/>
      <c r="H350" s="84"/>
      <c r="I350" s="90"/>
      <c r="J350" s="89"/>
      <c r="K350" s="16"/>
      <c r="L350" s="16"/>
      <c r="M350" s="85"/>
      <c r="N350" s="16"/>
      <c r="O350" s="16"/>
    </row>
    <row r="351" spans="1:15" ht="30" hidden="1" customHeight="1" x14ac:dyDescent="0.4">
      <c r="A351" s="91"/>
      <c r="B351" s="15"/>
      <c r="C351" s="173"/>
      <c r="D351" s="172"/>
      <c r="E351" s="171"/>
      <c r="F351" s="172"/>
      <c r="G351" s="83"/>
      <c r="H351" s="84"/>
      <c r="I351" s="90"/>
      <c r="J351" s="89"/>
      <c r="K351" s="16"/>
      <c r="L351" s="16"/>
      <c r="M351" s="85"/>
      <c r="N351" s="16"/>
      <c r="O351" s="16"/>
    </row>
    <row r="352" spans="1:15" ht="30" hidden="1" customHeight="1" x14ac:dyDescent="0.4">
      <c r="A352" s="91"/>
      <c r="B352" s="15"/>
      <c r="C352" s="173"/>
      <c r="D352" s="172"/>
      <c r="E352" s="171"/>
      <c r="F352" s="172"/>
      <c r="G352" s="83"/>
      <c r="H352" s="84"/>
      <c r="I352" s="90"/>
      <c r="J352" s="89"/>
      <c r="K352" s="16"/>
      <c r="L352" s="16"/>
      <c r="M352" s="85"/>
      <c r="N352" s="16"/>
      <c r="O352" s="16"/>
    </row>
    <row r="353" spans="1:15" ht="30" hidden="1" customHeight="1" x14ac:dyDescent="0.4">
      <c r="A353" s="91"/>
      <c r="B353" s="15"/>
      <c r="C353" s="173"/>
      <c r="D353" s="172"/>
      <c r="E353" s="171"/>
      <c r="F353" s="172"/>
      <c r="G353" s="83"/>
      <c r="H353" s="84"/>
      <c r="I353" s="90"/>
      <c r="J353" s="89"/>
      <c r="K353" s="16"/>
      <c r="L353" s="16"/>
      <c r="M353" s="85"/>
      <c r="N353" s="16"/>
      <c r="O353" s="16"/>
    </row>
    <row r="354" spans="1:15" ht="30" hidden="1" customHeight="1" x14ac:dyDescent="0.4">
      <c r="A354" s="91"/>
      <c r="B354" s="15"/>
      <c r="C354" s="173"/>
      <c r="D354" s="172"/>
      <c r="E354" s="171"/>
      <c r="F354" s="172"/>
      <c r="G354" s="83"/>
      <c r="H354" s="84"/>
      <c r="I354" s="90"/>
      <c r="J354" s="89"/>
      <c r="K354" s="16"/>
      <c r="L354" s="16"/>
      <c r="M354" s="85"/>
      <c r="N354" s="16"/>
      <c r="O354" s="16"/>
    </row>
    <row r="355" spans="1:15" ht="30" hidden="1" customHeight="1" x14ac:dyDescent="0.4">
      <c r="A355" s="91"/>
      <c r="B355" s="15"/>
      <c r="C355" s="173"/>
      <c r="D355" s="172"/>
      <c r="E355" s="171"/>
      <c r="F355" s="172"/>
      <c r="G355" s="83"/>
      <c r="H355" s="84"/>
      <c r="I355" s="90"/>
      <c r="J355" s="89"/>
      <c r="K355" s="16"/>
      <c r="L355" s="16"/>
      <c r="M355" s="85"/>
      <c r="N355" s="16"/>
      <c r="O355" s="16"/>
    </row>
    <row r="356" spans="1:15" ht="30" hidden="1" customHeight="1" x14ac:dyDescent="0.4">
      <c r="A356" s="91"/>
      <c r="B356" s="15"/>
      <c r="C356" s="173"/>
      <c r="D356" s="172"/>
      <c r="E356" s="171"/>
      <c r="F356" s="172"/>
      <c r="G356" s="83"/>
      <c r="H356" s="84"/>
      <c r="I356" s="90"/>
      <c r="J356" s="89"/>
      <c r="K356" s="16"/>
      <c r="L356" s="16"/>
      <c r="M356" s="85"/>
      <c r="N356" s="16"/>
      <c r="O356" s="16"/>
    </row>
    <row r="357" spans="1:15" ht="30" hidden="1" customHeight="1" x14ac:dyDescent="0.4">
      <c r="A357" s="91"/>
      <c r="B357" s="15"/>
      <c r="C357" s="173"/>
      <c r="D357" s="172"/>
      <c r="E357" s="171"/>
      <c r="F357" s="172"/>
      <c r="G357" s="83"/>
      <c r="H357" s="84"/>
      <c r="I357" s="90"/>
      <c r="J357" s="89"/>
      <c r="K357" s="16"/>
      <c r="L357" s="16"/>
      <c r="M357" s="85"/>
      <c r="N357" s="16"/>
      <c r="O357" s="16"/>
    </row>
    <row r="358" spans="1:15" ht="30" hidden="1" customHeight="1" x14ac:dyDescent="0.4">
      <c r="A358" s="91"/>
      <c r="B358" s="15"/>
      <c r="C358" s="173"/>
      <c r="D358" s="172"/>
      <c r="E358" s="171"/>
      <c r="F358" s="172"/>
      <c r="G358" s="83"/>
      <c r="H358" s="84"/>
      <c r="I358" s="90"/>
      <c r="J358" s="89"/>
      <c r="K358" s="16"/>
      <c r="L358" s="16"/>
      <c r="M358" s="85"/>
      <c r="N358" s="16"/>
      <c r="O358" s="16"/>
    </row>
    <row r="359" spans="1:15" ht="30" hidden="1" customHeight="1" x14ac:dyDescent="0.4">
      <c r="A359" s="91"/>
      <c r="B359" s="15"/>
      <c r="C359" s="173"/>
      <c r="D359" s="172"/>
      <c r="E359" s="171"/>
      <c r="F359" s="172"/>
      <c r="G359" s="83"/>
      <c r="H359" s="84"/>
      <c r="I359" s="90"/>
      <c r="J359" s="89"/>
      <c r="K359" s="16"/>
      <c r="L359" s="16"/>
      <c r="M359" s="85"/>
      <c r="N359" s="16"/>
      <c r="O359" s="16"/>
    </row>
    <row r="360" spans="1:15" ht="30" hidden="1" customHeight="1" x14ac:dyDescent="0.4">
      <c r="A360" s="91"/>
      <c r="B360" s="15"/>
      <c r="C360" s="173"/>
      <c r="D360" s="172"/>
      <c r="E360" s="171"/>
      <c r="F360" s="172"/>
      <c r="G360" s="83"/>
      <c r="H360" s="84"/>
      <c r="I360" s="90"/>
      <c r="J360" s="89"/>
      <c r="K360" s="16"/>
      <c r="L360" s="16"/>
      <c r="M360" s="85"/>
      <c r="N360" s="16"/>
      <c r="O360" s="16"/>
    </row>
    <row r="361" spans="1:15" ht="30" hidden="1" customHeight="1" x14ac:dyDescent="0.4">
      <c r="A361" s="91"/>
      <c r="B361" s="15"/>
      <c r="C361" s="173"/>
      <c r="D361" s="172"/>
      <c r="E361" s="171"/>
      <c r="F361" s="172"/>
      <c r="G361" s="83"/>
      <c r="H361" s="84"/>
      <c r="I361" s="90"/>
      <c r="J361" s="89"/>
      <c r="K361" s="16"/>
      <c r="L361" s="16"/>
      <c r="M361" s="85"/>
      <c r="N361" s="16"/>
      <c r="O361" s="16"/>
    </row>
    <row r="362" spans="1:15" ht="30" hidden="1" customHeight="1" x14ac:dyDescent="0.4">
      <c r="A362" s="91"/>
      <c r="B362" s="15"/>
      <c r="C362" s="173"/>
      <c r="D362" s="172"/>
      <c r="E362" s="171"/>
      <c r="F362" s="172"/>
      <c r="G362" s="83"/>
      <c r="H362" s="84"/>
      <c r="I362" s="90"/>
      <c r="J362" s="89"/>
      <c r="K362" s="16"/>
      <c r="L362" s="16"/>
      <c r="M362" s="85"/>
      <c r="N362" s="16"/>
      <c r="O362" s="16"/>
    </row>
    <row r="363" spans="1:15" ht="30" hidden="1" customHeight="1" x14ac:dyDescent="0.4">
      <c r="A363" s="91"/>
      <c r="B363" s="15"/>
      <c r="C363" s="173"/>
      <c r="D363" s="172"/>
      <c r="E363" s="171"/>
      <c r="F363" s="172"/>
      <c r="G363" s="83"/>
      <c r="H363" s="84"/>
      <c r="I363" s="90"/>
      <c r="J363" s="89"/>
      <c r="K363" s="16"/>
      <c r="L363" s="16"/>
      <c r="M363" s="85"/>
      <c r="N363" s="16"/>
      <c r="O363" s="16"/>
    </row>
    <row r="364" spans="1:15" ht="30" hidden="1" customHeight="1" x14ac:dyDescent="0.4">
      <c r="A364" s="91"/>
      <c r="B364" s="15"/>
      <c r="C364" s="173"/>
      <c r="D364" s="172"/>
      <c r="E364" s="171"/>
      <c r="F364" s="172"/>
      <c r="G364" s="83"/>
      <c r="H364" s="84"/>
      <c r="I364" s="90"/>
      <c r="J364" s="89"/>
      <c r="K364" s="16"/>
      <c r="L364" s="16"/>
      <c r="M364" s="85"/>
      <c r="N364" s="16"/>
      <c r="O364" s="16"/>
    </row>
    <row r="365" spans="1:15" ht="30" hidden="1" customHeight="1" x14ac:dyDescent="0.4">
      <c r="A365" s="91"/>
      <c r="B365" s="15"/>
      <c r="C365" s="173"/>
      <c r="D365" s="172"/>
      <c r="E365" s="171"/>
      <c r="F365" s="172"/>
      <c r="G365" s="83"/>
      <c r="H365" s="84"/>
      <c r="I365" s="90"/>
      <c r="J365" s="89"/>
      <c r="K365" s="16"/>
      <c r="L365" s="16"/>
      <c r="M365" s="85"/>
      <c r="N365" s="16"/>
      <c r="O365" s="16"/>
    </row>
    <row r="366" spans="1:15" ht="30" hidden="1" customHeight="1" x14ac:dyDescent="0.4">
      <c r="A366" s="91"/>
      <c r="B366" s="15"/>
      <c r="C366" s="173"/>
      <c r="D366" s="172"/>
      <c r="E366" s="171"/>
      <c r="F366" s="172"/>
      <c r="G366" s="83"/>
      <c r="H366" s="84"/>
      <c r="I366" s="90"/>
      <c r="J366" s="89"/>
      <c r="K366" s="16"/>
      <c r="L366" s="16"/>
      <c r="M366" s="85"/>
      <c r="N366" s="16"/>
      <c r="O366" s="16"/>
    </row>
    <row r="367" spans="1:15" ht="30" hidden="1" customHeight="1" x14ac:dyDescent="0.4">
      <c r="A367" s="91"/>
      <c r="B367" s="15"/>
      <c r="C367" s="173"/>
      <c r="D367" s="172"/>
      <c r="E367" s="171"/>
      <c r="F367" s="172"/>
      <c r="G367" s="83"/>
      <c r="H367" s="84"/>
      <c r="I367" s="90"/>
      <c r="J367" s="89"/>
      <c r="K367" s="16"/>
      <c r="L367" s="16"/>
      <c r="M367" s="85"/>
      <c r="N367" s="16"/>
      <c r="O367" s="16"/>
    </row>
    <row r="368" spans="1:15" ht="30" hidden="1" customHeight="1" x14ac:dyDescent="0.4">
      <c r="A368" s="91"/>
      <c r="B368" s="15"/>
      <c r="C368" s="173"/>
      <c r="D368" s="172"/>
      <c r="E368" s="171"/>
      <c r="F368" s="172"/>
      <c r="G368" s="83"/>
      <c r="H368" s="84"/>
      <c r="I368" s="90"/>
      <c r="J368" s="89"/>
      <c r="K368" s="16"/>
      <c r="L368" s="16"/>
      <c r="M368" s="85"/>
      <c r="N368" s="16"/>
      <c r="O368" s="16"/>
    </row>
    <row r="369" spans="1:15" ht="30" hidden="1" customHeight="1" x14ac:dyDescent="0.4">
      <c r="A369" s="91"/>
      <c r="B369" s="15"/>
      <c r="C369" s="173"/>
      <c r="D369" s="172"/>
      <c r="E369" s="171"/>
      <c r="F369" s="172"/>
      <c r="G369" s="83"/>
      <c r="H369" s="84"/>
      <c r="I369" s="90"/>
      <c r="J369" s="89"/>
      <c r="K369" s="16"/>
      <c r="L369" s="16"/>
      <c r="M369" s="85"/>
      <c r="N369" s="16"/>
      <c r="O369" s="16"/>
    </row>
    <row r="370" spans="1:15" ht="30" hidden="1" customHeight="1" x14ac:dyDescent="0.4">
      <c r="A370" s="91"/>
      <c r="B370" s="15"/>
      <c r="C370" s="173"/>
      <c r="D370" s="172"/>
      <c r="E370" s="171"/>
      <c r="F370" s="172"/>
      <c r="G370" s="83"/>
      <c r="H370" s="84"/>
      <c r="I370" s="90"/>
      <c r="J370" s="89"/>
      <c r="K370" s="16"/>
      <c r="L370" s="16"/>
      <c r="M370" s="85"/>
      <c r="N370" s="16"/>
      <c r="O370" s="16"/>
    </row>
    <row r="371" spans="1:15" ht="30" hidden="1" customHeight="1" x14ac:dyDescent="0.4">
      <c r="A371" s="91"/>
      <c r="B371" s="15"/>
      <c r="C371" s="173"/>
      <c r="D371" s="172"/>
      <c r="E371" s="171"/>
      <c r="F371" s="172"/>
      <c r="G371" s="83"/>
      <c r="H371" s="84"/>
      <c r="I371" s="90"/>
      <c r="J371" s="89"/>
      <c r="K371" s="16"/>
      <c r="L371" s="16"/>
      <c r="M371" s="85"/>
      <c r="N371" s="16"/>
      <c r="O371" s="16"/>
    </row>
    <row r="372" spans="1:15" ht="30" hidden="1" customHeight="1" x14ac:dyDescent="0.4">
      <c r="A372" s="91"/>
      <c r="B372" s="15"/>
      <c r="C372" s="173"/>
      <c r="D372" s="172"/>
      <c r="E372" s="171"/>
      <c r="F372" s="172"/>
      <c r="G372" s="83"/>
      <c r="H372" s="84"/>
      <c r="I372" s="90"/>
      <c r="J372" s="89"/>
      <c r="K372" s="16"/>
      <c r="L372" s="16"/>
      <c r="M372" s="85"/>
      <c r="N372" s="16"/>
      <c r="O372" s="16"/>
    </row>
    <row r="373" spans="1:15" ht="30" hidden="1" customHeight="1" x14ac:dyDescent="0.4">
      <c r="A373" s="91"/>
      <c r="B373" s="15"/>
      <c r="C373" s="173"/>
      <c r="D373" s="172"/>
      <c r="E373" s="171"/>
      <c r="F373" s="172"/>
      <c r="G373" s="83"/>
      <c r="H373" s="84"/>
      <c r="I373" s="90"/>
      <c r="J373" s="89"/>
      <c r="K373" s="16"/>
      <c r="L373" s="16"/>
      <c r="M373" s="85"/>
      <c r="N373" s="16"/>
      <c r="O373" s="16"/>
    </row>
    <row r="374" spans="1:15" ht="30" hidden="1" customHeight="1" x14ac:dyDescent="0.4">
      <c r="A374" s="91"/>
      <c r="B374" s="15"/>
      <c r="C374" s="173"/>
      <c r="D374" s="172"/>
      <c r="E374" s="171"/>
      <c r="F374" s="172"/>
      <c r="G374" s="83"/>
      <c r="H374" s="84"/>
      <c r="I374" s="90"/>
      <c r="J374" s="89"/>
      <c r="K374" s="16"/>
      <c r="L374" s="16"/>
      <c r="M374" s="85"/>
      <c r="N374" s="16"/>
      <c r="O374" s="16"/>
    </row>
    <row r="375" spans="1:15" ht="30" hidden="1" customHeight="1" x14ac:dyDescent="0.4">
      <c r="A375" s="91"/>
      <c r="B375" s="15"/>
      <c r="C375" s="173"/>
      <c r="D375" s="172"/>
      <c r="E375" s="171"/>
      <c r="F375" s="172"/>
      <c r="G375" s="83"/>
      <c r="H375" s="84"/>
      <c r="I375" s="90"/>
      <c r="J375" s="89"/>
      <c r="K375" s="16"/>
      <c r="L375" s="16"/>
      <c r="M375" s="85"/>
      <c r="N375" s="16"/>
      <c r="O375" s="16"/>
    </row>
    <row r="376" spans="1:15" ht="30" hidden="1" customHeight="1" x14ac:dyDescent="0.4">
      <c r="A376" s="91"/>
      <c r="B376" s="15"/>
      <c r="C376" s="173"/>
      <c r="D376" s="172"/>
      <c r="E376" s="171"/>
      <c r="F376" s="172"/>
      <c r="G376" s="83"/>
      <c r="H376" s="84"/>
      <c r="I376" s="90"/>
      <c r="J376" s="89"/>
      <c r="K376" s="16"/>
      <c r="L376" s="16"/>
      <c r="M376" s="85"/>
      <c r="N376" s="16"/>
      <c r="O376" s="16"/>
    </row>
    <row r="377" spans="1:15" ht="30" hidden="1" customHeight="1" x14ac:dyDescent="0.4">
      <c r="A377" s="91"/>
      <c r="B377" s="15"/>
      <c r="C377" s="173"/>
      <c r="D377" s="172"/>
      <c r="E377" s="171"/>
      <c r="F377" s="172"/>
      <c r="G377" s="83"/>
      <c r="H377" s="84"/>
      <c r="I377" s="90"/>
      <c r="J377" s="89"/>
      <c r="K377" s="16"/>
      <c r="L377" s="16"/>
      <c r="M377" s="85"/>
      <c r="N377" s="16"/>
      <c r="O377" s="16"/>
    </row>
    <row r="378" spans="1:15" ht="30" hidden="1" customHeight="1" x14ac:dyDescent="0.4">
      <c r="A378" s="91"/>
      <c r="B378" s="15"/>
      <c r="C378" s="173"/>
      <c r="D378" s="172"/>
      <c r="E378" s="171"/>
      <c r="F378" s="172"/>
      <c r="G378" s="83"/>
      <c r="H378" s="84"/>
      <c r="I378" s="90"/>
      <c r="J378" s="89"/>
      <c r="K378" s="16"/>
      <c r="L378" s="16"/>
      <c r="M378" s="85"/>
      <c r="N378" s="16"/>
      <c r="O378" s="16"/>
    </row>
    <row r="379" spans="1:15" ht="30" hidden="1" customHeight="1" x14ac:dyDescent="0.4">
      <c r="A379" s="91"/>
      <c r="B379" s="15"/>
      <c r="C379" s="173"/>
      <c r="D379" s="172"/>
      <c r="E379" s="171"/>
      <c r="F379" s="172"/>
      <c r="G379" s="83"/>
      <c r="H379" s="84"/>
      <c r="I379" s="90"/>
      <c r="J379" s="89"/>
      <c r="K379" s="16"/>
      <c r="L379" s="16"/>
      <c r="M379" s="85"/>
      <c r="N379" s="16"/>
      <c r="O379" s="16"/>
    </row>
    <row r="380" spans="1:15" ht="30" hidden="1" customHeight="1" x14ac:dyDescent="0.4">
      <c r="A380" s="91"/>
      <c r="B380" s="15"/>
      <c r="C380" s="173"/>
      <c r="D380" s="172"/>
      <c r="E380" s="171"/>
      <c r="F380" s="172"/>
      <c r="G380" s="83"/>
      <c r="H380" s="84"/>
      <c r="I380" s="90"/>
      <c r="J380" s="89"/>
      <c r="K380" s="16"/>
      <c r="L380" s="16"/>
      <c r="M380" s="85"/>
      <c r="N380" s="16"/>
      <c r="O380" s="16"/>
    </row>
    <row r="381" spans="1:15" ht="30" hidden="1" customHeight="1" x14ac:dyDescent="0.4">
      <c r="A381" s="91"/>
      <c r="B381" s="15"/>
      <c r="C381" s="173"/>
      <c r="D381" s="172"/>
      <c r="E381" s="171"/>
      <c r="F381" s="172"/>
      <c r="G381" s="83"/>
      <c r="H381" s="84"/>
      <c r="I381" s="90"/>
      <c r="J381" s="89"/>
      <c r="K381" s="16"/>
      <c r="L381" s="16"/>
      <c r="M381" s="85"/>
      <c r="N381" s="16"/>
      <c r="O381" s="16"/>
    </row>
    <row r="382" spans="1:15" ht="30" hidden="1" customHeight="1" x14ac:dyDescent="0.4">
      <c r="A382" s="91"/>
      <c r="B382" s="15"/>
      <c r="C382" s="173"/>
      <c r="D382" s="172"/>
      <c r="E382" s="171"/>
      <c r="F382" s="172"/>
      <c r="G382" s="83"/>
      <c r="H382" s="84"/>
      <c r="I382" s="90"/>
      <c r="J382" s="89"/>
      <c r="K382" s="16"/>
      <c r="L382" s="16"/>
      <c r="M382" s="85"/>
      <c r="N382" s="16"/>
      <c r="O382" s="16"/>
    </row>
    <row r="383" spans="1:15" ht="30" hidden="1" customHeight="1" x14ac:dyDescent="0.4">
      <c r="A383" s="91"/>
      <c r="B383" s="15"/>
      <c r="C383" s="173"/>
      <c r="D383" s="172"/>
      <c r="E383" s="171"/>
      <c r="F383" s="172"/>
      <c r="G383" s="83"/>
      <c r="H383" s="84"/>
      <c r="I383" s="90"/>
      <c r="J383" s="89"/>
      <c r="K383" s="16"/>
      <c r="L383" s="16"/>
      <c r="M383" s="85"/>
      <c r="N383" s="16"/>
      <c r="O383" s="16"/>
    </row>
    <row r="384" spans="1:15" ht="30" hidden="1" customHeight="1" x14ac:dyDescent="0.4">
      <c r="A384" s="91"/>
      <c r="B384" s="15"/>
      <c r="C384" s="173"/>
      <c r="D384" s="172"/>
      <c r="E384" s="171"/>
      <c r="F384" s="172"/>
      <c r="G384" s="83"/>
      <c r="H384" s="84"/>
      <c r="I384" s="90"/>
      <c r="J384" s="89"/>
      <c r="K384" s="16"/>
      <c r="L384" s="16"/>
      <c r="M384" s="85"/>
      <c r="N384" s="16"/>
      <c r="O384" s="16"/>
    </row>
    <row r="385" spans="1:15" ht="30" hidden="1" customHeight="1" x14ac:dyDescent="0.4">
      <c r="A385" s="91"/>
      <c r="B385" s="15"/>
      <c r="C385" s="173"/>
      <c r="D385" s="172"/>
      <c r="E385" s="171"/>
      <c r="F385" s="172"/>
      <c r="G385" s="83"/>
      <c r="H385" s="84"/>
      <c r="I385" s="90"/>
      <c r="J385" s="89"/>
      <c r="K385" s="16"/>
      <c r="L385" s="16"/>
      <c r="M385" s="85"/>
      <c r="N385" s="16"/>
      <c r="O385" s="16"/>
    </row>
    <row r="386" spans="1:15" ht="30" hidden="1" customHeight="1" x14ac:dyDescent="0.4">
      <c r="A386" s="91"/>
      <c r="B386" s="15"/>
      <c r="C386" s="173"/>
      <c r="D386" s="172"/>
      <c r="E386" s="171"/>
      <c r="F386" s="172"/>
      <c r="G386" s="83"/>
      <c r="H386" s="84"/>
      <c r="I386" s="90"/>
      <c r="J386" s="89"/>
      <c r="K386" s="16"/>
      <c r="L386" s="16"/>
      <c r="M386" s="85"/>
      <c r="N386" s="16"/>
      <c r="O386" s="16"/>
    </row>
    <row r="387" spans="1:15" ht="30" hidden="1" customHeight="1" x14ac:dyDescent="0.4">
      <c r="A387" s="91"/>
      <c r="B387" s="15"/>
      <c r="C387" s="173"/>
      <c r="D387" s="172"/>
      <c r="E387" s="171"/>
      <c r="F387" s="172"/>
      <c r="G387" s="83"/>
      <c r="H387" s="84"/>
      <c r="I387" s="90"/>
      <c r="J387" s="89"/>
      <c r="K387" s="16"/>
      <c r="L387" s="16"/>
      <c r="M387" s="85"/>
      <c r="N387" s="16"/>
      <c r="O387" s="16"/>
    </row>
    <row r="388" spans="1:15" ht="30" hidden="1" customHeight="1" x14ac:dyDescent="0.4">
      <c r="A388" s="91"/>
      <c r="B388" s="15"/>
      <c r="C388" s="173"/>
      <c r="D388" s="172"/>
      <c r="E388" s="171"/>
      <c r="F388" s="172"/>
      <c r="G388" s="83"/>
      <c r="H388" s="84"/>
      <c r="I388" s="90"/>
      <c r="J388" s="89"/>
      <c r="K388" s="16"/>
      <c r="L388" s="16"/>
      <c r="M388" s="85"/>
      <c r="N388" s="16"/>
      <c r="O388" s="16"/>
    </row>
    <row r="389" spans="1:15" ht="30" hidden="1" customHeight="1" x14ac:dyDescent="0.4">
      <c r="A389" s="91"/>
      <c r="B389" s="15"/>
      <c r="C389" s="173"/>
      <c r="D389" s="172"/>
      <c r="E389" s="171"/>
      <c r="F389" s="172"/>
      <c r="G389" s="83"/>
      <c r="H389" s="84"/>
      <c r="I389" s="90"/>
      <c r="J389" s="89"/>
      <c r="K389" s="16"/>
      <c r="L389" s="16"/>
      <c r="M389" s="85"/>
      <c r="N389" s="16"/>
      <c r="O389" s="16"/>
    </row>
    <row r="390" spans="1:15" ht="30" hidden="1" customHeight="1" x14ac:dyDescent="0.4">
      <c r="A390" s="91"/>
      <c r="B390" s="15"/>
      <c r="C390" s="173"/>
      <c r="D390" s="172"/>
      <c r="E390" s="171"/>
      <c r="F390" s="172"/>
      <c r="G390" s="83"/>
      <c r="H390" s="84"/>
      <c r="I390" s="90"/>
      <c r="J390" s="89"/>
      <c r="K390" s="16"/>
      <c r="L390" s="16"/>
      <c r="M390" s="85"/>
      <c r="N390" s="16"/>
      <c r="O390" s="16"/>
    </row>
    <row r="391" spans="1:15" ht="30" hidden="1" customHeight="1" x14ac:dyDescent="0.4">
      <c r="A391" s="91"/>
      <c r="B391" s="15"/>
      <c r="C391" s="173"/>
      <c r="D391" s="172"/>
      <c r="E391" s="171"/>
      <c r="F391" s="172"/>
      <c r="G391" s="83"/>
      <c r="H391" s="84"/>
      <c r="I391" s="90"/>
      <c r="J391" s="89"/>
      <c r="K391" s="16"/>
      <c r="L391" s="16"/>
      <c r="M391" s="85"/>
      <c r="N391" s="16"/>
      <c r="O391" s="16"/>
    </row>
    <row r="392" spans="1:15" ht="30" hidden="1" customHeight="1" x14ac:dyDescent="0.4">
      <c r="A392" s="91"/>
      <c r="B392" s="15"/>
      <c r="C392" s="173"/>
      <c r="D392" s="172"/>
      <c r="E392" s="171"/>
      <c r="F392" s="172"/>
      <c r="G392" s="83"/>
      <c r="H392" s="84"/>
      <c r="I392" s="90"/>
      <c r="J392" s="89"/>
      <c r="K392" s="16"/>
      <c r="L392" s="16"/>
      <c r="M392" s="85"/>
      <c r="N392" s="16"/>
      <c r="O392" s="16"/>
    </row>
    <row r="393" spans="1:15" ht="30" hidden="1" customHeight="1" x14ac:dyDescent="0.4">
      <c r="A393" s="91"/>
      <c r="B393" s="15"/>
      <c r="C393" s="173"/>
      <c r="D393" s="172"/>
      <c r="E393" s="171"/>
      <c r="F393" s="172"/>
      <c r="G393" s="83"/>
      <c r="H393" s="84"/>
      <c r="I393" s="90"/>
      <c r="J393" s="89"/>
      <c r="K393" s="16"/>
      <c r="L393" s="16"/>
      <c r="M393" s="85"/>
      <c r="N393" s="16"/>
      <c r="O393" s="16"/>
    </row>
    <row r="394" spans="1:15" ht="30" hidden="1" customHeight="1" x14ac:dyDescent="0.4">
      <c r="A394" s="91"/>
      <c r="B394" s="15"/>
      <c r="C394" s="173"/>
      <c r="D394" s="172"/>
      <c r="E394" s="171"/>
      <c r="F394" s="172"/>
      <c r="G394" s="83"/>
      <c r="H394" s="84"/>
      <c r="I394" s="90"/>
      <c r="J394" s="89"/>
      <c r="K394" s="16"/>
      <c r="L394" s="16"/>
      <c r="M394" s="85"/>
      <c r="N394" s="16"/>
      <c r="O394" s="16"/>
    </row>
    <row r="395" spans="1:15" ht="30" hidden="1" customHeight="1" x14ac:dyDescent="0.4">
      <c r="A395" s="91"/>
      <c r="B395" s="15"/>
      <c r="C395" s="173"/>
      <c r="D395" s="172"/>
      <c r="E395" s="171"/>
      <c r="F395" s="172"/>
      <c r="G395" s="83"/>
      <c r="H395" s="84"/>
      <c r="I395" s="90"/>
      <c r="J395" s="89"/>
      <c r="K395" s="16"/>
      <c r="L395" s="16"/>
      <c r="M395" s="85"/>
      <c r="N395" s="16"/>
      <c r="O395" s="16"/>
    </row>
    <row r="396" spans="1:15" ht="30" hidden="1" customHeight="1" x14ac:dyDescent="0.4">
      <c r="A396" s="91"/>
      <c r="B396" s="15"/>
      <c r="C396" s="173"/>
      <c r="D396" s="172"/>
      <c r="E396" s="171"/>
      <c r="F396" s="172"/>
      <c r="G396" s="83"/>
      <c r="H396" s="84"/>
      <c r="I396" s="90"/>
      <c r="J396" s="89"/>
      <c r="K396" s="16"/>
      <c r="L396" s="16"/>
      <c r="M396" s="85"/>
      <c r="N396" s="16"/>
      <c r="O396" s="16"/>
    </row>
    <row r="397" spans="1:15" ht="30" hidden="1" customHeight="1" x14ac:dyDescent="0.4">
      <c r="A397" s="91"/>
      <c r="B397" s="15"/>
      <c r="C397" s="173"/>
      <c r="D397" s="172"/>
      <c r="E397" s="171"/>
      <c r="F397" s="172"/>
      <c r="G397" s="83"/>
      <c r="H397" s="84"/>
      <c r="I397" s="90"/>
      <c r="J397" s="89"/>
      <c r="K397" s="16"/>
      <c r="L397" s="16"/>
      <c r="M397" s="85"/>
      <c r="N397" s="16"/>
      <c r="O397" s="16"/>
    </row>
    <row r="398" spans="1:15" ht="30" hidden="1" customHeight="1" x14ac:dyDescent="0.4">
      <c r="A398" s="91"/>
      <c r="B398" s="15"/>
      <c r="C398" s="173"/>
      <c r="D398" s="172"/>
      <c r="E398" s="171"/>
      <c r="F398" s="172"/>
      <c r="G398" s="83"/>
      <c r="H398" s="84"/>
      <c r="I398" s="90"/>
      <c r="J398" s="89"/>
      <c r="K398" s="16"/>
      <c r="L398" s="16"/>
      <c r="M398" s="85"/>
      <c r="N398" s="16"/>
      <c r="O398" s="16"/>
    </row>
    <row r="399" spans="1:15" ht="30" hidden="1" customHeight="1" x14ac:dyDescent="0.4">
      <c r="A399" s="91"/>
      <c r="B399" s="15"/>
      <c r="C399" s="173"/>
      <c r="D399" s="172"/>
      <c r="E399" s="171"/>
      <c r="F399" s="172"/>
      <c r="G399" s="83"/>
      <c r="H399" s="84"/>
      <c r="I399" s="90"/>
      <c r="J399" s="89"/>
      <c r="K399" s="16"/>
      <c r="L399" s="16"/>
      <c r="M399" s="85"/>
      <c r="N399" s="16"/>
      <c r="O399" s="16"/>
    </row>
    <row r="400" spans="1:15" ht="30" hidden="1" customHeight="1" x14ac:dyDescent="0.4">
      <c r="A400" s="91"/>
      <c r="B400" s="15"/>
      <c r="C400" s="173"/>
      <c r="D400" s="172"/>
      <c r="E400" s="171"/>
      <c r="F400" s="172"/>
      <c r="G400" s="83"/>
      <c r="H400" s="84"/>
      <c r="I400" s="90"/>
      <c r="J400" s="89"/>
      <c r="K400" s="16"/>
      <c r="L400" s="16"/>
      <c r="M400" s="85"/>
      <c r="N400" s="16"/>
      <c r="O400" s="16"/>
    </row>
    <row r="401" spans="1:15" ht="30" hidden="1" customHeight="1" x14ac:dyDescent="0.4">
      <c r="A401" s="91"/>
      <c r="B401" s="15"/>
      <c r="C401" s="173"/>
      <c r="D401" s="172"/>
      <c r="E401" s="171"/>
      <c r="F401" s="172"/>
      <c r="G401" s="83"/>
      <c r="H401" s="84"/>
      <c r="I401" s="90"/>
      <c r="J401" s="89"/>
      <c r="K401" s="16"/>
      <c r="L401" s="16"/>
      <c r="M401" s="85"/>
      <c r="N401" s="16"/>
      <c r="O401" s="16"/>
    </row>
    <row r="402" spans="1:15" ht="30" hidden="1" customHeight="1" x14ac:dyDescent="0.4">
      <c r="A402" s="91"/>
      <c r="B402" s="15"/>
      <c r="C402" s="173"/>
      <c r="D402" s="172"/>
      <c r="E402" s="171"/>
      <c r="F402" s="172"/>
      <c r="G402" s="83"/>
      <c r="H402" s="84"/>
      <c r="I402" s="90"/>
      <c r="J402" s="89"/>
      <c r="K402" s="16"/>
      <c r="L402" s="16"/>
      <c r="M402" s="85"/>
      <c r="N402" s="16"/>
      <c r="O402" s="16"/>
    </row>
    <row r="403" spans="1:15" ht="30" hidden="1" customHeight="1" x14ac:dyDescent="0.4">
      <c r="A403" s="91"/>
      <c r="B403" s="15"/>
      <c r="C403" s="173"/>
      <c r="D403" s="172"/>
      <c r="E403" s="171"/>
      <c r="F403" s="172"/>
      <c r="G403" s="83"/>
      <c r="H403" s="84"/>
      <c r="I403" s="90"/>
      <c r="J403" s="89"/>
      <c r="K403" s="16"/>
      <c r="L403" s="16"/>
      <c r="M403" s="85"/>
      <c r="N403" s="16"/>
      <c r="O403" s="16"/>
    </row>
    <row r="404" spans="1:15" ht="30" hidden="1" customHeight="1" x14ac:dyDescent="0.4">
      <c r="A404" s="91"/>
      <c r="B404" s="15"/>
      <c r="C404" s="173"/>
      <c r="D404" s="172"/>
      <c r="E404" s="171"/>
      <c r="F404" s="172"/>
      <c r="G404" s="83"/>
      <c r="H404" s="84"/>
      <c r="I404" s="90"/>
      <c r="J404" s="89"/>
      <c r="K404" s="16"/>
      <c r="L404" s="16"/>
      <c r="M404" s="85"/>
      <c r="N404" s="16"/>
      <c r="O404" s="16"/>
    </row>
    <row r="405" spans="1:15" ht="30" hidden="1" customHeight="1" x14ac:dyDescent="0.4">
      <c r="A405" s="91"/>
      <c r="B405" s="15"/>
      <c r="C405" s="173"/>
      <c r="D405" s="172"/>
      <c r="E405" s="171"/>
      <c r="F405" s="172"/>
      <c r="G405" s="83"/>
      <c r="H405" s="84"/>
      <c r="I405" s="90"/>
      <c r="J405" s="89"/>
      <c r="K405" s="16"/>
      <c r="L405" s="16"/>
      <c r="M405" s="85"/>
      <c r="N405" s="16"/>
      <c r="O405" s="16"/>
    </row>
    <row r="406" spans="1:15" ht="30" hidden="1" customHeight="1" x14ac:dyDescent="0.4">
      <c r="A406" s="91"/>
      <c r="B406" s="15"/>
      <c r="C406" s="173"/>
      <c r="D406" s="172"/>
      <c r="E406" s="171"/>
      <c r="F406" s="172"/>
      <c r="G406" s="83"/>
      <c r="H406" s="84"/>
      <c r="I406" s="90"/>
      <c r="J406" s="89"/>
      <c r="K406" s="16"/>
      <c r="L406" s="16"/>
      <c r="M406" s="85"/>
      <c r="N406" s="16"/>
      <c r="O406" s="16"/>
    </row>
    <row r="407" spans="1:15" ht="30" hidden="1" customHeight="1" x14ac:dyDescent="0.4">
      <c r="A407" s="91"/>
      <c r="B407" s="15"/>
      <c r="C407" s="173"/>
      <c r="D407" s="172"/>
      <c r="E407" s="171"/>
      <c r="F407" s="172"/>
      <c r="G407" s="83"/>
      <c r="H407" s="84"/>
      <c r="I407" s="90"/>
      <c r="J407" s="89"/>
      <c r="K407" s="16"/>
      <c r="L407" s="16"/>
      <c r="M407" s="85"/>
      <c r="N407" s="16"/>
      <c r="O407" s="16"/>
    </row>
    <row r="408" spans="1:15" ht="30" hidden="1" customHeight="1" x14ac:dyDescent="0.4">
      <c r="A408" s="91"/>
      <c r="B408" s="15"/>
      <c r="C408" s="173"/>
      <c r="D408" s="172"/>
      <c r="E408" s="171"/>
      <c r="F408" s="172"/>
      <c r="G408" s="83"/>
      <c r="H408" s="84"/>
      <c r="I408" s="90"/>
      <c r="J408" s="89"/>
      <c r="K408" s="16"/>
      <c r="L408" s="16"/>
      <c r="M408" s="85"/>
      <c r="N408" s="16"/>
      <c r="O408" s="16"/>
    </row>
    <row r="409" spans="1:15" ht="30" hidden="1" customHeight="1" x14ac:dyDescent="0.4">
      <c r="A409" s="91"/>
      <c r="B409" s="15"/>
      <c r="C409" s="173"/>
      <c r="D409" s="172"/>
      <c r="E409" s="171"/>
      <c r="F409" s="172"/>
      <c r="G409" s="83"/>
      <c r="H409" s="84"/>
      <c r="I409" s="90"/>
      <c r="J409" s="89"/>
      <c r="K409" s="16"/>
      <c r="L409" s="16"/>
      <c r="M409" s="85"/>
      <c r="N409" s="16"/>
      <c r="O409" s="16"/>
    </row>
    <row r="410" spans="1:15" ht="30" hidden="1" customHeight="1" x14ac:dyDescent="0.4">
      <c r="A410" s="91"/>
      <c r="B410" s="15"/>
      <c r="C410" s="173"/>
      <c r="D410" s="172"/>
      <c r="E410" s="171"/>
      <c r="F410" s="172"/>
      <c r="G410" s="83"/>
      <c r="H410" s="84"/>
      <c r="I410" s="90"/>
      <c r="J410" s="89"/>
      <c r="K410" s="16"/>
      <c r="L410" s="16"/>
      <c r="M410" s="85"/>
      <c r="N410" s="16"/>
      <c r="O410" s="16"/>
    </row>
    <row r="411" spans="1:15" ht="30" hidden="1" customHeight="1" x14ac:dyDescent="0.4">
      <c r="A411" s="91"/>
      <c r="B411" s="15"/>
      <c r="C411" s="173"/>
      <c r="D411" s="172"/>
      <c r="E411" s="171"/>
      <c r="F411" s="172"/>
      <c r="G411" s="83"/>
      <c r="H411" s="84"/>
      <c r="I411" s="90"/>
      <c r="J411" s="89"/>
      <c r="K411" s="16"/>
      <c r="L411" s="16"/>
      <c r="M411" s="85"/>
      <c r="N411" s="16"/>
      <c r="O411" s="16"/>
    </row>
    <row r="412" spans="1:15" ht="30" hidden="1" customHeight="1" x14ac:dyDescent="0.4">
      <c r="A412" s="91"/>
      <c r="B412" s="15"/>
      <c r="C412" s="173"/>
      <c r="D412" s="172"/>
      <c r="E412" s="171"/>
      <c r="F412" s="172"/>
      <c r="G412" s="83"/>
      <c r="H412" s="84"/>
      <c r="I412" s="90"/>
      <c r="J412" s="89"/>
      <c r="K412" s="16"/>
      <c r="L412" s="16"/>
      <c r="M412" s="85"/>
      <c r="N412" s="16"/>
      <c r="O412" s="16"/>
    </row>
    <row r="413" spans="1:15" ht="30" hidden="1" customHeight="1" x14ac:dyDescent="0.4">
      <c r="A413" s="91"/>
      <c r="B413" s="15"/>
      <c r="C413" s="173"/>
      <c r="D413" s="172"/>
      <c r="E413" s="171"/>
      <c r="F413" s="172"/>
      <c r="G413" s="83"/>
      <c r="H413" s="84"/>
      <c r="I413" s="90"/>
      <c r="J413" s="89"/>
      <c r="K413" s="16"/>
      <c r="L413" s="16"/>
      <c r="M413" s="85"/>
      <c r="N413" s="16"/>
      <c r="O413" s="16"/>
    </row>
    <row r="414" spans="1:15" ht="30" hidden="1" customHeight="1" x14ac:dyDescent="0.4">
      <c r="A414" s="91"/>
      <c r="B414" s="15"/>
      <c r="C414" s="173"/>
      <c r="D414" s="172"/>
      <c r="E414" s="171"/>
      <c r="F414" s="172"/>
      <c r="G414" s="83"/>
      <c r="H414" s="84"/>
      <c r="I414" s="90"/>
      <c r="J414" s="89"/>
      <c r="K414" s="16"/>
      <c r="L414" s="16"/>
      <c r="M414" s="85"/>
      <c r="N414" s="16"/>
      <c r="O414" s="16"/>
    </row>
    <row r="415" spans="1:15" ht="30" hidden="1" customHeight="1" x14ac:dyDescent="0.4">
      <c r="A415" s="91"/>
      <c r="B415" s="15"/>
      <c r="C415" s="173"/>
      <c r="D415" s="172"/>
      <c r="E415" s="171"/>
      <c r="F415" s="172"/>
      <c r="G415" s="83"/>
      <c r="H415" s="84"/>
      <c r="I415" s="90"/>
      <c r="J415" s="89"/>
      <c r="K415" s="16"/>
      <c r="L415" s="16"/>
      <c r="M415" s="85"/>
      <c r="N415" s="16"/>
      <c r="O415" s="16"/>
    </row>
    <row r="417" spans="1:15" ht="24" customHeight="1" x14ac:dyDescent="0.4">
      <c r="A417" s="174" t="s">
        <v>498</v>
      </c>
      <c r="B417" s="116"/>
      <c r="C417" s="116"/>
      <c r="D417" s="116"/>
      <c r="E417" s="116"/>
      <c r="F417" s="116"/>
      <c r="G417" s="116"/>
      <c r="H417" s="116"/>
      <c r="I417" s="116"/>
      <c r="J417" s="116"/>
      <c r="K417" s="116"/>
      <c r="L417" s="116"/>
      <c r="M417" s="116"/>
      <c r="N417" s="116"/>
      <c r="O417" s="116"/>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328:F328"/>
    <mergeCell ref="E132:F132"/>
    <mergeCell ref="E224:F224"/>
    <mergeCell ref="C143:D143"/>
    <mergeCell ref="E143:F143"/>
    <mergeCell ref="E288:F288"/>
    <mergeCell ref="C255:D25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3" priority="1">
      <formula>AND($C7&lt;&gt;"n.v.",$C7&lt;&gt;"—",D7&lt;&gt;$C7)</formula>
    </cfRule>
    <cfRule type="expression" dxfId="42" priority="2">
      <formula>AND(OR($C7="n.v.",$C7="—"),D7&lt;&gt;"")</formula>
    </cfRule>
  </conditionalFormatting>
  <conditionalFormatting sqref="E30:E109">
    <cfRule type="expression" dxfId="41" priority="13">
      <formula>AND($D30&lt;&gt;"n.v.",$D30&lt;&gt;"—",E30&lt;&gt;$D30)</formula>
    </cfRule>
    <cfRule type="expression" dxfId="40" priority="14">
      <formula>AND(OR($D30="n.v.",$D30="—"),E30&lt;&gt;"")</formula>
    </cfRule>
  </conditionalFormatting>
  <conditionalFormatting sqref="E113:E212">
    <cfRule type="expression" dxfId="39" priority="21">
      <formula>AND($C113&lt;&gt;"n.v.",$C113&lt;&gt;"—",E113&lt;&gt;$C113)</formula>
    </cfRule>
    <cfRule type="expression" dxfId="38" priority="22">
      <formula>AND(OR($C113="n.v.",$C113="—"),E113&lt;&gt;"")</formula>
    </cfRule>
  </conditionalFormatting>
  <conditionalFormatting sqref="E216:E415">
    <cfRule type="expression" dxfId="37" priority="27">
      <formula>AND($C216&lt;&gt;"n.v.",$C216&lt;&gt;"—",E216&lt;&gt;$C216)</formula>
    </cfRule>
    <cfRule type="expression" dxfId="36" priority="28">
      <formula>AND(OR($C216="n.v.",$C216="—"),E216&lt;&gt;"")</formula>
    </cfRule>
  </conditionalFormatting>
  <conditionalFormatting sqref="F7:F26">
    <cfRule type="expression" dxfId="35" priority="7">
      <formula>AND($E7&lt;&gt;"n.v.",$E7&lt;&gt;"—",F7&lt;&gt;$E7)</formula>
    </cfRule>
    <cfRule type="expression" dxfId="34" priority="8">
      <formula>AND(OR($E7="n.v.",$E7="—"),F7&lt;&gt;"")</formula>
    </cfRule>
  </conditionalFormatting>
  <conditionalFormatting sqref="G30:G109">
    <cfRule type="expression" dxfId="33" priority="15">
      <formula>AND($F30&lt;&gt;"n.v.",$F30&lt;&gt;"—",G30&lt;&gt;$F30)</formula>
    </cfRule>
    <cfRule type="expression" dxfId="32" priority="16">
      <formula>AND(OR($F30="n.v.",$F30="—"),G30&lt;&gt;"")</formula>
    </cfRule>
  </conditionalFormatting>
  <conditionalFormatting sqref="H7:H26">
    <cfRule type="expression" dxfId="31" priority="5">
      <formula>AND($G7&lt;&gt;"n.v.",$G7&lt;&gt;"—",H7&lt;&gt;$G7)</formula>
    </cfRule>
    <cfRule type="expression" dxfId="30" priority="6">
      <formula>AND(OR($G7="n.v.",$G7="—"),H7&lt;&gt;"")</formula>
    </cfRule>
  </conditionalFormatting>
  <conditionalFormatting sqref="H113:H212">
    <cfRule type="expression" dxfId="29" priority="23">
      <formula>AND($G113&lt;&gt;"n.v.",$G113&lt;&gt;"—",H113&lt;&gt;$G113)</formula>
    </cfRule>
    <cfRule type="expression" dxfId="28" priority="24">
      <formula>AND(OR($G113="n.v.",$G113="—"),H113&lt;&gt;"")</formula>
    </cfRule>
  </conditionalFormatting>
  <conditionalFormatting sqref="H216:H415">
    <cfRule type="expression" dxfId="27" priority="29">
      <formula>AND($G216&lt;&gt;"n.v.",$G216&lt;&gt;"—",H216&lt;&gt;$G216)</formula>
    </cfRule>
    <cfRule type="expression" dxfId="26" priority="30">
      <formula>AND(OR($G216="n.v.",$G216="—"),H216&lt;&gt;"")</formula>
    </cfRule>
  </conditionalFormatting>
  <conditionalFormatting sqref="I30:I109">
    <cfRule type="expression" dxfId="25" priority="17">
      <formula>AND($H30&lt;&gt;"n.v.",$H30&lt;&gt;"—",I30&lt;&gt;$H30)</formula>
    </cfRule>
    <cfRule type="expression" dxfId="24" priority="18">
      <formula>AND(OR($H30="n.v.",$H30="—"),I30&lt;&gt;"")</formula>
    </cfRule>
  </conditionalFormatting>
  <conditionalFormatting sqref="I113:I212">
    <cfRule type="expression" dxfId="23" priority="25">
      <formula>OR($I113="Sì",$I113="Si")</formula>
    </cfRule>
  </conditionalFormatting>
  <conditionalFormatting sqref="I216:I415">
    <cfRule type="expression" dxfId="22" priority="31">
      <formula>OR($I216="Sì",$I216="Si")</formula>
    </cfRule>
  </conditionalFormatting>
  <conditionalFormatting sqref="J7:J26">
    <cfRule type="expression" dxfId="21" priority="3">
      <formula>AND($I7&lt;&gt;"n.v.",$I7&lt;&gt;"—",J7&lt;&gt;$I7)</formula>
    </cfRule>
    <cfRule type="expression" dxfId="20" priority="4">
      <formula>AND(OR($I7="n.v.",$I7="—"),J7&lt;&gt;"")</formula>
    </cfRule>
  </conditionalFormatting>
  <conditionalFormatting sqref="J30:J109">
    <cfRule type="expression" dxfId="19" priority="19">
      <formula>OR($J30="Sì",$J30="Si")</formula>
    </cfRule>
  </conditionalFormatting>
  <conditionalFormatting sqref="L7:L26">
    <cfRule type="expression" dxfId="18" priority="9">
      <formula>AND($K7&lt;&gt;"n.v.",$K7&lt;&gt;"—",L7&lt;&gt;$K7)</formula>
    </cfRule>
    <cfRule type="expression" dxfId="17" priority="10">
      <formula>AND(OR($K7="n.v.",$K7="—"),L7&lt;&gt;"")</formula>
    </cfRule>
  </conditionalFormatting>
  <conditionalFormatting sqref="M7:M26">
    <cfRule type="expression" dxfId="16" priority="12">
      <formula>AND($A7&lt;&gt;"",OR(IF(OR($C7="n.v.",$C7="—"),$D7&lt;&gt;"",$D7&lt;&gt;$C7),IF(OR($I7="n.v.",$I7="—"),$J7&lt;&gt;"",$J7&lt;&gt;$I7),IF(OR($G7="n.v.",$G7="—"),$H7&lt;&gt;"",$H7&lt;&gt;$G7),IF(OR($E7="n.v.",$E7="—"),$F7&lt;&gt;"",$F7&lt;&gt;$E7),IF(OR($K7="n.v.",$K7="—"),$L7&lt;&gt;"",$L7&lt;&gt;$K7),$R7=1),LEN(M7)&lt;10)</formula>
    </cfRule>
  </conditionalFormatting>
  <conditionalFormatting sqref="M30:M109">
    <cfRule type="expression" dxfId="15" priority="20">
      <formula>AND($A30&lt;&gt;"",OR(IF(OR($D30="n.v.",$D30="—"),$E30&lt;&gt;"",$E30&lt;&gt;$D30),IF(OR($F30="n.v.",$F30="—"),$G30&lt;&gt;"",$G30&lt;&gt;$F30),IF(OR($H30="n.v.",$H30="—"),$I30&lt;&gt;"",$I30&lt;&gt;$H30),OR($J30="Sì",$J30="Si")),LEN(M30)&lt;10)</formula>
    </cfRule>
  </conditionalFormatting>
  <conditionalFormatting sqref="M113:M212">
    <cfRule type="expression" dxfId="14" priority="26">
      <formula>AND($A113&lt;&gt;"",OR(IF(OR($C113="n.v.",$C113="—"),$E113&lt;&gt;"",$E113&lt;&gt;$C113),IF(OR($G113="n.v.",$G113="—"),$H113&lt;&gt;"",$H113&lt;&gt;$G113),OR($I113="Sì",$I113="Si")),LEN(M113)&lt;10)</formula>
    </cfRule>
  </conditionalFormatting>
  <conditionalFormatting sqref="M216:M415">
    <cfRule type="expression" dxfId="13" priority="32">
      <formula>AND($A216&lt;&gt;"",OR(IF(OR($C216="n.v.",$C216="—"),$E216&lt;&gt;"",$E216&lt;&gt;$C216),IF(OR($G216="n.v.",$G216="—"),$H216&lt;&gt;"",$H216&lt;&gt;$G216),OR($I216="Sì",$I216="Si")),LEN(M216)&lt;10)</formula>
    </cfRule>
  </conditionalFormatting>
  <conditionalFormatting sqref="N7:N26">
    <cfRule type="expression" dxfId="12" priority="36">
      <formula>ISNUMBER(SEARCH("(era",N7))</formula>
    </cfRule>
  </conditionalFormatting>
  <conditionalFormatting sqref="O7:O26">
    <cfRule type="expression" dxfId="11" priority="33">
      <formula>LEFT(O7,9)="AGIRE ORA"</formula>
    </cfRule>
    <cfRule type="expression" dxfId="10" priority="34">
      <formula>LEFT(O7,5)="Entro"</formula>
    </cfRule>
    <cfRule type="expression" dxfId="9" priority="35">
      <formula>LEFT(O7,7)="Margine"</formula>
    </cfRule>
  </conditionalFormatting>
  <conditionalFormatting sqref="P7:P26">
    <cfRule type="expression" dxfId="8" priority="11">
      <formula>ISNUMBER(SEARCH("DA MOTIVARE",P7))</formula>
    </cfRule>
  </conditionalFormatting>
  <dataValidations count="5">
    <dataValidation type="whole" allowBlank="1" showErrorMessage="1" error="Un intero da 1 a 5 (la Velocity puo' restare vuota = non valutata)." sqref="D7:D26 F7:F26 H7:H26 J7:J26" xr:uid="{00000000-0002-0000-0C00-000000000000}">
      <formula1>1</formula1>
      <formula2>5</formula2>
    </dataValidation>
    <dataValidation type="decimal" allowBlank="1" showErrorMessage="1" error="Anni di adeguamento: un numero da 0 a 30, oppure vuoto." sqref="L7:L26" xr:uid="{00000000-0002-0000-0C00-000001000000}">
      <formula1>0</formula1>
      <formula2>30</formula2>
    </dataValidation>
    <dataValidation type="list" allowBlank="1" sqref="J30:J109 I216:I415 I113:I212" xr:uid="{00000000-0002-0000-0C00-000002000000}">
      <formula1>"Sì"</formula1>
    </dataValidation>
    <dataValidation type="list" allowBlank="1" sqref="H113:H212" xr:uid="{00000000-0002-0000-0C00-000004000000}">
      <formula1>"3 mesi,6 mesi,12 mesi"</formula1>
    </dataValidation>
    <dataValidation type="list" allowBlank="1" sqref="H216:H415" xr:uid="{00000000-0002-0000-0C00-000006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pageSetUpPr fitToPage="1"/>
  </sheetPr>
  <dimension ref="A1:O63"/>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46" t="str">
        <f>"Horizon Scan NFR — Parametri: pesi, soglie, urgenza e anagrafica dei rischi   ·   "&amp;etichettaCiclo</f>
        <v>Horizon Scan NFR — Parametri: pesi, soglie, urgenza e anagrafica dei rischi   ·   Ciclo 2026Q3 · dati al 30/09/2026 · da validare · Uso interno</v>
      </c>
      <c r="B1" s="147"/>
      <c r="C1" s="147"/>
      <c r="D1" s="147"/>
      <c r="E1" s="147"/>
      <c r="F1" s="147"/>
      <c r="G1" s="147"/>
      <c r="H1" s="147"/>
      <c r="I1" s="147"/>
      <c r="J1" s="147"/>
      <c r="K1" s="147"/>
      <c r="L1" s="147"/>
      <c r="M1" s="147"/>
      <c r="N1" s="147"/>
    </row>
    <row r="2" spans="1:15" ht="50.05" customHeight="1" x14ac:dyDescent="0.4">
      <c r="A2" s="168" t="s">
        <v>499</v>
      </c>
      <c r="B2" s="116"/>
      <c r="C2" s="116"/>
      <c r="D2" s="116"/>
      <c r="E2" s="116"/>
      <c r="F2" s="116"/>
      <c r="H2" s="177" t="s">
        <v>500</v>
      </c>
      <c r="I2" s="116"/>
      <c r="J2" s="116"/>
      <c r="K2" s="116"/>
      <c r="L2" s="116"/>
      <c r="M2" s="116"/>
      <c r="N2" s="116"/>
      <c r="O2" s="116"/>
    </row>
    <row r="3" spans="1:15" ht="30" customHeight="1" x14ac:dyDescent="0.4">
      <c r="A3" s="54" t="s">
        <v>501</v>
      </c>
      <c r="E3" s="54" t="s">
        <v>502</v>
      </c>
      <c r="H3" s="4" t="s">
        <v>161</v>
      </c>
      <c r="I3" s="4" t="s">
        <v>162</v>
      </c>
      <c r="J3" s="4" t="s">
        <v>503</v>
      </c>
      <c r="K3" s="4" t="s">
        <v>504</v>
      </c>
      <c r="L3" s="5" t="s">
        <v>169</v>
      </c>
      <c r="M3" s="5" t="s">
        <v>505</v>
      </c>
      <c r="N3" s="5" t="s">
        <v>506</v>
      </c>
      <c r="O3" s="5" t="s">
        <v>507</v>
      </c>
    </row>
    <row r="4" spans="1:15" x14ac:dyDescent="0.4">
      <c r="A4" t="s">
        <v>191</v>
      </c>
      <c r="B4" s="92">
        <v>0.35</v>
      </c>
      <c r="E4" t="s">
        <v>434</v>
      </c>
      <c r="F4" t="s">
        <v>435</v>
      </c>
      <c r="H4" s="183" t="s">
        <v>508</v>
      </c>
      <c r="I4" s="183" t="s">
        <v>509</v>
      </c>
      <c r="J4" s="183" t="s">
        <v>436</v>
      </c>
      <c r="K4" s="183" t="s">
        <v>510</v>
      </c>
      <c r="L4" s="185" t="s">
        <v>511</v>
      </c>
      <c r="M4" s="67"/>
      <c r="N4" s="185" t="s">
        <v>512</v>
      </c>
      <c r="O4" s="185" t="s">
        <v>513</v>
      </c>
    </row>
    <row r="5" spans="1:15" x14ac:dyDescent="0.4">
      <c r="A5" t="s">
        <v>192</v>
      </c>
      <c r="B5" s="92">
        <v>0.25</v>
      </c>
      <c r="E5" t="s">
        <v>436</v>
      </c>
      <c r="F5" t="s">
        <v>437</v>
      </c>
      <c r="H5" s="183" t="s">
        <v>514</v>
      </c>
      <c r="I5" s="183" t="s">
        <v>515</v>
      </c>
      <c r="J5" s="183" t="s">
        <v>444</v>
      </c>
      <c r="K5" s="183" t="s">
        <v>516</v>
      </c>
      <c r="L5" s="185" t="s">
        <v>517</v>
      </c>
      <c r="M5" s="67"/>
      <c r="N5" s="185" t="s">
        <v>512</v>
      </c>
      <c r="O5" s="185" t="s">
        <v>518</v>
      </c>
    </row>
    <row r="6" spans="1:15" x14ac:dyDescent="0.4">
      <c r="A6" t="s">
        <v>519</v>
      </c>
      <c r="B6" s="92">
        <v>0.2</v>
      </c>
      <c r="E6" t="s">
        <v>438</v>
      </c>
      <c r="F6" t="s">
        <v>439</v>
      </c>
      <c r="H6" s="183" t="s">
        <v>520</v>
      </c>
      <c r="I6" s="183" t="s">
        <v>521</v>
      </c>
      <c r="J6" s="183" t="s">
        <v>440</v>
      </c>
      <c r="K6" s="183" t="s">
        <v>522</v>
      </c>
      <c r="L6" s="185" t="s">
        <v>523</v>
      </c>
      <c r="M6" s="67"/>
      <c r="N6" s="185" t="s">
        <v>524</v>
      </c>
      <c r="O6" s="185" t="s">
        <v>518</v>
      </c>
    </row>
    <row r="7" spans="1:15" x14ac:dyDescent="0.4">
      <c r="A7" t="s">
        <v>525</v>
      </c>
      <c r="B7" s="92">
        <v>0.2</v>
      </c>
      <c r="E7" t="s">
        <v>440</v>
      </c>
      <c r="F7" t="s">
        <v>441</v>
      </c>
      <c r="H7" s="183" t="s">
        <v>526</v>
      </c>
      <c r="I7" s="183" t="s">
        <v>527</v>
      </c>
      <c r="J7" s="183" t="s">
        <v>442</v>
      </c>
      <c r="K7" s="183" t="s">
        <v>528</v>
      </c>
      <c r="L7" s="185" t="s">
        <v>529</v>
      </c>
      <c r="M7" s="67"/>
      <c r="N7" s="185" t="s">
        <v>524</v>
      </c>
      <c r="O7" s="185" t="s">
        <v>518</v>
      </c>
    </row>
    <row r="8" spans="1:15" x14ac:dyDescent="0.4">
      <c r="A8" t="s">
        <v>290</v>
      </c>
      <c r="B8">
        <f>SUM(B4:B7)</f>
        <v>1</v>
      </c>
      <c r="C8" t="str">
        <f>IF(ROUND(B8,6)=1,"OK","I PESI NON SOMMANO A 1")</f>
        <v>OK</v>
      </c>
      <c r="E8" t="s">
        <v>442</v>
      </c>
      <c r="F8" t="s">
        <v>443</v>
      </c>
      <c r="H8" s="183" t="s">
        <v>530</v>
      </c>
      <c r="I8" s="183" t="s">
        <v>531</v>
      </c>
      <c r="J8" s="183" t="s">
        <v>447</v>
      </c>
      <c r="K8" s="183" t="s">
        <v>532</v>
      </c>
      <c r="L8" s="185" t="s">
        <v>533</v>
      </c>
      <c r="M8" s="67"/>
      <c r="N8" s="185" t="s">
        <v>524</v>
      </c>
      <c r="O8" s="185" t="s">
        <v>534</v>
      </c>
    </row>
    <row r="9" spans="1:15" x14ac:dyDescent="0.4">
      <c r="E9" t="s">
        <v>444</v>
      </c>
      <c r="F9" t="s">
        <v>445</v>
      </c>
      <c r="H9" s="183" t="s">
        <v>535</v>
      </c>
      <c r="I9" s="183" t="s">
        <v>536</v>
      </c>
      <c r="J9" s="183" t="s">
        <v>434</v>
      </c>
      <c r="K9" s="183" t="s">
        <v>537</v>
      </c>
      <c r="L9" s="185" t="s">
        <v>538</v>
      </c>
      <c r="M9" s="67"/>
      <c r="N9" s="185" t="s">
        <v>524</v>
      </c>
      <c r="O9" s="185" t="s">
        <v>539</v>
      </c>
    </row>
    <row r="10" spans="1:15" x14ac:dyDescent="0.4">
      <c r="A10" s="54" t="s">
        <v>540</v>
      </c>
      <c r="E10" t="s">
        <v>447</v>
      </c>
      <c r="F10" t="s">
        <v>448</v>
      </c>
      <c r="H10" s="183" t="s">
        <v>541</v>
      </c>
      <c r="I10" s="183" t="s">
        <v>542</v>
      </c>
      <c r="J10" s="183" t="s">
        <v>444</v>
      </c>
      <c r="K10" s="183" t="s">
        <v>543</v>
      </c>
      <c r="L10" s="185" t="s">
        <v>517</v>
      </c>
      <c r="M10" s="67"/>
      <c r="N10" s="185" t="s">
        <v>512</v>
      </c>
      <c r="O10" s="185" t="s">
        <v>513</v>
      </c>
    </row>
    <row r="11" spans="1:15" x14ac:dyDescent="0.4">
      <c r="A11" t="s">
        <v>544</v>
      </c>
      <c r="B11" s="67">
        <v>2</v>
      </c>
      <c r="H11" s="183" t="s">
        <v>545</v>
      </c>
      <c r="I11" s="183" t="s">
        <v>546</v>
      </c>
      <c r="J11" s="183" t="s">
        <v>434</v>
      </c>
      <c r="K11" s="183" t="s">
        <v>547</v>
      </c>
      <c r="L11" s="185" t="s">
        <v>538</v>
      </c>
      <c r="M11" s="67"/>
      <c r="N11" s="185" t="s">
        <v>524</v>
      </c>
      <c r="O11" s="185" t="s">
        <v>518</v>
      </c>
    </row>
    <row r="12" spans="1:15" x14ac:dyDescent="0.4">
      <c r="A12" t="s">
        <v>548</v>
      </c>
      <c r="B12" s="92">
        <v>0.3</v>
      </c>
      <c r="E12" s="54" t="s">
        <v>549</v>
      </c>
      <c r="H12" s="183" t="s">
        <v>550</v>
      </c>
      <c r="I12" s="183" t="s">
        <v>551</v>
      </c>
      <c r="J12" s="183" t="s">
        <v>440</v>
      </c>
      <c r="K12" s="183" t="s">
        <v>552</v>
      </c>
      <c r="L12" s="185" t="s">
        <v>523</v>
      </c>
      <c r="M12" s="67"/>
      <c r="N12" s="185" t="s">
        <v>512</v>
      </c>
      <c r="O12" s="185" t="s">
        <v>518</v>
      </c>
    </row>
    <row r="13" spans="1:15" x14ac:dyDescent="0.4">
      <c r="E13" t="s">
        <v>553</v>
      </c>
      <c r="F13" t="s">
        <v>554</v>
      </c>
      <c r="H13" s="183" t="s">
        <v>555</v>
      </c>
      <c r="I13" s="183" t="s">
        <v>556</v>
      </c>
      <c r="J13" s="183" t="s">
        <v>440</v>
      </c>
      <c r="K13" s="183" t="s">
        <v>557</v>
      </c>
      <c r="L13" s="185" t="s">
        <v>558</v>
      </c>
      <c r="M13" s="67"/>
      <c r="N13" s="185" t="s">
        <v>524</v>
      </c>
      <c r="O13" s="185" t="s">
        <v>518</v>
      </c>
    </row>
    <row r="14" spans="1:15" x14ac:dyDescent="0.4">
      <c r="A14" s="54" t="s">
        <v>559</v>
      </c>
      <c r="E14" t="s">
        <v>560</v>
      </c>
      <c r="F14" t="s">
        <v>561</v>
      </c>
      <c r="H14" s="183" t="s">
        <v>562</v>
      </c>
      <c r="I14" s="183" t="s">
        <v>563</v>
      </c>
      <c r="J14" s="183" t="s">
        <v>444</v>
      </c>
      <c r="K14" s="183" t="s">
        <v>532</v>
      </c>
      <c r="L14" s="185" t="s">
        <v>564</v>
      </c>
      <c r="M14" s="67">
        <v>3</v>
      </c>
      <c r="N14" s="185" t="s">
        <v>524</v>
      </c>
      <c r="O14" s="185" t="s">
        <v>539</v>
      </c>
    </row>
    <row r="15" spans="1:15" x14ac:dyDescent="0.4">
      <c r="A15" t="s">
        <v>565</v>
      </c>
      <c r="B15" s="185" t="s">
        <v>1361</v>
      </c>
      <c r="E15" t="s">
        <v>567</v>
      </c>
      <c r="F15" t="s">
        <v>568</v>
      </c>
      <c r="H15" s="183" t="s">
        <v>569</v>
      </c>
      <c r="I15" s="183" t="s">
        <v>570</v>
      </c>
      <c r="J15" s="183" t="s">
        <v>447</v>
      </c>
      <c r="K15" s="183" t="s">
        <v>532</v>
      </c>
      <c r="L15" s="185" t="s">
        <v>533</v>
      </c>
      <c r="M15" s="67"/>
      <c r="N15" s="185" t="s">
        <v>524</v>
      </c>
      <c r="O15" s="185" t="s">
        <v>513</v>
      </c>
    </row>
    <row r="16" spans="1:15" x14ac:dyDescent="0.4">
      <c r="A16" t="s">
        <v>571</v>
      </c>
      <c r="B16" t="str">
        <f>IF(B15="","",IF(RIGHT(B15,1)="1",(LEFT(B15,4)-1)&amp;"Q4",LEFT(B15,5)&amp;(RIGHT(B15,1)-1)))</f>
        <v>2026Q2</v>
      </c>
      <c r="E16" t="s">
        <v>528</v>
      </c>
      <c r="F16" t="s">
        <v>572</v>
      </c>
      <c r="L16" s="67"/>
      <c r="M16" s="67"/>
      <c r="N16" s="67"/>
      <c r="O16" s="67"/>
    </row>
    <row r="17" spans="1:15" x14ac:dyDescent="0.4">
      <c r="A17" t="s">
        <v>573</v>
      </c>
      <c r="B17" t="str">
        <f>IF(B16="","",IF(RIGHT(B16,1)="1",(LEFT(B16,4)-1)&amp;"Q4",LEFT(B16,5)&amp;(RIGHT(B16,1)-1)))</f>
        <v>2026Q1</v>
      </c>
      <c r="E17" t="s">
        <v>574</v>
      </c>
      <c r="F17" t="s">
        <v>575</v>
      </c>
      <c r="L17" s="67"/>
      <c r="M17" s="67"/>
      <c r="N17" s="67"/>
      <c r="O17" s="67"/>
    </row>
    <row r="18" spans="1:15" x14ac:dyDescent="0.4">
      <c r="E18" t="s">
        <v>552</v>
      </c>
      <c r="F18" t="s">
        <v>576</v>
      </c>
      <c r="L18" s="67"/>
      <c r="M18" s="67"/>
      <c r="N18" s="67"/>
      <c r="O18" s="67"/>
    </row>
    <row r="19" spans="1:15" x14ac:dyDescent="0.4">
      <c r="A19" s="54" t="s">
        <v>577</v>
      </c>
      <c r="E19" t="s">
        <v>532</v>
      </c>
      <c r="F19" t="s">
        <v>578</v>
      </c>
      <c r="L19" s="67"/>
      <c r="M19" s="67"/>
      <c r="N19" s="67"/>
      <c r="O19" s="67"/>
    </row>
    <row r="20" spans="1:15" x14ac:dyDescent="0.4">
      <c r="A20" t="s">
        <v>579</v>
      </c>
      <c r="B20" t="str">
        <f t="shared" ref="B20:B26" si="0">IF(B21="","",IF(RIGHT(B21,1)="1",(LEFT(B21,4)-1)&amp;"Q4",LEFT(B21,5)&amp;(RIGHT(B21,1)-1)))</f>
        <v>2024Q4</v>
      </c>
      <c r="E20" t="s">
        <v>580</v>
      </c>
      <c r="F20" t="s">
        <v>581</v>
      </c>
      <c r="L20" s="67"/>
      <c r="M20" s="67"/>
      <c r="N20" s="67"/>
      <c r="O20" s="67"/>
    </row>
    <row r="21" spans="1:15" x14ac:dyDescent="0.4">
      <c r="A21" t="s">
        <v>582</v>
      </c>
      <c r="B21" t="str">
        <f t="shared" si="0"/>
        <v>2025Q1</v>
      </c>
      <c r="L21" s="67"/>
      <c r="M21" s="67"/>
      <c r="N21" s="67"/>
      <c r="O21" s="67"/>
    </row>
    <row r="22" spans="1:15" x14ac:dyDescent="0.4">
      <c r="A22" t="s">
        <v>583</v>
      </c>
      <c r="B22" t="str">
        <f t="shared" si="0"/>
        <v>2025Q2</v>
      </c>
      <c r="L22" s="67"/>
      <c r="M22" s="67"/>
      <c r="N22" s="67"/>
      <c r="O22" s="67"/>
    </row>
    <row r="23" spans="1:15" x14ac:dyDescent="0.4">
      <c r="A23" t="s">
        <v>584</v>
      </c>
      <c r="B23" t="str">
        <f t="shared" si="0"/>
        <v>2025Q3</v>
      </c>
      <c r="L23" s="67"/>
      <c r="M23" s="67"/>
      <c r="N23" s="67"/>
      <c r="O23" s="67"/>
    </row>
    <row r="24" spans="1:15" x14ac:dyDescent="0.4">
      <c r="A24" t="s">
        <v>585</v>
      </c>
      <c r="B24" t="str">
        <f t="shared" si="0"/>
        <v>2025Q4</v>
      </c>
    </row>
    <row r="25" spans="1:15" x14ac:dyDescent="0.4">
      <c r="A25" t="s">
        <v>586</v>
      </c>
      <c r="B25" t="str">
        <f t="shared" si="0"/>
        <v>2026Q1</v>
      </c>
    </row>
    <row r="26" spans="1:15" x14ac:dyDescent="0.4">
      <c r="A26" t="s">
        <v>587</v>
      </c>
      <c r="B26" t="str">
        <f t="shared" si="0"/>
        <v>2026Q2</v>
      </c>
    </row>
    <row r="27" spans="1:15" x14ac:dyDescent="0.4">
      <c r="A27" t="s">
        <v>588</v>
      </c>
      <c r="B27" t="str">
        <f>cicloCorrente</f>
        <v>2026Q3</v>
      </c>
    </row>
    <row r="29" spans="1:15" x14ac:dyDescent="0.4">
      <c r="A29" s="54" t="s">
        <v>589</v>
      </c>
    </row>
    <row r="30" spans="1:15" x14ac:dyDescent="0.4">
      <c r="A30" t="s">
        <v>590</v>
      </c>
      <c r="B30" s="94">
        <v>46202</v>
      </c>
    </row>
    <row r="31" spans="1:15" x14ac:dyDescent="0.4">
      <c r="A31" t="s">
        <v>591</v>
      </c>
      <c r="B31" s="70">
        <f>settimanaCorrente-21</f>
        <v>46181</v>
      </c>
    </row>
    <row r="33" spans="1:2" x14ac:dyDescent="0.4">
      <c r="A33" s="54" t="s">
        <v>592</v>
      </c>
    </row>
    <row r="34" spans="1:2" x14ac:dyDescent="0.4">
      <c r="B34" s="70">
        <f>settimanaCorrente-7*11</f>
        <v>46125</v>
      </c>
    </row>
    <row r="35" spans="1:2" x14ac:dyDescent="0.4">
      <c r="B35" s="70">
        <f>settimanaCorrente-7*10</f>
        <v>46132</v>
      </c>
    </row>
    <row r="36" spans="1:2" x14ac:dyDescent="0.4">
      <c r="B36" s="70">
        <f>settimanaCorrente-7*9</f>
        <v>46139</v>
      </c>
    </row>
    <row r="37" spans="1:2" x14ac:dyDescent="0.4">
      <c r="B37" s="70">
        <f>settimanaCorrente-7*8</f>
        <v>46146</v>
      </c>
    </row>
    <row r="38" spans="1:2" x14ac:dyDescent="0.4">
      <c r="B38" s="70">
        <f>settimanaCorrente-7*7</f>
        <v>46153</v>
      </c>
    </row>
    <row r="39" spans="1:2" x14ac:dyDescent="0.4">
      <c r="B39" s="70">
        <f>settimanaCorrente-7*6</f>
        <v>46160</v>
      </c>
    </row>
    <row r="40" spans="1:2" x14ac:dyDescent="0.4">
      <c r="B40" s="70">
        <f>settimanaCorrente-7*5</f>
        <v>46167</v>
      </c>
    </row>
    <row r="41" spans="1:2" x14ac:dyDescent="0.4">
      <c r="B41" s="70">
        <f>settimanaCorrente-7*4</f>
        <v>46174</v>
      </c>
    </row>
    <row r="42" spans="1:2" x14ac:dyDescent="0.4">
      <c r="B42" s="70">
        <f>settimanaCorrente-7*3</f>
        <v>46181</v>
      </c>
    </row>
    <row r="43" spans="1:2" x14ac:dyDescent="0.4">
      <c r="B43" s="70">
        <f>settimanaCorrente-7*2</f>
        <v>46188</v>
      </c>
    </row>
    <row r="44" spans="1:2" x14ac:dyDescent="0.4">
      <c r="B44" s="70">
        <f>settimanaCorrente-7*1</f>
        <v>46195</v>
      </c>
    </row>
    <row r="45" spans="1:2" x14ac:dyDescent="0.4">
      <c r="B45" s="70">
        <f>settimanaCorrente-7*0</f>
        <v>46202</v>
      </c>
    </row>
    <row r="47" spans="1:2" x14ac:dyDescent="0.4">
      <c r="A47" s="54" t="s">
        <v>593</v>
      </c>
    </row>
    <row r="48" spans="1:2" x14ac:dyDescent="0.4">
      <c r="A48" t="s">
        <v>594</v>
      </c>
      <c r="B48" s="67">
        <v>0.25</v>
      </c>
    </row>
    <row r="49" spans="1:2" x14ac:dyDescent="0.4">
      <c r="A49" t="s">
        <v>595</v>
      </c>
      <c r="B49" s="67">
        <v>1</v>
      </c>
    </row>
    <row r="50" spans="1:2" x14ac:dyDescent="0.4">
      <c r="A50" s="54" t="s">
        <v>596</v>
      </c>
    </row>
    <row r="51" spans="1:2" x14ac:dyDescent="0.4">
      <c r="A51" t="s">
        <v>597</v>
      </c>
      <c r="B51" s="67">
        <v>3.5</v>
      </c>
    </row>
    <row r="52" spans="1:2" x14ac:dyDescent="0.4">
      <c r="A52" t="s">
        <v>598</v>
      </c>
      <c r="B52" s="67">
        <v>2.5</v>
      </c>
    </row>
    <row r="53" spans="1:2" x14ac:dyDescent="0.4">
      <c r="A53" t="s">
        <v>599</v>
      </c>
      <c r="B53" s="67">
        <v>1.5</v>
      </c>
    </row>
    <row r="54" spans="1:2" x14ac:dyDescent="0.4">
      <c r="A54" t="s">
        <v>600</v>
      </c>
      <c r="B54" s="67">
        <v>0.5</v>
      </c>
    </row>
    <row r="55" spans="1:2" x14ac:dyDescent="0.4">
      <c r="A55" t="s">
        <v>601</v>
      </c>
      <c r="B55" s="67">
        <v>0</v>
      </c>
    </row>
    <row r="57" spans="1:2" x14ac:dyDescent="0.4">
      <c r="A57" s="54" t="s">
        <v>602</v>
      </c>
      <c r="B57" t="str">
        <f>IF(cicloCorrente="","nessun ciclo","Ciclo "&amp;cicloCorrente&amp;" · dati al "&amp;DAY(DATE(LEFT(cicloCorrente,4),3*RIGHT(cicloCorrente,1)+1,0))&amp;"/"&amp;RIGHT("0"&amp;MONTH(DATE(LEFT(cicloCorrente,4),3*RIGHT(cicloCorrente,1)+1,0)),2)&amp;"/"&amp;YEAR(DATE(LEFT(cicloCorrente,4),3*RIGHT(cicloCorrente,1)+1,0))&amp;" · "&amp;IF(decisioniDaPrendere&gt;0,"da validare","validato"))&amp;" · Uso interno"</f>
        <v>Ciclo 2026Q3 · dati al 30/09/2026 · da validare · Uso interno</v>
      </c>
    </row>
    <row r="59" spans="1:2" x14ac:dyDescent="0.4">
      <c r="A59" s="54" t="s">
        <v>603</v>
      </c>
    </row>
    <row r="60" spans="1:2" x14ac:dyDescent="0.4">
      <c r="A60" t="s">
        <v>604</v>
      </c>
      <c r="B60" s="95">
        <v>12</v>
      </c>
    </row>
    <row r="61" spans="1:2" x14ac:dyDescent="0.4">
      <c r="A61" t="s">
        <v>605</v>
      </c>
      <c r="B61" s="96">
        <v>0.5</v>
      </c>
    </row>
    <row r="62" spans="1:2" x14ac:dyDescent="0.4">
      <c r="A62" t="s">
        <v>606</v>
      </c>
      <c r="B62" s="92">
        <v>1</v>
      </c>
    </row>
    <row r="63" spans="1:2" x14ac:dyDescent="0.4">
      <c r="A63" t="s">
        <v>607</v>
      </c>
      <c r="B63" s="95">
        <v>2</v>
      </c>
    </row>
  </sheetData>
  <mergeCells count="3">
    <mergeCell ref="A2:F2"/>
    <mergeCell ref="H2:O2"/>
    <mergeCell ref="A1:N1"/>
  </mergeCells>
  <dataValidations count="4">
    <dataValidation type="decimal" allowBlank="1" showErrorMessage="1" error="Anni di adeguamento: un numero da 0 a 30, oppure vuoto." sqref="M4:M23" xr:uid="{00000000-0002-0000-0D00-000000000000}">
      <formula1>0</formula1>
      <formula2>30</formula2>
    </dataValidation>
    <dataValidation type="list" allowBlank="1" sqref="N4:N23" xr:uid="{00000000-0002-0000-0D00-000001000000}">
      <formula1>"Sì,No"</formula1>
    </dataValidation>
    <dataValidation type="list" allowBlank="1" sqref="O4:O23" xr:uid="{00000000-0002-0000-0D00-000002000000}">
      <formula1>"Non verificato,Adeguato,Parziale,Assente"</formula1>
    </dataValidation>
    <dataValidation type="list" allowBlank="1" sqref="J4:J23" xr:uid="{00000000-0002-0000-0D00-000003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G135"/>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46" t="str">
        <f>"Horizon Scan NFR — Dizionario dei dati   ·   "&amp;etichettaCiclo</f>
        <v>Horizon Scan NFR — Dizionario dei dati   ·   Ciclo 2026Q3 · dati al 30/09/2026 · da validare · Uso interno</v>
      </c>
      <c r="B1" s="147"/>
      <c r="C1" s="147"/>
      <c r="D1" s="147"/>
      <c r="E1" s="147"/>
      <c r="F1" s="147"/>
      <c r="G1" s="147"/>
    </row>
    <row r="2" spans="1:7" ht="32.049999999999997" customHeight="1" x14ac:dyDescent="0.4">
      <c r="A2" s="159" t="s">
        <v>608</v>
      </c>
      <c r="B2" s="116"/>
      <c r="C2" s="116"/>
      <c r="D2" s="116"/>
      <c r="E2" s="116"/>
      <c r="F2" s="116"/>
      <c r="G2" s="116"/>
    </row>
    <row r="4" spans="1:7" x14ac:dyDescent="0.4">
      <c r="A4" s="97" t="s">
        <v>609</v>
      </c>
      <c r="B4" s="97" t="s">
        <v>610</v>
      </c>
      <c r="C4" s="97" t="s">
        <v>611</v>
      </c>
      <c r="D4" s="97" t="s">
        <v>612</v>
      </c>
      <c r="E4" s="97" t="s">
        <v>613</v>
      </c>
      <c r="F4" s="97" t="s">
        <v>614</v>
      </c>
      <c r="G4" s="97" t="s">
        <v>615</v>
      </c>
    </row>
    <row r="5" spans="1:7" x14ac:dyDescent="0.4">
      <c r="A5" s="178" t="s">
        <v>616</v>
      </c>
      <c r="B5" s="116"/>
      <c r="C5" s="116"/>
      <c r="D5" s="116"/>
      <c r="E5" s="116"/>
      <c r="F5" s="116"/>
      <c r="G5" s="116"/>
    </row>
    <row r="6" spans="1:7" ht="28" customHeight="1" x14ac:dyDescent="0.4">
      <c r="A6" s="98" t="s">
        <v>424</v>
      </c>
      <c r="B6" s="99" t="s">
        <v>108</v>
      </c>
      <c r="C6" s="100" t="s">
        <v>617</v>
      </c>
      <c r="D6" s="99" t="s">
        <v>618</v>
      </c>
      <c r="E6" s="99" t="s">
        <v>619</v>
      </c>
      <c r="F6" s="99" t="s">
        <v>620</v>
      </c>
      <c r="G6" s="99" t="s">
        <v>566</v>
      </c>
    </row>
    <row r="7" spans="1:7" ht="28" customHeight="1" x14ac:dyDescent="0.4">
      <c r="A7" s="98" t="s">
        <v>621</v>
      </c>
      <c r="B7" s="99" t="s">
        <v>108</v>
      </c>
      <c r="C7" s="100" t="s">
        <v>617</v>
      </c>
      <c r="D7" s="99" t="s">
        <v>622</v>
      </c>
      <c r="E7" s="99" t="s">
        <v>623</v>
      </c>
      <c r="F7" s="99" t="s">
        <v>624</v>
      </c>
      <c r="G7" s="99" t="s">
        <v>625</v>
      </c>
    </row>
    <row r="8" spans="1:7" ht="28" customHeight="1" x14ac:dyDescent="0.4">
      <c r="A8" s="98" t="s">
        <v>626</v>
      </c>
      <c r="B8" s="99" t="s">
        <v>108</v>
      </c>
      <c r="C8" s="100" t="s">
        <v>617</v>
      </c>
      <c r="D8" s="99" t="s">
        <v>627</v>
      </c>
      <c r="E8" s="99" t="s">
        <v>628</v>
      </c>
      <c r="F8" s="99" t="s">
        <v>629</v>
      </c>
      <c r="G8" s="99" t="s">
        <v>508</v>
      </c>
    </row>
    <row r="9" spans="1:7" ht="28" customHeight="1" x14ac:dyDescent="0.4">
      <c r="A9" s="98" t="s">
        <v>162</v>
      </c>
      <c r="B9" s="99" t="s">
        <v>108</v>
      </c>
      <c r="C9" s="100" t="s">
        <v>617</v>
      </c>
      <c r="D9" s="99" t="s">
        <v>630</v>
      </c>
      <c r="E9" s="99" t="s">
        <v>628</v>
      </c>
      <c r="F9" s="99" t="s">
        <v>629</v>
      </c>
      <c r="G9" s="99" t="s">
        <v>631</v>
      </c>
    </row>
    <row r="10" spans="1:7" ht="40" customHeight="1" x14ac:dyDescent="0.4">
      <c r="A10" s="98" t="s">
        <v>503</v>
      </c>
      <c r="B10" s="99" t="s">
        <v>108</v>
      </c>
      <c r="C10" s="100" t="s">
        <v>617</v>
      </c>
      <c r="D10" s="99" t="s">
        <v>632</v>
      </c>
      <c r="E10" s="99" t="s">
        <v>628</v>
      </c>
      <c r="F10" s="99" t="s">
        <v>633</v>
      </c>
      <c r="G10" s="99" t="s">
        <v>436</v>
      </c>
    </row>
    <row r="11" spans="1:7" ht="28" customHeight="1" x14ac:dyDescent="0.4">
      <c r="A11" s="98" t="s">
        <v>504</v>
      </c>
      <c r="B11" s="99" t="s">
        <v>108</v>
      </c>
      <c r="C11" s="100" t="s">
        <v>617</v>
      </c>
      <c r="D11" s="99" t="s">
        <v>634</v>
      </c>
      <c r="E11" s="99" t="s">
        <v>628</v>
      </c>
      <c r="F11" s="99" t="s">
        <v>629</v>
      </c>
      <c r="G11" s="99" t="s">
        <v>510</v>
      </c>
    </row>
    <row r="12" spans="1:7" ht="28" customHeight="1" x14ac:dyDescent="0.4">
      <c r="A12" s="98" t="s">
        <v>191</v>
      </c>
      <c r="B12" s="99" t="s">
        <v>108</v>
      </c>
      <c r="C12" s="100" t="s">
        <v>617</v>
      </c>
      <c r="D12" s="99" t="s">
        <v>635</v>
      </c>
      <c r="E12" s="99" t="s">
        <v>636</v>
      </c>
      <c r="F12" s="99" t="s">
        <v>637</v>
      </c>
      <c r="G12" s="99" t="s">
        <v>27</v>
      </c>
    </row>
    <row r="13" spans="1:7" ht="52" customHeight="1" x14ac:dyDescent="0.4">
      <c r="A13" s="98" t="s">
        <v>277</v>
      </c>
      <c r="B13" s="99" t="s">
        <v>108</v>
      </c>
      <c r="C13" s="100" t="s">
        <v>617</v>
      </c>
      <c r="D13" s="99" t="s">
        <v>638</v>
      </c>
      <c r="E13" s="99" t="s">
        <v>639</v>
      </c>
      <c r="F13" s="99" t="s">
        <v>640</v>
      </c>
      <c r="G13" s="99" t="s">
        <v>641</v>
      </c>
    </row>
    <row r="14" spans="1:7" ht="28" customHeight="1" x14ac:dyDescent="0.4">
      <c r="A14" s="98" t="s">
        <v>194</v>
      </c>
      <c r="B14" s="99" t="s">
        <v>108</v>
      </c>
      <c r="C14" s="100" t="s">
        <v>617</v>
      </c>
      <c r="D14" s="99" t="s">
        <v>642</v>
      </c>
      <c r="E14" s="99" t="s">
        <v>643</v>
      </c>
      <c r="F14" s="99" t="s">
        <v>637</v>
      </c>
      <c r="G14" s="99" t="s">
        <v>27</v>
      </c>
    </row>
    <row r="15" spans="1:7" ht="52" customHeight="1" x14ac:dyDescent="0.4">
      <c r="A15" s="98" t="s">
        <v>644</v>
      </c>
      <c r="B15" s="99" t="s">
        <v>108</v>
      </c>
      <c r="C15" s="101" t="s">
        <v>645</v>
      </c>
      <c r="D15" s="99" t="s">
        <v>646</v>
      </c>
      <c r="E15" s="99" t="s">
        <v>647</v>
      </c>
      <c r="F15" s="99" t="s">
        <v>648</v>
      </c>
      <c r="G15" s="99" t="s">
        <v>649</v>
      </c>
    </row>
    <row r="16" spans="1:7" ht="40" customHeight="1" x14ac:dyDescent="0.4">
      <c r="A16" s="98" t="s">
        <v>192</v>
      </c>
      <c r="B16" s="99" t="s">
        <v>108</v>
      </c>
      <c r="C16" s="100" t="s">
        <v>617</v>
      </c>
      <c r="D16" s="99" t="s">
        <v>650</v>
      </c>
      <c r="E16" s="99" t="s">
        <v>651</v>
      </c>
      <c r="F16" s="99" t="s">
        <v>637</v>
      </c>
      <c r="G16" s="99" t="s">
        <v>27</v>
      </c>
    </row>
    <row r="17" spans="1:7" ht="52" customHeight="1" x14ac:dyDescent="0.4">
      <c r="A17" s="98" t="s">
        <v>505</v>
      </c>
      <c r="B17" s="99" t="s">
        <v>108</v>
      </c>
      <c r="C17" s="100" t="s">
        <v>617</v>
      </c>
      <c r="D17" s="99" t="s">
        <v>652</v>
      </c>
      <c r="E17" s="99" t="s">
        <v>653</v>
      </c>
      <c r="F17" s="99" t="s">
        <v>654</v>
      </c>
      <c r="G17" s="99"/>
    </row>
    <row r="18" spans="1:7" ht="64" customHeight="1" x14ac:dyDescent="0.4">
      <c r="A18" s="98" t="s">
        <v>166</v>
      </c>
      <c r="B18" s="99" t="s">
        <v>108</v>
      </c>
      <c r="C18" s="101" t="s">
        <v>655</v>
      </c>
      <c r="D18" s="99" t="s">
        <v>656</v>
      </c>
      <c r="E18" s="99" t="s">
        <v>657</v>
      </c>
      <c r="F18" s="99" t="s">
        <v>658</v>
      </c>
      <c r="G18" s="99" t="s">
        <v>659</v>
      </c>
    </row>
    <row r="19" spans="1:7" ht="28" customHeight="1" x14ac:dyDescent="0.4">
      <c r="A19" s="98" t="s">
        <v>488</v>
      </c>
      <c r="B19" s="99" t="s">
        <v>108</v>
      </c>
      <c r="C19" s="100" t="s">
        <v>617</v>
      </c>
      <c r="D19" s="99" t="s">
        <v>660</v>
      </c>
      <c r="E19" s="99" t="s">
        <v>628</v>
      </c>
      <c r="F19" s="99" t="s">
        <v>629</v>
      </c>
      <c r="G19" s="99" t="s">
        <v>661</v>
      </c>
    </row>
    <row r="20" spans="1:7" ht="76" customHeight="1" x14ac:dyDescent="0.4">
      <c r="A20" s="98" t="s">
        <v>662</v>
      </c>
      <c r="B20" s="99" t="s">
        <v>108</v>
      </c>
      <c r="C20" s="100" t="s">
        <v>617</v>
      </c>
      <c r="D20" s="99" t="s">
        <v>663</v>
      </c>
      <c r="E20" s="99" t="s">
        <v>628</v>
      </c>
      <c r="F20" s="99" t="s">
        <v>629</v>
      </c>
      <c r="G20" s="99" t="s">
        <v>664</v>
      </c>
    </row>
    <row r="21" spans="1:7" ht="40" customHeight="1" x14ac:dyDescent="0.4">
      <c r="A21" s="98" t="s">
        <v>665</v>
      </c>
      <c r="B21" s="99" t="s">
        <v>108</v>
      </c>
      <c r="C21" s="100" t="s">
        <v>617</v>
      </c>
      <c r="D21" s="99" t="s">
        <v>666</v>
      </c>
      <c r="E21" s="99" t="s">
        <v>667</v>
      </c>
      <c r="F21" s="99" t="s">
        <v>629</v>
      </c>
      <c r="G21" s="99" t="s">
        <v>668</v>
      </c>
    </row>
    <row r="22" spans="1:7" ht="52" customHeight="1" x14ac:dyDescent="0.4">
      <c r="A22" s="98" t="s">
        <v>669</v>
      </c>
      <c r="B22" s="99" t="s">
        <v>108</v>
      </c>
      <c r="C22" s="100" t="s">
        <v>617</v>
      </c>
      <c r="D22" s="99" t="s">
        <v>670</v>
      </c>
      <c r="E22" s="99" t="s">
        <v>671</v>
      </c>
      <c r="F22" s="99" t="s">
        <v>629</v>
      </c>
      <c r="G22" s="99" t="s">
        <v>672</v>
      </c>
    </row>
    <row r="23" spans="1:7" ht="76" customHeight="1" x14ac:dyDescent="0.4">
      <c r="A23" s="98" t="s">
        <v>395</v>
      </c>
      <c r="B23" s="99" t="s">
        <v>108</v>
      </c>
      <c r="C23" s="101" t="s">
        <v>655</v>
      </c>
      <c r="D23" s="99" t="s">
        <v>673</v>
      </c>
      <c r="E23" s="99" t="s">
        <v>674</v>
      </c>
      <c r="F23" s="99" t="s">
        <v>629</v>
      </c>
      <c r="G23" s="99"/>
    </row>
    <row r="24" spans="1:7" ht="28" customHeight="1" x14ac:dyDescent="0.4">
      <c r="A24" s="98" t="s">
        <v>169</v>
      </c>
      <c r="B24" s="99" t="s">
        <v>108</v>
      </c>
      <c r="C24" s="101" t="s">
        <v>655</v>
      </c>
      <c r="D24" s="99" t="s">
        <v>675</v>
      </c>
      <c r="E24" s="99" t="s">
        <v>676</v>
      </c>
      <c r="F24" s="99" t="s">
        <v>629</v>
      </c>
      <c r="G24" s="99" t="s">
        <v>511</v>
      </c>
    </row>
    <row r="25" spans="1:7" ht="28" customHeight="1" x14ac:dyDescent="0.4">
      <c r="A25" s="98" t="s">
        <v>238</v>
      </c>
      <c r="B25" s="99" t="s">
        <v>108</v>
      </c>
      <c r="C25" s="101" t="s">
        <v>645</v>
      </c>
      <c r="D25" s="99" t="s">
        <v>677</v>
      </c>
      <c r="E25" s="99" t="s">
        <v>678</v>
      </c>
      <c r="F25" s="99" t="s">
        <v>629</v>
      </c>
      <c r="G25" s="99" t="s">
        <v>679</v>
      </c>
    </row>
    <row r="26" spans="1:7" ht="28" customHeight="1" x14ac:dyDescent="0.4">
      <c r="A26" s="98" t="s">
        <v>680</v>
      </c>
      <c r="B26" s="99" t="s">
        <v>108</v>
      </c>
      <c r="C26" s="101" t="s">
        <v>655</v>
      </c>
      <c r="D26" s="99" t="s">
        <v>681</v>
      </c>
      <c r="E26" s="99" t="s">
        <v>682</v>
      </c>
      <c r="F26" s="99" t="s">
        <v>629</v>
      </c>
      <c r="G26" s="99" t="s">
        <v>625</v>
      </c>
    </row>
    <row r="27" spans="1:7" ht="28" customHeight="1" x14ac:dyDescent="0.4">
      <c r="A27" s="98" t="s">
        <v>683</v>
      </c>
      <c r="B27" s="99" t="s">
        <v>108</v>
      </c>
      <c r="C27" s="102" t="s">
        <v>684</v>
      </c>
      <c r="D27" s="99" t="s">
        <v>685</v>
      </c>
      <c r="E27" s="99" t="s">
        <v>686</v>
      </c>
      <c r="F27" s="99" t="s">
        <v>629</v>
      </c>
      <c r="G27" s="99" t="s">
        <v>687</v>
      </c>
    </row>
    <row r="28" spans="1:7" ht="40" customHeight="1" x14ac:dyDescent="0.4">
      <c r="A28" s="98" t="s">
        <v>9</v>
      </c>
      <c r="B28" s="99" t="s">
        <v>108</v>
      </c>
      <c r="C28" s="102" t="s">
        <v>684</v>
      </c>
      <c r="D28" s="99" t="s">
        <v>688</v>
      </c>
      <c r="E28" s="99" t="s">
        <v>689</v>
      </c>
      <c r="F28" s="99" t="s">
        <v>690</v>
      </c>
      <c r="G28" s="99" t="s">
        <v>691</v>
      </c>
    </row>
    <row r="29" spans="1:7" ht="28" customHeight="1" x14ac:dyDescent="0.4">
      <c r="A29" s="98" t="s">
        <v>692</v>
      </c>
      <c r="B29" s="99" t="s">
        <v>108</v>
      </c>
      <c r="C29" s="102" t="s">
        <v>684</v>
      </c>
      <c r="D29" s="99" t="s">
        <v>693</v>
      </c>
      <c r="E29" s="99" t="s">
        <v>694</v>
      </c>
      <c r="F29" s="99" t="s">
        <v>629</v>
      </c>
      <c r="G29" s="99" t="s">
        <v>695</v>
      </c>
    </row>
    <row r="30" spans="1:7" x14ac:dyDescent="0.4">
      <c r="A30" s="178" t="s">
        <v>696</v>
      </c>
      <c r="B30" s="116"/>
      <c r="C30" s="116"/>
      <c r="D30" s="116"/>
      <c r="E30" s="116"/>
      <c r="F30" s="116"/>
      <c r="G30" s="116"/>
    </row>
    <row r="31" spans="1:7" ht="28" customHeight="1" x14ac:dyDescent="0.4">
      <c r="A31" s="98" t="s">
        <v>424</v>
      </c>
      <c r="B31" s="99" t="s">
        <v>111</v>
      </c>
      <c r="C31" s="100" t="s">
        <v>617</v>
      </c>
      <c r="D31" s="99" t="s">
        <v>697</v>
      </c>
      <c r="E31" s="99" t="s">
        <v>619</v>
      </c>
      <c r="F31" s="99" t="s">
        <v>620</v>
      </c>
      <c r="G31" s="99" t="s">
        <v>566</v>
      </c>
    </row>
    <row r="32" spans="1:7" ht="28" customHeight="1" x14ac:dyDescent="0.4">
      <c r="A32" s="98" t="s">
        <v>626</v>
      </c>
      <c r="B32" s="99" t="s">
        <v>111</v>
      </c>
      <c r="C32" s="100" t="s">
        <v>617</v>
      </c>
      <c r="D32" s="99" t="s">
        <v>698</v>
      </c>
      <c r="E32" s="99" t="s">
        <v>628</v>
      </c>
      <c r="F32" s="99" t="s">
        <v>629</v>
      </c>
      <c r="G32" s="99" t="s">
        <v>508</v>
      </c>
    </row>
    <row r="33" spans="1:7" ht="28" customHeight="1" x14ac:dyDescent="0.4">
      <c r="A33" s="98" t="s">
        <v>699</v>
      </c>
      <c r="B33" s="99" t="s">
        <v>111</v>
      </c>
      <c r="C33" s="101" t="s">
        <v>655</v>
      </c>
      <c r="D33" s="99" t="s">
        <v>700</v>
      </c>
      <c r="E33" s="99" t="s">
        <v>701</v>
      </c>
      <c r="F33" s="99" t="s">
        <v>629</v>
      </c>
      <c r="G33" s="99" t="s">
        <v>702</v>
      </c>
    </row>
    <row r="34" spans="1:7" ht="28" customHeight="1" x14ac:dyDescent="0.4">
      <c r="A34" s="98" t="s">
        <v>488</v>
      </c>
      <c r="B34" s="99" t="s">
        <v>111</v>
      </c>
      <c r="C34" s="100" t="s">
        <v>617</v>
      </c>
      <c r="D34" s="99" t="s">
        <v>703</v>
      </c>
      <c r="E34" s="99" t="s">
        <v>628</v>
      </c>
      <c r="F34" s="99" t="s">
        <v>629</v>
      </c>
      <c r="G34" s="99" t="s">
        <v>704</v>
      </c>
    </row>
    <row r="35" spans="1:7" ht="28" customHeight="1" x14ac:dyDescent="0.4">
      <c r="A35" s="98" t="s">
        <v>169</v>
      </c>
      <c r="B35" s="99" t="s">
        <v>111</v>
      </c>
      <c r="C35" s="100" t="s">
        <v>617</v>
      </c>
      <c r="D35" s="99" t="s">
        <v>705</v>
      </c>
      <c r="E35" s="99" t="s">
        <v>628</v>
      </c>
      <c r="F35" s="99" t="s">
        <v>629</v>
      </c>
      <c r="G35" s="99" t="s">
        <v>511</v>
      </c>
    </row>
    <row r="36" spans="1:7" ht="28" customHeight="1" x14ac:dyDescent="0.4">
      <c r="A36" s="98" t="s">
        <v>461</v>
      </c>
      <c r="B36" s="99" t="s">
        <v>111</v>
      </c>
      <c r="C36" s="100" t="s">
        <v>617</v>
      </c>
      <c r="D36" s="99" t="s">
        <v>706</v>
      </c>
      <c r="E36" s="99" t="s">
        <v>628</v>
      </c>
      <c r="F36" s="99" t="s">
        <v>707</v>
      </c>
      <c r="G36" s="99" t="s">
        <v>708</v>
      </c>
    </row>
    <row r="37" spans="1:7" ht="40" customHeight="1" x14ac:dyDescent="0.4">
      <c r="A37" s="98" t="s">
        <v>709</v>
      </c>
      <c r="B37" s="99" t="s">
        <v>111</v>
      </c>
      <c r="C37" s="101" t="s">
        <v>645</v>
      </c>
      <c r="D37" s="99" t="s">
        <v>710</v>
      </c>
      <c r="E37" s="99" t="s">
        <v>711</v>
      </c>
      <c r="F37" s="99" t="s">
        <v>629</v>
      </c>
      <c r="G37" s="99" t="s">
        <v>712</v>
      </c>
    </row>
    <row r="38" spans="1:7" ht="40" customHeight="1" x14ac:dyDescent="0.4">
      <c r="A38" s="98" t="s">
        <v>662</v>
      </c>
      <c r="B38" s="99" t="s">
        <v>111</v>
      </c>
      <c r="C38" s="100" t="s">
        <v>617</v>
      </c>
      <c r="D38" s="99" t="s">
        <v>713</v>
      </c>
      <c r="E38" s="99" t="s">
        <v>628</v>
      </c>
      <c r="F38" s="99" t="s">
        <v>629</v>
      </c>
      <c r="G38" s="99" t="s">
        <v>714</v>
      </c>
    </row>
    <row r="39" spans="1:7" ht="52" customHeight="1" x14ac:dyDescent="0.4">
      <c r="A39" s="98" t="s">
        <v>417</v>
      </c>
      <c r="B39" s="99" t="s">
        <v>111</v>
      </c>
      <c r="C39" s="102" t="s">
        <v>684</v>
      </c>
      <c r="D39" s="99" t="s">
        <v>715</v>
      </c>
      <c r="E39" s="99" t="s">
        <v>716</v>
      </c>
      <c r="F39" s="99" t="s">
        <v>629</v>
      </c>
      <c r="G39" s="99" t="s">
        <v>717</v>
      </c>
    </row>
    <row r="40" spans="1:7" ht="28" customHeight="1" x14ac:dyDescent="0.4">
      <c r="A40" s="98" t="s">
        <v>718</v>
      </c>
      <c r="B40" s="99" t="s">
        <v>111</v>
      </c>
      <c r="C40" s="102" t="s">
        <v>684</v>
      </c>
      <c r="D40" s="99" t="s">
        <v>719</v>
      </c>
      <c r="E40" s="99" t="s">
        <v>720</v>
      </c>
      <c r="F40" s="99" t="s">
        <v>629</v>
      </c>
      <c r="G40" s="99" t="s">
        <v>695</v>
      </c>
    </row>
    <row r="41" spans="1:7" ht="28" customHeight="1" x14ac:dyDescent="0.4">
      <c r="A41" s="98" t="s">
        <v>721</v>
      </c>
      <c r="B41" s="99" t="s">
        <v>111</v>
      </c>
      <c r="C41" s="102" t="s">
        <v>684</v>
      </c>
      <c r="D41" s="99" t="s">
        <v>722</v>
      </c>
      <c r="E41" s="99" t="s">
        <v>686</v>
      </c>
      <c r="F41" s="99" t="s">
        <v>629</v>
      </c>
      <c r="G41" s="99" t="s">
        <v>687</v>
      </c>
    </row>
    <row r="42" spans="1:7" ht="40" customHeight="1" x14ac:dyDescent="0.4">
      <c r="A42" s="98" t="s">
        <v>9</v>
      </c>
      <c r="B42" s="99" t="s">
        <v>111</v>
      </c>
      <c r="C42" s="102" t="s">
        <v>684</v>
      </c>
      <c r="D42" s="99" t="s">
        <v>723</v>
      </c>
      <c r="E42" s="99" t="s">
        <v>689</v>
      </c>
      <c r="F42" s="99" t="s">
        <v>690</v>
      </c>
      <c r="G42" s="99" t="s">
        <v>691</v>
      </c>
    </row>
    <row r="43" spans="1:7" x14ac:dyDescent="0.4">
      <c r="A43" s="178" t="s">
        <v>724</v>
      </c>
      <c r="B43" s="116"/>
      <c r="C43" s="116"/>
      <c r="D43" s="116"/>
      <c r="E43" s="116"/>
      <c r="F43" s="116"/>
      <c r="G43" s="116"/>
    </row>
    <row r="44" spans="1:7" ht="28" customHeight="1" x14ac:dyDescent="0.4">
      <c r="A44" s="98" t="s">
        <v>424</v>
      </c>
      <c r="B44" s="99" t="s">
        <v>114</v>
      </c>
      <c r="C44" s="100" t="s">
        <v>617</v>
      </c>
      <c r="D44" s="99" t="s">
        <v>725</v>
      </c>
      <c r="E44" s="99" t="s">
        <v>619</v>
      </c>
      <c r="F44" s="99" t="s">
        <v>620</v>
      </c>
      <c r="G44" s="99" t="s">
        <v>566</v>
      </c>
    </row>
    <row r="45" spans="1:7" ht="40" customHeight="1" x14ac:dyDescent="0.4">
      <c r="A45" s="98" t="s">
        <v>411</v>
      </c>
      <c r="B45" s="99" t="s">
        <v>114</v>
      </c>
      <c r="C45" s="101" t="s">
        <v>655</v>
      </c>
      <c r="D45" s="99" t="s">
        <v>726</v>
      </c>
      <c r="E45" s="99" t="s">
        <v>727</v>
      </c>
      <c r="F45" s="99" t="s">
        <v>629</v>
      </c>
      <c r="G45" s="99" t="s">
        <v>410</v>
      </c>
    </row>
    <row r="46" spans="1:7" ht="28" customHeight="1" x14ac:dyDescent="0.4">
      <c r="A46" s="98" t="s">
        <v>626</v>
      </c>
      <c r="B46" s="99" t="s">
        <v>114</v>
      </c>
      <c r="C46" s="100" t="s">
        <v>617</v>
      </c>
      <c r="D46" s="99" t="s">
        <v>728</v>
      </c>
      <c r="E46" s="99" t="s">
        <v>628</v>
      </c>
      <c r="F46" s="99" t="s">
        <v>629</v>
      </c>
      <c r="G46" s="99" t="s">
        <v>508</v>
      </c>
    </row>
    <row r="47" spans="1:7" ht="28" customHeight="1" x14ac:dyDescent="0.4">
      <c r="A47" s="98" t="s">
        <v>162</v>
      </c>
      <c r="B47" s="99" t="s">
        <v>114</v>
      </c>
      <c r="C47" s="100" t="s">
        <v>617</v>
      </c>
      <c r="D47" s="99" t="s">
        <v>729</v>
      </c>
      <c r="E47" s="99" t="s">
        <v>628</v>
      </c>
      <c r="F47" s="99" t="s">
        <v>629</v>
      </c>
      <c r="G47" s="99" t="s">
        <v>730</v>
      </c>
    </row>
    <row r="48" spans="1:7" ht="64" customHeight="1" x14ac:dyDescent="0.4">
      <c r="A48" s="98" t="s">
        <v>420</v>
      </c>
      <c r="B48" s="99" t="s">
        <v>114</v>
      </c>
      <c r="C48" s="100" t="s">
        <v>617</v>
      </c>
      <c r="D48" s="99" t="s">
        <v>731</v>
      </c>
      <c r="E48" s="99" t="s">
        <v>628</v>
      </c>
      <c r="F48" s="99" t="s">
        <v>629</v>
      </c>
      <c r="G48" s="99" t="s">
        <v>732</v>
      </c>
    </row>
    <row r="49" spans="1:7" ht="28" customHeight="1" x14ac:dyDescent="0.4">
      <c r="A49" s="98" t="s">
        <v>733</v>
      </c>
      <c r="B49" s="99" t="s">
        <v>114</v>
      </c>
      <c r="C49" s="100" t="s">
        <v>617</v>
      </c>
      <c r="D49" s="99" t="s">
        <v>734</v>
      </c>
      <c r="E49" s="99" t="s">
        <v>628</v>
      </c>
      <c r="F49" s="99" t="s">
        <v>629</v>
      </c>
      <c r="G49" s="99" t="s">
        <v>735</v>
      </c>
    </row>
    <row r="50" spans="1:7" ht="28" customHeight="1" x14ac:dyDescent="0.4">
      <c r="A50" s="98" t="s">
        <v>736</v>
      </c>
      <c r="B50" s="99" t="s">
        <v>114</v>
      </c>
      <c r="C50" s="100" t="s">
        <v>617</v>
      </c>
      <c r="D50" s="99" t="s">
        <v>737</v>
      </c>
      <c r="E50" s="99" t="s">
        <v>628</v>
      </c>
      <c r="F50" s="99" t="s">
        <v>629</v>
      </c>
      <c r="G50" s="99" t="s">
        <v>738</v>
      </c>
    </row>
    <row r="51" spans="1:7" ht="40" customHeight="1" x14ac:dyDescent="0.4">
      <c r="A51" s="98" t="s">
        <v>739</v>
      </c>
      <c r="B51" s="99" t="s">
        <v>114</v>
      </c>
      <c r="C51" s="100" t="s">
        <v>617</v>
      </c>
      <c r="D51" s="99" t="s">
        <v>740</v>
      </c>
      <c r="E51" s="99" t="s">
        <v>628</v>
      </c>
      <c r="F51" s="99" t="s">
        <v>741</v>
      </c>
      <c r="G51" s="99" t="s">
        <v>742</v>
      </c>
    </row>
    <row r="52" spans="1:7" ht="28" customHeight="1" x14ac:dyDescent="0.4">
      <c r="A52" s="98" t="s">
        <v>743</v>
      </c>
      <c r="B52" s="99" t="s">
        <v>114</v>
      </c>
      <c r="C52" s="100" t="s">
        <v>617</v>
      </c>
      <c r="D52" s="99" t="s">
        <v>744</v>
      </c>
      <c r="E52" s="99" t="s">
        <v>628</v>
      </c>
      <c r="F52" s="99" t="s">
        <v>741</v>
      </c>
      <c r="G52" s="99" t="s">
        <v>712</v>
      </c>
    </row>
    <row r="53" spans="1:7" ht="52" customHeight="1" x14ac:dyDescent="0.4">
      <c r="A53" s="98" t="s">
        <v>745</v>
      </c>
      <c r="B53" s="99" t="s">
        <v>114</v>
      </c>
      <c r="C53" s="100" t="s">
        <v>617</v>
      </c>
      <c r="D53" s="99" t="s">
        <v>746</v>
      </c>
      <c r="E53" s="99" t="s">
        <v>747</v>
      </c>
      <c r="F53" s="99" t="s">
        <v>629</v>
      </c>
      <c r="G53" s="99" t="s">
        <v>748</v>
      </c>
    </row>
    <row r="54" spans="1:7" ht="28" customHeight="1" x14ac:dyDescent="0.4">
      <c r="A54" s="98" t="s">
        <v>749</v>
      </c>
      <c r="B54" s="99" t="s">
        <v>114</v>
      </c>
      <c r="C54" s="101" t="s">
        <v>655</v>
      </c>
      <c r="D54" s="99" t="s">
        <v>750</v>
      </c>
      <c r="E54" s="99" t="s">
        <v>751</v>
      </c>
      <c r="F54" s="99" t="s">
        <v>629</v>
      </c>
      <c r="G54" s="99" t="s">
        <v>625</v>
      </c>
    </row>
    <row r="55" spans="1:7" ht="28" customHeight="1" x14ac:dyDescent="0.4">
      <c r="A55" s="98" t="s">
        <v>752</v>
      </c>
      <c r="B55" s="99" t="s">
        <v>114</v>
      </c>
      <c r="C55" s="100" t="s">
        <v>617</v>
      </c>
      <c r="D55" s="99" t="s">
        <v>753</v>
      </c>
      <c r="E55" s="99" t="s">
        <v>628</v>
      </c>
      <c r="F55" s="99" t="s">
        <v>629</v>
      </c>
      <c r="G55" s="99" t="s">
        <v>738</v>
      </c>
    </row>
    <row r="56" spans="1:7" ht="28" customHeight="1" x14ac:dyDescent="0.4">
      <c r="A56" s="98" t="s">
        <v>754</v>
      </c>
      <c r="B56" s="99" t="s">
        <v>114</v>
      </c>
      <c r="C56" s="100" t="s">
        <v>617</v>
      </c>
      <c r="D56" s="99" t="s">
        <v>755</v>
      </c>
      <c r="E56" s="99" t="s">
        <v>628</v>
      </c>
      <c r="F56" s="99" t="s">
        <v>629</v>
      </c>
      <c r="G56" s="99" t="s">
        <v>756</v>
      </c>
    </row>
    <row r="57" spans="1:7" ht="52" customHeight="1" x14ac:dyDescent="0.4">
      <c r="A57" s="98" t="s">
        <v>417</v>
      </c>
      <c r="B57" s="99" t="s">
        <v>114</v>
      </c>
      <c r="C57" s="101" t="s">
        <v>645</v>
      </c>
      <c r="D57" s="99" t="s">
        <v>757</v>
      </c>
      <c r="E57" s="99" t="s">
        <v>758</v>
      </c>
      <c r="F57" s="99" t="s">
        <v>629</v>
      </c>
      <c r="G57" s="99" t="s">
        <v>405</v>
      </c>
    </row>
    <row r="58" spans="1:7" ht="28" customHeight="1" x14ac:dyDescent="0.4">
      <c r="A58" s="98" t="s">
        <v>759</v>
      </c>
      <c r="B58" s="99" t="s">
        <v>114</v>
      </c>
      <c r="C58" s="101" t="s">
        <v>655</v>
      </c>
      <c r="D58" s="99" t="s">
        <v>760</v>
      </c>
      <c r="E58" s="99" t="s">
        <v>761</v>
      </c>
      <c r="F58" s="99" t="s">
        <v>762</v>
      </c>
      <c r="G58" s="99" t="s">
        <v>512</v>
      </c>
    </row>
    <row r="59" spans="1:7" ht="28" customHeight="1" x14ac:dyDescent="0.4">
      <c r="A59" s="98" t="s">
        <v>763</v>
      </c>
      <c r="B59" s="99" t="s">
        <v>114</v>
      </c>
      <c r="C59" s="101" t="s">
        <v>655</v>
      </c>
      <c r="D59" s="99" t="s">
        <v>764</v>
      </c>
      <c r="E59" s="99" t="s">
        <v>765</v>
      </c>
      <c r="F59" s="99" t="s">
        <v>629</v>
      </c>
      <c r="G59" s="99" t="s">
        <v>766</v>
      </c>
    </row>
    <row r="60" spans="1:7" ht="28" customHeight="1" x14ac:dyDescent="0.4">
      <c r="A60" s="98" t="s">
        <v>767</v>
      </c>
      <c r="B60" s="99" t="s">
        <v>114</v>
      </c>
      <c r="C60" s="100" t="s">
        <v>617</v>
      </c>
      <c r="D60" s="99" t="s">
        <v>768</v>
      </c>
      <c r="E60" s="99" t="s">
        <v>628</v>
      </c>
      <c r="F60" s="99" t="s">
        <v>629</v>
      </c>
      <c r="G60" s="99" t="s">
        <v>766</v>
      </c>
    </row>
    <row r="61" spans="1:7" ht="40" customHeight="1" x14ac:dyDescent="0.4">
      <c r="A61" s="98" t="s">
        <v>662</v>
      </c>
      <c r="B61" s="99" t="s">
        <v>114</v>
      </c>
      <c r="C61" s="100" t="s">
        <v>617</v>
      </c>
      <c r="D61" s="99" t="s">
        <v>769</v>
      </c>
      <c r="E61" s="99" t="s">
        <v>628</v>
      </c>
      <c r="F61" s="99" t="s">
        <v>629</v>
      </c>
      <c r="G61" s="99" t="s">
        <v>770</v>
      </c>
    </row>
    <row r="62" spans="1:7" ht="28" customHeight="1" x14ac:dyDescent="0.4">
      <c r="A62" s="98" t="s">
        <v>238</v>
      </c>
      <c r="B62" s="99" t="s">
        <v>114</v>
      </c>
      <c r="C62" s="101" t="s">
        <v>645</v>
      </c>
      <c r="D62" s="99" t="s">
        <v>771</v>
      </c>
      <c r="E62" s="99" t="s">
        <v>678</v>
      </c>
      <c r="F62" s="99" t="s">
        <v>629</v>
      </c>
      <c r="G62" s="99" t="s">
        <v>679</v>
      </c>
    </row>
    <row r="63" spans="1:7" ht="40" customHeight="1" x14ac:dyDescent="0.4">
      <c r="A63" s="98" t="s">
        <v>9</v>
      </c>
      <c r="B63" s="99" t="s">
        <v>114</v>
      </c>
      <c r="C63" s="102" t="s">
        <v>684</v>
      </c>
      <c r="D63" s="99" t="s">
        <v>723</v>
      </c>
      <c r="E63" s="99" t="s">
        <v>689</v>
      </c>
      <c r="F63" s="99" t="s">
        <v>690</v>
      </c>
      <c r="G63" s="99" t="s">
        <v>691</v>
      </c>
    </row>
    <row r="64" spans="1:7" x14ac:dyDescent="0.4">
      <c r="A64" s="178" t="s">
        <v>772</v>
      </c>
      <c r="B64" s="116"/>
      <c r="C64" s="116"/>
      <c r="D64" s="116"/>
      <c r="E64" s="116"/>
      <c r="F64" s="116"/>
      <c r="G64" s="116"/>
    </row>
    <row r="65" spans="1:7" ht="28" customHeight="1" x14ac:dyDescent="0.4">
      <c r="A65" s="98" t="s">
        <v>773</v>
      </c>
      <c r="B65" s="99" t="s">
        <v>118</v>
      </c>
      <c r="C65" s="103" t="s">
        <v>774</v>
      </c>
      <c r="D65" s="99" t="s">
        <v>775</v>
      </c>
      <c r="E65" s="99" t="s">
        <v>628</v>
      </c>
      <c r="F65" s="99" t="s">
        <v>629</v>
      </c>
      <c r="G65" s="99" t="s">
        <v>776</v>
      </c>
    </row>
    <row r="66" spans="1:7" ht="28" customHeight="1" x14ac:dyDescent="0.4">
      <c r="A66" s="98" t="s">
        <v>451</v>
      </c>
      <c r="B66" s="99" t="s">
        <v>118</v>
      </c>
      <c r="C66" s="101" t="s">
        <v>645</v>
      </c>
      <c r="D66" s="99" t="s">
        <v>777</v>
      </c>
      <c r="E66" s="99" t="s">
        <v>778</v>
      </c>
      <c r="F66" s="99" t="s">
        <v>629</v>
      </c>
      <c r="G66" s="99" t="s">
        <v>779</v>
      </c>
    </row>
    <row r="67" spans="1:7" ht="28" customHeight="1" x14ac:dyDescent="0.4">
      <c r="A67" s="98" t="s">
        <v>780</v>
      </c>
      <c r="B67" s="99" t="s">
        <v>118</v>
      </c>
      <c r="C67" s="103" t="s">
        <v>774</v>
      </c>
      <c r="D67" s="99" t="s">
        <v>781</v>
      </c>
      <c r="E67" s="99" t="s">
        <v>628</v>
      </c>
      <c r="F67" s="99" t="s">
        <v>629</v>
      </c>
      <c r="G67" s="99" t="s">
        <v>782</v>
      </c>
    </row>
    <row r="68" spans="1:7" ht="28" customHeight="1" x14ac:dyDescent="0.4">
      <c r="A68" s="98" t="s">
        <v>494</v>
      </c>
      <c r="B68" s="99" t="s">
        <v>118</v>
      </c>
      <c r="C68" s="103" t="s">
        <v>774</v>
      </c>
      <c r="D68" s="99" t="s">
        <v>783</v>
      </c>
      <c r="E68" s="99" t="s">
        <v>628</v>
      </c>
      <c r="F68" s="99" t="s">
        <v>629</v>
      </c>
      <c r="G68" s="99" t="s">
        <v>784</v>
      </c>
    </row>
    <row r="69" spans="1:7" ht="28" customHeight="1" x14ac:dyDescent="0.4">
      <c r="A69" s="98" t="s">
        <v>355</v>
      </c>
      <c r="B69" s="99" t="s">
        <v>118</v>
      </c>
      <c r="C69" s="103" t="s">
        <v>774</v>
      </c>
      <c r="D69" s="99" t="s">
        <v>785</v>
      </c>
      <c r="E69" s="99" t="s">
        <v>628</v>
      </c>
      <c r="F69" s="99" t="s">
        <v>629</v>
      </c>
      <c r="G69" s="99" t="s">
        <v>786</v>
      </c>
    </row>
    <row r="70" spans="1:7" ht="28" customHeight="1" x14ac:dyDescent="0.4">
      <c r="A70" s="98" t="s">
        <v>787</v>
      </c>
      <c r="B70" s="99" t="s">
        <v>118</v>
      </c>
      <c r="C70" s="103" t="s">
        <v>774</v>
      </c>
      <c r="D70" s="99" t="s">
        <v>788</v>
      </c>
      <c r="E70" s="99" t="s">
        <v>628</v>
      </c>
      <c r="F70" s="99" t="s">
        <v>629</v>
      </c>
      <c r="G70" s="99" t="s">
        <v>789</v>
      </c>
    </row>
    <row r="71" spans="1:7" ht="28" customHeight="1" x14ac:dyDescent="0.4">
      <c r="A71" s="98" t="s">
        <v>790</v>
      </c>
      <c r="B71" s="99" t="s">
        <v>118</v>
      </c>
      <c r="C71" s="103" t="s">
        <v>774</v>
      </c>
      <c r="D71" s="99" t="s">
        <v>791</v>
      </c>
      <c r="E71" s="99" t="s">
        <v>792</v>
      </c>
      <c r="F71" s="99" t="s">
        <v>629</v>
      </c>
      <c r="G71" s="99" t="s">
        <v>508</v>
      </c>
    </row>
    <row r="72" spans="1:7" ht="40" customHeight="1" x14ac:dyDescent="0.4">
      <c r="A72" s="98" t="s">
        <v>497</v>
      </c>
      <c r="B72" s="99" t="s">
        <v>118</v>
      </c>
      <c r="C72" s="103" t="s">
        <v>774</v>
      </c>
      <c r="D72" s="99" t="s">
        <v>793</v>
      </c>
      <c r="E72" s="99" t="s">
        <v>628</v>
      </c>
      <c r="F72" s="99" t="s">
        <v>794</v>
      </c>
      <c r="G72" s="99" t="s">
        <v>795</v>
      </c>
    </row>
    <row r="73" spans="1:7" ht="40" customHeight="1" x14ac:dyDescent="0.4">
      <c r="A73" s="98" t="s">
        <v>796</v>
      </c>
      <c r="B73" s="99" t="s">
        <v>118</v>
      </c>
      <c r="C73" s="103" t="s">
        <v>774</v>
      </c>
      <c r="D73" s="99" t="s">
        <v>797</v>
      </c>
      <c r="E73" s="99" t="s">
        <v>628</v>
      </c>
      <c r="F73" s="99" t="s">
        <v>629</v>
      </c>
      <c r="G73" s="99" t="s">
        <v>798</v>
      </c>
    </row>
    <row r="74" spans="1:7" ht="40" customHeight="1" x14ac:dyDescent="0.4">
      <c r="A74" s="98" t="s">
        <v>799</v>
      </c>
      <c r="B74" s="99" t="s">
        <v>118</v>
      </c>
      <c r="C74" s="103" t="s">
        <v>774</v>
      </c>
      <c r="D74" s="99" t="s">
        <v>800</v>
      </c>
      <c r="E74" s="99" t="s">
        <v>628</v>
      </c>
      <c r="F74" s="99" t="s">
        <v>629</v>
      </c>
      <c r="G74" s="99" t="s">
        <v>742</v>
      </c>
    </row>
    <row r="75" spans="1:7" ht="40" customHeight="1" x14ac:dyDescent="0.4">
      <c r="A75" s="98" t="s">
        <v>801</v>
      </c>
      <c r="B75" s="99" t="s">
        <v>118</v>
      </c>
      <c r="C75" s="103" t="s">
        <v>774</v>
      </c>
      <c r="D75" s="99" t="s">
        <v>802</v>
      </c>
      <c r="E75" s="99" t="s">
        <v>628</v>
      </c>
      <c r="F75" s="99" t="s">
        <v>629</v>
      </c>
      <c r="G75" s="99" t="s">
        <v>798</v>
      </c>
    </row>
    <row r="76" spans="1:7" ht="40" customHeight="1" x14ac:dyDescent="0.4">
      <c r="A76" s="98" t="s">
        <v>803</v>
      </c>
      <c r="B76" s="99" t="s">
        <v>118</v>
      </c>
      <c r="C76" s="103" t="s">
        <v>774</v>
      </c>
      <c r="D76" s="99" t="s">
        <v>804</v>
      </c>
      <c r="E76" s="99" t="s">
        <v>628</v>
      </c>
      <c r="F76" s="99" t="s">
        <v>629</v>
      </c>
      <c r="G76" s="99" t="s">
        <v>805</v>
      </c>
    </row>
    <row r="77" spans="1:7" ht="40" customHeight="1" x14ac:dyDescent="0.4">
      <c r="A77" s="98" t="s">
        <v>806</v>
      </c>
      <c r="B77" s="99" t="s">
        <v>118</v>
      </c>
      <c r="C77" s="103" t="s">
        <v>774</v>
      </c>
      <c r="D77" s="99" t="s">
        <v>807</v>
      </c>
      <c r="E77" s="99" t="s">
        <v>628</v>
      </c>
      <c r="F77" s="99" t="s">
        <v>629</v>
      </c>
      <c r="G77" s="99" t="s">
        <v>798</v>
      </c>
    </row>
    <row r="78" spans="1:7" ht="40" customHeight="1" x14ac:dyDescent="0.4">
      <c r="A78" s="98" t="s">
        <v>808</v>
      </c>
      <c r="B78" s="99" t="s">
        <v>118</v>
      </c>
      <c r="C78" s="103" t="s">
        <v>774</v>
      </c>
      <c r="D78" s="99" t="s">
        <v>809</v>
      </c>
      <c r="E78" s="99" t="s">
        <v>628</v>
      </c>
      <c r="F78" s="99" t="s">
        <v>629</v>
      </c>
      <c r="G78" s="99" t="s">
        <v>798</v>
      </c>
    </row>
    <row r="79" spans="1:7" ht="40" customHeight="1" x14ac:dyDescent="0.4">
      <c r="A79" s="98" t="s">
        <v>810</v>
      </c>
      <c r="B79" s="99" t="s">
        <v>118</v>
      </c>
      <c r="C79" s="103" t="s">
        <v>774</v>
      </c>
      <c r="D79" s="99" t="s">
        <v>811</v>
      </c>
      <c r="E79" s="99" t="s">
        <v>628</v>
      </c>
      <c r="F79" s="99" t="s">
        <v>629</v>
      </c>
      <c r="G79" s="99" t="s">
        <v>798</v>
      </c>
    </row>
    <row r="80" spans="1:7" ht="28" customHeight="1" x14ac:dyDescent="0.4">
      <c r="A80" s="98" t="s">
        <v>812</v>
      </c>
      <c r="B80" s="99" t="s">
        <v>118</v>
      </c>
      <c r="C80" s="103" t="s">
        <v>774</v>
      </c>
      <c r="D80" s="99" t="s">
        <v>813</v>
      </c>
      <c r="E80" s="99" t="s">
        <v>628</v>
      </c>
      <c r="F80" s="99" t="s">
        <v>629</v>
      </c>
      <c r="G80" s="99" t="s">
        <v>814</v>
      </c>
    </row>
    <row r="81" spans="1:7" ht="40" customHeight="1" x14ac:dyDescent="0.4">
      <c r="A81" s="98" t="s">
        <v>9</v>
      </c>
      <c r="B81" s="99" t="s">
        <v>118</v>
      </c>
      <c r="C81" s="102" t="s">
        <v>684</v>
      </c>
      <c r="D81" s="99" t="s">
        <v>723</v>
      </c>
      <c r="E81" s="99" t="s">
        <v>689</v>
      </c>
      <c r="F81" s="99" t="s">
        <v>690</v>
      </c>
      <c r="G81" s="99" t="s">
        <v>691</v>
      </c>
    </row>
    <row r="82" spans="1:7" x14ac:dyDescent="0.4">
      <c r="A82" s="178" t="s">
        <v>815</v>
      </c>
      <c r="B82" s="116"/>
      <c r="C82" s="116"/>
      <c r="D82" s="116"/>
      <c r="E82" s="116"/>
      <c r="F82" s="116"/>
      <c r="G82" s="116"/>
    </row>
    <row r="83" spans="1:7" ht="28" customHeight="1" x14ac:dyDescent="0.4">
      <c r="A83" s="98" t="s">
        <v>424</v>
      </c>
      <c r="B83" s="99" t="s">
        <v>122</v>
      </c>
      <c r="C83" s="100" t="s">
        <v>617</v>
      </c>
      <c r="D83" s="99" t="s">
        <v>816</v>
      </c>
      <c r="E83" s="99" t="s">
        <v>619</v>
      </c>
      <c r="F83" s="99" t="s">
        <v>620</v>
      </c>
      <c r="G83" s="99" t="s">
        <v>566</v>
      </c>
    </row>
    <row r="84" spans="1:7" ht="28" customHeight="1" x14ac:dyDescent="0.4">
      <c r="A84" s="98" t="s">
        <v>621</v>
      </c>
      <c r="B84" s="99" t="s">
        <v>122</v>
      </c>
      <c r="C84" s="100" t="s">
        <v>617</v>
      </c>
      <c r="D84" s="99" t="s">
        <v>817</v>
      </c>
      <c r="E84" s="99" t="s">
        <v>623</v>
      </c>
      <c r="F84" s="99" t="s">
        <v>624</v>
      </c>
      <c r="G84" s="99" t="s">
        <v>625</v>
      </c>
    </row>
    <row r="85" spans="1:7" ht="40" customHeight="1" x14ac:dyDescent="0.4">
      <c r="A85" s="98" t="s">
        <v>818</v>
      </c>
      <c r="B85" s="99" t="s">
        <v>122</v>
      </c>
      <c r="C85" s="100" t="s">
        <v>617</v>
      </c>
      <c r="D85" s="99" t="s">
        <v>819</v>
      </c>
      <c r="E85" s="99" t="s">
        <v>820</v>
      </c>
      <c r="F85" s="99" t="s">
        <v>629</v>
      </c>
      <c r="G85" s="99" t="s">
        <v>821</v>
      </c>
    </row>
    <row r="86" spans="1:7" ht="40" customHeight="1" x14ac:dyDescent="0.4">
      <c r="A86" s="98" t="s">
        <v>822</v>
      </c>
      <c r="B86" s="99" t="s">
        <v>122</v>
      </c>
      <c r="C86" s="100" t="s">
        <v>823</v>
      </c>
      <c r="D86" s="99" t="s">
        <v>824</v>
      </c>
      <c r="E86" s="99" t="s">
        <v>628</v>
      </c>
      <c r="F86" s="99" t="s">
        <v>629</v>
      </c>
      <c r="G86" s="99" t="s">
        <v>825</v>
      </c>
    </row>
    <row r="87" spans="1:7" ht="28" customHeight="1" x14ac:dyDescent="0.4">
      <c r="A87" s="98" t="s">
        <v>826</v>
      </c>
      <c r="B87" s="99" t="s">
        <v>122</v>
      </c>
      <c r="C87" s="101" t="s">
        <v>655</v>
      </c>
      <c r="D87" s="99" t="s">
        <v>827</v>
      </c>
      <c r="E87" s="99" t="s">
        <v>828</v>
      </c>
      <c r="F87" s="99" t="s">
        <v>629</v>
      </c>
      <c r="G87" s="99" t="s">
        <v>805</v>
      </c>
    </row>
    <row r="88" spans="1:7" ht="40" customHeight="1" x14ac:dyDescent="0.4">
      <c r="A88" s="98" t="s">
        <v>829</v>
      </c>
      <c r="B88" s="99" t="s">
        <v>122</v>
      </c>
      <c r="C88" s="101" t="s">
        <v>655</v>
      </c>
      <c r="D88" s="99" t="s">
        <v>830</v>
      </c>
      <c r="E88" s="99" t="s">
        <v>831</v>
      </c>
      <c r="F88" s="99" t="s">
        <v>629</v>
      </c>
      <c r="G88" s="99"/>
    </row>
    <row r="89" spans="1:7" ht="40" customHeight="1" x14ac:dyDescent="0.4">
      <c r="A89" s="98" t="s">
        <v>832</v>
      </c>
      <c r="B89" s="99" t="s">
        <v>122</v>
      </c>
      <c r="C89" s="101" t="s">
        <v>655</v>
      </c>
      <c r="D89" s="99" t="s">
        <v>833</v>
      </c>
      <c r="E89" s="99" t="s">
        <v>834</v>
      </c>
      <c r="F89" s="99" t="s">
        <v>629</v>
      </c>
      <c r="G89" s="99"/>
    </row>
    <row r="90" spans="1:7" ht="88" customHeight="1" x14ac:dyDescent="0.4">
      <c r="A90" s="98" t="s">
        <v>835</v>
      </c>
      <c r="B90" s="99" t="s">
        <v>122</v>
      </c>
      <c r="C90" s="101" t="s">
        <v>655</v>
      </c>
      <c r="D90" s="99" t="s">
        <v>836</v>
      </c>
      <c r="E90" s="99" t="s">
        <v>629</v>
      </c>
      <c r="F90" s="99" t="s">
        <v>629</v>
      </c>
      <c r="G90" s="99"/>
    </row>
    <row r="91" spans="1:7" ht="28" customHeight="1" x14ac:dyDescent="0.4">
      <c r="A91" s="98" t="s">
        <v>680</v>
      </c>
      <c r="B91" s="99" t="s">
        <v>122</v>
      </c>
      <c r="C91" s="101" t="s">
        <v>655</v>
      </c>
      <c r="D91" s="99" t="s">
        <v>681</v>
      </c>
      <c r="E91" s="99" t="s">
        <v>682</v>
      </c>
      <c r="F91" s="99" t="s">
        <v>629</v>
      </c>
      <c r="G91" s="99" t="s">
        <v>625</v>
      </c>
    </row>
    <row r="92" spans="1:7" x14ac:dyDescent="0.4">
      <c r="A92" s="178" t="s">
        <v>837</v>
      </c>
      <c r="B92" s="116"/>
      <c r="C92" s="116"/>
      <c r="D92" s="116"/>
      <c r="E92" s="116"/>
      <c r="F92" s="116"/>
      <c r="G92" s="116"/>
    </row>
    <row r="93" spans="1:7" ht="28" customHeight="1" x14ac:dyDescent="0.4">
      <c r="A93" s="98" t="s">
        <v>451</v>
      </c>
      <c r="B93" s="99" t="s">
        <v>125</v>
      </c>
      <c r="C93" s="103" t="s">
        <v>774</v>
      </c>
      <c r="D93" s="99" t="s">
        <v>838</v>
      </c>
      <c r="E93" s="99" t="s">
        <v>778</v>
      </c>
      <c r="F93" s="99" t="s">
        <v>629</v>
      </c>
      <c r="G93" s="99" t="s">
        <v>779</v>
      </c>
    </row>
    <row r="94" spans="1:7" ht="28" customHeight="1" x14ac:dyDescent="0.4">
      <c r="A94" s="98" t="s">
        <v>89</v>
      </c>
      <c r="B94" s="99" t="s">
        <v>125</v>
      </c>
      <c r="C94" s="101" t="s">
        <v>655</v>
      </c>
      <c r="D94" s="99" t="s">
        <v>839</v>
      </c>
      <c r="E94" s="99" t="s">
        <v>629</v>
      </c>
      <c r="F94" s="99" t="s">
        <v>629</v>
      </c>
      <c r="G94" s="99" t="s">
        <v>742</v>
      </c>
    </row>
    <row r="95" spans="1:7" ht="52" customHeight="1" x14ac:dyDescent="0.4">
      <c r="A95" s="98" t="s">
        <v>840</v>
      </c>
      <c r="B95" s="99" t="s">
        <v>125</v>
      </c>
      <c r="C95" s="103" t="s">
        <v>774</v>
      </c>
      <c r="D95" s="99" t="s">
        <v>841</v>
      </c>
      <c r="E95" s="99" t="s">
        <v>628</v>
      </c>
      <c r="F95" s="99" t="s">
        <v>629</v>
      </c>
      <c r="G95" s="99" t="s">
        <v>842</v>
      </c>
    </row>
    <row r="96" spans="1:7" ht="64" customHeight="1" x14ac:dyDescent="0.4">
      <c r="A96" s="98" t="s">
        <v>843</v>
      </c>
      <c r="B96" s="99" t="s">
        <v>125</v>
      </c>
      <c r="C96" s="101" t="s">
        <v>655</v>
      </c>
      <c r="D96" s="99" t="s">
        <v>844</v>
      </c>
      <c r="E96" s="99" t="s">
        <v>629</v>
      </c>
      <c r="F96" s="99" t="s">
        <v>629</v>
      </c>
      <c r="G96" s="99" t="s">
        <v>845</v>
      </c>
    </row>
    <row r="97" spans="1:7" ht="28" customHeight="1" x14ac:dyDescent="0.4">
      <c r="A97" s="98" t="s">
        <v>680</v>
      </c>
      <c r="B97" s="99" t="s">
        <v>125</v>
      </c>
      <c r="C97" s="101" t="s">
        <v>655</v>
      </c>
      <c r="D97" s="99" t="s">
        <v>681</v>
      </c>
      <c r="E97" s="99" t="s">
        <v>682</v>
      </c>
      <c r="F97" s="99" t="s">
        <v>629</v>
      </c>
      <c r="G97" s="99" t="s">
        <v>846</v>
      </c>
    </row>
    <row r="98" spans="1:7" x14ac:dyDescent="0.4">
      <c r="A98" s="178" t="s">
        <v>847</v>
      </c>
      <c r="B98" s="116"/>
      <c r="C98" s="116"/>
      <c r="D98" s="116"/>
      <c r="E98" s="116"/>
      <c r="F98" s="116"/>
      <c r="G98" s="116"/>
    </row>
    <row r="99" spans="1:7" ht="28" customHeight="1" x14ac:dyDescent="0.4">
      <c r="A99" s="98" t="s">
        <v>848</v>
      </c>
      <c r="B99" s="99" t="s">
        <v>128</v>
      </c>
      <c r="C99" s="101" t="s">
        <v>655</v>
      </c>
      <c r="D99" s="99" t="s">
        <v>849</v>
      </c>
      <c r="E99" s="99" t="s">
        <v>850</v>
      </c>
      <c r="F99" s="99" t="s">
        <v>629</v>
      </c>
      <c r="G99" s="99" t="s">
        <v>566</v>
      </c>
    </row>
    <row r="100" spans="1:7" ht="28" customHeight="1" x14ac:dyDescent="0.4">
      <c r="A100" s="98" t="s">
        <v>851</v>
      </c>
      <c r="B100" s="99" t="s">
        <v>128</v>
      </c>
      <c r="C100" s="101" t="s">
        <v>655</v>
      </c>
      <c r="D100" s="99" t="s">
        <v>852</v>
      </c>
      <c r="E100" s="99" t="s">
        <v>853</v>
      </c>
      <c r="F100" s="99" t="s">
        <v>629</v>
      </c>
      <c r="G100" s="99" t="s">
        <v>18</v>
      </c>
    </row>
    <row r="101" spans="1:7" ht="28" customHeight="1" x14ac:dyDescent="0.4">
      <c r="A101" s="98" t="s">
        <v>161</v>
      </c>
      <c r="B101" s="99" t="s">
        <v>128</v>
      </c>
      <c r="C101" s="101" t="s">
        <v>655</v>
      </c>
      <c r="D101" s="99" t="s">
        <v>854</v>
      </c>
      <c r="E101" s="99" t="s">
        <v>855</v>
      </c>
      <c r="F101" s="99" t="s">
        <v>629</v>
      </c>
      <c r="G101" s="99" t="s">
        <v>555</v>
      </c>
    </row>
    <row r="102" spans="1:7" ht="28" customHeight="1" x14ac:dyDescent="0.4">
      <c r="A102" s="98" t="s">
        <v>162</v>
      </c>
      <c r="B102" s="99" t="s">
        <v>128</v>
      </c>
      <c r="C102" s="101" t="s">
        <v>655</v>
      </c>
      <c r="D102" s="99" t="s">
        <v>856</v>
      </c>
      <c r="E102" s="99" t="s">
        <v>857</v>
      </c>
      <c r="F102" s="99" t="s">
        <v>629</v>
      </c>
      <c r="G102" s="99" t="s">
        <v>858</v>
      </c>
    </row>
    <row r="103" spans="1:7" ht="40" customHeight="1" x14ac:dyDescent="0.4">
      <c r="A103" s="98" t="s">
        <v>859</v>
      </c>
      <c r="B103" s="99" t="s">
        <v>128</v>
      </c>
      <c r="C103" s="101" t="s">
        <v>655</v>
      </c>
      <c r="D103" s="99" t="s">
        <v>860</v>
      </c>
      <c r="E103" s="99" t="s">
        <v>861</v>
      </c>
      <c r="F103" s="99" t="s">
        <v>629</v>
      </c>
      <c r="G103" s="99" t="s">
        <v>192</v>
      </c>
    </row>
    <row r="104" spans="1:7" ht="28" customHeight="1" x14ac:dyDescent="0.4">
      <c r="A104" s="98" t="s">
        <v>862</v>
      </c>
      <c r="B104" s="99" t="s">
        <v>128</v>
      </c>
      <c r="C104" s="101" t="s">
        <v>655</v>
      </c>
      <c r="D104" s="99" t="s">
        <v>863</v>
      </c>
      <c r="E104" s="99" t="s">
        <v>864</v>
      </c>
      <c r="F104" s="99" t="s">
        <v>629</v>
      </c>
      <c r="G104" s="99" t="s">
        <v>27</v>
      </c>
    </row>
    <row r="105" spans="1:7" ht="52" customHeight="1" x14ac:dyDescent="0.4">
      <c r="A105" s="98" t="s">
        <v>865</v>
      </c>
      <c r="B105" s="99" t="s">
        <v>128</v>
      </c>
      <c r="C105" s="102" t="s">
        <v>684</v>
      </c>
      <c r="D105" s="99" t="s">
        <v>866</v>
      </c>
      <c r="E105" s="99" t="s">
        <v>867</v>
      </c>
      <c r="F105" s="99" t="s">
        <v>868</v>
      </c>
      <c r="G105" s="99" t="s">
        <v>869</v>
      </c>
    </row>
    <row r="106" spans="1:7" ht="52" customHeight="1" x14ac:dyDescent="0.4">
      <c r="A106" s="98" t="s">
        <v>870</v>
      </c>
      <c r="B106" s="99" t="s">
        <v>128</v>
      </c>
      <c r="C106" s="102" t="s">
        <v>684</v>
      </c>
      <c r="D106" s="99" t="s">
        <v>871</v>
      </c>
      <c r="E106" s="99" t="s">
        <v>872</v>
      </c>
      <c r="F106" s="99" t="s">
        <v>629</v>
      </c>
      <c r="G106" s="99" t="s">
        <v>742</v>
      </c>
    </row>
    <row r="107" spans="1:7" ht="64" customHeight="1" x14ac:dyDescent="0.4">
      <c r="A107" s="98" t="s">
        <v>873</v>
      </c>
      <c r="B107" s="99" t="s">
        <v>128</v>
      </c>
      <c r="C107" s="102" t="s">
        <v>684</v>
      </c>
      <c r="D107" s="99" t="s">
        <v>874</v>
      </c>
      <c r="E107" s="99" t="s">
        <v>875</v>
      </c>
      <c r="F107" s="99" t="s">
        <v>629</v>
      </c>
      <c r="G107" s="99" t="s">
        <v>876</v>
      </c>
    </row>
    <row r="108" spans="1:7" ht="28" customHeight="1" x14ac:dyDescent="0.4">
      <c r="A108" s="98" t="s">
        <v>877</v>
      </c>
      <c r="B108" s="99" t="s">
        <v>128</v>
      </c>
      <c r="C108" s="102" t="s">
        <v>684</v>
      </c>
      <c r="D108" s="99" t="s">
        <v>878</v>
      </c>
      <c r="E108" s="99" t="s">
        <v>686</v>
      </c>
      <c r="F108" s="99" t="s">
        <v>629</v>
      </c>
      <c r="G108" s="99" t="s">
        <v>687</v>
      </c>
    </row>
    <row r="109" spans="1:7" ht="28" customHeight="1" x14ac:dyDescent="0.4">
      <c r="A109" s="98" t="s">
        <v>692</v>
      </c>
      <c r="B109" s="99" t="s">
        <v>128</v>
      </c>
      <c r="C109" s="102" t="s">
        <v>684</v>
      </c>
      <c r="D109" s="99" t="s">
        <v>693</v>
      </c>
      <c r="E109" s="99" t="s">
        <v>694</v>
      </c>
      <c r="F109" s="99" t="s">
        <v>629</v>
      </c>
      <c r="G109" s="99" t="s">
        <v>695</v>
      </c>
    </row>
    <row r="110" spans="1:7" ht="28" customHeight="1" x14ac:dyDescent="0.4">
      <c r="A110" s="98" t="s">
        <v>417</v>
      </c>
      <c r="B110" s="99" t="s">
        <v>128</v>
      </c>
      <c r="C110" s="102" t="s">
        <v>684</v>
      </c>
      <c r="D110" s="99" t="s">
        <v>879</v>
      </c>
      <c r="E110" s="99" t="s">
        <v>880</v>
      </c>
      <c r="F110" s="99" t="s">
        <v>629</v>
      </c>
      <c r="G110" s="99" t="s">
        <v>881</v>
      </c>
    </row>
    <row r="111" spans="1:7" x14ac:dyDescent="0.4">
      <c r="A111" s="178" t="s">
        <v>882</v>
      </c>
      <c r="B111" s="116"/>
      <c r="C111" s="116"/>
      <c r="D111" s="116"/>
      <c r="E111" s="116"/>
      <c r="F111" s="116"/>
      <c r="G111" s="116"/>
    </row>
    <row r="112" spans="1:7" ht="28" customHeight="1" x14ac:dyDescent="0.4">
      <c r="A112" s="98" t="s">
        <v>386</v>
      </c>
      <c r="B112" s="99" t="s">
        <v>883</v>
      </c>
      <c r="C112" s="101" t="s">
        <v>645</v>
      </c>
      <c r="D112" s="99" t="s">
        <v>884</v>
      </c>
      <c r="E112" s="99" t="s">
        <v>885</v>
      </c>
      <c r="F112" s="99" t="s">
        <v>886</v>
      </c>
      <c r="G112" s="99" t="s">
        <v>887</v>
      </c>
    </row>
    <row r="113" spans="1:7" ht="28" customHeight="1" x14ac:dyDescent="0.4">
      <c r="A113" s="98" t="s">
        <v>387</v>
      </c>
      <c r="B113" s="99" t="s">
        <v>81</v>
      </c>
      <c r="C113" s="101" t="s">
        <v>645</v>
      </c>
      <c r="D113" s="99" t="s">
        <v>888</v>
      </c>
      <c r="E113" s="99" t="s">
        <v>889</v>
      </c>
      <c r="F113" s="99" t="s">
        <v>890</v>
      </c>
      <c r="G113" s="99" t="s">
        <v>891</v>
      </c>
    </row>
    <row r="114" spans="1:7" ht="28" customHeight="1" x14ac:dyDescent="0.4">
      <c r="A114" s="98" t="s">
        <v>193</v>
      </c>
      <c r="B114" s="99" t="s">
        <v>892</v>
      </c>
      <c r="C114" s="101" t="s">
        <v>645</v>
      </c>
      <c r="D114" s="99" t="s">
        <v>893</v>
      </c>
      <c r="E114" s="99" t="s">
        <v>894</v>
      </c>
      <c r="F114" s="99" t="s">
        <v>895</v>
      </c>
      <c r="G114" s="99" t="s">
        <v>896</v>
      </c>
    </row>
    <row r="115" spans="1:7" ht="28" customHeight="1" x14ac:dyDescent="0.4">
      <c r="A115" s="98" t="s">
        <v>186</v>
      </c>
      <c r="B115" s="99" t="s">
        <v>897</v>
      </c>
      <c r="C115" s="101" t="s">
        <v>645</v>
      </c>
      <c r="D115" s="99" t="s">
        <v>898</v>
      </c>
      <c r="E115" s="99" t="s">
        <v>899</v>
      </c>
      <c r="F115" s="99" t="s">
        <v>900</v>
      </c>
      <c r="G115" s="99" t="s">
        <v>901</v>
      </c>
    </row>
    <row r="116" spans="1:7" ht="28" customHeight="1" x14ac:dyDescent="0.4">
      <c r="A116" s="98" t="s">
        <v>183</v>
      </c>
      <c r="B116" s="99" t="s">
        <v>66</v>
      </c>
      <c r="C116" s="101" t="s">
        <v>902</v>
      </c>
      <c r="D116" s="99" t="s">
        <v>903</v>
      </c>
      <c r="E116" s="99" t="s">
        <v>904</v>
      </c>
      <c r="F116" s="99" t="s">
        <v>900</v>
      </c>
      <c r="G116" s="99" t="s">
        <v>905</v>
      </c>
    </row>
    <row r="117" spans="1:7" ht="40" customHeight="1" x14ac:dyDescent="0.4">
      <c r="A117" s="98" t="s">
        <v>906</v>
      </c>
      <c r="B117" s="99" t="s">
        <v>66</v>
      </c>
      <c r="C117" s="101" t="s">
        <v>645</v>
      </c>
      <c r="D117" s="99" t="s">
        <v>907</v>
      </c>
      <c r="E117" s="99" t="s">
        <v>908</v>
      </c>
      <c r="F117" s="99" t="s">
        <v>900</v>
      </c>
      <c r="G117" s="99" t="s">
        <v>901</v>
      </c>
    </row>
    <row r="118" spans="1:7" ht="28" customHeight="1" x14ac:dyDescent="0.4">
      <c r="A118" s="98" t="s">
        <v>909</v>
      </c>
      <c r="B118" s="99" t="s">
        <v>910</v>
      </c>
      <c r="C118" s="101" t="s">
        <v>645</v>
      </c>
      <c r="D118" s="99" t="s">
        <v>911</v>
      </c>
      <c r="E118" s="99" t="s">
        <v>912</v>
      </c>
      <c r="F118" s="99" t="s">
        <v>900</v>
      </c>
      <c r="G118" s="99" t="s">
        <v>913</v>
      </c>
    </row>
    <row r="119" spans="1:7" ht="64" customHeight="1" x14ac:dyDescent="0.4">
      <c r="A119" s="98" t="s">
        <v>213</v>
      </c>
      <c r="B119" s="99" t="s">
        <v>914</v>
      </c>
      <c r="C119" s="101" t="s">
        <v>645</v>
      </c>
      <c r="D119" s="99" t="s">
        <v>915</v>
      </c>
      <c r="E119" s="99" t="s">
        <v>916</v>
      </c>
      <c r="F119" s="99" t="s">
        <v>917</v>
      </c>
      <c r="G119" s="99" t="s">
        <v>3</v>
      </c>
    </row>
    <row r="120" spans="1:7" ht="28" customHeight="1" x14ac:dyDescent="0.4">
      <c r="A120" s="98" t="s">
        <v>918</v>
      </c>
      <c r="B120" s="99" t="s">
        <v>81</v>
      </c>
      <c r="C120" s="101" t="s">
        <v>645</v>
      </c>
      <c r="D120" s="99" t="s">
        <v>919</v>
      </c>
      <c r="E120" s="99" t="s">
        <v>920</v>
      </c>
      <c r="F120" s="99" t="s">
        <v>921</v>
      </c>
      <c r="G120" s="99" t="s">
        <v>922</v>
      </c>
    </row>
    <row r="121" spans="1:7" ht="28" customHeight="1" x14ac:dyDescent="0.4">
      <c r="A121" s="98" t="s">
        <v>393</v>
      </c>
      <c r="B121" s="99" t="s">
        <v>81</v>
      </c>
      <c r="C121" s="101" t="s">
        <v>923</v>
      </c>
      <c r="D121" s="99" t="s">
        <v>924</v>
      </c>
      <c r="E121" s="99" t="s">
        <v>925</v>
      </c>
      <c r="F121" s="99" t="s">
        <v>926</v>
      </c>
      <c r="G121" s="99" t="s">
        <v>927</v>
      </c>
    </row>
    <row r="122" spans="1:7" ht="28" customHeight="1" x14ac:dyDescent="0.4">
      <c r="A122" s="98" t="s">
        <v>928</v>
      </c>
      <c r="B122" s="99" t="s">
        <v>929</v>
      </c>
      <c r="C122" s="101" t="s">
        <v>645</v>
      </c>
      <c r="D122" s="99" t="s">
        <v>930</v>
      </c>
      <c r="E122" s="99" t="s">
        <v>931</v>
      </c>
      <c r="F122" s="99" t="s">
        <v>932</v>
      </c>
      <c r="G122" s="99" t="s">
        <v>805</v>
      </c>
    </row>
    <row r="123" spans="1:7" ht="40" customHeight="1" x14ac:dyDescent="0.4">
      <c r="A123" s="98" t="s">
        <v>45</v>
      </c>
      <c r="B123" s="99" t="s">
        <v>58</v>
      </c>
      <c r="C123" s="101" t="s">
        <v>645</v>
      </c>
      <c r="D123" s="99" t="s">
        <v>933</v>
      </c>
      <c r="E123" s="99" t="s">
        <v>934</v>
      </c>
      <c r="F123" s="99" t="s">
        <v>935</v>
      </c>
      <c r="G123" s="99" t="s">
        <v>936</v>
      </c>
    </row>
    <row r="124" spans="1:7" ht="28" customHeight="1" x14ac:dyDescent="0.4">
      <c r="A124" s="98" t="s">
        <v>463</v>
      </c>
      <c r="B124" s="99" t="s">
        <v>92</v>
      </c>
      <c r="C124" s="101" t="s">
        <v>645</v>
      </c>
      <c r="D124" s="99" t="s">
        <v>937</v>
      </c>
      <c r="E124" s="99" t="s">
        <v>938</v>
      </c>
      <c r="F124" s="99" t="s">
        <v>624</v>
      </c>
      <c r="G124" s="99" t="s">
        <v>939</v>
      </c>
    </row>
    <row r="125" spans="1:7" ht="52" customHeight="1" x14ac:dyDescent="0.4">
      <c r="A125" s="98" t="s">
        <v>940</v>
      </c>
      <c r="B125" s="99" t="s">
        <v>941</v>
      </c>
      <c r="C125" s="101" t="s">
        <v>942</v>
      </c>
      <c r="D125" s="99" t="s">
        <v>943</v>
      </c>
      <c r="E125" s="99" t="s">
        <v>944</v>
      </c>
      <c r="F125" s="99" t="s">
        <v>945</v>
      </c>
      <c r="G125" s="99" t="s">
        <v>946</v>
      </c>
    </row>
    <row r="126" spans="1:7" x14ac:dyDescent="0.4">
      <c r="A126" s="178" t="s">
        <v>947</v>
      </c>
      <c r="B126" s="116"/>
      <c r="C126" s="116"/>
      <c r="D126" s="116"/>
      <c r="E126" s="116"/>
      <c r="F126" s="116"/>
      <c r="G126" s="116"/>
    </row>
    <row r="127" spans="1:7" ht="28" customHeight="1" x14ac:dyDescent="0.4">
      <c r="A127" s="98" t="s">
        <v>948</v>
      </c>
      <c r="B127" s="99" t="s">
        <v>949</v>
      </c>
      <c r="C127" s="102" t="s">
        <v>950</v>
      </c>
      <c r="D127" s="99" t="s">
        <v>951</v>
      </c>
      <c r="E127" s="99" t="s">
        <v>952</v>
      </c>
      <c r="F127" s="99" t="s">
        <v>953</v>
      </c>
      <c r="G127" s="99" t="str">
        <f>FIXED(pesoImpatto,2)&amp;" / "&amp;FIXED(pesoProbabilita,2)&amp;" / "&amp;FIXED(pesoProssimita,2)&amp;" / "&amp;FIXED(pesoVelocity,2)</f>
        <v>0,35 / 0,25 / 0,20 / 0,20</v>
      </c>
    </row>
    <row r="128" spans="1:7" ht="28" customHeight="1" x14ac:dyDescent="0.4">
      <c r="A128" s="98" t="s">
        <v>954</v>
      </c>
      <c r="B128" s="99" t="s">
        <v>955</v>
      </c>
      <c r="C128" s="102" t="s">
        <v>956</v>
      </c>
      <c r="D128" s="99" t="s">
        <v>957</v>
      </c>
      <c r="E128" s="99" t="s">
        <v>958</v>
      </c>
      <c r="F128" s="99" t="s">
        <v>926</v>
      </c>
      <c r="G128" s="99" t="str">
        <f>FIXED(sogliaDirezione,0)</f>
        <v>2</v>
      </c>
    </row>
    <row r="129" spans="1:7" ht="28" customHeight="1" x14ac:dyDescent="0.4">
      <c r="A129" s="98" t="s">
        <v>959</v>
      </c>
      <c r="B129" s="99" t="s">
        <v>960</v>
      </c>
      <c r="C129" s="102" t="s">
        <v>956</v>
      </c>
      <c r="D129" s="99" t="s">
        <v>961</v>
      </c>
      <c r="E129" s="99" t="s">
        <v>962</v>
      </c>
      <c r="F129" s="99" t="s">
        <v>963</v>
      </c>
      <c r="G129" s="99" t="str">
        <f>FIXED(sogliaDelta,2)</f>
        <v>0,30</v>
      </c>
    </row>
    <row r="130" spans="1:7" ht="28" customHeight="1" x14ac:dyDescent="0.4">
      <c r="A130" s="98" t="s">
        <v>964</v>
      </c>
      <c r="B130" s="99" t="s">
        <v>965</v>
      </c>
      <c r="C130" s="102" t="s">
        <v>966</v>
      </c>
      <c r="D130" s="99" t="s">
        <v>967</v>
      </c>
      <c r="E130" s="99" t="s">
        <v>968</v>
      </c>
      <c r="F130" s="99" t="s">
        <v>900</v>
      </c>
      <c r="G130" s="99" t="s">
        <v>969</v>
      </c>
    </row>
    <row r="131" spans="1:7" ht="40" customHeight="1" x14ac:dyDescent="0.4">
      <c r="A131" s="98" t="s">
        <v>970</v>
      </c>
      <c r="B131" s="99" t="s">
        <v>971</v>
      </c>
      <c r="C131" s="102" t="s">
        <v>972</v>
      </c>
      <c r="D131" s="99" t="s">
        <v>973</v>
      </c>
      <c r="E131" s="99" t="s">
        <v>974</v>
      </c>
      <c r="F131" s="99" t="s">
        <v>975</v>
      </c>
      <c r="G131" s="99" t="str">
        <f>FIXED(livelloPxI,0)&amp;" / "&amp;FIXED(livelloQuotaKRI*100,0)&amp;"% / "&amp;FIXED(livelloMargine,2)&amp;" / "&amp;FIXED(livelloForti,0)</f>
        <v>12 / 50% / 1,00 / 2</v>
      </c>
    </row>
    <row r="132" spans="1:7" ht="28" customHeight="1" x14ac:dyDescent="0.4">
      <c r="A132" s="98" t="s">
        <v>169</v>
      </c>
      <c r="B132" s="99" t="s">
        <v>976</v>
      </c>
      <c r="C132" s="102" t="s">
        <v>977</v>
      </c>
      <c r="D132" s="99" t="s">
        <v>978</v>
      </c>
      <c r="E132" s="99" t="s">
        <v>979</v>
      </c>
      <c r="F132" s="99" t="s">
        <v>935</v>
      </c>
      <c r="G132" s="99" t="s">
        <v>511</v>
      </c>
    </row>
    <row r="133" spans="1:7" ht="28" customHeight="1" x14ac:dyDescent="0.4">
      <c r="A133" s="98" t="s">
        <v>505</v>
      </c>
      <c r="B133" s="99" t="s">
        <v>980</v>
      </c>
      <c r="C133" s="102" t="s">
        <v>981</v>
      </c>
      <c r="D133" s="99" t="s">
        <v>982</v>
      </c>
      <c r="E133" s="99" t="s">
        <v>983</v>
      </c>
      <c r="F133" s="99" t="s">
        <v>984</v>
      </c>
      <c r="G133" s="99" t="s">
        <v>985</v>
      </c>
    </row>
    <row r="134" spans="1:7" ht="28" customHeight="1" x14ac:dyDescent="0.4">
      <c r="A134" s="98" t="s">
        <v>506</v>
      </c>
      <c r="B134" s="99" t="s">
        <v>986</v>
      </c>
      <c r="C134" s="102" t="s">
        <v>977</v>
      </c>
      <c r="D134" s="99" t="s">
        <v>987</v>
      </c>
      <c r="E134" s="99" t="s">
        <v>988</v>
      </c>
      <c r="F134" s="99" t="s">
        <v>762</v>
      </c>
      <c r="G134" s="99" t="s">
        <v>512</v>
      </c>
    </row>
    <row r="135" spans="1:7" ht="40" customHeight="1" x14ac:dyDescent="0.4">
      <c r="A135" s="98" t="s">
        <v>507</v>
      </c>
      <c r="B135" s="99" t="s">
        <v>989</v>
      </c>
      <c r="C135" s="102" t="s">
        <v>977</v>
      </c>
      <c r="D135" s="99" t="s">
        <v>990</v>
      </c>
      <c r="E135" s="99" t="s">
        <v>991</v>
      </c>
      <c r="F135" s="99" t="s">
        <v>992</v>
      </c>
      <c r="G135" s="99" t="s">
        <v>513</v>
      </c>
    </row>
  </sheetData>
  <mergeCells count="11">
    <mergeCell ref="A111:G111"/>
    <mergeCell ref="A1:G1"/>
    <mergeCell ref="A126:G126"/>
    <mergeCell ref="A92:G92"/>
    <mergeCell ref="A30:G30"/>
    <mergeCell ref="A2:G2"/>
    <mergeCell ref="A64:G64"/>
    <mergeCell ref="A82:G82"/>
    <mergeCell ref="A98:G98"/>
    <mergeCell ref="A43:G43"/>
    <mergeCell ref="A5:G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50"/>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4" width="15" customWidth="1"/>
  </cols>
  <sheetData>
    <row r="1" spans="1:24" ht="28" customHeight="1" x14ac:dyDescent="0.4">
      <c r="A1" s="146" t="str">
        <f>"Horizon Scan NFR — RiskRegister — valutazioni dei rischi, una riga per rischio per ciclo   ·   "&amp;etichettaCiclo</f>
        <v>Horizon Scan NFR — RiskRegister — valutazioni dei rischi, una riga per rischio per ciclo   ·   Ciclo 2026Q3 · dati al 30/09/2026 · da validare · Uso interno</v>
      </c>
      <c r="B1" s="147"/>
      <c r="C1" s="147"/>
      <c r="D1" s="147"/>
      <c r="E1" s="147"/>
      <c r="F1" s="147"/>
      <c r="G1" s="147"/>
      <c r="H1" s="147"/>
      <c r="I1" s="147"/>
      <c r="J1" s="147"/>
      <c r="K1" s="147"/>
      <c r="L1" s="147"/>
    </row>
    <row r="2" spans="1:24" ht="99.55" customHeight="1" x14ac:dyDescent="0.4">
      <c r="A2" s="136" t="s">
        <v>993</v>
      </c>
      <c r="B2" s="116"/>
      <c r="C2" s="116"/>
      <c r="D2" s="116"/>
      <c r="E2" s="116"/>
      <c r="F2" s="116"/>
      <c r="G2" s="116"/>
      <c r="H2" s="116"/>
      <c r="I2" s="116"/>
      <c r="J2" s="116"/>
      <c r="K2" s="116"/>
      <c r="L2" s="116"/>
    </row>
    <row r="3" spans="1:24" x14ac:dyDescent="0.4">
      <c r="A3" s="179" t="s">
        <v>994</v>
      </c>
      <c r="B3" s="116"/>
      <c r="C3" s="116"/>
      <c r="D3" s="116"/>
      <c r="E3" s="116"/>
      <c r="F3" s="116"/>
      <c r="G3" s="116"/>
      <c r="H3" s="116"/>
      <c r="I3" s="116"/>
      <c r="J3" s="105" t="s">
        <v>995</v>
      </c>
      <c r="K3" s="179" t="s">
        <v>994</v>
      </c>
      <c r="L3" s="116"/>
      <c r="M3" s="105" t="s">
        <v>996</v>
      </c>
      <c r="N3" s="179" t="s">
        <v>994</v>
      </c>
      <c r="O3" s="116"/>
      <c r="P3" s="116"/>
      <c r="Q3" s="116"/>
      <c r="R3" s="180" t="s">
        <v>996</v>
      </c>
      <c r="S3" s="116"/>
      <c r="T3" s="105" t="s">
        <v>995</v>
      </c>
      <c r="U3" s="105" t="s">
        <v>996</v>
      </c>
      <c r="V3" s="181" t="s">
        <v>997</v>
      </c>
      <c r="W3" s="116"/>
      <c r="X3" s="116"/>
    </row>
    <row r="4" spans="1:24" ht="91" customHeight="1" x14ac:dyDescent="0.4">
      <c r="A4" s="107" t="s">
        <v>998</v>
      </c>
      <c r="B4" s="107" t="s">
        <v>999</v>
      </c>
      <c r="C4" s="107" t="s">
        <v>1000</v>
      </c>
      <c r="D4" s="107" t="s">
        <v>1001</v>
      </c>
      <c r="E4" s="107" t="s">
        <v>1002</v>
      </c>
      <c r="F4" s="107" t="s">
        <v>1003</v>
      </c>
      <c r="G4" s="107" t="s">
        <v>1004</v>
      </c>
      <c r="H4" s="107" t="s">
        <v>1005</v>
      </c>
      <c r="I4" s="107" t="s">
        <v>1006</v>
      </c>
      <c r="J4" s="107" t="s">
        <v>1007</v>
      </c>
      <c r="K4" s="107" t="s">
        <v>1008</v>
      </c>
      <c r="L4" s="107" t="s">
        <v>1009</v>
      </c>
      <c r="M4" s="107" t="s">
        <v>1010</v>
      </c>
      <c r="N4" s="107" t="s">
        <v>1011</v>
      </c>
      <c r="O4" s="107" t="s">
        <v>1012</v>
      </c>
      <c r="P4" s="107" t="s">
        <v>1013</v>
      </c>
      <c r="Q4" s="107" t="s">
        <v>1014</v>
      </c>
      <c r="R4" s="107" t="s">
        <v>1015</v>
      </c>
      <c r="S4" s="107" t="s">
        <v>1016</v>
      </c>
      <c r="T4" s="107" t="s">
        <v>1017</v>
      </c>
      <c r="U4" s="107" t="s">
        <v>1018</v>
      </c>
      <c r="V4" s="107" t="s">
        <v>1019</v>
      </c>
      <c r="W4" s="107" t="s">
        <v>1020</v>
      </c>
      <c r="X4" s="107" t="s">
        <v>1021</v>
      </c>
    </row>
    <row r="5" spans="1:24" x14ac:dyDescent="0.4">
      <c r="A5" s="108" t="s">
        <v>424</v>
      </c>
      <c r="B5" s="108" t="s">
        <v>621</v>
      </c>
      <c r="C5" s="108" t="s">
        <v>626</v>
      </c>
      <c r="D5" s="108" t="s">
        <v>162</v>
      </c>
      <c r="E5" s="108" t="s">
        <v>503</v>
      </c>
      <c r="F5" s="108" t="s">
        <v>504</v>
      </c>
      <c r="G5" s="108" t="s">
        <v>191</v>
      </c>
      <c r="H5" s="108" t="s">
        <v>277</v>
      </c>
      <c r="I5" s="108" t="s">
        <v>194</v>
      </c>
      <c r="J5" s="55" t="s">
        <v>644</v>
      </c>
      <c r="K5" s="108" t="s">
        <v>192</v>
      </c>
      <c r="L5" s="108" t="s">
        <v>505</v>
      </c>
      <c r="M5" s="55" t="s">
        <v>166</v>
      </c>
      <c r="N5" s="108" t="s">
        <v>488</v>
      </c>
      <c r="O5" s="108" t="s">
        <v>662</v>
      </c>
      <c r="P5" s="108" t="s">
        <v>665</v>
      </c>
      <c r="Q5" s="108" t="s">
        <v>669</v>
      </c>
      <c r="R5" s="55" t="s">
        <v>395</v>
      </c>
      <c r="S5" s="55" t="s">
        <v>169</v>
      </c>
      <c r="T5" s="55" t="s">
        <v>238</v>
      </c>
      <c r="U5" s="55" t="s">
        <v>680</v>
      </c>
      <c r="V5" s="53" t="s">
        <v>683</v>
      </c>
      <c r="W5" s="53" t="s">
        <v>9</v>
      </c>
      <c r="X5" s="53" t="s">
        <v>692</v>
      </c>
    </row>
    <row r="6" spans="1:24" ht="43.75" x14ac:dyDescent="0.4">
      <c r="A6" s="93" t="s">
        <v>766</v>
      </c>
      <c r="B6" s="109">
        <v>46022</v>
      </c>
      <c r="C6" s="93" t="s">
        <v>508</v>
      </c>
      <c r="D6" s="93" t="s">
        <v>509</v>
      </c>
      <c r="E6" s="93" t="s">
        <v>436</v>
      </c>
      <c r="F6" s="93" t="s">
        <v>510</v>
      </c>
      <c r="G6" s="93">
        <v>3</v>
      </c>
      <c r="H6" s="93">
        <v>4</v>
      </c>
      <c r="I6" s="93">
        <v>3</v>
      </c>
      <c r="J6" s="110">
        <f t="shared" ref="J6:J38" si="0">IF(COUNT(G6,I6,K6)&lt;3,"",ROUND((pesoImpatto*G6+pesoProbabilita*K6+pesoProssimita*I6+IF(ISNUMBER(H6),pesoVelocity*H6,0))/(pesoImpatto+pesoProbabilita+pesoProssimita+IF(ISNUMBER(H6),pesoVelocity,0)),2))</f>
        <v>3.45</v>
      </c>
      <c r="K6" s="93">
        <v>4</v>
      </c>
      <c r="L6" s="93"/>
      <c r="M6" s="93" t="s">
        <v>1022</v>
      </c>
      <c r="N6" s="111" t="s">
        <v>1023</v>
      </c>
      <c r="O6" s="111" t="s">
        <v>1024</v>
      </c>
      <c r="P6" s="111" t="s">
        <v>1025</v>
      </c>
      <c r="Q6" s="111" t="s">
        <v>1026</v>
      </c>
      <c r="R6" s="111"/>
      <c r="S6" s="93" t="s">
        <v>511</v>
      </c>
      <c r="T6" s="93" t="str">
        <f t="shared" ref="T6:T38" si="1">A6&amp;"|"&amp;C6</f>
        <v>2025Q4|NFR-01</v>
      </c>
      <c r="U6" s="109">
        <v>46022</v>
      </c>
      <c r="V6" s="93" t="s">
        <v>687</v>
      </c>
      <c r="W6" s="93" t="s">
        <v>691</v>
      </c>
      <c r="X6" s="109">
        <v>46037</v>
      </c>
    </row>
    <row r="7" spans="1:24" ht="43.75" x14ac:dyDescent="0.4">
      <c r="A7" s="93" t="s">
        <v>766</v>
      </c>
      <c r="B7" s="109">
        <v>46022</v>
      </c>
      <c r="C7" s="93" t="s">
        <v>514</v>
      </c>
      <c r="D7" s="93" t="s">
        <v>515</v>
      </c>
      <c r="E7" s="93" t="s">
        <v>444</v>
      </c>
      <c r="F7" s="93" t="s">
        <v>516</v>
      </c>
      <c r="G7" s="93">
        <v>4</v>
      </c>
      <c r="H7" s="93">
        <v>4</v>
      </c>
      <c r="I7" s="93">
        <v>3</v>
      </c>
      <c r="J7" s="110">
        <f t="shared" si="0"/>
        <v>3.3</v>
      </c>
      <c r="K7" s="93">
        <v>2</v>
      </c>
      <c r="L7" s="93"/>
      <c r="M7" s="93" t="s">
        <v>1022</v>
      </c>
      <c r="N7" s="111" t="s">
        <v>1027</v>
      </c>
      <c r="O7" s="111" t="s">
        <v>1028</v>
      </c>
      <c r="P7" s="111" t="s">
        <v>1025</v>
      </c>
      <c r="Q7" s="111" t="s">
        <v>1029</v>
      </c>
      <c r="R7" s="111"/>
      <c r="S7" s="93" t="s">
        <v>517</v>
      </c>
      <c r="T7" s="93" t="str">
        <f t="shared" si="1"/>
        <v>2025Q4|NFR-02</v>
      </c>
      <c r="U7" s="109">
        <v>46022</v>
      </c>
      <c r="V7" s="93" t="s">
        <v>687</v>
      </c>
      <c r="W7" s="93" t="s">
        <v>691</v>
      </c>
      <c r="X7" s="109">
        <v>46037</v>
      </c>
    </row>
    <row r="8" spans="1:24" ht="43.75" x14ac:dyDescent="0.4">
      <c r="A8" s="93" t="s">
        <v>766</v>
      </c>
      <c r="B8" s="109">
        <v>46022</v>
      </c>
      <c r="C8" s="93" t="s">
        <v>520</v>
      </c>
      <c r="D8" s="93" t="s">
        <v>521</v>
      </c>
      <c r="E8" s="93" t="s">
        <v>440</v>
      </c>
      <c r="F8" s="93" t="s">
        <v>522</v>
      </c>
      <c r="G8" s="93">
        <v>3</v>
      </c>
      <c r="H8" s="93">
        <v>2</v>
      </c>
      <c r="I8" s="93">
        <v>3</v>
      </c>
      <c r="J8" s="110">
        <f t="shared" si="0"/>
        <v>2.8</v>
      </c>
      <c r="K8" s="93">
        <v>3</v>
      </c>
      <c r="L8" s="93"/>
      <c r="M8" s="93" t="s">
        <v>1022</v>
      </c>
      <c r="N8" s="111" t="s">
        <v>1030</v>
      </c>
      <c r="O8" s="111" t="s">
        <v>1031</v>
      </c>
      <c r="P8" s="111" t="s">
        <v>1025</v>
      </c>
      <c r="Q8" s="111" t="s">
        <v>1032</v>
      </c>
      <c r="R8" s="111"/>
      <c r="S8" s="93" t="s">
        <v>523</v>
      </c>
      <c r="T8" s="93" t="str">
        <f t="shared" si="1"/>
        <v>2025Q4|NFR-03</v>
      </c>
      <c r="U8" s="109">
        <v>46022</v>
      </c>
      <c r="V8" s="93" t="s">
        <v>687</v>
      </c>
      <c r="W8" s="93" t="s">
        <v>691</v>
      </c>
      <c r="X8" s="109">
        <v>46037</v>
      </c>
    </row>
    <row r="9" spans="1:24" ht="43.75" x14ac:dyDescent="0.4">
      <c r="A9" s="93" t="s">
        <v>766</v>
      </c>
      <c r="B9" s="109">
        <v>46022</v>
      </c>
      <c r="C9" s="93" t="s">
        <v>526</v>
      </c>
      <c r="D9" s="93" t="s">
        <v>527</v>
      </c>
      <c r="E9" s="93" t="s">
        <v>442</v>
      </c>
      <c r="F9" s="93" t="s">
        <v>528</v>
      </c>
      <c r="G9" s="93">
        <v>3</v>
      </c>
      <c r="H9" s="93">
        <v>2</v>
      </c>
      <c r="I9" s="93">
        <v>2</v>
      </c>
      <c r="J9" s="110">
        <f t="shared" si="0"/>
        <v>2.6</v>
      </c>
      <c r="K9" s="93">
        <v>3</v>
      </c>
      <c r="L9" s="93"/>
      <c r="M9" s="93" t="s">
        <v>1022</v>
      </c>
      <c r="N9" s="111" t="s">
        <v>1033</v>
      </c>
      <c r="O9" s="111" t="s">
        <v>1034</v>
      </c>
      <c r="P9" s="111" t="s">
        <v>1025</v>
      </c>
      <c r="Q9" s="111" t="s">
        <v>1035</v>
      </c>
      <c r="R9" s="111"/>
      <c r="S9" s="93" t="s">
        <v>529</v>
      </c>
      <c r="T9" s="93" t="str">
        <f t="shared" si="1"/>
        <v>2025Q4|NFR-04</v>
      </c>
      <c r="U9" s="109">
        <v>46022</v>
      </c>
      <c r="V9" s="93" t="s">
        <v>687</v>
      </c>
      <c r="W9" s="93" t="s">
        <v>691</v>
      </c>
      <c r="X9" s="109">
        <v>46037</v>
      </c>
    </row>
    <row r="10" spans="1:24" ht="43.75" x14ac:dyDescent="0.4">
      <c r="A10" s="93" t="s">
        <v>766</v>
      </c>
      <c r="B10" s="109">
        <v>46022</v>
      </c>
      <c r="C10" s="93" t="s">
        <v>530</v>
      </c>
      <c r="D10" s="93" t="s">
        <v>531</v>
      </c>
      <c r="E10" s="93" t="s">
        <v>447</v>
      </c>
      <c r="F10" s="93" t="s">
        <v>532</v>
      </c>
      <c r="G10" s="93">
        <v>3</v>
      </c>
      <c r="H10" s="93">
        <v>3</v>
      </c>
      <c r="I10" s="93">
        <v>4</v>
      </c>
      <c r="J10" s="110">
        <f t="shared" si="0"/>
        <v>3.2</v>
      </c>
      <c r="K10" s="93">
        <v>3</v>
      </c>
      <c r="L10" s="93"/>
      <c r="M10" s="93" t="s">
        <v>1022</v>
      </c>
      <c r="N10" s="111" t="s">
        <v>1036</v>
      </c>
      <c r="O10" s="111" t="s">
        <v>1037</v>
      </c>
      <c r="P10" s="111" t="s">
        <v>1025</v>
      </c>
      <c r="Q10" s="111" t="s">
        <v>1038</v>
      </c>
      <c r="R10" s="111"/>
      <c r="S10" s="93" t="s">
        <v>533</v>
      </c>
      <c r="T10" s="93" t="str">
        <f t="shared" si="1"/>
        <v>2025Q4|NFR-05</v>
      </c>
      <c r="U10" s="109">
        <v>46022</v>
      </c>
      <c r="V10" s="93" t="s">
        <v>687</v>
      </c>
      <c r="W10" s="93" t="s">
        <v>691</v>
      </c>
      <c r="X10" s="109">
        <v>46037</v>
      </c>
    </row>
    <row r="11" spans="1:24" ht="58.3" x14ac:dyDescent="0.4">
      <c r="A11" s="93" t="s">
        <v>766</v>
      </c>
      <c r="B11" s="109">
        <v>46022</v>
      </c>
      <c r="C11" s="93" t="s">
        <v>541</v>
      </c>
      <c r="D11" s="93" t="s">
        <v>542</v>
      </c>
      <c r="E11" s="93" t="s">
        <v>444</v>
      </c>
      <c r="F11" s="93" t="s">
        <v>543</v>
      </c>
      <c r="G11" s="93">
        <v>4</v>
      </c>
      <c r="H11" s="93">
        <v>5</v>
      </c>
      <c r="I11" s="93">
        <v>3</v>
      </c>
      <c r="J11" s="110">
        <f t="shared" si="0"/>
        <v>3.75</v>
      </c>
      <c r="K11" s="93">
        <v>3</v>
      </c>
      <c r="L11" s="93"/>
      <c r="M11" s="93" t="s">
        <v>1022</v>
      </c>
      <c r="N11" s="111" t="s">
        <v>1039</v>
      </c>
      <c r="O11" s="111" t="s">
        <v>1040</v>
      </c>
      <c r="P11" s="111" t="s">
        <v>1025</v>
      </c>
      <c r="Q11" s="111" t="s">
        <v>1041</v>
      </c>
      <c r="R11" s="111"/>
      <c r="S11" s="93" t="s">
        <v>517</v>
      </c>
      <c r="T11" s="93" t="str">
        <f t="shared" si="1"/>
        <v>2025Q4|NFR-07</v>
      </c>
      <c r="U11" s="109">
        <v>46022</v>
      </c>
      <c r="V11" s="93" t="s">
        <v>687</v>
      </c>
      <c r="W11" s="93" t="s">
        <v>691</v>
      </c>
      <c r="X11" s="109">
        <v>46037</v>
      </c>
    </row>
    <row r="12" spans="1:24" ht="43.75" x14ac:dyDescent="0.4">
      <c r="A12" s="93" t="s">
        <v>766</v>
      </c>
      <c r="B12" s="109">
        <v>46022</v>
      </c>
      <c r="C12" s="93" t="s">
        <v>545</v>
      </c>
      <c r="D12" s="93" t="s">
        <v>546</v>
      </c>
      <c r="E12" s="93" t="s">
        <v>434</v>
      </c>
      <c r="F12" s="93" t="s">
        <v>547</v>
      </c>
      <c r="G12" s="93">
        <v>3</v>
      </c>
      <c r="H12" s="93">
        <v>3</v>
      </c>
      <c r="I12" s="93">
        <v>3</v>
      </c>
      <c r="J12" s="110">
        <f t="shared" si="0"/>
        <v>2.75</v>
      </c>
      <c r="K12" s="93">
        <v>2</v>
      </c>
      <c r="L12" s="93"/>
      <c r="M12" s="93" t="s">
        <v>1022</v>
      </c>
      <c r="N12" s="111" t="s">
        <v>1042</v>
      </c>
      <c r="O12" s="111" t="s">
        <v>1043</v>
      </c>
      <c r="P12" s="111" t="s">
        <v>1025</v>
      </c>
      <c r="Q12" s="111" t="s">
        <v>1044</v>
      </c>
      <c r="R12" s="111"/>
      <c r="S12" s="93" t="s">
        <v>538</v>
      </c>
      <c r="T12" s="93" t="str">
        <f t="shared" si="1"/>
        <v>2025Q4|NFR-08</v>
      </c>
      <c r="U12" s="109">
        <v>46022</v>
      </c>
      <c r="V12" s="93" t="s">
        <v>687</v>
      </c>
      <c r="W12" s="93" t="s">
        <v>691</v>
      </c>
      <c r="X12" s="109">
        <v>46037</v>
      </c>
    </row>
    <row r="13" spans="1:24" ht="43.75" x14ac:dyDescent="0.4">
      <c r="A13" s="93" t="s">
        <v>766</v>
      </c>
      <c r="B13" s="109">
        <v>46022</v>
      </c>
      <c r="C13" s="93" t="s">
        <v>562</v>
      </c>
      <c r="D13" s="93" t="s">
        <v>563</v>
      </c>
      <c r="E13" s="93" t="s">
        <v>444</v>
      </c>
      <c r="F13" s="93" t="s">
        <v>532</v>
      </c>
      <c r="G13" s="93">
        <v>3</v>
      </c>
      <c r="H13" s="93">
        <v>2</v>
      </c>
      <c r="I13" s="93">
        <v>3</v>
      </c>
      <c r="J13" s="110">
        <f t="shared" si="0"/>
        <v>2.8</v>
      </c>
      <c r="K13" s="93">
        <v>3</v>
      </c>
      <c r="L13" s="93">
        <v>3</v>
      </c>
      <c r="M13" s="93" t="s">
        <v>1022</v>
      </c>
      <c r="N13" s="111" t="s">
        <v>1045</v>
      </c>
      <c r="O13" s="111" t="s">
        <v>1046</v>
      </c>
      <c r="P13" s="111" t="s">
        <v>1025</v>
      </c>
      <c r="Q13" s="111" t="s">
        <v>1047</v>
      </c>
      <c r="R13" s="111"/>
      <c r="S13" s="93" t="s">
        <v>564</v>
      </c>
      <c r="T13" s="93" t="str">
        <f t="shared" si="1"/>
        <v>2025Q4|NFR-11</v>
      </c>
      <c r="U13" s="109">
        <v>46022</v>
      </c>
      <c r="V13" s="93" t="s">
        <v>687</v>
      </c>
      <c r="W13" s="93" t="s">
        <v>691</v>
      </c>
      <c r="X13" s="109">
        <v>46037</v>
      </c>
    </row>
    <row r="14" spans="1:24" ht="43.75" x14ac:dyDescent="0.4">
      <c r="A14" s="93" t="s">
        <v>766</v>
      </c>
      <c r="B14" s="109">
        <v>46022</v>
      </c>
      <c r="C14" s="93" t="s">
        <v>569</v>
      </c>
      <c r="D14" s="93" t="s">
        <v>570</v>
      </c>
      <c r="E14" s="93" t="s">
        <v>447</v>
      </c>
      <c r="F14" s="93" t="s">
        <v>532</v>
      </c>
      <c r="G14" s="93">
        <v>3</v>
      </c>
      <c r="H14" s="93">
        <v>4</v>
      </c>
      <c r="I14" s="93">
        <v>3</v>
      </c>
      <c r="J14" s="110">
        <f t="shared" si="0"/>
        <v>3.45</v>
      </c>
      <c r="K14" s="93">
        <v>4</v>
      </c>
      <c r="L14" s="93"/>
      <c r="M14" s="93" t="s">
        <v>1022</v>
      </c>
      <c r="N14" s="111" t="s">
        <v>1048</v>
      </c>
      <c r="O14" s="111" t="s">
        <v>1049</v>
      </c>
      <c r="P14" s="111" t="s">
        <v>1025</v>
      </c>
      <c r="Q14" s="111" t="s">
        <v>1050</v>
      </c>
      <c r="R14" s="111"/>
      <c r="S14" s="93" t="s">
        <v>533</v>
      </c>
      <c r="T14" s="93" t="str">
        <f t="shared" si="1"/>
        <v>2025Q4|NFR-12</v>
      </c>
      <c r="U14" s="109">
        <v>46022</v>
      </c>
      <c r="V14" s="93" t="s">
        <v>687</v>
      </c>
      <c r="W14" s="93" t="s">
        <v>691</v>
      </c>
      <c r="X14" s="109">
        <v>46037</v>
      </c>
    </row>
    <row r="15" spans="1:24" ht="72.900000000000006" x14ac:dyDescent="0.4">
      <c r="A15" s="93" t="s">
        <v>1051</v>
      </c>
      <c r="B15" s="109">
        <v>46112</v>
      </c>
      <c r="C15" s="93" t="s">
        <v>508</v>
      </c>
      <c r="D15" s="93" t="s">
        <v>509</v>
      </c>
      <c r="E15" s="93" t="s">
        <v>436</v>
      </c>
      <c r="F15" s="93" t="s">
        <v>510</v>
      </c>
      <c r="G15" s="93">
        <v>3</v>
      </c>
      <c r="H15" s="93">
        <v>4</v>
      </c>
      <c r="I15" s="93">
        <v>4</v>
      </c>
      <c r="J15" s="110">
        <f t="shared" si="0"/>
        <v>3.65</v>
      </c>
      <c r="K15" s="93">
        <v>4</v>
      </c>
      <c r="L15" s="93"/>
      <c r="M15" s="93" t="s">
        <v>659</v>
      </c>
      <c r="N15" s="111" t="s">
        <v>1023</v>
      </c>
      <c r="O15" s="111" t="s">
        <v>1024</v>
      </c>
      <c r="P15" s="111" t="s">
        <v>1052</v>
      </c>
      <c r="Q15" s="111" t="s">
        <v>1026</v>
      </c>
      <c r="R15" s="111"/>
      <c r="S15" s="93" t="s">
        <v>511</v>
      </c>
      <c r="T15" s="93" t="str">
        <f t="shared" si="1"/>
        <v>2026Q1|NFR-01</v>
      </c>
      <c r="U15" s="109">
        <v>46112</v>
      </c>
      <c r="V15" s="93" t="s">
        <v>687</v>
      </c>
      <c r="W15" s="93" t="s">
        <v>691</v>
      </c>
      <c r="X15" s="109">
        <v>46127</v>
      </c>
    </row>
    <row r="16" spans="1:24" ht="87.45" x14ac:dyDescent="0.4">
      <c r="A16" s="93" t="s">
        <v>1051</v>
      </c>
      <c r="B16" s="109">
        <v>46112</v>
      </c>
      <c r="C16" s="93" t="s">
        <v>514</v>
      </c>
      <c r="D16" s="93" t="s">
        <v>515</v>
      </c>
      <c r="E16" s="93" t="s">
        <v>444</v>
      </c>
      <c r="F16" s="93" t="s">
        <v>516</v>
      </c>
      <c r="G16" s="93">
        <v>4</v>
      </c>
      <c r="H16" s="93">
        <v>4</v>
      </c>
      <c r="I16" s="93">
        <v>3</v>
      </c>
      <c r="J16" s="110">
        <f t="shared" si="0"/>
        <v>3.3</v>
      </c>
      <c r="K16" s="93">
        <v>2</v>
      </c>
      <c r="L16" s="93"/>
      <c r="M16" s="93" t="s">
        <v>1022</v>
      </c>
      <c r="N16" s="111" t="s">
        <v>1027</v>
      </c>
      <c r="O16" s="111" t="s">
        <v>1028</v>
      </c>
      <c r="P16" s="111" t="s">
        <v>1025</v>
      </c>
      <c r="Q16" s="111" t="s">
        <v>1053</v>
      </c>
      <c r="R16" s="111"/>
      <c r="S16" s="93" t="s">
        <v>517</v>
      </c>
      <c r="T16" s="93" t="str">
        <f t="shared" si="1"/>
        <v>2026Q1|NFR-02</v>
      </c>
      <c r="U16" s="109">
        <v>46112</v>
      </c>
      <c r="V16" s="93" t="s">
        <v>687</v>
      </c>
      <c r="W16" s="93" t="s">
        <v>691</v>
      </c>
      <c r="X16" s="109">
        <v>46127</v>
      </c>
    </row>
    <row r="17" spans="1:24" ht="87.45" x14ac:dyDescent="0.4">
      <c r="A17" s="93" t="s">
        <v>1051</v>
      </c>
      <c r="B17" s="109">
        <v>46112</v>
      </c>
      <c r="C17" s="93" t="s">
        <v>520</v>
      </c>
      <c r="D17" s="93" t="s">
        <v>521</v>
      </c>
      <c r="E17" s="93" t="s">
        <v>440</v>
      </c>
      <c r="F17" s="93" t="s">
        <v>522</v>
      </c>
      <c r="G17" s="93">
        <v>3</v>
      </c>
      <c r="H17" s="93">
        <v>2</v>
      </c>
      <c r="I17" s="93">
        <v>3</v>
      </c>
      <c r="J17" s="110">
        <f t="shared" si="0"/>
        <v>2.8</v>
      </c>
      <c r="K17" s="93">
        <v>3</v>
      </c>
      <c r="L17" s="93"/>
      <c r="M17" s="93" t="s">
        <v>1022</v>
      </c>
      <c r="N17" s="111" t="s">
        <v>1030</v>
      </c>
      <c r="O17" s="111" t="s">
        <v>1031</v>
      </c>
      <c r="P17" s="111" t="s">
        <v>1025</v>
      </c>
      <c r="Q17" s="111" t="s">
        <v>1054</v>
      </c>
      <c r="R17" s="111"/>
      <c r="S17" s="93" t="s">
        <v>523</v>
      </c>
      <c r="T17" s="93" t="str">
        <f t="shared" si="1"/>
        <v>2026Q1|NFR-03</v>
      </c>
      <c r="U17" s="109">
        <v>46112</v>
      </c>
      <c r="V17" s="93" t="s">
        <v>687</v>
      </c>
      <c r="W17" s="93" t="s">
        <v>691</v>
      </c>
      <c r="X17" s="109">
        <v>46127</v>
      </c>
    </row>
    <row r="18" spans="1:24" ht="43.75" x14ac:dyDescent="0.4">
      <c r="A18" s="93" t="s">
        <v>1051</v>
      </c>
      <c r="B18" s="109">
        <v>46112</v>
      </c>
      <c r="C18" s="93" t="s">
        <v>526</v>
      </c>
      <c r="D18" s="93" t="s">
        <v>527</v>
      </c>
      <c r="E18" s="93" t="s">
        <v>442</v>
      </c>
      <c r="F18" s="93" t="s">
        <v>528</v>
      </c>
      <c r="G18" s="93">
        <v>3</v>
      </c>
      <c r="H18" s="93">
        <v>2</v>
      </c>
      <c r="I18" s="93">
        <v>2</v>
      </c>
      <c r="J18" s="110">
        <f t="shared" si="0"/>
        <v>2.6</v>
      </c>
      <c r="K18" s="93">
        <v>3</v>
      </c>
      <c r="L18" s="93"/>
      <c r="M18" s="93" t="s">
        <v>1022</v>
      </c>
      <c r="N18" s="111" t="s">
        <v>1033</v>
      </c>
      <c r="O18" s="111" t="s">
        <v>1034</v>
      </c>
      <c r="P18" s="111" t="s">
        <v>1025</v>
      </c>
      <c r="Q18" s="111" t="s">
        <v>1035</v>
      </c>
      <c r="R18" s="111"/>
      <c r="S18" s="93" t="s">
        <v>529</v>
      </c>
      <c r="T18" s="93" t="str">
        <f t="shared" si="1"/>
        <v>2026Q1|NFR-04</v>
      </c>
      <c r="U18" s="109">
        <v>46112</v>
      </c>
      <c r="V18" s="93" t="s">
        <v>687</v>
      </c>
      <c r="W18" s="93" t="s">
        <v>691</v>
      </c>
      <c r="X18" s="109">
        <v>46127</v>
      </c>
    </row>
    <row r="19" spans="1:24" ht="43.75" x14ac:dyDescent="0.4">
      <c r="A19" s="93" t="s">
        <v>1051</v>
      </c>
      <c r="B19" s="109">
        <v>46112</v>
      </c>
      <c r="C19" s="93" t="s">
        <v>530</v>
      </c>
      <c r="D19" s="93" t="s">
        <v>531</v>
      </c>
      <c r="E19" s="93" t="s">
        <v>447</v>
      </c>
      <c r="F19" s="93" t="s">
        <v>532</v>
      </c>
      <c r="G19" s="93">
        <v>3</v>
      </c>
      <c r="H19" s="93">
        <v>3</v>
      </c>
      <c r="I19" s="93">
        <v>4</v>
      </c>
      <c r="J19" s="110">
        <f t="shared" si="0"/>
        <v>3.2</v>
      </c>
      <c r="K19" s="93">
        <v>3</v>
      </c>
      <c r="L19" s="93"/>
      <c r="M19" s="93" t="s">
        <v>1022</v>
      </c>
      <c r="N19" s="111" t="s">
        <v>1036</v>
      </c>
      <c r="O19" s="111" t="s">
        <v>1037</v>
      </c>
      <c r="P19" s="111" t="s">
        <v>1025</v>
      </c>
      <c r="Q19" s="111" t="s">
        <v>1038</v>
      </c>
      <c r="R19" s="111"/>
      <c r="S19" s="93" t="s">
        <v>533</v>
      </c>
      <c r="T19" s="93" t="str">
        <f t="shared" si="1"/>
        <v>2026Q1|NFR-05</v>
      </c>
      <c r="U19" s="109">
        <v>46112</v>
      </c>
      <c r="V19" s="93" t="s">
        <v>687</v>
      </c>
      <c r="W19" s="93" t="s">
        <v>691</v>
      </c>
      <c r="X19" s="109">
        <v>46127</v>
      </c>
    </row>
    <row r="20" spans="1:24" ht="87.45" x14ac:dyDescent="0.4">
      <c r="A20" s="93" t="s">
        <v>1051</v>
      </c>
      <c r="B20" s="109">
        <v>46112</v>
      </c>
      <c r="C20" s="93" t="s">
        <v>535</v>
      </c>
      <c r="D20" s="93" t="s">
        <v>536</v>
      </c>
      <c r="E20" s="93" t="s">
        <v>434</v>
      </c>
      <c r="F20" s="93" t="s">
        <v>537</v>
      </c>
      <c r="G20" s="93">
        <v>3</v>
      </c>
      <c r="H20" s="93">
        <v>3</v>
      </c>
      <c r="I20" s="93">
        <v>3</v>
      </c>
      <c r="J20" s="110">
        <f t="shared" si="0"/>
        <v>3</v>
      </c>
      <c r="K20" s="93">
        <v>3</v>
      </c>
      <c r="L20" s="93"/>
      <c r="M20" s="93" t="s">
        <v>1055</v>
      </c>
      <c r="N20" s="111" t="s">
        <v>1056</v>
      </c>
      <c r="O20" s="111" t="s">
        <v>1057</v>
      </c>
      <c r="P20" s="111" t="s">
        <v>1025</v>
      </c>
      <c r="Q20" s="111" t="s">
        <v>1058</v>
      </c>
      <c r="R20" s="111"/>
      <c r="S20" s="93" t="s">
        <v>538</v>
      </c>
      <c r="T20" s="93" t="str">
        <f t="shared" si="1"/>
        <v>2026Q1|NFR-06</v>
      </c>
      <c r="U20" s="109">
        <v>46112</v>
      </c>
      <c r="V20" s="93" t="s">
        <v>687</v>
      </c>
      <c r="W20" s="93" t="s">
        <v>691</v>
      </c>
      <c r="X20" s="109">
        <v>46127</v>
      </c>
    </row>
    <row r="21" spans="1:24" ht="102" x14ac:dyDescent="0.4">
      <c r="A21" s="93" t="s">
        <v>1051</v>
      </c>
      <c r="B21" s="109">
        <v>46112</v>
      </c>
      <c r="C21" s="93" t="s">
        <v>541</v>
      </c>
      <c r="D21" s="93" t="s">
        <v>542</v>
      </c>
      <c r="E21" s="93" t="s">
        <v>444</v>
      </c>
      <c r="F21" s="93" t="s">
        <v>543</v>
      </c>
      <c r="G21" s="93">
        <v>4</v>
      </c>
      <c r="H21" s="93">
        <v>5</v>
      </c>
      <c r="I21" s="93">
        <v>3</v>
      </c>
      <c r="J21" s="110">
        <f t="shared" si="0"/>
        <v>3.75</v>
      </c>
      <c r="K21" s="93">
        <v>3</v>
      </c>
      <c r="L21" s="93"/>
      <c r="M21" s="93" t="s">
        <v>1022</v>
      </c>
      <c r="N21" s="111" t="s">
        <v>1039</v>
      </c>
      <c r="O21" s="111" t="s">
        <v>1040</v>
      </c>
      <c r="P21" s="111" t="s">
        <v>1025</v>
      </c>
      <c r="Q21" s="111" t="s">
        <v>1059</v>
      </c>
      <c r="R21" s="111"/>
      <c r="S21" s="93" t="s">
        <v>517</v>
      </c>
      <c r="T21" s="93" t="str">
        <f t="shared" si="1"/>
        <v>2026Q1|NFR-07</v>
      </c>
      <c r="U21" s="109">
        <v>46112</v>
      </c>
      <c r="V21" s="93" t="s">
        <v>687</v>
      </c>
      <c r="W21" s="93" t="s">
        <v>691</v>
      </c>
      <c r="X21" s="109">
        <v>46127</v>
      </c>
    </row>
    <row r="22" spans="1:24" ht="43.75" x14ac:dyDescent="0.4">
      <c r="A22" s="93" t="s">
        <v>1051</v>
      </c>
      <c r="B22" s="109">
        <v>46112</v>
      </c>
      <c r="C22" s="93" t="s">
        <v>545</v>
      </c>
      <c r="D22" s="93" t="s">
        <v>546</v>
      </c>
      <c r="E22" s="93" t="s">
        <v>434</v>
      </c>
      <c r="F22" s="93" t="s">
        <v>547</v>
      </c>
      <c r="G22" s="93">
        <v>3</v>
      </c>
      <c r="H22" s="93">
        <v>3</v>
      </c>
      <c r="I22" s="93">
        <v>3</v>
      </c>
      <c r="J22" s="110">
        <f t="shared" si="0"/>
        <v>2.75</v>
      </c>
      <c r="K22" s="93">
        <v>2</v>
      </c>
      <c r="L22" s="93"/>
      <c r="M22" s="93" t="s">
        <v>1022</v>
      </c>
      <c r="N22" s="111" t="s">
        <v>1042</v>
      </c>
      <c r="O22" s="111" t="s">
        <v>1043</v>
      </c>
      <c r="P22" s="111" t="s">
        <v>1025</v>
      </c>
      <c r="Q22" s="111" t="s">
        <v>1044</v>
      </c>
      <c r="R22" s="111"/>
      <c r="S22" s="93" t="s">
        <v>538</v>
      </c>
      <c r="T22" s="93" t="str">
        <f t="shared" si="1"/>
        <v>2026Q1|NFR-08</v>
      </c>
      <c r="U22" s="109">
        <v>46112</v>
      </c>
      <c r="V22" s="93" t="s">
        <v>687</v>
      </c>
      <c r="W22" s="93" t="s">
        <v>691</v>
      </c>
      <c r="X22" s="109">
        <v>46127</v>
      </c>
    </row>
    <row r="23" spans="1:24" ht="87.45" x14ac:dyDescent="0.4">
      <c r="A23" s="93" t="s">
        <v>1051</v>
      </c>
      <c r="B23" s="109">
        <v>46112</v>
      </c>
      <c r="C23" s="93" t="s">
        <v>550</v>
      </c>
      <c r="D23" s="93" t="s">
        <v>551</v>
      </c>
      <c r="E23" s="93" t="s">
        <v>440</v>
      </c>
      <c r="F23" s="93" t="s">
        <v>552</v>
      </c>
      <c r="G23" s="93">
        <v>4</v>
      </c>
      <c r="H23" s="93">
        <v>3</v>
      </c>
      <c r="I23" s="93">
        <v>2</v>
      </c>
      <c r="J23" s="110">
        <f t="shared" si="0"/>
        <v>2.9</v>
      </c>
      <c r="K23" s="93">
        <v>2</v>
      </c>
      <c r="L23" s="93"/>
      <c r="M23" s="93" t="s">
        <v>1055</v>
      </c>
      <c r="N23" s="111" t="s">
        <v>1060</v>
      </c>
      <c r="O23" s="111" t="s">
        <v>1061</v>
      </c>
      <c r="P23" s="111" t="s">
        <v>1025</v>
      </c>
      <c r="Q23" s="111" t="s">
        <v>1062</v>
      </c>
      <c r="R23" s="111"/>
      <c r="S23" s="93" t="s">
        <v>523</v>
      </c>
      <c r="T23" s="93" t="str">
        <f t="shared" si="1"/>
        <v>2026Q1|NFR-09</v>
      </c>
      <c r="U23" s="109">
        <v>46112</v>
      </c>
      <c r="V23" s="93" t="s">
        <v>687</v>
      </c>
      <c r="W23" s="93" t="s">
        <v>691</v>
      </c>
      <c r="X23" s="109">
        <v>46127</v>
      </c>
    </row>
    <row r="24" spans="1:24" ht="102" x14ac:dyDescent="0.4">
      <c r="A24" s="93" t="s">
        <v>1051</v>
      </c>
      <c r="B24" s="109">
        <v>46112</v>
      </c>
      <c r="C24" s="93" t="s">
        <v>555</v>
      </c>
      <c r="D24" s="93" t="s">
        <v>556</v>
      </c>
      <c r="E24" s="93" t="s">
        <v>440</v>
      </c>
      <c r="F24" s="93" t="s">
        <v>557</v>
      </c>
      <c r="G24" s="93">
        <v>3</v>
      </c>
      <c r="H24" s="93"/>
      <c r="I24" s="93">
        <v>3</v>
      </c>
      <c r="J24" s="110">
        <f t="shared" si="0"/>
        <v>3</v>
      </c>
      <c r="K24" s="93">
        <v>3</v>
      </c>
      <c r="L24" s="93"/>
      <c r="M24" s="93" t="s">
        <v>1055</v>
      </c>
      <c r="N24" s="111" t="s">
        <v>1063</v>
      </c>
      <c r="O24" s="111" t="s">
        <v>1064</v>
      </c>
      <c r="P24" s="111" t="s">
        <v>1025</v>
      </c>
      <c r="Q24" s="111" t="s">
        <v>1065</v>
      </c>
      <c r="R24" s="111"/>
      <c r="S24" s="93" t="s">
        <v>558</v>
      </c>
      <c r="T24" s="93" t="str">
        <f t="shared" si="1"/>
        <v>2026Q1|NFR-10</v>
      </c>
      <c r="U24" s="109">
        <v>46112</v>
      </c>
      <c r="V24" s="93" t="s">
        <v>687</v>
      </c>
      <c r="W24" s="93" t="s">
        <v>691</v>
      </c>
      <c r="X24" s="109">
        <v>46127</v>
      </c>
    </row>
    <row r="25" spans="1:24" ht="87.45" x14ac:dyDescent="0.4">
      <c r="A25" s="93" t="s">
        <v>1051</v>
      </c>
      <c r="B25" s="109">
        <v>46112</v>
      </c>
      <c r="C25" s="93" t="s">
        <v>562</v>
      </c>
      <c r="D25" s="93" t="s">
        <v>563</v>
      </c>
      <c r="E25" s="93" t="s">
        <v>444</v>
      </c>
      <c r="F25" s="93" t="s">
        <v>532</v>
      </c>
      <c r="G25" s="93">
        <v>3</v>
      </c>
      <c r="H25" s="93">
        <v>2</v>
      </c>
      <c r="I25" s="93">
        <v>3</v>
      </c>
      <c r="J25" s="110">
        <f t="shared" si="0"/>
        <v>2.8</v>
      </c>
      <c r="K25" s="93">
        <v>3</v>
      </c>
      <c r="L25" s="93">
        <v>3</v>
      </c>
      <c r="M25" s="93" t="s">
        <v>1022</v>
      </c>
      <c r="N25" s="111" t="s">
        <v>1045</v>
      </c>
      <c r="O25" s="111" t="s">
        <v>1046</v>
      </c>
      <c r="P25" s="111" t="s">
        <v>1025</v>
      </c>
      <c r="Q25" s="111" t="s">
        <v>1066</v>
      </c>
      <c r="R25" s="111"/>
      <c r="S25" s="93" t="s">
        <v>564</v>
      </c>
      <c r="T25" s="93" t="str">
        <f t="shared" si="1"/>
        <v>2026Q1|NFR-11</v>
      </c>
      <c r="U25" s="109">
        <v>46112</v>
      </c>
      <c r="V25" s="93" t="s">
        <v>687</v>
      </c>
      <c r="W25" s="93" t="s">
        <v>691</v>
      </c>
      <c r="X25" s="109">
        <v>46127</v>
      </c>
    </row>
    <row r="26" spans="1:24" ht="43.75" x14ac:dyDescent="0.4">
      <c r="A26" s="93" t="s">
        <v>1051</v>
      </c>
      <c r="B26" s="109">
        <v>46112</v>
      </c>
      <c r="C26" s="93" t="s">
        <v>569</v>
      </c>
      <c r="D26" s="93" t="s">
        <v>570</v>
      </c>
      <c r="E26" s="93" t="s">
        <v>447</v>
      </c>
      <c r="F26" s="93" t="s">
        <v>532</v>
      </c>
      <c r="G26" s="93">
        <v>3</v>
      </c>
      <c r="H26" s="93">
        <v>4</v>
      </c>
      <c r="I26" s="93">
        <v>3</v>
      </c>
      <c r="J26" s="110">
        <f t="shared" si="0"/>
        <v>3.45</v>
      </c>
      <c r="K26" s="93">
        <v>4</v>
      </c>
      <c r="L26" s="93"/>
      <c r="M26" s="93" t="s">
        <v>1022</v>
      </c>
      <c r="N26" s="111" t="s">
        <v>1048</v>
      </c>
      <c r="O26" s="111" t="s">
        <v>1049</v>
      </c>
      <c r="P26" s="111" t="s">
        <v>1025</v>
      </c>
      <c r="Q26" s="111" t="s">
        <v>1050</v>
      </c>
      <c r="R26" s="111"/>
      <c r="S26" s="93" t="s">
        <v>533</v>
      </c>
      <c r="T26" s="93" t="str">
        <f t="shared" si="1"/>
        <v>2026Q1|NFR-12</v>
      </c>
      <c r="U26" s="109">
        <v>46112</v>
      </c>
      <c r="V26" s="93" t="s">
        <v>687</v>
      </c>
      <c r="W26" s="93" t="s">
        <v>691</v>
      </c>
      <c r="X26" s="109">
        <v>46127</v>
      </c>
    </row>
    <row r="27" spans="1:24" ht="189.45" x14ac:dyDescent="0.4">
      <c r="A27" s="93" t="s">
        <v>566</v>
      </c>
      <c r="B27" s="109">
        <v>46203</v>
      </c>
      <c r="C27" s="93" t="s">
        <v>508</v>
      </c>
      <c r="D27" s="93" t="s">
        <v>509</v>
      </c>
      <c r="E27" s="93" t="s">
        <v>436</v>
      </c>
      <c r="F27" s="93" t="s">
        <v>510</v>
      </c>
      <c r="G27" s="93">
        <v>4</v>
      </c>
      <c r="H27" s="93">
        <v>5</v>
      </c>
      <c r="I27" s="93">
        <v>4</v>
      </c>
      <c r="J27" s="110">
        <f t="shared" si="0"/>
        <v>4.2</v>
      </c>
      <c r="K27" s="93">
        <v>4</v>
      </c>
      <c r="L27" s="93"/>
      <c r="M27" s="93" t="s">
        <v>659</v>
      </c>
      <c r="N27" s="111" t="s">
        <v>1023</v>
      </c>
      <c r="O27" s="111" t="s">
        <v>1024</v>
      </c>
      <c r="P27" s="111" t="s">
        <v>1067</v>
      </c>
      <c r="Q27" s="111" t="s">
        <v>1068</v>
      </c>
      <c r="R27" s="111"/>
      <c r="S27" s="93" t="s">
        <v>511</v>
      </c>
      <c r="T27" s="93" t="str">
        <f t="shared" si="1"/>
        <v>2026Q2|NFR-01</v>
      </c>
      <c r="U27" s="109">
        <v>46203</v>
      </c>
      <c r="V27" s="93" t="s">
        <v>687</v>
      </c>
      <c r="W27" s="93" t="s">
        <v>691</v>
      </c>
      <c r="X27" s="109">
        <v>46218</v>
      </c>
    </row>
    <row r="28" spans="1:24" ht="131.15" x14ac:dyDescent="0.4">
      <c r="A28" s="93" t="s">
        <v>566</v>
      </c>
      <c r="B28" s="109">
        <v>46203</v>
      </c>
      <c r="C28" s="93" t="s">
        <v>514</v>
      </c>
      <c r="D28" s="93" t="s">
        <v>515</v>
      </c>
      <c r="E28" s="93" t="s">
        <v>444</v>
      </c>
      <c r="F28" s="93" t="s">
        <v>516</v>
      </c>
      <c r="G28" s="93">
        <v>4</v>
      </c>
      <c r="H28" s="93">
        <v>4</v>
      </c>
      <c r="I28" s="93">
        <v>3</v>
      </c>
      <c r="J28" s="110">
        <f t="shared" si="0"/>
        <v>3.3</v>
      </c>
      <c r="K28" s="93">
        <v>2</v>
      </c>
      <c r="L28" s="93"/>
      <c r="M28" s="93" t="s">
        <v>1022</v>
      </c>
      <c r="N28" s="111" t="s">
        <v>1027</v>
      </c>
      <c r="O28" s="111" t="s">
        <v>1028</v>
      </c>
      <c r="P28" s="111" t="s">
        <v>1025</v>
      </c>
      <c r="Q28" s="111" t="s">
        <v>1069</v>
      </c>
      <c r="R28" s="111"/>
      <c r="S28" s="93" t="s">
        <v>517</v>
      </c>
      <c r="T28" s="93" t="str">
        <f t="shared" si="1"/>
        <v>2026Q2|NFR-02</v>
      </c>
      <c r="U28" s="109">
        <v>46203</v>
      </c>
      <c r="V28" s="93" t="s">
        <v>687</v>
      </c>
      <c r="W28" s="93" t="s">
        <v>691</v>
      </c>
      <c r="X28" s="109">
        <v>46218</v>
      </c>
    </row>
    <row r="29" spans="1:24" ht="87.45" x14ac:dyDescent="0.4">
      <c r="A29" s="93" t="s">
        <v>566</v>
      </c>
      <c r="B29" s="109">
        <v>46203</v>
      </c>
      <c r="C29" s="93" t="s">
        <v>520</v>
      </c>
      <c r="D29" s="93" t="s">
        <v>521</v>
      </c>
      <c r="E29" s="93" t="s">
        <v>440</v>
      </c>
      <c r="F29" s="93" t="s">
        <v>522</v>
      </c>
      <c r="G29" s="93">
        <v>3</v>
      </c>
      <c r="H29" s="93">
        <v>2</v>
      </c>
      <c r="I29" s="93">
        <v>3</v>
      </c>
      <c r="J29" s="110">
        <f t="shared" si="0"/>
        <v>2.8</v>
      </c>
      <c r="K29" s="93">
        <v>3</v>
      </c>
      <c r="L29" s="93"/>
      <c r="M29" s="93" t="s">
        <v>1022</v>
      </c>
      <c r="N29" s="111" t="s">
        <v>1030</v>
      </c>
      <c r="O29" s="111" t="s">
        <v>1031</v>
      </c>
      <c r="P29" s="111" t="s">
        <v>1025</v>
      </c>
      <c r="Q29" s="111" t="s">
        <v>1054</v>
      </c>
      <c r="R29" s="111"/>
      <c r="S29" s="93" t="s">
        <v>523</v>
      </c>
      <c r="T29" s="93" t="str">
        <f t="shared" si="1"/>
        <v>2026Q2|NFR-03</v>
      </c>
      <c r="U29" s="109">
        <v>46203</v>
      </c>
      <c r="V29" s="93" t="s">
        <v>687</v>
      </c>
      <c r="W29" s="93" t="s">
        <v>691</v>
      </c>
      <c r="X29" s="109">
        <v>46218</v>
      </c>
    </row>
    <row r="30" spans="1:24" ht="87.45" x14ac:dyDescent="0.4">
      <c r="A30" s="93" t="s">
        <v>566</v>
      </c>
      <c r="B30" s="109">
        <v>46203</v>
      </c>
      <c r="C30" s="93" t="s">
        <v>526</v>
      </c>
      <c r="D30" s="93" t="s">
        <v>527</v>
      </c>
      <c r="E30" s="93" t="s">
        <v>442</v>
      </c>
      <c r="F30" s="93" t="s">
        <v>528</v>
      </c>
      <c r="G30" s="93">
        <v>3</v>
      </c>
      <c r="H30" s="93">
        <v>2</v>
      </c>
      <c r="I30" s="93">
        <v>3</v>
      </c>
      <c r="J30" s="110">
        <f t="shared" si="0"/>
        <v>2.8</v>
      </c>
      <c r="K30" s="93">
        <v>3</v>
      </c>
      <c r="L30" s="93"/>
      <c r="M30" s="93" t="s">
        <v>659</v>
      </c>
      <c r="N30" s="111" t="s">
        <v>1033</v>
      </c>
      <c r="O30" s="111" t="s">
        <v>1034</v>
      </c>
      <c r="P30" s="111" t="s">
        <v>1070</v>
      </c>
      <c r="Q30" s="111" t="s">
        <v>1071</v>
      </c>
      <c r="R30" s="111"/>
      <c r="S30" s="93" t="s">
        <v>529</v>
      </c>
      <c r="T30" s="93" t="str">
        <f t="shared" si="1"/>
        <v>2026Q2|NFR-04</v>
      </c>
      <c r="U30" s="109">
        <v>46203</v>
      </c>
      <c r="V30" s="93" t="s">
        <v>687</v>
      </c>
      <c r="W30" s="93" t="s">
        <v>691</v>
      </c>
      <c r="X30" s="109">
        <v>46218</v>
      </c>
    </row>
    <row r="31" spans="1:24" ht="131.15" x14ac:dyDescent="0.4">
      <c r="A31" s="93" t="s">
        <v>566</v>
      </c>
      <c r="B31" s="109">
        <v>46203</v>
      </c>
      <c r="C31" s="93" t="s">
        <v>530</v>
      </c>
      <c r="D31" s="93" t="s">
        <v>531</v>
      </c>
      <c r="E31" s="93" t="s">
        <v>447</v>
      </c>
      <c r="F31" s="93" t="s">
        <v>532</v>
      </c>
      <c r="G31" s="93">
        <v>3</v>
      </c>
      <c r="H31" s="93">
        <v>3</v>
      </c>
      <c r="I31" s="93">
        <v>3</v>
      </c>
      <c r="J31" s="110">
        <f t="shared" si="0"/>
        <v>3</v>
      </c>
      <c r="K31" s="93">
        <v>3</v>
      </c>
      <c r="L31" s="93"/>
      <c r="M31" s="93" t="s">
        <v>659</v>
      </c>
      <c r="N31" s="111" t="s">
        <v>1036</v>
      </c>
      <c r="O31" s="111" t="s">
        <v>1037</v>
      </c>
      <c r="P31" s="111" t="s">
        <v>1072</v>
      </c>
      <c r="Q31" s="111" t="s">
        <v>1073</v>
      </c>
      <c r="R31" s="111"/>
      <c r="S31" s="93" t="s">
        <v>533</v>
      </c>
      <c r="T31" s="93" t="str">
        <f t="shared" si="1"/>
        <v>2026Q2|NFR-05</v>
      </c>
      <c r="U31" s="109">
        <v>46203</v>
      </c>
      <c r="V31" s="93" t="s">
        <v>687</v>
      </c>
      <c r="W31" s="93" t="s">
        <v>691</v>
      </c>
      <c r="X31" s="109">
        <v>46218</v>
      </c>
    </row>
    <row r="32" spans="1:24" ht="87.45" x14ac:dyDescent="0.4">
      <c r="A32" s="93" t="s">
        <v>566</v>
      </c>
      <c r="B32" s="109">
        <v>46203</v>
      </c>
      <c r="C32" s="93" t="s">
        <v>535</v>
      </c>
      <c r="D32" s="93" t="s">
        <v>536</v>
      </c>
      <c r="E32" s="93" t="s">
        <v>434</v>
      </c>
      <c r="F32" s="93" t="s">
        <v>537</v>
      </c>
      <c r="G32" s="93">
        <v>3</v>
      </c>
      <c r="H32" s="93">
        <v>3</v>
      </c>
      <c r="I32" s="93">
        <v>3</v>
      </c>
      <c r="J32" s="110">
        <f t="shared" si="0"/>
        <v>3</v>
      </c>
      <c r="K32" s="93">
        <v>3</v>
      </c>
      <c r="L32" s="93"/>
      <c r="M32" s="93" t="s">
        <v>1022</v>
      </c>
      <c r="N32" s="111" t="s">
        <v>1056</v>
      </c>
      <c r="O32" s="111" t="s">
        <v>1057</v>
      </c>
      <c r="P32" s="111" t="s">
        <v>1025</v>
      </c>
      <c r="Q32" s="111" t="s">
        <v>1058</v>
      </c>
      <c r="R32" s="111"/>
      <c r="S32" s="93" t="s">
        <v>538</v>
      </c>
      <c r="T32" s="93" t="str">
        <f t="shared" si="1"/>
        <v>2026Q2|NFR-06</v>
      </c>
      <c r="U32" s="109">
        <v>46203</v>
      </c>
      <c r="V32" s="93" t="s">
        <v>687</v>
      </c>
      <c r="W32" s="93" t="s">
        <v>691</v>
      </c>
      <c r="X32" s="109">
        <v>46218</v>
      </c>
    </row>
    <row r="33" spans="1:24" ht="102" x14ac:dyDescent="0.4">
      <c r="A33" s="93" t="s">
        <v>566</v>
      </c>
      <c r="B33" s="109">
        <v>46203</v>
      </c>
      <c r="C33" s="93" t="s">
        <v>541</v>
      </c>
      <c r="D33" s="93" t="s">
        <v>542</v>
      </c>
      <c r="E33" s="93" t="s">
        <v>444</v>
      </c>
      <c r="F33" s="93" t="s">
        <v>543</v>
      </c>
      <c r="G33" s="93">
        <v>4</v>
      </c>
      <c r="H33" s="93">
        <v>5</v>
      </c>
      <c r="I33" s="93">
        <v>3</v>
      </c>
      <c r="J33" s="110">
        <f t="shared" si="0"/>
        <v>3.75</v>
      </c>
      <c r="K33" s="93">
        <v>3</v>
      </c>
      <c r="L33" s="93"/>
      <c r="M33" s="93" t="s">
        <v>1022</v>
      </c>
      <c r="N33" s="111" t="s">
        <v>1039</v>
      </c>
      <c r="O33" s="111" t="s">
        <v>1040</v>
      </c>
      <c r="P33" s="111" t="s">
        <v>1025</v>
      </c>
      <c r="Q33" s="111" t="s">
        <v>1059</v>
      </c>
      <c r="R33" s="111"/>
      <c r="S33" s="93" t="s">
        <v>517</v>
      </c>
      <c r="T33" s="93" t="str">
        <f t="shared" si="1"/>
        <v>2026Q2|NFR-07</v>
      </c>
      <c r="U33" s="109">
        <v>46203</v>
      </c>
      <c r="V33" s="93" t="s">
        <v>687</v>
      </c>
      <c r="W33" s="93" t="s">
        <v>691</v>
      </c>
      <c r="X33" s="109">
        <v>46218</v>
      </c>
    </row>
    <row r="34" spans="1:24" ht="87.45" x14ac:dyDescent="0.4">
      <c r="A34" s="93" t="s">
        <v>566</v>
      </c>
      <c r="B34" s="109">
        <v>46203</v>
      </c>
      <c r="C34" s="93" t="s">
        <v>545</v>
      </c>
      <c r="D34" s="93" t="s">
        <v>546</v>
      </c>
      <c r="E34" s="93" t="s">
        <v>434</v>
      </c>
      <c r="F34" s="93" t="s">
        <v>547</v>
      </c>
      <c r="G34" s="93">
        <v>3</v>
      </c>
      <c r="H34" s="93">
        <v>3</v>
      </c>
      <c r="I34" s="93">
        <v>3</v>
      </c>
      <c r="J34" s="110">
        <f t="shared" si="0"/>
        <v>2.75</v>
      </c>
      <c r="K34" s="93">
        <v>2</v>
      </c>
      <c r="L34" s="93"/>
      <c r="M34" s="93" t="s">
        <v>1022</v>
      </c>
      <c r="N34" s="111" t="s">
        <v>1042</v>
      </c>
      <c r="O34" s="111" t="s">
        <v>1043</v>
      </c>
      <c r="P34" s="111" t="s">
        <v>1025</v>
      </c>
      <c r="Q34" s="111" t="s">
        <v>1074</v>
      </c>
      <c r="R34" s="111"/>
      <c r="S34" s="93" t="s">
        <v>538</v>
      </c>
      <c r="T34" s="93" t="str">
        <f t="shared" si="1"/>
        <v>2026Q2|NFR-08</v>
      </c>
      <c r="U34" s="109">
        <v>46203</v>
      </c>
      <c r="V34" s="93" t="s">
        <v>687</v>
      </c>
      <c r="W34" s="93" t="s">
        <v>691</v>
      </c>
      <c r="X34" s="109">
        <v>46218</v>
      </c>
    </row>
    <row r="35" spans="1:24" ht="87.45" x14ac:dyDescent="0.4">
      <c r="A35" s="93" t="s">
        <v>566</v>
      </c>
      <c r="B35" s="109">
        <v>46203</v>
      </c>
      <c r="C35" s="93" t="s">
        <v>550</v>
      </c>
      <c r="D35" s="93" t="s">
        <v>551</v>
      </c>
      <c r="E35" s="93" t="s">
        <v>440</v>
      </c>
      <c r="F35" s="93" t="s">
        <v>552</v>
      </c>
      <c r="G35" s="93">
        <v>4</v>
      </c>
      <c r="H35" s="93">
        <v>3</v>
      </c>
      <c r="I35" s="93">
        <v>2</v>
      </c>
      <c r="J35" s="110">
        <f t="shared" si="0"/>
        <v>2.9</v>
      </c>
      <c r="K35" s="93">
        <v>2</v>
      </c>
      <c r="L35" s="93"/>
      <c r="M35" s="93" t="s">
        <v>1022</v>
      </c>
      <c r="N35" s="111" t="s">
        <v>1060</v>
      </c>
      <c r="O35" s="111" t="s">
        <v>1061</v>
      </c>
      <c r="P35" s="111" t="s">
        <v>1025</v>
      </c>
      <c r="Q35" s="111" t="s">
        <v>1062</v>
      </c>
      <c r="R35" s="111"/>
      <c r="S35" s="93" t="s">
        <v>523</v>
      </c>
      <c r="T35" s="93" t="str">
        <f t="shared" si="1"/>
        <v>2026Q2|NFR-09</v>
      </c>
      <c r="U35" s="109">
        <v>46203</v>
      </c>
      <c r="V35" s="93" t="s">
        <v>687</v>
      </c>
      <c r="W35" s="93" t="s">
        <v>691</v>
      </c>
      <c r="X35" s="109">
        <v>46218</v>
      </c>
    </row>
    <row r="36" spans="1:24" ht="102" x14ac:dyDescent="0.4">
      <c r="A36" s="93" t="s">
        <v>566</v>
      </c>
      <c r="B36" s="109">
        <v>46203</v>
      </c>
      <c r="C36" s="93" t="s">
        <v>555</v>
      </c>
      <c r="D36" s="93" t="s">
        <v>556</v>
      </c>
      <c r="E36" s="93" t="s">
        <v>440</v>
      </c>
      <c r="F36" s="93" t="s">
        <v>557</v>
      </c>
      <c r="G36" s="93">
        <v>3</v>
      </c>
      <c r="H36" s="93"/>
      <c r="I36" s="93">
        <v>3</v>
      </c>
      <c r="J36" s="110">
        <f t="shared" si="0"/>
        <v>3</v>
      </c>
      <c r="K36" s="93">
        <v>3</v>
      </c>
      <c r="L36" s="93"/>
      <c r="M36" s="93" t="s">
        <v>1022</v>
      </c>
      <c r="N36" s="111" t="s">
        <v>1063</v>
      </c>
      <c r="O36" s="111" t="s">
        <v>1064</v>
      </c>
      <c r="P36" s="111" t="s">
        <v>1025</v>
      </c>
      <c r="Q36" s="111" t="s">
        <v>1065</v>
      </c>
      <c r="R36" s="111"/>
      <c r="S36" s="93" t="s">
        <v>558</v>
      </c>
      <c r="T36" s="93" t="str">
        <f t="shared" si="1"/>
        <v>2026Q2|NFR-10</v>
      </c>
      <c r="U36" s="109">
        <v>46203</v>
      </c>
      <c r="V36" s="93" t="s">
        <v>687</v>
      </c>
      <c r="W36" s="93" t="s">
        <v>869</v>
      </c>
      <c r="X36" s="109">
        <v>46218</v>
      </c>
    </row>
    <row r="37" spans="1:24" ht="87.45" x14ac:dyDescent="0.4">
      <c r="A37" s="93" t="s">
        <v>566</v>
      </c>
      <c r="B37" s="109">
        <v>46203</v>
      </c>
      <c r="C37" s="93" t="s">
        <v>562</v>
      </c>
      <c r="D37" s="93" t="s">
        <v>563</v>
      </c>
      <c r="E37" s="93" t="s">
        <v>444</v>
      </c>
      <c r="F37" s="93" t="s">
        <v>532</v>
      </c>
      <c r="G37" s="93">
        <v>3</v>
      </c>
      <c r="H37" s="93">
        <v>2</v>
      </c>
      <c r="I37" s="93">
        <v>3</v>
      </c>
      <c r="J37" s="110">
        <f t="shared" si="0"/>
        <v>2.8</v>
      </c>
      <c r="K37" s="93">
        <v>3</v>
      </c>
      <c r="L37" s="93">
        <v>3</v>
      </c>
      <c r="M37" s="93" t="s">
        <v>1022</v>
      </c>
      <c r="N37" s="111" t="s">
        <v>1045</v>
      </c>
      <c r="O37" s="111" t="s">
        <v>1046</v>
      </c>
      <c r="P37" s="111" t="s">
        <v>1025</v>
      </c>
      <c r="Q37" s="111" t="s">
        <v>1066</v>
      </c>
      <c r="R37" s="111"/>
      <c r="S37" s="93" t="s">
        <v>564</v>
      </c>
      <c r="T37" s="93" t="str">
        <f t="shared" si="1"/>
        <v>2026Q2|NFR-11</v>
      </c>
      <c r="U37" s="109">
        <v>46203</v>
      </c>
      <c r="V37" s="93" t="s">
        <v>687</v>
      </c>
      <c r="W37" s="93" t="s">
        <v>691</v>
      </c>
      <c r="X37" s="109">
        <v>46218</v>
      </c>
    </row>
    <row r="38" spans="1:24" ht="87.45" x14ac:dyDescent="0.4">
      <c r="A38" s="93" t="s">
        <v>566</v>
      </c>
      <c r="B38" s="109">
        <v>46203</v>
      </c>
      <c r="C38" s="93" t="s">
        <v>569</v>
      </c>
      <c r="D38" s="93" t="s">
        <v>570</v>
      </c>
      <c r="E38" s="93" t="s">
        <v>447</v>
      </c>
      <c r="F38" s="93" t="s">
        <v>532</v>
      </c>
      <c r="G38" s="93">
        <v>3</v>
      </c>
      <c r="H38" s="93">
        <v>4</v>
      </c>
      <c r="I38" s="93">
        <v>4</v>
      </c>
      <c r="J38" s="110">
        <f t="shared" si="0"/>
        <v>3.65</v>
      </c>
      <c r="K38" s="93">
        <v>4</v>
      </c>
      <c r="L38" s="93"/>
      <c r="M38" s="93" t="s">
        <v>659</v>
      </c>
      <c r="N38" s="111" t="s">
        <v>1048</v>
      </c>
      <c r="O38" s="111" t="s">
        <v>1049</v>
      </c>
      <c r="P38" s="111" t="s">
        <v>1075</v>
      </c>
      <c r="Q38" s="111" t="s">
        <v>1076</v>
      </c>
      <c r="R38" s="111" t="s">
        <v>1077</v>
      </c>
      <c r="S38" s="93" t="s">
        <v>533</v>
      </c>
      <c r="T38" s="93" t="str">
        <f t="shared" si="1"/>
        <v>2026Q2|NFR-12</v>
      </c>
      <c r="U38" s="109">
        <v>46203</v>
      </c>
      <c r="V38" s="93" t="s">
        <v>687</v>
      </c>
      <c r="W38" s="93" t="s">
        <v>691</v>
      </c>
      <c r="X38" s="109">
        <v>46218</v>
      </c>
    </row>
    <row r="39" spans="1:24" ht="233.15" x14ac:dyDescent="0.4">
      <c r="A39" s="183" t="s">
        <v>1361</v>
      </c>
      <c r="B39" s="109">
        <v>46295</v>
      </c>
      <c r="C39" s="183" t="s">
        <v>508</v>
      </c>
      <c r="D39" s="183" t="s">
        <v>509</v>
      </c>
      <c r="E39" s="183" t="s">
        <v>436</v>
      </c>
      <c r="F39" s="183" t="s">
        <v>510</v>
      </c>
      <c r="G39" s="93">
        <v>4</v>
      </c>
      <c r="H39" s="93">
        <v>5</v>
      </c>
      <c r="I39" s="93">
        <v>4</v>
      </c>
      <c r="J39" s="110">
        <f>IF(COUNT(G39,I39,K39)&lt;3,"",ROUND((pesoImpatto*G39+pesoProbabilita*K39+pesoProssimita*I39+IF(ISNUMBER(H39),pesoVelocity*H39,0))/(pesoImpatto+pesoProbabilita+pesoProssimita+IF(ISNUMBER(H39),pesoVelocity,0)),2))</f>
        <v>4.2</v>
      </c>
      <c r="K39" s="93">
        <v>4</v>
      </c>
      <c r="L39" s="93"/>
      <c r="M39" s="183" t="s">
        <v>1022</v>
      </c>
      <c r="N39" s="184" t="s">
        <v>1023</v>
      </c>
      <c r="O39" s="184" t="s">
        <v>1398</v>
      </c>
      <c r="P39" s="184" t="s">
        <v>1025</v>
      </c>
      <c r="Q39" s="184" t="s">
        <v>1399</v>
      </c>
      <c r="R39" s="111"/>
      <c r="S39" s="183" t="s">
        <v>511</v>
      </c>
      <c r="T39" s="93" t="str">
        <f>A39&amp;"|"&amp;C39</f>
        <v>2026Q3|NFR-01</v>
      </c>
      <c r="U39" s="109">
        <v>46302</v>
      </c>
      <c r="V39" s="93"/>
      <c r="W39" s="183" t="s">
        <v>1364</v>
      </c>
      <c r="X39" s="109"/>
    </row>
    <row r="40" spans="1:24" ht="174.9" x14ac:dyDescent="0.4">
      <c r="A40" s="183" t="s">
        <v>1361</v>
      </c>
      <c r="B40" s="109">
        <v>46295</v>
      </c>
      <c r="C40" s="183" t="s">
        <v>514</v>
      </c>
      <c r="D40" s="183" t="s">
        <v>515</v>
      </c>
      <c r="E40" s="183" t="s">
        <v>444</v>
      </c>
      <c r="F40" s="183" t="s">
        <v>516</v>
      </c>
      <c r="G40" s="93">
        <v>4</v>
      </c>
      <c r="H40" s="93">
        <v>4</v>
      </c>
      <c r="I40" s="93">
        <v>3</v>
      </c>
      <c r="J40" s="110">
        <f>IF(COUNT(G40,I40,K40)&lt;3,"",ROUND((pesoImpatto*G40+pesoProbabilita*K40+pesoProssimita*I40+IF(ISNUMBER(H40),pesoVelocity*H40,0))/(pesoImpatto+pesoProbabilita+pesoProssimita+IF(ISNUMBER(H40),pesoVelocity,0)),2))</f>
        <v>3.3</v>
      </c>
      <c r="K40" s="93">
        <v>2</v>
      </c>
      <c r="L40" s="93"/>
      <c r="M40" s="183" t="s">
        <v>1022</v>
      </c>
      <c r="N40" s="184" t="s">
        <v>1027</v>
      </c>
      <c r="O40" s="184" t="s">
        <v>1400</v>
      </c>
      <c r="P40" s="184" t="s">
        <v>1025</v>
      </c>
      <c r="Q40" s="184" t="s">
        <v>1401</v>
      </c>
      <c r="R40" s="184" t="s">
        <v>1402</v>
      </c>
      <c r="S40" s="183" t="s">
        <v>517</v>
      </c>
      <c r="T40" s="93" t="str">
        <f>A40&amp;"|"&amp;C40</f>
        <v>2026Q3|NFR-02</v>
      </c>
      <c r="U40" s="109">
        <v>46302</v>
      </c>
      <c r="V40" s="93"/>
      <c r="W40" s="183" t="s">
        <v>1364</v>
      </c>
      <c r="X40" s="109"/>
    </row>
    <row r="41" spans="1:24" ht="145.75" x14ac:dyDescent="0.4">
      <c r="A41" s="183" t="s">
        <v>1361</v>
      </c>
      <c r="B41" s="109">
        <v>46295</v>
      </c>
      <c r="C41" s="183" t="s">
        <v>520</v>
      </c>
      <c r="D41" s="183" t="s">
        <v>521</v>
      </c>
      <c r="E41" s="183" t="s">
        <v>440</v>
      </c>
      <c r="F41" s="183" t="s">
        <v>522</v>
      </c>
      <c r="G41" s="93">
        <v>3</v>
      </c>
      <c r="H41" s="93">
        <v>2</v>
      </c>
      <c r="I41" s="93">
        <v>4</v>
      </c>
      <c r="J41" s="110">
        <f>IF(COUNT(G41,I41,K41)&lt;3,"",ROUND((pesoImpatto*G41+pesoProbabilita*K41+pesoProssimita*I41+IF(ISNUMBER(H41),pesoVelocity*H41,0))/(pesoImpatto+pesoProbabilita+pesoProssimita+IF(ISNUMBER(H41),pesoVelocity,0)),2))</f>
        <v>3</v>
      </c>
      <c r="K41" s="93">
        <v>3</v>
      </c>
      <c r="L41" s="93"/>
      <c r="M41" s="183" t="s">
        <v>659</v>
      </c>
      <c r="N41" s="184" t="s">
        <v>1030</v>
      </c>
      <c r="O41" s="184" t="s">
        <v>1403</v>
      </c>
      <c r="P41" s="184" t="s">
        <v>1404</v>
      </c>
      <c r="Q41" s="184" t="s">
        <v>1405</v>
      </c>
      <c r="R41" s="184"/>
      <c r="S41" s="183" t="s">
        <v>523</v>
      </c>
      <c r="T41" s="93" t="str">
        <f>A41&amp;"|"&amp;C41</f>
        <v>2026Q3|NFR-03</v>
      </c>
      <c r="U41" s="109">
        <v>46302</v>
      </c>
      <c r="V41" s="93"/>
      <c r="W41" s="183" t="s">
        <v>1364</v>
      </c>
      <c r="X41" s="109"/>
    </row>
    <row r="42" spans="1:24" ht="87.45" x14ac:dyDescent="0.4">
      <c r="A42" s="183" t="s">
        <v>1361</v>
      </c>
      <c r="B42" s="109">
        <v>46295</v>
      </c>
      <c r="C42" s="183" t="s">
        <v>526</v>
      </c>
      <c r="D42" s="183" t="s">
        <v>527</v>
      </c>
      <c r="E42" s="183" t="s">
        <v>442</v>
      </c>
      <c r="F42" s="183" t="s">
        <v>528</v>
      </c>
      <c r="G42" s="93">
        <v>3</v>
      </c>
      <c r="H42" s="93">
        <v>2</v>
      </c>
      <c r="I42" s="93">
        <v>3</v>
      </c>
      <c r="J42" s="110">
        <f>IF(COUNT(G42,I42,K42)&lt;3,"",ROUND((pesoImpatto*G42+pesoProbabilita*K42+pesoProssimita*I42+IF(ISNUMBER(H42),pesoVelocity*H42,0))/(pesoImpatto+pesoProbabilita+pesoProssimita+IF(ISNUMBER(H42),pesoVelocity,0)),2))</f>
        <v>2.8</v>
      </c>
      <c r="K42" s="93">
        <v>3</v>
      </c>
      <c r="L42" s="93"/>
      <c r="M42" s="183" t="s">
        <v>1022</v>
      </c>
      <c r="N42" s="184" t="s">
        <v>1033</v>
      </c>
      <c r="O42" s="184" t="s">
        <v>1406</v>
      </c>
      <c r="P42" s="184" t="s">
        <v>1025</v>
      </c>
      <c r="Q42" s="184" t="s">
        <v>1407</v>
      </c>
      <c r="R42" s="184"/>
      <c r="S42" s="183" t="s">
        <v>529</v>
      </c>
      <c r="T42" s="93" t="str">
        <f>A42&amp;"|"&amp;C42</f>
        <v>2026Q3|NFR-04</v>
      </c>
      <c r="U42" s="109">
        <v>46302</v>
      </c>
      <c r="V42" s="93"/>
      <c r="W42" s="183" t="s">
        <v>1364</v>
      </c>
      <c r="X42" s="109"/>
    </row>
    <row r="43" spans="1:24" ht="131.15" x14ac:dyDescent="0.4">
      <c r="A43" s="183" t="s">
        <v>1361</v>
      </c>
      <c r="B43" s="109">
        <v>46295</v>
      </c>
      <c r="C43" s="183" t="s">
        <v>530</v>
      </c>
      <c r="D43" s="183" t="s">
        <v>531</v>
      </c>
      <c r="E43" s="183" t="s">
        <v>447</v>
      </c>
      <c r="F43" s="183" t="s">
        <v>532</v>
      </c>
      <c r="G43" s="93">
        <v>3</v>
      </c>
      <c r="H43" s="93">
        <v>3</v>
      </c>
      <c r="I43" s="93">
        <v>3</v>
      </c>
      <c r="J43" s="110">
        <f>IF(COUNT(G43,I43,K43)&lt;3,"",ROUND((pesoImpatto*G43+pesoProbabilita*K43+pesoProssimita*I43+IF(ISNUMBER(H43),pesoVelocity*H43,0))/(pesoImpatto+pesoProbabilita+pesoProssimita+IF(ISNUMBER(H43),pesoVelocity,0)),2))</f>
        <v>3</v>
      </c>
      <c r="K43" s="93">
        <v>3</v>
      </c>
      <c r="L43" s="93"/>
      <c r="M43" s="183" t="s">
        <v>1022</v>
      </c>
      <c r="N43" s="184" t="s">
        <v>1036</v>
      </c>
      <c r="O43" s="184" t="s">
        <v>1408</v>
      </c>
      <c r="P43" s="184" t="s">
        <v>1025</v>
      </c>
      <c r="Q43" s="184" t="s">
        <v>1073</v>
      </c>
      <c r="R43" s="184"/>
      <c r="S43" s="183" t="s">
        <v>533</v>
      </c>
      <c r="T43" s="93" t="str">
        <f>A43&amp;"|"&amp;C43</f>
        <v>2026Q3|NFR-05</v>
      </c>
      <c r="U43" s="109">
        <v>46302</v>
      </c>
      <c r="V43" s="93"/>
      <c r="W43" s="183" t="s">
        <v>1364</v>
      </c>
      <c r="X43" s="109"/>
    </row>
    <row r="44" spans="1:24" ht="131.15" x14ac:dyDescent="0.4">
      <c r="A44" s="183" t="s">
        <v>1361</v>
      </c>
      <c r="B44" s="109">
        <v>46295</v>
      </c>
      <c r="C44" s="183" t="s">
        <v>535</v>
      </c>
      <c r="D44" s="183" t="s">
        <v>536</v>
      </c>
      <c r="E44" s="183" t="s">
        <v>434</v>
      </c>
      <c r="F44" s="183" t="s">
        <v>537</v>
      </c>
      <c r="G44" s="93">
        <v>3</v>
      </c>
      <c r="H44" s="93">
        <v>3</v>
      </c>
      <c r="I44" s="93">
        <v>3</v>
      </c>
      <c r="J44" s="110">
        <f>IF(COUNT(G44,I44,K44)&lt;3,"",ROUND((pesoImpatto*G44+pesoProbabilita*K44+pesoProssimita*I44+IF(ISNUMBER(H44),pesoVelocity*H44,0))/(pesoImpatto+pesoProbabilita+pesoProssimita+IF(ISNUMBER(H44),pesoVelocity,0)),2))</f>
        <v>3</v>
      </c>
      <c r="K44" s="93">
        <v>3</v>
      </c>
      <c r="L44" s="93"/>
      <c r="M44" s="183" t="s">
        <v>1022</v>
      </c>
      <c r="N44" s="184" t="s">
        <v>1056</v>
      </c>
      <c r="O44" s="184" t="s">
        <v>1409</v>
      </c>
      <c r="P44" s="184" t="s">
        <v>1025</v>
      </c>
      <c r="Q44" s="184" t="s">
        <v>1410</v>
      </c>
      <c r="R44" s="184" t="s">
        <v>1411</v>
      </c>
      <c r="S44" s="183" t="s">
        <v>538</v>
      </c>
      <c r="T44" s="93" t="str">
        <f>A44&amp;"|"&amp;C44</f>
        <v>2026Q3|NFR-06</v>
      </c>
      <c r="U44" s="109">
        <v>46302</v>
      </c>
      <c r="V44" s="93"/>
      <c r="W44" s="183" t="s">
        <v>1364</v>
      </c>
      <c r="X44" s="109"/>
    </row>
    <row r="45" spans="1:24" ht="102" x14ac:dyDescent="0.4">
      <c r="A45" s="183" t="s">
        <v>1361</v>
      </c>
      <c r="B45" s="109">
        <v>46295</v>
      </c>
      <c r="C45" s="183" t="s">
        <v>541</v>
      </c>
      <c r="D45" s="183" t="s">
        <v>542</v>
      </c>
      <c r="E45" s="183" t="s">
        <v>444</v>
      </c>
      <c r="F45" s="183" t="s">
        <v>543</v>
      </c>
      <c r="G45" s="93">
        <v>4</v>
      </c>
      <c r="H45" s="93">
        <v>5</v>
      </c>
      <c r="I45" s="93">
        <v>3</v>
      </c>
      <c r="J45" s="110">
        <f>IF(COUNT(G45,I45,K45)&lt;3,"",ROUND((pesoImpatto*G45+pesoProbabilita*K45+pesoProssimita*I45+IF(ISNUMBER(H45),pesoVelocity*H45,0))/(pesoImpatto+pesoProbabilita+pesoProssimita+IF(ISNUMBER(H45),pesoVelocity,0)),2))</f>
        <v>3.75</v>
      </c>
      <c r="K45" s="93">
        <v>3</v>
      </c>
      <c r="L45" s="93"/>
      <c r="M45" s="183" t="s">
        <v>1022</v>
      </c>
      <c r="N45" s="184" t="s">
        <v>1039</v>
      </c>
      <c r="O45" s="184" t="s">
        <v>1412</v>
      </c>
      <c r="P45" s="184" t="s">
        <v>1025</v>
      </c>
      <c r="Q45" s="184" t="s">
        <v>1413</v>
      </c>
      <c r="R45" s="184"/>
      <c r="S45" s="183" t="s">
        <v>517</v>
      </c>
      <c r="T45" s="93" t="str">
        <f>A45&amp;"|"&amp;C45</f>
        <v>2026Q3|NFR-07</v>
      </c>
      <c r="U45" s="109">
        <v>46302</v>
      </c>
      <c r="V45" s="93"/>
      <c r="W45" s="183" t="s">
        <v>1364</v>
      </c>
      <c r="X45" s="109"/>
    </row>
    <row r="46" spans="1:24" ht="87.45" x14ac:dyDescent="0.4">
      <c r="A46" s="183" t="s">
        <v>1361</v>
      </c>
      <c r="B46" s="109">
        <v>46295</v>
      </c>
      <c r="C46" s="183" t="s">
        <v>545</v>
      </c>
      <c r="D46" s="183" t="s">
        <v>546</v>
      </c>
      <c r="E46" s="183" t="s">
        <v>434</v>
      </c>
      <c r="F46" s="183" t="s">
        <v>547</v>
      </c>
      <c r="G46" s="93">
        <v>3</v>
      </c>
      <c r="H46" s="93">
        <v>3</v>
      </c>
      <c r="I46" s="93">
        <v>3</v>
      </c>
      <c r="J46" s="110">
        <f>IF(COUNT(G46,I46,K46)&lt;3,"",ROUND((pesoImpatto*G46+pesoProbabilita*K46+pesoProssimita*I46+IF(ISNUMBER(H46),pesoVelocity*H46,0))/(pesoImpatto+pesoProbabilita+pesoProssimita+IF(ISNUMBER(H46),pesoVelocity,0)),2))</f>
        <v>2.75</v>
      </c>
      <c r="K46" s="93">
        <v>2</v>
      </c>
      <c r="L46" s="93"/>
      <c r="M46" s="183" t="s">
        <v>1022</v>
      </c>
      <c r="N46" s="184" t="s">
        <v>1042</v>
      </c>
      <c r="O46" s="184" t="s">
        <v>1414</v>
      </c>
      <c r="P46" s="184" t="s">
        <v>1025</v>
      </c>
      <c r="Q46" s="184" t="s">
        <v>1074</v>
      </c>
      <c r="R46" s="184"/>
      <c r="S46" s="183" t="s">
        <v>538</v>
      </c>
      <c r="T46" s="93" t="str">
        <f>A46&amp;"|"&amp;C46</f>
        <v>2026Q3|NFR-08</v>
      </c>
      <c r="U46" s="109">
        <v>46302</v>
      </c>
      <c r="V46" s="93"/>
      <c r="W46" s="183" t="s">
        <v>1364</v>
      </c>
      <c r="X46" s="109"/>
    </row>
    <row r="47" spans="1:24" ht="87.45" x14ac:dyDescent="0.4">
      <c r="A47" s="183" t="s">
        <v>1361</v>
      </c>
      <c r="B47" s="109">
        <v>46295</v>
      </c>
      <c r="C47" s="183" t="s">
        <v>550</v>
      </c>
      <c r="D47" s="183" t="s">
        <v>551</v>
      </c>
      <c r="E47" s="183" t="s">
        <v>440</v>
      </c>
      <c r="F47" s="183" t="s">
        <v>552</v>
      </c>
      <c r="G47" s="93">
        <v>4</v>
      </c>
      <c r="H47" s="93">
        <v>3</v>
      </c>
      <c r="I47" s="93">
        <v>2</v>
      </c>
      <c r="J47" s="110">
        <f>IF(COUNT(G47,I47,K47)&lt;3,"",ROUND((pesoImpatto*G47+pesoProbabilita*K47+pesoProssimita*I47+IF(ISNUMBER(H47),pesoVelocity*H47,0))/(pesoImpatto+pesoProbabilita+pesoProssimita+IF(ISNUMBER(H47),pesoVelocity,0)),2))</f>
        <v>2.9</v>
      </c>
      <c r="K47" s="93">
        <v>2</v>
      </c>
      <c r="L47" s="93"/>
      <c r="M47" s="183" t="s">
        <v>1022</v>
      </c>
      <c r="N47" s="184" t="s">
        <v>1060</v>
      </c>
      <c r="O47" s="184" t="s">
        <v>1415</v>
      </c>
      <c r="P47" s="184" t="s">
        <v>1025</v>
      </c>
      <c r="Q47" s="184" t="s">
        <v>1416</v>
      </c>
      <c r="R47" s="184"/>
      <c r="S47" s="183" t="s">
        <v>523</v>
      </c>
      <c r="T47" s="93" t="str">
        <f>A47&amp;"|"&amp;C47</f>
        <v>2026Q3|NFR-09</v>
      </c>
      <c r="U47" s="109">
        <v>46302</v>
      </c>
      <c r="V47" s="93"/>
      <c r="W47" s="183" t="s">
        <v>1364</v>
      </c>
      <c r="X47" s="109"/>
    </row>
    <row r="48" spans="1:24" ht="102" x14ac:dyDescent="0.4">
      <c r="A48" s="183" t="s">
        <v>1361</v>
      </c>
      <c r="B48" s="109">
        <v>46295</v>
      </c>
      <c r="C48" s="183" t="s">
        <v>555</v>
      </c>
      <c r="D48" s="183" t="s">
        <v>556</v>
      </c>
      <c r="E48" s="183" t="s">
        <v>440</v>
      </c>
      <c r="F48" s="183" t="s">
        <v>557</v>
      </c>
      <c r="G48" s="93">
        <v>3</v>
      </c>
      <c r="H48" s="93"/>
      <c r="I48" s="93">
        <v>3</v>
      </c>
      <c r="J48" s="110">
        <f>IF(COUNT(G48,I48,K48)&lt;3,"",ROUND((pesoImpatto*G48+pesoProbabilita*K48+pesoProssimita*I48+IF(ISNUMBER(H48),pesoVelocity*H48,0))/(pesoImpatto+pesoProbabilita+pesoProssimita+IF(ISNUMBER(H48),pesoVelocity,0)),2))</f>
        <v>3</v>
      </c>
      <c r="K48" s="93">
        <v>3</v>
      </c>
      <c r="L48" s="93"/>
      <c r="M48" s="183" t="s">
        <v>1022</v>
      </c>
      <c r="N48" s="184" t="s">
        <v>1063</v>
      </c>
      <c r="O48" s="184" t="s">
        <v>1417</v>
      </c>
      <c r="P48" s="184" t="s">
        <v>1025</v>
      </c>
      <c r="Q48" s="184" t="s">
        <v>1418</v>
      </c>
      <c r="R48" s="184"/>
      <c r="S48" s="183" t="s">
        <v>558</v>
      </c>
      <c r="T48" s="93" t="str">
        <f>A48&amp;"|"&amp;C48</f>
        <v>2026Q3|NFR-10</v>
      </c>
      <c r="U48" s="109">
        <v>46302</v>
      </c>
      <c r="V48" s="93"/>
      <c r="W48" s="183" t="s">
        <v>1364</v>
      </c>
      <c r="X48" s="109"/>
    </row>
    <row r="49" spans="1:24" ht="87.45" x14ac:dyDescent="0.4">
      <c r="A49" s="183" t="s">
        <v>1361</v>
      </c>
      <c r="B49" s="109">
        <v>46295</v>
      </c>
      <c r="C49" s="183" t="s">
        <v>562</v>
      </c>
      <c r="D49" s="183" t="s">
        <v>563</v>
      </c>
      <c r="E49" s="183" t="s">
        <v>444</v>
      </c>
      <c r="F49" s="183" t="s">
        <v>532</v>
      </c>
      <c r="G49" s="93">
        <v>3</v>
      </c>
      <c r="H49" s="93">
        <v>2</v>
      </c>
      <c r="I49" s="93">
        <v>3</v>
      </c>
      <c r="J49" s="110">
        <f>IF(COUNT(G49,I49,K49)&lt;3,"",ROUND((pesoImpatto*G49+pesoProbabilita*K49+pesoProssimita*I49+IF(ISNUMBER(H49),pesoVelocity*H49,0))/(pesoImpatto+pesoProbabilita+pesoProssimita+IF(ISNUMBER(H49),pesoVelocity,0)),2))</f>
        <v>2.8</v>
      </c>
      <c r="K49" s="93">
        <v>3</v>
      </c>
      <c r="L49" s="93">
        <v>3</v>
      </c>
      <c r="M49" s="183" t="s">
        <v>1022</v>
      </c>
      <c r="N49" s="184" t="s">
        <v>1045</v>
      </c>
      <c r="O49" s="184" t="s">
        <v>1419</v>
      </c>
      <c r="P49" s="184" t="s">
        <v>1025</v>
      </c>
      <c r="Q49" s="184" t="s">
        <v>1420</v>
      </c>
      <c r="R49" s="184"/>
      <c r="S49" s="183" t="s">
        <v>564</v>
      </c>
      <c r="T49" s="93" t="str">
        <f>A49&amp;"|"&amp;C49</f>
        <v>2026Q3|NFR-11</v>
      </c>
      <c r="U49" s="109">
        <v>46302</v>
      </c>
      <c r="V49" s="93"/>
      <c r="W49" s="183" t="s">
        <v>1364</v>
      </c>
      <c r="X49" s="109"/>
    </row>
    <row r="50" spans="1:24" ht="87.45" x14ac:dyDescent="0.4">
      <c r="A50" s="183" t="s">
        <v>1361</v>
      </c>
      <c r="B50" s="109">
        <v>46295</v>
      </c>
      <c r="C50" s="183" t="s">
        <v>569</v>
      </c>
      <c r="D50" s="183" t="s">
        <v>570</v>
      </c>
      <c r="E50" s="183" t="s">
        <v>447</v>
      </c>
      <c r="F50" s="183" t="s">
        <v>532</v>
      </c>
      <c r="G50" s="93">
        <v>3</v>
      </c>
      <c r="H50" s="93">
        <v>4</v>
      </c>
      <c r="I50" s="93">
        <v>4</v>
      </c>
      <c r="J50" s="110">
        <f>IF(COUNT(G50,I50,K50)&lt;3,"",ROUND((pesoImpatto*G50+pesoProbabilita*K50+pesoProssimita*I50+IF(ISNUMBER(H50),pesoVelocity*H50,0))/(pesoImpatto+pesoProbabilita+pesoProssimita+IF(ISNUMBER(H50),pesoVelocity,0)),2))</f>
        <v>3.65</v>
      </c>
      <c r="K50" s="93">
        <v>4</v>
      </c>
      <c r="L50" s="93"/>
      <c r="M50" s="183" t="s">
        <v>1022</v>
      </c>
      <c r="N50" s="184" t="s">
        <v>1048</v>
      </c>
      <c r="O50" s="184" t="s">
        <v>1421</v>
      </c>
      <c r="P50" s="184" t="s">
        <v>1025</v>
      </c>
      <c r="Q50" s="184" t="s">
        <v>1422</v>
      </c>
      <c r="R50" s="184"/>
      <c r="S50" s="183" t="s">
        <v>533</v>
      </c>
      <c r="T50" s="93" t="str">
        <f>A50&amp;"|"&amp;C50</f>
        <v>2026Q3|NFR-12</v>
      </c>
      <c r="U50" s="109">
        <v>46302</v>
      </c>
      <c r="V50" s="93"/>
      <c r="W50" s="183" t="s">
        <v>1364</v>
      </c>
      <c r="X50" s="109"/>
    </row>
  </sheetData>
  <mergeCells count="7">
    <mergeCell ref="V3:X3"/>
    <mergeCell ref="K3:L3"/>
    <mergeCell ref="A2:L2"/>
    <mergeCell ref="A1:L1"/>
    <mergeCell ref="N3:Q3"/>
    <mergeCell ref="R3:S3"/>
    <mergeCell ref="A3:I3"/>
  </mergeCells>
  <dataValidations count="2">
    <dataValidation type="list" allowBlank="1" sqref="E6:E20012" xr:uid="{00000000-0002-0000-0F00-000000000000}">
      <formula1>codiciL1</formula1>
    </dataValidation>
    <dataValidation type="list" allowBlank="1" sqref="M6:M20012" xr:uid="{00000000-0002-0000-0F00-000001000000}">
      <formula1>"Confermato,Variato,Nuovo"</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46" t="str">
        <f>"Horizon Scan NFR — Azioni — azioni di mitigazione proposte e loro stato   ·   "&amp;etichettaCiclo</f>
        <v>Horizon Scan NFR — Azioni — azioni di mitigazione proposte e loro stato   ·   Ciclo 2026Q3 · dati al 30/09/2026 · da validare · Uso interno</v>
      </c>
      <c r="B1" s="147"/>
      <c r="C1" s="147"/>
      <c r="D1" s="147"/>
      <c r="E1" s="147"/>
      <c r="F1" s="147"/>
      <c r="G1" s="147"/>
      <c r="H1" s="147"/>
      <c r="I1" s="147"/>
      <c r="J1" s="147"/>
      <c r="K1" s="147"/>
      <c r="L1" s="147"/>
    </row>
    <row r="2" spans="1:12" ht="59.05" customHeight="1" x14ac:dyDescent="0.4">
      <c r="A2" s="136" t="s">
        <v>1078</v>
      </c>
      <c r="B2" s="116"/>
      <c r="C2" s="116"/>
      <c r="D2" s="116"/>
      <c r="E2" s="116"/>
      <c r="F2" s="116"/>
      <c r="G2" s="116"/>
      <c r="H2" s="116"/>
    </row>
    <row r="3" spans="1:12" x14ac:dyDescent="0.4">
      <c r="A3" s="179" t="s">
        <v>994</v>
      </c>
      <c r="B3" s="116"/>
      <c r="C3" s="105" t="s">
        <v>996</v>
      </c>
      <c r="D3" s="179" t="s">
        <v>994</v>
      </c>
      <c r="E3" s="116"/>
      <c r="F3" s="116"/>
      <c r="G3" s="105" t="s">
        <v>995</v>
      </c>
      <c r="H3" s="104" t="s">
        <v>994</v>
      </c>
      <c r="I3" s="181" t="s">
        <v>997</v>
      </c>
      <c r="J3" s="116"/>
      <c r="K3" s="116"/>
      <c r="L3" s="116"/>
    </row>
    <row r="4" spans="1:12" ht="80.05" customHeight="1" x14ac:dyDescent="0.4">
      <c r="A4" s="107" t="s">
        <v>1079</v>
      </c>
      <c r="B4" s="107" t="s">
        <v>1080</v>
      </c>
      <c r="C4" s="107" t="s">
        <v>1081</v>
      </c>
      <c r="D4" s="107" t="s">
        <v>1082</v>
      </c>
      <c r="E4" s="107" t="s">
        <v>1083</v>
      </c>
      <c r="F4" s="107" t="s">
        <v>1084</v>
      </c>
      <c r="G4" s="107" t="s">
        <v>1085</v>
      </c>
      <c r="H4" s="107" t="s">
        <v>1086</v>
      </c>
      <c r="I4" s="107" t="s">
        <v>1087</v>
      </c>
      <c r="J4" s="107" t="s">
        <v>1088</v>
      </c>
      <c r="K4" s="107" t="s">
        <v>1089</v>
      </c>
      <c r="L4" s="107" t="s">
        <v>1090</v>
      </c>
    </row>
    <row r="5" spans="1:12" x14ac:dyDescent="0.4">
      <c r="A5" s="108" t="s">
        <v>424</v>
      </c>
      <c r="B5" s="108" t="s">
        <v>626</v>
      </c>
      <c r="C5" s="55" t="s">
        <v>699</v>
      </c>
      <c r="D5" s="108" t="s">
        <v>488</v>
      </c>
      <c r="E5" s="108" t="s">
        <v>169</v>
      </c>
      <c r="F5" s="108" t="s">
        <v>461</v>
      </c>
      <c r="G5" s="55" t="s">
        <v>709</v>
      </c>
      <c r="H5" s="108" t="s">
        <v>662</v>
      </c>
      <c r="I5" s="53" t="s">
        <v>417</v>
      </c>
      <c r="J5" s="53" t="s">
        <v>718</v>
      </c>
      <c r="K5" s="53" t="s">
        <v>721</v>
      </c>
      <c r="L5" s="53" t="s">
        <v>9</v>
      </c>
    </row>
    <row r="6" spans="1:12" ht="29.15" x14ac:dyDescent="0.4">
      <c r="A6" s="93" t="s">
        <v>566</v>
      </c>
      <c r="B6" s="93" t="s">
        <v>508</v>
      </c>
      <c r="C6" s="93" t="s">
        <v>702</v>
      </c>
      <c r="D6" s="111" t="s">
        <v>1091</v>
      </c>
      <c r="E6" s="93" t="s">
        <v>511</v>
      </c>
      <c r="F6" s="93" t="s">
        <v>708</v>
      </c>
      <c r="G6" s="93">
        <f t="shared" ref="G6:G17" si="0">IFERROR(VALUE(LEFT(F6,FIND(" ",F6)-1)),"")</f>
        <v>6</v>
      </c>
      <c r="H6" s="111" t="s">
        <v>1092</v>
      </c>
      <c r="I6" s="93" t="s">
        <v>717</v>
      </c>
      <c r="J6" s="109">
        <v>46218</v>
      </c>
      <c r="K6" s="93" t="s">
        <v>687</v>
      </c>
      <c r="L6" s="93" t="s">
        <v>691</v>
      </c>
    </row>
    <row r="7" spans="1:12" ht="29.15" x14ac:dyDescent="0.4">
      <c r="A7" s="93" t="s">
        <v>566</v>
      </c>
      <c r="B7" s="93" t="s">
        <v>514</v>
      </c>
      <c r="C7" s="93" t="s">
        <v>1093</v>
      </c>
      <c r="D7" s="111" t="s">
        <v>1094</v>
      </c>
      <c r="E7" s="93" t="s">
        <v>517</v>
      </c>
      <c r="F7" s="93" t="s">
        <v>1095</v>
      </c>
      <c r="G7" s="93">
        <f t="shared" si="0"/>
        <v>12</v>
      </c>
      <c r="H7" s="111" t="s">
        <v>1096</v>
      </c>
      <c r="I7" s="93" t="s">
        <v>717</v>
      </c>
      <c r="J7" s="109">
        <v>46218</v>
      </c>
      <c r="K7" s="93" t="s">
        <v>687</v>
      </c>
      <c r="L7" s="93" t="s">
        <v>691</v>
      </c>
    </row>
    <row r="8" spans="1:12" ht="29.15" x14ac:dyDescent="0.4">
      <c r="A8" s="93" t="s">
        <v>566</v>
      </c>
      <c r="B8" s="93" t="s">
        <v>520</v>
      </c>
      <c r="C8" s="93" t="s">
        <v>1097</v>
      </c>
      <c r="D8" s="111" t="s">
        <v>1098</v>
      </c>
      <c r="E8" s="93" t="s">
        <v>523</v>
      </c>
      <c r="F8" s="93" t="s">
        <v>708</v>
      </c>
      <c r="G8" s="93">
        <f t="shared" si="0"/>
        <v>6</v>
      </c>
      <c r="H8" s="111" t="s">
        <v>1099</v>
      </c>
      <c r="I8" s="93" t="s">
        <v>717</v>
      </c>
      <c r="J8" s="109">
        <v>46218</v>
      </c>
      <c r="K8" s="93" t="s">
        <v>687</v>
      </c>
      <c r="L8" s="93" t="s">
        <v>691</v>
      </c>
    </row>
    <row r="9" spans="1:12" ht="29.15" x14ac:dyDescent="0.4">
      <c r="A9" s="93" t="s">
        <v>566</v>
      </c>
      <c r="B9" s="93" t="s">
        <v>526</v>
      </c>
      <c r="C9" s="93" t="s">
        <v>1100</v>
      </c>
      <c r="D9" s="111" t="s">
        <v>1101</v>
      </c>
      <c r="E9" s="93" t="s">
        <v>529</v>
      </c>
      <c r="F9" s="93" t="s">
        <v>1095</v>
      </c>
      <c r="G9" s="93">
        <f t="shared" si="0"/>
        <v>12</v>
      </c>
      <c r="H9" s="111" t="s">
        <v>1102</v>
      </c>
      <c r="I9" s="93" t="s">
        <v>717</v>
      </c>
      <c r="J9" s="109">
        <v>46218</v>
      </c>
      <c r="K9" s="93" t="s">
        <v>687</v>
      </c>
      <c r="L9" s="93" t="s">
        <v>691</v>
      </c>
    </row>
    <row r="10" spans="1:12" ht="29.15" x14ac:dyDescent="0.4">
      <c r="A10" s="93" t="s">
        <v>566</v>
      </c>
      <c r="B10" s="93" t="s">
        <v>530</v>
      </c>
      <c r="C10" s="93" t="s">
        <v>1103</v>
      </c>
      <c r="D10" s="111" t="s">
        <v>1104</v>
      </c>
      <c r="E10" s="93" t="s">
        <v>533</v>
      </c>
      <c r="F10" s="93" t="s">
        <v>1105</v>
      </c>
      <c r="G10" s="93">
        <f t="shared" si="0"/>
        <v>3</v>
      </c>
      <c r="H10" s="111" t="s">
        <v>1106</v>
      </c>
      <c r="I10" s="93" t="s">
        <v>1107</v>
      </c>
      <c r="J10" s="109">
        <v>46218</v>
      </c>
      <c r="K10" s="93" t="s">
        <v>687</v>
      </c>
      <c r="L10" s="93" t="s">
        <v>1108</v>
      </c>
    </row>
    <row r="11" spans="1:12" ht="29.15" x14ac:dyDescent="0.4">
      <c r="A11" s="93" t="s">
        <v>566</v>
      </c>
      <c r="B11" s="93" t="s">
        <v>535</v>
      </c>
      <c r="C11" s="93" t="s">
        <v>1109</v>
      </c>
      <c r="D11" s="111" t="s">
        <v>1110</v>
      </c>
      <c r="E11" s="93" t="s">
        <v>538</v>
      </c>
      <c r="F11" s="93" t="s">
        <v>1105</v>
      </c>
      <c r="G11" s="93">
        <f t="shared" si="0"/>
        <v>3</v>
      </c>
      <c r="H11" s="111" t="s">
        <v>1111</v>
      </c>
      <c r="I11" s="93" t="s">
        <v>717</v>
      </c>
      <c r="J11" s="109">
        <v>46218</v>
      </c>
      <c r="K11" s="93" t="s">
        <v>687</v>
      </c>
      <c r="L11" s="93" t="s">
        <v>691</v>
      </c>
    </row>
    <row r="12" spans="1:12" ht="29.15" x14ac:dyDescent="0.4">
      <c r="A12" s="93" t="s">
        <v>566</v>
      </c>
      <c r="B12" s="93" t="s">
        <v>541</v>
      </c>
      <c r="C12" s="93" t="s">
        <v>1112</v>
      </c>
      <c r="D12" s="111" t="s">
        <v>1113</v>
      </c>
      <c r="E12" s="93" t="s">
        <v>517</v>
      </c>
      <c r="F12" s="93" t="s">
        <v>708</v>
      </c>
      <c r="G12" s="93">
        <f t="shared" si="0"/>
        <v>6</v>
      </c>
      <c r="H12" s="111" t="s">
        <v>1114</v>
      </c>
      <c r="I12" s="93" t="s">
        <v>717</v>
      </c>
      <c r="J12" s="109">
        <v>46218</v>
      </c>
      <c r="K12" s="93" t="s">
        <v>687</v>
      </c>
      <c r="L12" s="93" t="s">
        <v>691</v>
      </c>
    </row>
    <row r="13" spans="1:12" ht="29.15" x14ac:dyDescent="0.4">
      <c r="A13" s="93" t="s">
        <v>566</v>
      </c>
      <c r="B13" s="93" t="s">
        <v>545</v>
      </c>
      <c r="C13" s="93" t="s">
        <v>1115</v>
      </c>
      <c r="D13" s="111" t="s">
        <v>1116</v>
      </c>
      <c r="E13" s="93" t="s">
        <v>538</v>
      </c>
      <c r="F13" s="93" t="s">
        <v>1105</v>
      </c>
      <c r="G13" s="93">
        <f t="shared" si="0"/>
        <v>3</v>
      </c>
      <c r="H13" s="111" t="s">
        <v>1117</v>
      </c>
      <c r="I13" s="93" t="s">
        <v>717</v>
      </c>
      <c r="J13" s="109">
        <v>46218</v>
      </c>
      <c r="K13" s="93" t="s">
        <v>687</v>
      </c>
      <c r="L13" s="93" t="s">
        <v>691</v>
      </c>
    </row>
    <row r="14" spans="1:12" ht="29.15" x14ac:dyDescent="0.4">
      <c r="A14" s="93" t="s">
        <v>566</v>
      </c>
      <c r="B14" s="93" t="s">
        <v>550</v>
      </c>
      <c r="C14" s="93" t="s">
        <v>1118</v>
      </c>
      <c r="D14" s="111" t="s">
        <v>1119</v>
      </c>
      <c r="E14" s="93" t="s">
        <v>523</v>
      </c>
      <c r="F14" s="93" t="s">
        <v>1095</v>
      </c>
      <c r="G14" s="93">
        <f t="shared" si="0"/>
        <v>12</v>
      </c>
      <c r="H14" s="111" t="s">
        <v>1120</v>
      </c>
      <c r="I14" s="93" t="s">
        <v>717</v>
      </c>
      <c r="J14" s="109">
        <v>46218</v>
      </c>
      <c r="K14" s="93" t="s">
        <v>687</v>
      </c>
      <c r="L14" s="93" t="s">
        <v>691</v>
      </c>
    </row>
    <row r="15" spans="1:12" ht="29.15" x14ac:dyDescent="0.4">
      <c r="A15" s="93" t="s">
        <v>566</v>
      </c>
      <c r="B15" s="93" t="s">
        <v>555</v>
      </c>
      <c r="C15" s="93" t="s">
        <v>1121</v>
      </c>
      <c r="D15" s="111" t="s">
        <v>1122</v>
      </c>
      <c r="E15" s="93" t="s">
        <v>558</v>
      </c>
      <c r="F15" s="93" t="s">
        <v>1105</v>
      </c>
      <c r="G15" s="93">
        <f t="shared" si="0"/>
        <v>3</v>
      </c>
      <c r="H15" s="111" t="s">
        <v>1123</v>
      </c>
      <c r="I15" s="93" t="s">
        <v>717</v>
      </c>
      <c r="J15" s="109">
        <v>46218</v>
      </c>
      <c r="K15" s="93" t="s">
        <v>687</v>
      </c>
      <c r="L15" s="93" t="s">
        <v>691</v>
      </c>
    </row>
    <row r="16" spans="1:12" ht="29.15" x14ac:dyDescent="0.4">
      <c r="A16" s="93" t="s">
        <v>566</v>
      </c>
      <c r="B16" s="93" t="s">
        <v>562</v>
      </c>
      <c r="C16" s="93" t="s">
        <v>1124</v>
      </c>
      <c r="D16" s="111" t="s">
        <v>1125</v>
      </c>
      <c r="E16" s="93" t="s">
        <v>564</v>
      </c>
      <c r="F16" s="93" t="s">
        <v>1095</v>
      </c>
      <c r="G16" s="93">
        <f t="shared" si="0"/>
        <v>12</v>
      </c>
      <c r="H16" s="111" t="s">
        <v>1126</v>
      </c>
      <c r="I16" s="93" t="s">
        <v>717</v>
      </c>
      <c r="J16" s="109">
        <v>46218</v>
      </c>
      <c r="K16" s="93" t="s">
        <v>687</v>
      </c>
      <c r="L16" s="93" t="s">
        <v>691</v>
      </c>
    </row>
    <row r="17" spans="1:12" ht="29.15" x14ac:dyDescent="0.4">
      <c r="A17" s="93" t="s">
        <v>566</v>
      </c>
      <c r="B17" s="93" t="s">
        <v>569</v>
      </c>
      <c r="C17" s="93" t="s">
        <v>1127</v>
      </c>
      <c r="D17" s="111" t="s">
        <v>1128</v>
      </c>
      <c r="E17" s="93" t="s">
        <v>533</v>
      </c>
      <c r="F17" s="93" t="s">
        <v>1105</v>
      </c>
      <c r="G17" s="93">
        <f t="shared" si="0"/>
        <v>3</v>
      </c>
      <c r="H17" s="111" t="s">
        <v>1129</v>
      </c>
      <c r="I17" s="93" t="s">
        <v>717</v>
      </c>
      <c r="J17" s="109">
        <v>46218</v>
      </c>
      <c r="K17" s="93" t="s">
        <v>687</v>
      </c>
      <c r="L17" s="93" t="s">
        <v>691</v>
      </c>
    </row>
    <row r="18" spans="1:12" ht="29.15" x14ac:dyDescent="0.4">
      <c r="A18" s="183" t="s">
        <v>1361</v>
      </c>
      <c r="B18" s="183" t="s">
        <v>508</v>
      </c>
      <c r="C18" s="183" t="s">
        <v>1423</v>
      </c>
      <c r="D18" s="184" t="s">
        <v>1424</v>
      </c>
      <c r="E18" s="183" t="s">
        <v>511</v>
      </c>
      <c r="F18" s="183" t="s">
        <v>1105</v>
      </c>
      <c r="G18" s="93">
        <f>IFERROR(VALUE(LEFT(F18,FIND(" ",F18)-1)),"")</f>
        <v>3</v>
      </c>
      <c r="H18" s="184" t="s">
        <v>1425</v>
      </c>
      <c r="I18" s="183" t="s">
        <v>1426</v>
      </c>
      <c r="J18" s="109"/>
      <c r="K18" s="93"/>
      <c r="L18" s="183" t="s">
        <v>1364</v>
      </c>
    </row>
    <row r="19" spans="1:12" ht="29.15" x14ac:dyDescent="0.4">
      <c r="A19" s="183" t="s">
        <v>1361</v>
      </c>
      <c r="B19" s="183" t="s">
        <v>508</v>
      </c>
      <c r="C19" s="183" t="s">
        <v>1427</v>
      </c>
      <c r="D19" s="184" t="s">
        <v>1428</v>
      </c>
      <c r="E19" s="183" t="s">
        <v>1429</v>
      </c>
      <c r="F19" s="183" t="s">
        <v>708</v>
      </c>
      <c r="G19" s="93">
        <f>IFERROR(VALUE(LEFT(F19,FIND(" ",F19)-1)),"")</f>
        <v>6</v>
      </c>
      <c r="H19" s="184" t="s">
        <v>1430</v>
      </c>
      <c r="I19" s="183" t="s">
        <v>1426</v>
      </c>
      <c r="J19" s="109"/>
      <c r="K19" s="93"/>
      <c r="L19" s="183" t="s">
        <v>1364</v>
      </c>
    </row>
    <row r="20" spans="1:12" ht="29.15" x14ac:dyDescent="0.4">
      <c r="A20" s="183" t="s">
        <v>1361</v>
      </c>
      <c r="B20" s="183" t="s">
        <v>514</v>
      </c>
      <c r="C20" s="183" t="s">
        <v>1431</v>
      </c>
      <c r="D20" s="184" t="s">
        <v>1432</v>
      </c>
      <c r="E20" s="183" t="s">
        <v>517</v>
      </c>
      <c r="F20" s="183" t="s">
        <v>1105</v>
      </c>
      <c r="G20" s="93">
        <f>IFERROR(VALUE(LEFT(F20,FIND(" ",F20)-1)),"")</f>
        <v>3</v>
      </c>
      <c r="H20" s="184" t="s">
        <v>1433</v>
      </c>
      <c r="I20" s="183" t="s">
        <v>1426</v>
      </c>
      <c r="J20" s="109"/>
      <c r="K20" s="93"/>
      <c r="L20" s="183" t="s">
        <v>1364</v>
      </c>
    </row>
    <row r="21" spans="1:12" ht="29.15" x14ac:dyDescent="0.4">
      <c r="A21" s="183" t="s">
        <v>1361</v>
      </c>
      <c r="B21" s="183" t="s">
        <v>514</v>
      </c>
      <c r="C21" s="183" t="s">
        <v>1434</v>
      </c>
      <c r="D21" s="184" t="s">
        <v>1435</v>
      </c>
      <c r="E21" s="183" t="s">
        <v>1436</v>
      </c>
      <c r="F21" s="183" t="s">
        <v>1095</v>
      </c>
      <c r="G21" s="93">
        <f>IFERROR(VALUE(LEFT(F21,FIND(" ",F21)-1)),"")</f>
        <v>12</v>
      </c>
      <c r="H21" s="184" t="s">
        <v>1437</v>
      </c>
      <c r="I21" s="183" t="s">
        <v>1426</v>
      </c>
      <c r="J21" s="109"/>
      <c r="K21" s="93"/>
      <c r="L21" s="183" t="s">
        <v>1364</v>
      </c>
    </row>
    <row r="22" spans="1:12" ht="29.15" x14ac:dyDescent="0.4">
      <c r="A22" s="183" t="s">
        <v>1361</v>
      </c>
      <c r="B22" s="183" t="s">
        <v>520</v>
      </c>
      <c r="C22" s="183" t="s">
        <v>1438</v>
      </c>
      <c r="D22" s="184" t="s">
        <v>1439</v>
      </c>
      <c r="E22" s="183" t="s">
        <v>523</v>
      </c>
      <c r="F22" s="183" t="s">
        <v>1105</v>
      </c>
      <c r="G22" s="93">
        <f>IFERROR(VALUE(LEFT(F22,FIND(" ",F22)-1)),"")</f>
        <v>3</v>
      </c>
      <c r="H22" s="184" t="s">
        <v>1440</v>
      </c>
      <c r="I22" s="183" t="s">
        <v>1426</v>
      </c>
      <c r="J22" s="109"/>
      <c r="K22" s="93"/>
      <c r="L22" s="183" t="s">
        <v>1364</v>
      </c>
    </row>
    <row r="23" spans="1:12" ht="43.75" x14ac:dyDescent="0.4">
      <c r="A23" s="183" t="s">
        <v>1361</v>
      </c>
      <c r="B23" s="183" t="s">
        <v>526</v>
      </c>
      <c r="C23" s="183" t="s">
        <v>1441</v>
      </c>
      <c r="D23" s="184" t="s">
        <v>1442</v>
      </c>
      <c r="E23" s="183" t="s">
        <v>529</v>
      </c>
      <c r="F23" s="183" t="s">
        <v>708</v>
      </c>
      <c r="G23" s="93">
        <f>IFERROR(VALUE(LEFT(F23,FIND(" ",F23)-1)),"")</f>
        <v>6</v>
      </c>
      <c r="H23" s="184" t="s">
        <v>1443</v>
      </c>
      <c r="I23" s="183" t="s">
        <v>1426</v>
      </c>
      <c r="J23" s="109"/>
      <c r="K23" s="93"/>
      <c r="L23" s="183" t="s">
        <v>1364</v>
      </c>
    </row>
    <row r="24" spans="1:12" ht="29.15" x14ac:dyDescent="0.4">
      <c r="A24" s="183" t="s">
        <v>1361</v>
      </c>
      <c r="B24" s="183" t="s">
        <v>530</v>
      </c>
      <c r="C24" s="183" t="s">
        <v>1444</v>
      </c>
      <c r="D24" s="184" t="s">
        <v>1104</v>
      </c>
      <c r="E24" s="183" t="s">
        <v>533</v>
      </c>
      <c r="F24" s="183" t="s">
        <v>1105</v>
      </c>
      <c r="G24" s="93">
        <f>IFERROR(VALUE(LEFT(F24,FIND(" ",F24)-1)),"")</f>
        <v>3</v>
      </c>
      <c r="H24" s="184" t="s">
        <v>1445</v>
      </c>
      <c r="I24" s="183" t="s">
        <v>1426</v>
      </c>
      <c r="J24" s="109"/>
      <c r="K24" s="93"/>
      <c r="L24" s="183" t="s">
        <v>1364</v>
      </c>
    </row>
    <row r="25" spans="1:12" ht="29.15" x14ac:dyDescent="0.4">
      <c r="A25" s="183" t="s">
        <v>1361</v>
      </c>
      <c r="B25" s="183" t="s">
        <v>535</v>
      </c>
      <c r="C25" s="183" t="s">
        <v>1446</v>
      </c>
      <c r="D25" s="184" t="s">
        <v>1447</v>
      </c>
      <c r="E25" s="183" t="s">
        <v>1448</v>
      </c>
      <c r="F25" s="183" t="s">
        <v>708</v>
      </c>
      <c r="G25" s="93">
        <f>IFERROR(VALUE(LEFT(F25,FIND(" ",F25)-1)),"")</f>
        <v>6</v>
      </c>
      <c r="H25" s="184" t="s">
        <v>1449</v>
      </c>
      <c r="I25" s="183" t="s">
        <v>1426</v>
      </c>
      <c r="J25" s="109"/>
      <c r="K25" s="93"/>
      <c r="L25" s="183" t="s">
        <v>1364</v>
      </c>
    </row>
    <row r="26" spans="1:12" ht="29.15" x14ac:dyDescent="0.4">
      <c r="A26" s="183" t="s">
        <v>1361</v>
      </c>
      <c r="B26" s="183" t="s">
        <v>535</v>
      </c>
      <c r="C26" s="183" t="s">
        <v>1450</v>
      </c>
      <c r="D26" s="184" t="s">
        <v>1451</v>
      </c>
      <c r="E26" s="183" t="s">
        <v>538</v>
      </c>
      <c r="F26" s="183" t="s">
        <v>708</v>
      </c>
      <c r="G26" s="93">
        <f>IFERROR(VALUE(LEFT(F26,FIND(" ",F26)-1)),"")</f>
        <v>6</v>
      </c>
      <c r="H26" s="184" t="s">
        <v>1452</v>
      </c>
      <c r="I26" s="183" t="s">
        <v>1426</v>
      </c>
      <c r="J26" s="109"/>
      <c r="K26" s="93"/>
      <c r="L26" s="183" t="s">
        <v>1364</v>
      </c>
    </row>
    <row r="27" spans="1:12" ht="43.75" x14ac:dyDescent="0.4">
      <c r="A27" s="183" t="s">
        <v>1361</v>
      </c>
      <c r="B27" s="183" t="s">
        <v>541</v>
      </c>
      <c r="C27" s="183" t="s">
        <v>1453</v>
      </c>
      <c r="D27" s="184" t="s">
        <v>1454</v>
      </c>
      <c r="E27" s="183" t="s">
        <v>517</v>
      </c>
      <c r="F27" s="183" t="s">
        <v>708</v>
      </c>
      <c r="G27" s="93">
        <f>IFERROR(VALUE(LEFT(F27,FIND(" ",F27)-1)),"")</f>
        <v>6</v>
      </c>
      <c r="H27" s="184" t="s">
        <v>1455</v>
      </c>
      <c r="I27" s="183" t="s">
        <v>1426</v>
      </c>
      <c r="J27" s="109"/>
      <c r="K27" s="93"/>
      <c r="L27" s="183" t="s">
        <v>1364</v>
      </c>
    </row>
    <row r="28" spans="1:12" ht="29.15" x14ac:dyDescent="0.4">
      <c r="A28" s="183" t="s">
        <v>1361</v>
      </c>
      <c r="B28" s="183" t="s">
        <v>545</v>
      </c>
      <c r="C28" s="183" t="s">
        <v>1456</v>
      </c>
      <c r="D28" s="184" t="s">
        <v>1457</v>
      </c>
      <c r="E28" s="183" t="s">
        <v>538</v>
      </c>
      <c r="F28" s="183" t="s">
        <v>1105</v>
      </c>
      <c r="G28" s="93">
        <f>IFERROR(VALUE(LEFT(F28,FIND(" ",F28)-1)),"")</f>
        <v>3</v>
      </c>
      <c r="H28" s="184" t="s">
        <v>1458</v>
      </c>
      <c r="I28" s="183" t="s">
        <v>1426</v>
      </c>
      <c r="J28" s="109"/>
      <c r="K28" s="93"/>
      <c r="L28" s="183" t="s">
        <v>1364</v>
      </c>
    </row>
    <row r="29" spans="1:12" ht="43.75" x14ac:dyDescent="0.4">
      <c r="A29" s="183" t="s">
        <v>1361</v>
      </c>
      <c r="B29" s="183" t="s">
        <v>550</v>
      </c>
      <c r="C29" s="183" t="s">
        <v>1459</v>
      </c>
      <c r="D29" s="184" t="s">
        <v>1460</v>
      </c>
      <c r="E29" s="183" t="s">
        <v>523</v>
      </c>
      <c r="F29" s="183" t="s">
        <v>1095</v>
      </c>
      <c r="G29" s="93">
        <f>IFERROR(VALUE(LEFT(F29,FIND(" ",F29)-1)),"")</f>
        <v>12</v>
      </c>
      <c r="H29" s="184" t="s">
        <v>1461</v>
      </c>
      <c r="I29" s="183" t="s">
        <v>1426</v>
      </c>
      <c r="J29" s="109"/>
      <c r="K29" s="93"/>
      <c r="L29" s="183" t="s">
        <v>1364</v>
      </c>
    </row>
    <row r="30" spans="1:12" ht="43.75" x14ac:dyDescent="0.4">
      <c r="A30" s="183" t="s">
        <v>1361</v>
      </c>
      <c r="B30" s="183" t="s">
        <v>555</v>
      </c>
      <c r="C30" s="183" t="s">
        <v>1462</v>
      </c>
      <c r="D30" s="184" t="s">
        <v>1463</v>
      </c>
      <c r="E30" s="183" t="s">
        <v>558</v>
      </c>
      <c r="F30" s="183" t="s">
        <v>1105</v>
      </c>
      <c r="G30" s="93">
        <f>IFERROR(VALUE(LEFT(F30,FIND(" ",F30)-1)),"")</f>
        <v>3</v>
      </c>
      <c r="H30" s="184" t="s">
        <v>1464</v>
      </c>
      <c r="I30" s="183" t="s">
        <v>1426</v>
      </c>
      <c r="J30" s="109"/>
      <c r="K30" s="93"/>
      <c r="L30" s="183" t="s">
        <v>1364</v>
      </c>
    </row>
    <row r="31" spans="1:12" ht="43.75" x14ac:dyDescent="0.4">
      <c r="A31" s="183" t="s">
        <v>1361</v>
      </c>
      <c r="B31" s="183" t="s">
        <v>562</v>
      </c>
      <c r="C31" s="183" t="s">
        <v>1465</v>
      </c>
      <c r="D31" s="184" t="s">
        <v>1466</v>
      </c>
      <c r="E31" s="183" t="s">
        <v>564</v>
      </c>
      <c r="F31" s="183" t="s">
        <v>1095</v>
      </c>
      <c r="G31" s="93">
        <f>IFERROR(VALUE(LEFT(F31,FIND(" ",F31)-1)),"")</f>
        <v>12</v>
      </c>
      <c r="H31" s="184" t="s">
        <v>1467</v>
      </c>
      <c r="I31" s="183" t="s">
        <v>1426</v>
      </c>
      <c r="J31" s="109"/>
      <c r="K31" s="93"/>
      <c r="L31" s="183" t="s">
        <v>1364</v>
      </c>
    </row>
    <row r="32" spans="1:12" ht="43.75" x14ac:dyDescent="0.4">
      <c r="A32" s="183" t="s">
        <v>1361</v>
      </c>
      <c r="B32" s="183" t="s">
        <v>569</v>
      </c>
      <c r="C32" s="183" t="s">
        <v>1468</v>
      </c>
      <c r="D32" s="184" t="s">
        <v>1469</v>
      </c>
      <c r="E32" s="183" t="s">
        <v>533</v>
      </c>
      <c r="F32" s="183" t="s">
        <v>1105</v>
      </c>
      <c r="G32" s="93">
        <f>IFERROR(VALUE(LEFT(F32,FIND(" ",F32)-1)),"")</f>
        <v>3</v>
      </c>
      <c r="H32" s="184" t="s">
        <v>1470</v>
      </c>
      <c r="I32" s="183" t="s">
        <v>1426</v>
      </c>
      <c r="J32" s="109"/>
      <c r="K32" s="93"/>
      <c r="L32" s="183" t="s">
        <v>1364</v>
      </c>
    </row>
  </sheetData>
  <mergeCells count="5">
    <mergeCell ref="I3:L3"/>
    <mergeCell ref="A2:H2"/>
    <mergeCell ref="A1:L1"/>
    <mergeCell ref="D3:F3"/>
    <mergeCell ref="A3:B3"/>
  </mergeCells>
  <dataValidations count="1">
    <dataValidation type="list" allowBlank="1" sqref="I6:I20015" xr:uid="{00000000-0002-0000-1000-000000000000}">
      <formula1>"Proposta — da valutare,Approvata,Respinta,In corso,Completata,Annullata"</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46" t="str">
        <f>"Horizon Scan NFR — KRI — storico degli indicatori, una riga per KRI per ciclo   ·   "&amp;etichettaCiclo</f>
        <v>Horizon Scan NFR — KRI — storico degli indicatori, una riga per KRI per ciclo   ·   Ciclo 2026Q3 · dati al 30/09/2026 · da validare · Uso interno</v>
      </c>
      <c r="B1" s="147"/>
      <c r="C1" s="147"/>
      <c r="D1" s="147"/>
      <c r="E1" s="147"/>
      <c r="F1" s="147"/>
      <c r="G1" s="147"/>
      <c r="H1" s="147"/>
      <c r="I1" s="147"/>
      <c r="J1" s="147"/>
      <c r="K1" s="147"/>
      <c r="L1" s="147"/>
    </row>
    <row r="2" spans="1:20" ht="86.05" customHeight="1" x14ac:dyDescent="0.4">
      <c r="A2" s="136" t="s">
        <v>1130</v>
      </c>
      <c r="B2" s="116"/>
      <c r="C2" s="116"/>
      <c r="D2" s="116"/>
      <c r="E2" s="116"/>
      <c r="F2" s="116"/>
      <c r="G2" s="116"/>
      <c r="H2" s="116"/>
      <c r="I2" s="116"/>
    </row>
    <row r="3" spans="1:20" x14ac:dyDescent="0.4">
      <c r="A3" s="104" t="s">
        <v>994</v>
      </c>
      <c r="B3" s="105" t="s">
        <v>996</v>
      </c>
      <c r="C3" s="179" t="s">
        <v>994</v>
      </c>
      <c r="D3" s="116"/>
      <c r="E3" s="116"/>
      <c r="F3" s="116"/>
      <c r="G3" s="116"/>
      <c r="H3" s="116"/>
      <c r="I3" s="116"/>
      <c r="J3" s="116"/>
      <c r="K3" s="105" t="s">
        <v>996</v>
      </c>
      <c r="L3" s="179" t="s">
        <v>994</v>
      </c>
      <c r="M3" s="116"/>
      <c r="N3" s="105" t="s">
        <v>995</v>
      </c>
      <c r="O3" s="180" t="s">
        <v>996</v>
      </c>
      <c r="P3" s="116"/>
      <c r="Q3" s="179" t="s">
        <v>994</v>
      </c>
      <c r="R3" s="116"/>
      <c r="S3" s="105" t="s">
        <v>995</v>
      </c>
      <c r="T3" s="106" t="s">
        <v>997</v>
      </c>
    </row>
    <row r="4" spans="1:20" ht="113.05" customHeight="1" x14ac:dyDescent="0.4">
      <c r="A4" s="107" t="s">
        <v>1131</v>
      </c>
      <c r="B4" s="107" t="s">
        <v>1132</v>
      </c>
      <c r="C4" s="107" t="s">
        <v>1133</v>
      </c>
      <c r="D4" s="107" t="s">
        <v>1134</v>
      </c>
      <c r="E4" s="107" t="s">
        <v>1135</v>
      </c>
      <c r="F4" s="107" t="s">
        <v>1136</v>
      </c>
      <c r="G4" s="107" t="s">
        <v>1137</v>
      </c>
      <c r="H4" s="107" t="s">
        <v>1138</v>
      </c>
      <c r="I4" s="107" t="s">
        <v>1139</v>
      </c>
      <c r="J4" s="107" t="s">
        <v>1140</v>
      </c>
      <c r="K4" s="107" t="s">
        <v>1141</v>
      </c>
      <c r="L4" s="107" t="s">
        <v>1142</v>
      </c>
      <c r="M4" s="107" t="s">
        <v>1143</v>
      </c>
      <c r="N4" s="107" t="s">
        <v>1144</v>
      </c>
      <c r="O4" s="107" t="s">
        <v>1145</v>
      </c>
      <c r="P4" s="107" t="s">
        <v>1146</v>
      </c>
      <c r="Q4" s="107" t="s">
        <v>1147</v>
      </c>
      <c r="R4" s="107" t="s">
        <v>1148</v>
      </c>
      <c r="S4" s="107" t="s">
        <v>1149</v>
      </c>
      <c r="T4" s="107" t="s">
        <v>1090</v>
      </c>
    </row>
    <row r="5" spans="1:20" x14ac:dyDescent="0.4">
      <c r="A5" s="108" t="s">
        <v>424</v>
      </c>
      <c r="B5" s="55" t="s">
        <v>411</v>
      </c>
      <c r="C5" s="108" t="s">
        <v>626</v>
      </c>
      <c r="D5" s="108" t="s">
        <v>162</v>
      </c>
      <c r="E5" s="108" t="s">
        <v>420</v>
      </c>
      <c r="F5" s="108" t="s">
        <v>733</v>
      </c>
      <c r="G5" s="108" t="s">
        <v>736</v>
      </c>
      <c r="H5" s="108" t="s">
        <v>739</v>
      </c>
      <c r="I5" s="108" t="s">
        <v>743</v>
      </c>
      <c r="J5" s="108" t="s">
        <v>745</v>
      </c>
      <c r="K5" s="55" t="s">
        <v>749</v>
      </c>
      <c r="L5" s="108" t="s">
        <v>752</v>
      </c>
      <c r="M5" s="108" t="s">
        <v>754</v>
      </c>
      <c r="N5" s="55" t="s">
        <v>417</v>
      </c>
      <c r="O5" s="55" t="s">
        <v>759</v>
      </c>
      <c r="P5" s="55" t="s">
        <v>763</v>
      </c>
      <c r="Q5" s="108" t="s">
        <v>767</v>
      </c>
      <c r="R5" s="108" t="s">
        <v>662</v>
      </c>
      <c r="S5" s="55" t="s">
        <v>238</v>
      </c>
      <c r="T5" s="53" t="s">
        <v>9</v>
      </c>
    </row>
    <row r="6" spans="1:20" ht="29.15" x14ac:dyDescent="0.4">
      <c r="A6" s="93" t="s">
        <v>766</v>
      </c>
      <c r="B6" s="93" t="s">
        <v>410</v>
      </c>
      <c r="C6" s="93" t="s">
        <v>508</v>
      </c>
      <c r="D6" s="111" t="s">
        <v>1150</v>
      </c>
      <c r="E6" s="93" t="s">
        <v>732</v>
      </c>
      <c r="F6" s="93" t="s">
        <v>735</v>
      </c>
      <c r="G6" s="93" t="s">
        <v>738</v>
      </c>
      <c r="H6" s="93">
        <v>3</v>
      </c>
      <c r="I6" s="93">
        <v>6</v>
      </c>
      <c r="J6" s="93">
        <v>2.1</v>
      </c>
      <c r="K6" s="109">
        <v>46022</v>
      </c>
      <c r="L6" s="93" t="s">
        <v>738</v>
      </c>
      <c r="M6" s="111" t="s">
        <v>756</v>
      </c>
      <c r="N6" s="93" t="str">
        <f t="shared" ref="N6:N37" si="0">IF(OR(H6="",I6=""),"Soglie da definire",IF(I6&lt;H6,"SOGLIE INVERTITE — correggere",IF(J6="","Non rilevato",IF(J6&gt;=I6,"Rosso",IF(J6&gt;=H6,"Ambra","Verde")))))</f>
        <v>Verde</v>
      </c>
      <c r="O6" s="93" t="s">
        <v>512</v>
      </c>
      <c r="P6" s="93" t="s">
        <v>766</v>
      </c>
      <c r="Q6" s="93" t="s">
        <v>766</v>
      </c>
      <c r="R6" s="111" t="s">
        <v>1151</v>
      </c>
      <c r="S6" s="93" t="str">
        <f t="shared" ref="S6:S37" si="1">A6&amp;"|"&amp;B6</f>
        <v>2025Q4|NFR-01-K1</v>
      </c>
      <c r="T6" s="93" t="s">
        <v>691</v>
      </c>
    </row>
    <row r="7" spans="1:20" ht="29.15" x14ac:dyDescent="0.4">
      <c r="A7" s="93" t="s">
        <v>766</v>
      </c>
      <c r="B7" s="93" t="s">
        <v>1152</v>
      </c>
      <c r="C7" s="93" t="s">
        <v>508</v>
      </c>
      <c r="D7" s="111" t="s">
        <v>1153</v>
      </c>
      <c r="E7" s="93" t="s">
        <v>1154</v>
      </c>
      <c r="F7" s="93" t="s">
        <v>1155</v>
      </c>
      <c r="G7" s="93" t="s">
        <v>1156</v>
      </c>
      <c r="H7" s="93">
        <v>4</v>
      </c>
      <c r="I7" s="93">
        <v>12</v>
      </c>
      <c r="J7" s="93">
        <v>5</v>
      </c>
      <c r="K7" s="109">
        <v>46022</v>
      </c>
      <c r="L7" s="93" t="s">
        <v>1156</v>
      </c>
      <c r="M7" s="111" t="s">
        <v>756</v>
      </c>
      <c r="N7" s="93" t="str">
        <f t="shared" si="0"/>
        <v>Ambra</v>
      </c>
      <c r="O7" s="93" t="s">
        <v>512</v>
      </c>
      <c r="P7" s="93" t="s">
        <v>766</v>
      </c>
      <c r="Q7" s="93" t="s">
        <v>766</v>
      </c>
      <c r="R7" s="111" t="s">
        <v>1157</v>
      </c>
      <c r="S7" s="93" t="str">
        <f t="shared" si="1"/>
        <v>2025Q4|NFR-01-K3</v>
      </c>
      <c r="T7" s="93" t="s">
        <v>691</v>
      </c>
    </row>
    <row r="8" spans="1:20" ht="29.15" x14ac:dyDescent="0.4">
      <c r="A8" s="93" t="s">
        <v>766</v>
      </c>
      <c r="B8" s="93" t="s">
        <v>1158</v>
      </c>
      <c r="C8" s="93" t="s">
        <v>514</v>
      </c>
      <c r="D8" s="111" t="s">
        <v>1159</v>
      </c>
      <c r="E8" s="93" t="s">
        <v>1154</v>
      </c>
      <c r="F8" s="93" t="s">
        <v>1160</v>
      </c>
      <c r="G8" s="93" t="s">
        <v>1161</v>
      </c>
      <c r="H8" s="93">
        <v>60</v>
      </c>
      <c r="I8" s="93">
        <v>75</v>
      </c>
      <c r="J8" s="93">
        <v>74</v>
      </c>
      <c r="K8" s="109">
        <v>46022</v>
      </c>
      <c r="L8" s="93" t="s">
        <v>1161</v>
      </c>
      <c r="M8" s="111" t="s">
        <v>756</v>
      </c>
      <c r="N8" s="93" t="str">
        <f t="shared" si="0"/>
        <v>Ambra</v>
      </c>
      <c r="O8" s="93" t="s">
        <v>512</v>
      </c>
      <c r="P8" s="93" t="s">
        <v>766</v>
      </c>
      <c r="Q8" s="93" t="s">
        <v>766</v>
      </c>
      <c r="R8" s="111" t="s">
        <v>1162</v>
      </c>
      <c r="S8" s="93" t="str">
        <f t="shared" si="1"/>
        <v>2025Q4|NFR-02-K1</v>
      </c>
      <c r="T8" s="93" t="s">
        <v>691</v>
      </c>
    </row>
    <row r="9" spans="1:20" ht="29.15" x14ac:dyDescent="0.4">
      <c r="A9" s="93" t="s">
        <v>766</v>
      </c>
      <c r="B9" s="93" t="s">
        <v>1163</v>
      </c>
      <c r="C9" s="93" t="s">
        <v>514</v>
      </c>
      <c r="D9" s="111" t="s">
        <v>1164</v>
      </c>
      <c r="E9" s="93" t="s">
        <v>732</v>
      </c>
      <c r="F9" s="93" t="s">
        <v>1165</v>
      </c>
      <c r="G9" s="93" t="s">
        <v>1166</v>
      </c>
      <c r="H9" s="93">
        <v>2</v>
      </c>
      <c r="I9" s="93">
        <v>4</v>
      </c>
      <c r="J9" s="93">
        <v>2</v>
      </c>
      <c r="K9" s="109">
        <v>46022</v>
      </c>
      <c r="L9" s="93" t="s">
        <v>1166</v>
      </c>
      <c r="M9" s="111" t="s">
        <v>756</v>
      </c>
      <c r="N9" s="93" t="str">
        <f t="shared" si="0"/>
        <v>Ambra</v>
      </c>
      <c r="O9" s="93" t="s">
        <v>512</v>
      </c>
      <c r="P9" s="93" t="s">
        <v>766</v>
      </c>
      <c r="Q9" s="93" t="s">
        <v>766</v>
      </c>
      <c r="R9" s="111" t="s">
        <v>1167</v>
      </c>
      <c r="S9" s="93" t="str">
        <f t="shared" si="1"/>
        <v>2025Q4|NFR-02-K2</v>
      </c>
      <c r="T9" s="93" t="s">
        <v>691</v>
      </c>
    </row>
    <row r="10" spans="1:20" ht="29.15" x14ac:dyDescent="0.4">
      <c r="A10" s="93" t="s">
        <v>766</v>
      </c>
      <c r="B10" s="93" t="s">
        <v>1168</v>
      </c>
      <c r="C10" s="93" t="s">
        <v>520</v>
      </c>
      <c r="D10" s="111" t="s">
        <v>1169</v>
      </c>
      <c r="E10" s="93" t="s">
        <v>732</v>
      </c>
      <c r="F10" s="93" t="s">
        <v>1170</v>
      </c>
      <c r="G10" s="93" t="s">
        <v>1171</v>
      </c>
      <c r="H10" s="93">
        <v>1.5</v>
      </c>
      <c r="I10" s="93">
        <v>3</v>
      </c>
      <c r="J10" s="93">
        <v>0.6</v>
      </c>
      <c r="K10" s="109">
        <v>46022</v>
      </c>
      <c r="L10" s="93" t="s">
        <v>1171</v>
      </c>
      <c r="M10" s="111" t="s">
        <v>756</v>
      </c>
      <c r="N10" s="93" t="str">
        <f t="shared" si="0"/>
        <v>Verde</v>
      </c>
      <c r="O10" s="93" t="s">
        <v>512</v>
      </c>
      <c r="P10" s="93" t="s">
        <v>766</v>
      </c>
      <c r="Q10" s="93" t="s">
        <v>766</v>
      </c>
      <c r="R10" s="111" t="s">
        <v>1172</v>
      </c>
      <c r="S10" s="93" t="str">
        <f t="shared" si="1"/>
        <v>2025Q4|NFR-03-K1</v>
      </c>
      <c r="T10" s="93" t="s">
        <v>691</v>
      </c>
    </row>
    <row r="11" spans="1:20" ht="29.15" x14ac:dyDescent="0.4">
      <c r="A11" s="93" t="s">
        <v>766</v>
      </c>
      <c r="B11" s="93" t="s">
        <v>1173</v>
      </c>
      <c r="C11" s="93" t="s">
        <v>520</v>
      </c>
      <c r="D11" s="111" t="s">
        <v>1174</v>
      </c>
      <c r="E11" s="93" t="s">
        <v>1154</v>
      </c>
      <c r="F11" s="93" t="s">
        <v>1160</v>
      </c>
      <c r="G11" s="93" t="s">
        <v>1175</v>
      </c>
      <c r="H11" s="93">
        <v>20</v>
      </c>
      <c r="I11" s="93">
        <v>40</v>
      </c>
      <c r="J11" s="93">
        <v>55</v>
      </c>
      <c r="K11" s="109">
        <v>46022</v>
      </c>
      <c r="L11" s="93" t="s">
        <v>1175</v>
      </c>
      <c r="M11" s="111" t="s">
        <v>756</v>
      </c>
      <c r="N11" s="93" t="str">
        <f t="shared" si="0"/>
        <v>Rosso</v>
      </c>
      <c r="O11" s="93" t="s">
        <v>512</v>
      </c>
      <c r="P11" s="93" t="s">
        <v>766</v>
      </c>
      <c r="Q11" s="93" t="s">
        <v>766</v>
      </c>
      <c r="R11" s="111" t="s">
        <v>1176</v>
      </c>
      <c r="S11" s="93" t="str">
        <f t="shared" si="1"/>
        <v>2025Q4|NFR-03-K2</v>
      </c>
      <c r="T11" s="93" t="s">
        <v>691</v>
      </c>
    </row>
    <row r="12" spans="1:20" ht="29.15" x14ac:dyDescent="0.4">
      <c r="A12" s="93" t="s">
        <v>766</v>
      </c>
      <c r="B12" s="93" t="s">
        <v>1177</v>
      </c>
      <c r="C12" s="93" t="s">
        <v>526</v>
      </c>
      <c r="D12" s="111" t="s">
        <v>1178</v>
      </c>
      <c r="E12" s="93" t="s">
        <v>1154</v>
      </c>
      <c r="F12" s="93" t="s">
        <v>1165</v>
      </c>
      <c r="G12" s="93" t="s">
        <v>1179</v>
      </c>
      <c r="H12" s="93">
        <v>1</v>
      </c>
      <c r="I12" s="93">
        <v>3</v>
      </c>
      <c r="J12" s="93">
        <v>2</v>
      </c>
      <c r="K12" s="109">
        <v>46022</v>
      </c>
      <c r="L12" s="93" t="s">
        <v>1179</v>
      </c>
      <c r="M12" s="111" t="s">
        <v>756</v>
      </c>
      <c r="N12" s="93" t="str">
        <f t="shared" si="0"/>
        <v>Ambra</v>
      </c>
      <c r="O12" s="93" t="s">
        <v>512</v>
      </c>
      <c r="P12" s="93" t="s">
        <v>766</v>
      </c>
      <c r="Q12" s="93" t="s">
        <v>766</v>
      </c>
      <c r="R12" s="111" t="s">
        <v>1180</v>
      </c>
      <c r="S12" s="93" t="str">
        <f t="shared" si="1"/>
        <v>2025Q4|NFR-04-K1</v>
      </c>
      <c r="T12" s="93" t="s">
        <v>691</v>
      </c>
    </row>
    <row r="13" spans="1:20" ht="29.15" x14ac:dyDescent="0.4">
      <c r="A13" s="93" t="s">
        <v>766</v>
      </c>
      <c r="B13" s="93" t="s">
        <v>1181</v>
      </c>
      <c r="C13" s="93" t="s">
        <v>526</v>
      </c>
      <c r="D13" s="111" t="s">
        <v>1182</v>
      </c>
      <c r="E13" s="93" t="s">
        <v>732</v>
      </c>
      <c r="F13" s="93" t="s">
        <v>1183</v>
      </c>
      <c r="G13" s="93" t="s">
        <v>1184</v>
      </c>
      <c r="H13" s="93">
        <v>2</v>
      </c>
      <c r="I13" s="93">
        <v>5</v>
      </c>
      <c r="J13" s="93">
        <v>0</v>
      </c>
      <c r="K13" s="109">
        <v>46022</v>
      </c>
      <c r="L13" s="93" t="s">
        <v>1184</v>
      </c>
      <c r="M13" s="111" t="s">
        <v>756</v>
      </c>
      <c r="N13" s="93" t="str">
        <f t="shared" si="0"/>
        <v>Verde</v>
      </c>
      <c r="O13" s="93" t="s">
        <v>512</v>
      </c>
      <c r="P13" s="93" t="s">
        <v>766</v>
      </c>
      <c r="Q13" s="93" t="s">
        <v>766</v>
      </c>
      <c r="R13" s="111" t="s">
        <v>1185</v>
      </c>
      <c r="S13" s="93" t="str">
        <f t="shared" si="1"/>
        <v>2025Q4|NFR-04-K2</v>
      </c>
      <c r="T13" s="93" t="s">
        <v>691</v>
      </c>
    </row>
    <row r="14" spans="1:20" ht="29.15" x14ac:dyDescent="0.4">
      <c r="A14" s="93" t="s">
        <v>766</v>
      </c>
      <c r="B14" s="93" t="s">
        <v>1186</v>
      </c>
      <c r="C14" s="93" t="s">
        <v>530</v>
      </c>
      <c r="D14" s="111" t="s">
        <v>1187</v>
      </c>
      <c r="E14" s="93" t="s">
        <v>732</v>
      </c>
      <c r="F14" s="93" t="s">
        <v>1165</v>
      </c>
      <c r="G14" s="93" t="s">
        <v>1188</v>
      </c>
      <c r="H14" s="93">
        <v>3</v>
      </c>
      <c r="I14" s="93">
        <v>6</v>
      </c>
      <c r="J14" s="93">
        <v>4</v>
      </c>
      <c r="K14" s="109">
        <v>46022</v>
      </c>
      <c r="L14" s="93" t="s">
        <v>1188</v>
      </c>
      <c r="M14" s="111" t="s">
        <v>756</v>
      </c>
      <c r="N14" s="93" t="str">
        <f t="shared" si="0"/>
        <v>Ambra</v>
      </c>
      <c r="O14" s="93" t="s">
        <v>512</v>
      </c>
      <c r="P14" s="93" t="s">
        <v>766</v>
      </c>
      <c r="Q14" s="93" t="s">
        <v>766</v>
      </c>
      <c r="R14" s="111" t="s">
        <v>1189</v>
      </c>
      <c r="S14" s="93" t="str">
        <f t="shared" si="1"/>
        <v>2025Q4|NFR-05-K2</v>
      </c>
      <c r="T14" s="93" t="s">
        <v>691</v>
      </c>
    </row>
    <row r="15" spans="1:20" ht="29.15" x14ac:dyDescent="0.4">
      <c r="A15" s="93" t="s">
        <v>766</v>
      </c>
      <c r="B15" s="93" t="s">
        <v>1190</v>
      </c>
      <c r="C15" s="93" t="s">
        <v>530</v>
      </c>
      <c r="D15" s="111" t="s">
        <v>1191</v>
      </c>
      <c r="E15" s="93" t="s">
        <v>1154</v>
      </c>
      <c r="F15" s="93" t="s">
        <v>1160</v>
      </c>
      <c r="G15" s="93" t="s">
        <v>1192</v>
      </c>
      <c r="H15" s="93">
        <v>30</v>
      </c>
      <c r="I15" s="93">
        <v>60</v>
      </c>
      <c r="J15" s="93">
        <v>55</v>
      </c>
      <c r="K15" s="109">
        <v>46022</v>
      </c>
      <c r="L15" s="93" t="s">
        <v>1192</v>
      </c>
      <c r="M15" s="111" t="s">
        <v>756</v>
      </c>
      <c r="N15" s="93" t="str">
        <f t="shared" si="0"/>
        <v>Ambra</v>
      </c>
      <c r="O15" s="93" t="s">
        <v>512</v>
      </c>
      <c r="P15" s="93" t="s">
        <v>766</v>
      </c>
      <c r="Q15" s="93" t="s">
        <v>766</v>
      </c>
      <c r="R15" s="111" t="s">
        <v>1193</v>
      </c>
      <c r="S15" s="93" t="str">
        <f t="shared" si="1"/>
        <v>2025Q4|NFR-05-K3</v>
      </c>
      <c r="T15" s="93" t="s">
        <v>691</v>
      </c>
    </row>
    <row r="16" spans="1:20" ht="29.15" x14ac:dyDescent="0.4">
      <c r="A16" s="93" t="s">
        <v>766</v>
      </c>
      <c r="B16" s="93" t="s">
        <v>1194</v>
      </c>
      <c r="C16" s="93" t="s">
        <v>541</v>
      </c>
      <c r="D16" s="111" t="s">
        <v>1195</v>
      </c>
      <c r="E16" s="93" t="s">
        <v>1154</v>
      </c>
      <c r="F16" s="93" t="s">
        <v>1165</v>
      </c>
      <c r="G16" s="93" t="s">
        <v>1161</v>
      </c>
      <c r="H16" s="93">
        <v>1</v>
      </c>
      <c r="I16" s="93">
        <v>2</v>
      </c>
      <c r="J16" s="93">
        <v>2</v>
      </c>
      <c r="K16" s="109">
        <v>46022</v>
      </c>
      <c r="L16" s="93" t="s">
        <v>1161</v>
      </c>
      <c r="M16" s="111" t="s">
        <v>756</v>
      </c>
      <c r="N16" s="93" t="str">
        <f t="shared" si="0"/>
        <v>Rosso</v>
      </c>
      <c r="O16" s="93" t="s">
        <v>512</v>
      </c>
      <c r="P16" s="93" t="s">
        <v>766</v>
      </c>
      <c r="Q16" s="93" t="s">
        <v>766</v>
      </c>
      <c r="R16" s="111" t="s">
        <v>1196</v>
      </c>
      <c r="S16" s="93" t="str">
        <f t="shared" si="1"/>
        <v>2025Q4|NFR-07-K1</v>
      </c>
      <c r="T16" s="93" t="s">
        <v>691</v>
      </c>
    </row>
    <row r="17" spans="1:20" ht="29.15" x14ac:dyDescent="0.4">
      <c r="A17" s="93" t="s">
        <v>766</v>
      </c>
      <c r="B17" s="93" t="s">
        <v>1197</v>
      </c>
      <c r="C17" s="93" t="s">
        <v>541</v>
      </c>
      <c r="D17" s="111" t="s">
        <v>1198</v>
      </c>
      <c r="E17" s="93" t="s">
        <v>732</v>
      </c>
      <c r="F17" s="93" t="s">
        <v>1155</v>
      </c>
      <c r="G17" s="93" t="s">
        <v>1166</v>
      </c>
      <c r="H17" s="93">
        <v>4</v>
      </c>
      <c r="I17" s="93">
        <v>12</v>
      </c>
      <c r="J17" s="93">
        <v>1.5</v>
      </c>
      <c r="K17" s="109">
        <v>46022</v>
      </c>
      <c r="L17" s="93" t="s">
        <v>1166</v>
      </c>
      <c r="M17" s="111" t="s">
        <v>756</v>
      </c>
      <c r="N17" s="93" t="str">
        <f t="shared" si="0"/>
        <v>Verde</v>
      </c>
      <c r="O17" s="93" t="s">
        <v>512</v>
      </c>
      <c r="P17" s="93" t="s">
        <v>766</v>
      </c>
      <c r="Q17" s="93" t="s">
        <v>766</v>
      </c>
      <c r="R17" s="111" t="s">
        <v>1199</v>
      </c>
      <c r="S17" s="93" t="str">
        <f t="shared" si="1"/>
        <v>2025Q4|NFR-07-K2</v>
      </c>
      <c r="T17" s="93" t="s">
        <v>691</v>
      </c>
    </row>
    <row r="18" spans="1:20" ht="29.15" x14ac:dyDescent="0.4">
      <c r="A18" s="93" t="s">
        <v>766</v>
      </c>
      <c r="B18" s="93" t="s">
        <v>1200</v>
      </c>
      <c r="C18" s="93" t="s">
        <v>545</v>
      </c>
      <c r="D18" s="111" t="s">
        <v>1201</v>
      </c>
      <c r="E18" s="93" t="s">
        <v>732</v>
      </c>
      <c r="F18" s="93" t="s">
        <v>1202</v>
      </c>
      <c r="G18" s="93" t="s">
        <v>1203</v>
      </c>
      <c r="H18" s="93">
        <v>20</v>
      </c>
      <c r="I18" s="93">
        <v>50</v>
      </c>
      <c r="J18" s="93">
        <v>35</v>
      </c>
      <c r="K18" s="109">
        <v>46022</v>
      </c>
      <c r="L18" s="93" t="s">
        <v>1203</v>
      </c>
      <c r="M18" s="111" t="s">
        <v>756</v>
      </c>
      <c r="N18" s="93" t="str">
        <f t="shared" si="0"/>
        <v>Ambra</v>
      </c>
      <c r="O18" s="93" t="s">
        <v>512</v>
      </c>
      <c r="P18" s="93" t="s">
        <v>766</v>
      </c>
      <c r="Q18" s="93" t="s">
        <v>766</v>
      </c>
      <c r="R18" s="111" t="s">
        <v>1204</v>
      </c>
      <c r="S18" s="93" t="str">
        <f t="shared" si="1"/>
        <v>2025Q4|NFR-08-K1</v>
      </c>
      <c r="T18" s="93" t="s">
        <v>691</v>
      </c>
    </row>
    <row r="19" spans="1:20" ht="29.15" x14ac:dyDescent="0.4">
      <c r="A19" s="93" t="s">
        <v>766</v>
      </c>
      <c r="B19" s="93" t="s">
        <v>1205</v>
      </c>
      <c r="C19" s="93" t="s">
        <v>545</v>
      </c>
      <c r="D19" s="111" t="s">
        <v>1206</v>
      </c>
      <c r="E19" s="93" t="s">
        <v>1154</v>
      </c>
      <c r="F19" s="93" t="s">
        <v>1160</v>
      </c>
      <c r="G19" s="93" t="s">
        <v>1207</v>
      </c>
      <c r="H19" s="93">
        <v>5</v>
      </c>
      <c r="I19" s="93">
        <v>15</v>
      </c>
      <c r="J19" s="93">
        <v>12</v>
      </c>
      <c r="K19" s="109">
        <v>46022</v>
      </c>
      <c r="L19" s="93" t="s">
        <v>1207</v>
      </c>
      <c r="M19" s="111" t="s">
        <v>756</v>
      </c>
      <c r="N19" s="93" t="str">
        <f t="shared" si="0"/>
        <v>Ambra</v>
      </c>
      <c r="O19" s="93" t="s">
        <v>512</v>
      </c>
      <c r="P19" s="93" t="s">
        <v>766</v>
      </c>
      <c r="Q19" s="93" t="s">
        <v>766</v>
      </c>
      <c r="R19" s="111" t="s">
        <v>1208</v>
      </c>
      <c r="S19" s="93" t="str">
        <f t="shared" si="1"/>
        <v>2025Q4|NFR-08-K2</v>
      </c>
      <c r="T19" s="93" t="s">
        <v>691</v>
      </c>
    </row>
    <row r="20" spans="1:20" ht="29.15" x14ac:dyDescent="0.4">
      <c r="A20" s="93" t="s">
        <v>766</v>
      </c>
      <c r="B20" s="93" t="s">
        <v>1209</v>
      </c>
      <c r="C20" s="93" t="s">
        <v>562</v>
      </c>
      <c r="D20" s="111" t="s">
        <v>1210</v>
      </c>
      <c r="E20" s="93" t="s">
        <v>1154</v>
      </c>
      <c r="F20" s="93" t="s">
        <v>1165</v>
      </c>
      <c r="G20" s="93" t="s">
        <v>1211</v>
      </c>
      <c r="H20" s="93">
        <v>3</v>
      </c>
      <c r="I20" s="93">
        <v>8</v>
      </c>
      <c r="J20" s="93">
        <v>9</v>
      </c>
      <c r="K20" s="109">
        <v>46022</v>
      </c>
      <c r="L20" s="93" t="s">
        <v>1211</v>
      </c>
      <c r="M20" s="111" t="s">
        <v>756</v>
      </c>
      <c r="N20" s="93" t="str">
        <f t="shared" si="0"/>
        <v>Rosso</v>
      </c>
      <c r="O20" s="93" t="s">
        <v>512</v>
      </c>
      <c r="P20" s="93" t="s">
        <v>766</v>
      </c>
      <c r="Q20" s="93" t="s">
        <v>766</v>
      </c>
      <c r="R20" s="111" t="s">
        <v>1212</v>
      </c>
      <c r="S20" s="93" t="str">
        <f t="shared" si="1"/>
        <v>2025Q4|NFR-11-K1</v>
      </c>
      <c r="T20" s="93" t="s">
        <v>691</v>
      </c>
    </row>
    <row r="21" spans="1:20" ht="29.15" x14ac:dyDescent="0.4">
      <c r="A21" s="93" t="s">
        <v>766</v>
      </c>
      <c r="B21" s="93" t="s">
        <v>1213</v>
      </c>
      <c r="C21" s="93" t="s">
        <v>562</v>
      </c>
      <c r="D21" s="111" t="s">
        <v>1214</v>
      </c>
      <c r="E21" s="93" t="s">
        <v>732</v>
      </c>
      <c r="F21" s="93" t="s">
        <v>1165</v>
      </c>
      <c r="G21" s="93" t="s">
        <v>1215</v>
      </c>
      <c r="H21" s="93">
        <v>2</v>
      </c>
      <c r="I21" s="93">
        <v>6</v>
      </c>
      <c r="J21" s="93">
        <v>4</v>
      </c>
      <c r="K21" s="109">
        <v>46022</v>
      </c>
      <c r="L21" s="93" t="s">
        <v>1215</v>
      </c>
      <c r="M21" s="111" t="s">
        <v>756</v>
      </c>
      <c r="N21" s="93" t="str">
        <f t="shared" si="0"/>
        <v>Ambra</v>
      </c>
      <c r="O21" s="93" t="s">
        <v>512</v>
      </c>
      <c r="P21" s="93" t="s">
        <v>766</v>
      </c>
      <c r="Q21" s="93" t="s">
        <v>766</v>
      </c>
      <c r="R21" s="111" t="s">
        <v>1216</v>
      </c>
      <c r="S21" s="93" t="str">
        <f t="shared" si="1"/>
        <v>2025Q4|NFR-11-K2</v>
      </c>
      <c r="T21" s="93" t="s">
        <v>691</v>
      </c>
    </row>
    <row r="22" spans="1:20" ht="29.15" x14ac:dyDescent="0.4">
      <c r="A22" s="93" t="s">
        <v>766</v>
      </c>
      <c r="B22" s="93" t="s">
        <v>1217</v>
      </c>
      <c r="C22" s="93" t="s">
        <v>569</v>
      </c>
      <c r="D22" s="111" t="s">
        <v>1218</v>
      </c>
      <c r="E22" s="93" t="s">
        <v>732</v>
      </c>
      <c r="F22" s="93" t="s">
        <v>1165</v>
      </c>
      <c r="G22" s="93" t="s">
        <v>1219</v>
      </c>
      <c r="H22" s="93">
        <v>10</v>
      </c>
      <c r="I22" s="93">
        <v>30</v>
      </c>
      <c r="J22" s="93">
        <v>4</v>
      </c>
      <c r="K22" s="109">
        <v>46022</v>
      </c>
      <c r="L22" s="93" t="s">
        <v>1219</v>
      </c>
      <c r="M22" s="111" t="s">
        <v>756</v>
      </c>
      <c r="N22" s="93" t="str">
        <f t="shared" si="0"/>
        <v>Verde</v>
      </c>
      <c r="O22" s="93" t="s">
        <v>512</v>
      </c>
      <c r="P22" s="93" t="s">
        <v>766</v>
      </c>
      <c r="Q22" s="93" t="s">
        <v>766</v>
      </c>
      <c r="R22" s="111" t="s">
        <v>1220</v>
      </c>
      <c r="S22" s="93" t="str">
        <f t="shared" si="1"/>
        <v>2025Q4|NFR-12-K1</v>
      </c>
      <c r="T22" s="93" t="s">
        <v>691</v>
      </c>
    </row>
    <row r="23" spans="1:20" ht="29.15" x14ac:dyDescent="0.4">
      <c r="A23" s="93" t="s">
        <v>766</v>
      </c>
      <c r="B23" s="93" t="s">
        <v>1221</v>
      </c>
      <c r="C23" s="93" t="s">
        <v>569</v>
      </c>
      <c r="D23" s="111" t="s">
        <v>1222</v>
      </c>
      <c r="E23" s="93" t="s">
        <v>1154</v>
      </c>
      <c r="F23" s="93" t="s">
        <v>1155</v>
      </c>
      <c r="G23" s="93" t="s">
        <v>1223</v>
      </c>
      <c r="H23" s="93">
        <v>4</v>
      </c>
      <c r="I23" s="93">
        <v>12</v>
      </c>
      <c r="J23" s="93">
        <v>3</v>
      </c>
      <c r="K23" s="109">
        <v>46022</v>
      </c>
      <c r="L23" s="93" t="s">
        <v>1223</v>
      </c>
      <c r="M23" s="111" t="s">
        <v>756</v>
      </c>
      <c r="N23" s="93" t="str">
        <f t="shared" si="0"/>
        <v>Verde</v>
      </c>
      <c r="O23" s="93" t="s">
        <v>512</v>
      </c>
      <c r="P23" s="93" t="s">
        <v>766</v>
      </c>
      <c r="Q23" s="93" t="s">
        <v>766</v>
      </c>
      <c r="R23" s="111" t="s">
        <v>1224</v>
      </c>
      <c r="S23" s="93" t="str">
        <f t="shared" si="1"/>
        <v>2025Q4|NFR-12-K3</v>
      </c>
      <c r="T23" s="93" t="s">
        <v>691</v>
      </c>
    </row>
    <row r="24" spans="1:20" ht="29.15" x14ac:dyDescent="0.4">
      <c r="A24" s="93" t="s">
        <v>1051</v>
      </c>
      <c r="B24" s="93" t="s">
        <v>410</v>
      </c>
      <c r="C24" s="93" t="s">
        <v>508</v>
      </c>
      <c r="D24" s="111" t="s">
        <v>1150</v>
      </c>
      <c r="E24" s="93" t="s">
        <v>732</v>
      </c>
      <c r="F24" s="93" t="s">
        <v>735</v>
      </c>
      <c r="G24" s="93" t="s">
        <v>738</v>
      </c>
      <c r="H24" s="93">
        <v>3</v>
      </c>
      <c r="I24" s="93">
        <v>6</v>
      </c>
      <c r="J24" s="93">
        <v>3.4</v>
      </c>
      <c r="K24" s="109">
        <v>46112</v>
      </c>
      <c r="L24" s="93" t="s">
        <v>738</v>
      </c>
      <c r="M24" s="111" t="s">
        <v>756</v>
      </c>
      <c r="N24" s="93" t="str">
        <f t="shared" si="0"/>
        <v>Ambra</v>
      </c>
      <c r="O24" s="93" t="s">
        <v>512</v>
      </c>
      <c r="P24" s="93" t="s">
        <v>766</v>
      </c>
      <c r="Q24" s="93" t="s">
        <v>766</v>
      </c>
      <c r="R24" s="111" t="s">
        <v>1151</v>
      </c>
      <c r="S24" s="93" t="str">
        <f t="shared" si="1"/>
        <v>2026Q1|NFR-01-K1</v>
      </c>
      <c r="T24" s="93" t="s">
        <v>691</v>
      </c>
    </row>
    <row r="25" spans="1:20" ht="29.15" x14ac:dyDescent="0.4">
      <c r="A25" s="93" t="s">
        <v>1051</v>
      </c>
      <c r="B25" s="93" t="s">
        <v>1152</v>
      </c>
      <c r="C25" s="93" t="s">
        <v>508</v>
      </c>
      <c r="D25" s="111" t="s">
        <v>1153</v>
      </c>
      <c r="E25" s="93" t="s">
        <v>1154</v>
      </c>
      <c r="F25" s="93" t="s">
        <v>1155</v>
      </c>
      <c r="G25" s="93" t="s">
        <v>1156</v>
      </c>
      <c r="H25" s="93">
        <v>4</v>
      </c>
      <c r="I25" s="93">
        <v>12</v>
      </c>
      <c r="J25" s="93">
        <v>3.5</v>
      </c>
      <c r="K25" s="109">
        <v>46112</v>
      </c>
      <c r="L25" s="93" t="s">
        <v>1156</v>
      </c>
      <c r="M25" s="111" t="s">
        <v>756</v>
      </c>
      <c r="N25" s="93" t="str">
        <f t="shared" si="0"/>
        <v>Verde</v>
      </c>
      <c r="O25" s="93" t="s">
        <v>512</v>
      </c>
      <c r="P25" s="93" t="s">
        <v>766</v>
      </c>
      <c r="Q25" s="93" t="s">
        <v>766</v>
      </c>
      <c r="R25" s="111" t="s">
        <v>1157</v>
      </c>
      <c r="S25" s="93" t="str">
        <f t="shared" si="1"/>
        <v>2026Q1|NFR-01-K3</v>
      </c>
      <c r="T25" s="93" t="s">
        <v>691</v>
      </c>
    </row>
    <row r="26" spans="1:20" ht="29.15" x14ac:dyDescent="0.4">
      <c r="A26" s="93" t="s">
        <v>1051</v>
      </c>
      <c r="B26" s="93" t="s">
        <v>1158</v>
      </c>
      <c r="C26" s="93" t="s">
        <v>514</v>
      </c>
      <c r="D26" s="111" t="s">
        <v>1159</v>
      </c>
      <c r="E26" s="93" t="s">
        <v>1154</v>
      </c>
      <c r="F26" s="93" t="s">
        <v>1160</v>
      </c>
      <c r="G26" s="93" t="s">
        <v>1161</v>
      </c>
      <c r="H26" s="93">
        <v>60</v>
      </c>
      <c r="I26" s="93">
        <v>75</v>
      </c>
      <c r="J26" s="93">
        <v>76</v>
      </c>
      <c r="K26" s="109">
        <v>46112</v>
      </c>
      <c r="L26" s="93" t="s">
        <v>1161</v>
      </c>
      <c r="M26" s="111" t="s">
        <v>756</v>
      </c>
      <c r="N26" s="93" t="str">
        <f t="shared" si="0"/>
        <v>Rosso</v>
      </c>
      <c r="O26" s="93" t="s">
        <v>512</v>
      </c>
      <c r="P26" s="93" t="s">
        <v>766</v>
      </c>
      <c r="Q26" s="93" t="s">
        <v>766</v>
      </c>
      <c r="R26" s="111" t="s">
        <v>1162</v>
      </c>
      <c r="S26" s="93" t="str">
        <f t="shared" si="1"/>
        <v>2026Q1|NFR-02-K1</v>
      </c>
      <c r="T26" s="93" t="s">
        <v>691</v>
      </c>
    </row>
    <row r="27" spans="1:20" ht="29.15" x14ac:dyDescent="0.4">
      <c r="A27" s="93" t="s">
        <v>1051</v>
      </c>
      <c r="B27" s="93" t="s">
        <v>1163</v>
      </c>
      <c r="C27" s="93" t="s">
        <v>514</v>
      </c>
      <c r="D27" s="111" t="s">
        <v>1164</v>
      </c>
      <c r="E27" s="93" t="s">
        <v>732</v>
      </c>
      <c r="F27" s="93" t="s">
        <v>1165</v>
      </c>
      <c r="G27" s="93" t="s">
        <v>1166</v>
      </c>
      <c r="H27" s="93">
        <v>2</v>
      </c>
      <c r="I27" s="93">
        <v>4</v>
      </c>
      <c r="J27" s="93">
        <v>0</v>
      </c>
      <c r="K27" s="109">
        <v>46112</v>
      </c>
      <c r="L27" s="93" t="s">
        <v>1166</v>
      </c>
      <c r="M27" s="111" t="s">
        <v>756</v>
      </c>
      <c r="N27" s="93" t="str">
        <f t="shared" si="0"/>
        <v>Verde</v>
      </c>
      <c r="O27" s="93" t="s">
        <v>512</v>
      </c>
      <c r="P27" s="93" t="s">
        <v>766</v>
      </c>
      <c r="Q27" s="93" t="s">
        <v>766</v>
      </c>
      <c r="R27" s="111" t="s">
        <v>1167</v>
      </c>
      <c r="S27" s="93" t="str">
        <f t="shared" si="1"/>
        <v>2026Q1|NFR-02-K2</v>
      </c>
      <c r="T27" s="93" t="s">
        <v>691</v>
      </c>
    </row>
    <row r="28" spans="1:20" ht="29.15" x14ac:dyDescent="0.4">
      <c r="A28" s="93" t="s">
        <v>1051</v>
      </c>
      <c r="B28" s="93" t="s">
        <v>1168</v>
      </c>
      <c r="C28" s="93" t="s">
        <v>520</v>
      </c>
      <c r="D28" s="111" t="s">
        <v>1169</v>
      </c>
      <c r="E28" s="93" t="s">
        <v>732</v>
      </c>
      <c r="F28" s="93" t="s">
        <v>1170</v>
      </c>
      <c r="G28" s="93" t="s">
        <v>1171</v>
      </c>
      <c r="H28" s="93">
        <v>1.5</v>
      </c>
      <c r="I28" s="93">
        <v>3</v>
      </c>
      <c r="J28" s="93">
        <v>0.7</v>
      </c>
      <c r="K28" s="109">
        <v>46112</v>
      </c>
      <c r="L28" s="93" t="s">
        <v>1171</v>
      </c>
      <c r="M28" s="111" t="s">
        <v>756</v>
      </c>
      <c r="N28" s="93" t="str">
        <f t="shared" si="0"/>
        <v>Verde</v>
      </c>
      <c r="O28" s="93" t="s">
        <v>512</v>
      </c>
      <c r="P28" s="93" t="s">
        <v>766</v>
      </c>
      <c r="Q28" s="93" t="s">
        <v>766</v>
      </c>
      <c r="R28" s="111" t="s">
        <v>1172</v>
      </c>
      <c r="S28" s="93" t="str">
        <f t="shared" si="1"/>
        <v>2026Q1|NFR-03-K1</v>
      </c>
      <c r="T28" s="93" t="s">
        <v>691</v>
      </c>
    </row>
    <row r="29" spans="1:20" ht="29.15" x14ac:dyDescent="0.4">
      <c r="A29" s="93" t="s">
        <v>1051</v>
      </c>
      <c r="B29" s="93" t="s">
        <v>1173</v>
      </c>
      <c r="C29" s="93" t="s">
        <v>520</v>
      </c>
      <c r="D29" s="111" t="s">
        <v>1174</v>
      </c>
      <c r="E29" s="93" t="s">
        <v>1154</v>
      </c>
      <c r="F29" s="93" t="s">
        <v>1160</v>
      </c>
      <c r="G29" s="93" t="s">
        <v>1175</v>
      </c>
      <c r="H29" s="93">
        <v>20</v>
      </c>
      <c r="I29" s="93">
        <v>40</v>
      </c>
      <c r="J29" s="93"/>
      <c r="K29" s="109"/>
      <c r="L29" s="93"/>
      <c r="M29" s="111" t="s">
        <v>1225</v>
      </c>
      <c r="N29" s="93" t="str">
        <f t="shared" si="0"/>
        <v>Non rilevato</v>
      </c>
      <c r="O29" s="93" t="s">
        <v>512</v>
      </c>
      <c r="P29" s="93" t="s">
        <v>766</v>
      </c>
      <c r="Q29" s="93" t="s">
        <v>766</v>
      </c>
      <c r="R29" s="111" t="s">
        <v>1176</v>
      </c>
      <c r="S29" s="93" t="str">
        <f t="shared" si="1"/>
        <v>2026Q1|NFR-03-K2</v>
      </c>
      <c r="T29" s="93" t="s">
        <v>691</v>
      </c>
    </row>
    <row r="30" spans="1:20" ht="29.15" x14ac:dyDescent="0.4">
      <c r="A30" s="93" t="s">
        <v>1051</v>
      </c>
      <c r="B30" s="93" t="s">
        <v>1177</v>
      </c>
      <c r="C30" s="93" t="s">
        <v>526</v>
      </c>
      <c r="D30" s="111" t="s">
        <v>1178</v>
      </c>
      <c r="E30" s="93" t="s">
        <v>1154</v>
      </c>
      <c r="F30" s="93" t="s">
        <v>1165</v>
      </c>
      <c r="G30" s="93" t="s">
        <v>1179</v>
      </c>
      <c r="H30" s="93">
        <v>1</v>
      </c>
      <c r="I30" s="93">
        <v>3</v>
      </c>
      <c r="J30" s="93">
        <v>2</v>
      </c>
      <c r="K30" s="109">
        <v>46112</v>
      </c>
      <c r="L30" s="93" t="s">
        <v>1179</v>
      </c>
      <c r="M30" s="111" t="s">
        <v>756</v>
      </c>
      <c r="N30" s="93" t="str">
        <f t="shared" si="0"/>
        <v>Ambra</v>
      </c>
      <c r="O30" s="93" t="s">
        <v>512</v>
      </c>
      <c r="P30" s="93" t="s">
        <v>766</v>
      </c>
      <c r="Q30" s="93" t="s">
        <v>766</v>
      </c>
      <c r="R30" s="111" t="s">
        <v>1180</v>
      </c>
      <c r="S30" s="93" t="str">
        <f t="shared" si="1"/>
        <v>2026Q1|NFR-04-K1</v>
      </c>
      <c r="T30" s="93" t="s">
        <v>691</v>
      </c>
    </row>
    <row r="31" spans="1:20" ht="29.15" x14ac:dyDescent="0.4">
      <c r="A31" s="93" t="s">
        <v>1051</v>
      </c>
      <c r="B31" s="93" t="s">
        <v>1181</v>
      </c>
      <c r="C31" s="93" t="s">
        <v>526</v>
      </c>
      <c r="D31" s="111" t="s">
        <v>1182</v>
      </c>
      <c r="E31" s="93" t="s">
        <v>732</v>
      </c>
      <c r="F31" s="93" t="s">
        <v>1183</v>
      </c>
      <c r="G31" s="93" t="s">
        <v>1184</v>
      </c>
      <c r="H31" s="93">
        <v>2</v>
      </c>
      <c r="I31" s="93">
        <v>5</v>
      </c>
      <c r="J31" s="93">
        <v>1</v>
      </c>
      <c r="K31" s="109">
        <v>46112</v>
      </c>
      <c r="L31" s="93" t="s">
        <v>1184</v>
      </c>
      <c r="M31" s="111" t="s">
        <v>756</v>
      </c>
      <c r="N31" s="93" t="str">
        <f t="shared" si="0"/>
        <v>Verde</v>
      </c>
      <c r="O31" s="93" t="s">
        <v>512</v>
      </c>
      <c r="P31" s="93" t="s">
        <v>766</v>
      </c>
      <c r="Q31" s="93" t="s">
        <v>766</v>
      </c>
      <c r="R31" s="111" t="s">
        <v>1185</v>
      </c>
      <c r="S31" s="93" t="str">
        <f t="shared" si="1"/>
        <v>2026Q1|NFR-04-K2</v>
      </c>
      <c r="T31" s="93" t="s">
        <v>691</v>
      </c>
    </row>
    <row r="32" spans="1:20" ht="29.15" x14ac:dyDescent="0.4">
      <c r="A32" s="93" t="s">
        <v>1051</v>
      </c>
      <c r="B32" s="93" t="s">
        <v>1186</v>
      </c>
      <c r="C32" s="93" t="s">
        <v>530</v>
      </c>
      <c r="D32" s="111" t="s">
        <v>1187</v>
      </c>
      <c r="E32" s="93" t="s">
        <v>732</v>
      </c>
      <c r="F32" s="93" t="s">
        <v>1165</v>
      </c>
      <c r="G32" s="93" t="s">
        <v>1188</v>
      </c>
      <c r="H32" s="93">
        <v>3</v>
      </c>
      <c r="I32" s="93">
        <v>6</v>
      </c>
      <c r="J32" s="93">
        <v>9</v>
      </c>
      <c r="K32" s="109">
        <v>46112</v>
      </c>
      <c r="L32" s="93" t="s">
        <v>1188</v>
      </c>
      <c r="M32" s="111" t="s">
        <v>756</v>
      </c>
      <c r="N32" s="93" t="str">
        <f t="shared" si="0"/>
        <v>Rosso</v>
      </c>
      <c r="O32" s="93" t="s">
        <v>512</v>
      </c>
      <c r="P32" s="93" t="s">
        <v>766</v>
      </c>
      <c r="Q32" s="93" t="s">
        <v>766</v>
      </c>
      <c r="R32" s="111" t="s">
        <v>1189</v>
      </c>
      <c r="S32" s="93" t="str">
        <f t="shared" si="1"/>
        <v>2026Q1|NFR-05-K2</v>
      </c>
      <c r="T32" s="93" t="s">
        <v>691</v>
      </c>
    </row>
    <row r="33" spans="1:20" ht="29.15" x14ac:dyDescent="0.4">
      <c r="A33" s="93" t="s">
        <v>1051</v>
      </c>
      <c r="B33" s="93" t="s">
        <v>1190</v>
      </c>
      <c r="C33" s="93" t="s">
        <v>530</v>
      </c>
      <c r="D33" s="111" t="s">
        <v>1191</v>
      </c>
      <c r="E33" s="93" t="s">
        <v>1154</v>
      </c>
      <c r="F33" s="93" t="s">
        <v>1160</v>
      </c>
      <c r="G33" s="93" t="s">
        <v>1192</v>
      </c>
      <c r="H33" s="93">
        <v>30</v>
      </c>
      <c r="I33" s="93">
        <v>60</v>
      </c>
      <c r="J33" s="93">
        <v>40</v>
      </c>
      <c r="K33" s="109">
        <v>46112</v>
      </c>
      <c r="L33" s="93" t="s">
        <v>1192</v>
      </c>
      <c r="M33" s="111" t="s">
        <v>756</v>
      </c>
      <c r="N33" s="93" t="str">
        <f t="shared" si="0"/>
        <v>Ambra</v>
      </c>
      <c r="O33" s="93" t="s">
        <v>512</v>
      </c>
      <c r="P33" s="93" t="s">
        <v>766</v>
      </c>
      <c r="Q33" s="93" t="s">
        <v>766</v>
      </c>
      <c r="R33" s="111" t="s">
        <v>1193</v>
      </c>
      <c r="S33" s="93" t="str">
        <f t="shared" si="1"/>
        <v>2026Q1|NFR-05-K3</v>
      </c>
      <c r="T33" s="93" t="s">
        <v>691</v>
      </c>
    </row>
    <row r="34" spans="1:20" ht="29.15" x14ac:dyDescent="0.4">
      <c r="A34" s="93" t="s">
        <v>1051</v>
      </c>
      <c r="B34" s="93" t="s">
        <v>1226</v>
      </c>
      <c r="C34" s="93" t="s">
        <v>535</v>
      </c>
      <c r="D34" s="111" t="s">
        <v>1227</v>
      </c>
      <c r="E34" s="93" t="s">
        <v>732</v>
      </c>
      <c r="F34" s="93" t="s">
        <v>1202</v>
      </c>
      <c r="G34" s="93" t="s">
        <v>1228</v>
      </c>
      <c r="H34" s="93">
        <v>10</v>
      </c>
      <c r="I34" s="93">
        <v>30</v>
      </c>
      <c r="J34" s="93">
        <v>22</v>
      </c>
      <c r="K34" s="109">
        <v>46112</v>
      </c>
      <c r="L34" s="93" t="s">
        <v>1228</v>
      </c>
      <c r="M34" s="111" t="s">
        <v>756</v>
      </c>
      <c r="N34" s="93" t="str">
        <f t="shared" si="0"/>
        <v>Ambra</v>
      </c>
      <c r="O34" s="93" t="s">
        <v>512</v>
      </c>
      <c r="P34" s="93" t="s">
        <v>1051</v>
      </c>
      <c r="Q34" s="93" t="s">
        <v>1051</v>
      </c>
      <c r="R34" s="111" t="s">
        <v>1229</v>
      </c>
      <c r="S34" s="93" t="str">
        <f t="shared" si="1"/>
        <v>2026Q1|NFR-06-K1</v>
      </c>
      <c r="T34" s="93" t="s">
        <v>691</v>
      </c>
    </row>
    <row r="35" spans="1:20" ht="29.15" x14ac:dyDescent="0.4">
      <c r="A35" s="93" t="s">
        <v>1051</v>
      </c>
      <c r="B35" s="93" t="s">
        <v>1230</v>
      </c>
      <c r="C35" s="93" t="s">
        <v>535</v>
      </c>
      <c r="D35" s="111" t="s">
        <v>1231</v>
      </c>
      <c r="E35" s="93" t="s">
        <v>1154</v>
      </c>
      <c r="F35" s="93" t="s">
        <v>1160</v>
      </c>
      <c r="G35" s="93" t="s">
        <v>1232</v>
      </c>
      <c r="H35" s="93">
        <v>20</v>
      </c>
      <c r="I35" s="93">
        <v>40</v>
      </c>
      <c r="J35" s="93">
        <v>48</v>
      </c>
      <c r="K35" s="109">
        <v>46112</v>
      </c>
      <c r="L35" s="93" t="s">
        <v>1232</v>
      </c>
      <c r="M35" s="111" t="s">
        <v>756</v>
      </c>
      <c r="N35" s="93" t="str">
        <f t="shared" si="0"/>
        <v>Rosso</v>
      </c>
      <c r="O35" s="93" t="s">
        <v>512</v>
      </c>
      <c r="P35" s="93" t="s">
        <v>1051</v>
      </c>
      <c r="Q35" s="93" t="s">
        <v>1051</v>
      </c>
      <c r="R35" s="111" t="s">
        <v>1233</v>
      </c>
      <c r="S35" s="93" t="str">
        <f t="shared" si="1"/>
        <v>2026Q1|NFR-06-K2</v>
      </c>
      <c r="T35" s="93" t="s">
        <v>691</v>
      </c>
    </row>
    <row r="36" spans="1:20" ht="29.15" x14ac:dyDescent="0.4">
      <c r="A36" s="93" t="s">
        <v>1051</v>
      </c>
      <c r="B36" s="93" t="s">
        <v>1194</v>
      </c>
      <c r="C36" s="93" t="s">
        <v>541</v>
      </c>
      <c r="D36" s="111" t="s">
        <v>1195</v>
      </c>
      <c r="E36" s="93" t="s">
        <v>1154</v>
      </c>
      <c r="F36" s="93" t="s">
        <v>1165</v>
      </c>
      <c r="G36" s="93" t="s">
        <v>1161</v>
      </c>
      <c r="H36" s="93">
        <v>1</v>
      </c>
      <c r="I36" s="93">
        <v>2</v>
      </c>
      <c r="J36" s="93">
        <v>2</v>
      </c>
      <c r="K36" s="109">
        <v>46112</v>
      </c>
      <c r="L36" s="93" t="s">
        <v>1161</v>
      </c>
      <c r="M36" s="111" t="s">
        <v>756</v>
      </c>
      <c r="N36" s="93" t="str">
        <f t="shared" si="0"/>
        <v>Rosso</v>
      </c>
      <c r="O36" s="93" t="s">
        <v>512</v>
      </c>
      <c r="P36" s="93" t="s">
        <v>766</v>
      </c>
      <c r="Q36" s="93" t="s">
        <v>766</v>
      </c>
      <c r="R36" s="111" t="s">
        <v>1196</v>
      </c>
      <c r="S36" s="93" t="str">
        <f t="shared" si="1"/>
        <v>2026Q1|NFR-07-K1</v>
      </c>
      <c r="T36" s="93" t="s">
        <v>691</v>
      </c>
    </row>
    <row r="37" spans="1:20" ht="29.15" x14ac:dyDescent="0.4">
      <c r="A37" s="93" t="s">
        <v>1051</v>
      </c>
      <c r="B37" s="93" t="s">
        <v>1197</v>
      </c>
      <c r="C37" s="93" t="s">
        <v>541</v>
      </c>
      <c r="D37" s="111" t="s">
        <v>1198</v>
      </c>
      <c r="E37" s="93" t="s">
        <v>732</v>
      </c>
      <c r="F37" s="93" t="s">
        <v>1155</v>
      </c>
      <c r="G37" s="93" t="s">
        <v>1166</v>
      </c>
      <c r="H37" s="93">
        <v>4</v>
      </c>
      <c r="I37" s="93">
        <v>12</v>
      </c>
      <c r="J37" s="93">
        <v>6</v>
      </c>
      <c r="K37" s="109">
        <v>46112</v>
      </c>
      <c r="L37" s="93" t="s">
        <v>1166</v>
      </c>
      <c r="M37" s="111" t="s">
        <v>756</v>
      </c>
      <c r="N37" s="93" t="str">
        <f t="shared" si="0"/>
        <v>Ambra</v>
      </c>
      <c r="O37" s="93" t="s">
        <v>512</v>
      </c>
      <c r="P37" s="93" t="s">
        <v>766</v>
      </c>
      <c r="Q37" s="93" t="s">
        <v>766</v>
      </c>
      <c r="R37" s="111" t="s">
        <v>1199</v>
      </c>
      <c r="S37" s="93" t="str">
        <f t="shared" si="1"/>
        <v>2026Q1|NFR-07-K2</v>
      </c>
      <c r="T37" s="93" t="s">
        <v>691</v>
      </c>
    </row>
    <row r="38" spans="1:20" ht="29.15" x14ac:dyDescent="0.4">
      <c r="A38" s="93" t="s">
        <v>1051</v>
      </c>
      <c r="B38" s="93" t="s">
        <v>1200</v>
      </c>
      <c r="C38" s="93" t="s">
        <v>545</v>
      </c>
      <c r="D38" s="111" t="s">
        <v>1201</v>
      </c>
      <c r="E38" s="93" t="s">
        <v>732</v>
      </c>
      <c r="F38" s="93" t="s">
        <v>1202</v>
      </c>
      <c r="G38" s="93" t="s">
        <v>1203</v>
      </c>
      <c r="H38" s="93">
        <v>20</v>
      </c>
      <c r="I38" s="93">
        <v>50</v>
      </c>
      <c r="J38" s="93">
        <v>28</v>
      </c>
      <c r="K38" s="109">
        <v>46112</v>
      </c>
      <c r="L38" s="93" t="s">
        <v>1203</v>
      </c>
      <c r="M38" s="111" t="s">
        <v>756</v>
      </c>
      <c r="N38" s="93" t="str">
        <f t="shared" ref="N38:N71" si="2">IF(OR(H38="",I38=""),"Soglie da definire",IF(I38&lt;H38,"SOGLIE INVERTITE — correggere",IF(J38="","Non rilevato",IF(J38&gt;=I38,"Rosso",IF(J38&gt;=H38,"Ambra","Verde")))))</f>
        <v>Ambra</v>
      </c>
      <c r="O38" s="93" t="s">
        <v>512</v>
      </c>
      <c r="P38" s="93" t="s">
        <v>766</v>
      </c>
      <c r="Q38" s="93" t="s">
        <v>766</v>
      </c>
      <c r="R38" s="111" t="s">
        <v>1204</v>
      </c>
      <c r="S38" s="93" t="str">
        <f t="shared" ref="S38:S71" si="3">A38&amp;"|"&amp;B38</f>
        <v>2026Q1|NFR-08-K1</v>
      </c>
      <c r="T38" s="93" t="s">
        <v>691</v>
      </c>
    </row>
    <row r="39" spans="1:20" ht="29.15" x14ac:dyDescent="0.4">
      <c r="A39" s="93" t="s">
        <v>1051</v>
      </c>
      <c r="B39" s="93" t="s">
        <v>1205</v>
      </c>
      <c r="C39" s="93" t="s">
        <v>545</v>
      </c>
      <c r="D39" s="111" t="s">
        <v>1206</v>
      </c>
      <c r="E39" s="93" t="s">
        <v>1154</v>
      </c>
      <c r="F39" s="93" t="s">
        <v>1160</v>
      </c>
      <c r="G39" s="93" t="s">
        <v>1207</v>
      </c>
      <c r="H39" s="93">
        <v>5</v>
      </c>
      <c r="I39" s="93">
        <v>15</v>
      </c>
      <c r="J39" s="93">
        <v>9</v>
      </c>
      <c r="K39" s="109">
        <v>46112</v>
      </c>
      <c r="L39" s="93" t="s">
        <v>1207</v>
      </c>
      <c r="M39" s="111" t="s">
        <v>756</v>
      </c>
      <c r="N39" s="93" t="str">
        <f t="shared" si="2"/>
        <v>Ambra</v>
      </c>
      <c r="O39" s="93" t="s">
        <v>512</v>
      </c>
      <c r="P39" s="93" t="s">
        <v>766</v>
      </c>
      <c r="Q39" s="93" t="s">
        <v>766</v>
      </c>
      <c r="R39" s="111" t="s">
        <v>1208</v>
      </c>
      <c r="S39" s="93" t="str">
        <f t="shared" si="3"/>
        <v>2026Q1|NFR-08-K2</v>
      </c>
      <c r="T39" s="93" t="s">
        <v>691</v>
      </c>
    </row>
    <row r="40" spans="1:20" ht="29.15" x14ac:dyDescent="0.4">
      <c r="A40" s="93" t="s">
        <v>1051</v>
      </c>
      <c r="B40" s="93" t="s">
        <v>1234</v>
      </c>
      <c r="C40" s="93" t="s">
        <v>550</v>
      </c>
      <c r="D40" s="111" t="s">
        <v>1235</v>
      </c>
      <c r="E40" s="93" t="s">
        <v>732</v>
      </c>
      <c r="F40" s="93" t="s">
        <v>735</v>
      </c>
      <c r="G40" s="93" t="s">
        <v>1236</v>
      </c>
      <c r="H40" s="93">
        <v>2</v>
      </c>
      <c r="I40" s="93">
        <v>5</v>
      </c>
      <c r="J40" s="93">
        <v>3.1</v>
      </c>
      <c r="K40" s="109">
        <v>46112</v>
      </c>
      <c r="L40" s="93" t="s">
        <v>1236</v>
      </c>
      <c r="M40" s="111" t="s">
        <v>756</v>
      </c>
      <c r="N40" s="93" t="str">
        <f t="shared" si="2"/>
        <v>Ambra</v>
      </c>
      <c r="O40" s="93" t="s">
        <v>512</v>
      </c>
      <c r="P40" s="93" t="s">
        <v>1051</v>
      </c>
      <c r="Q40" s="93" t="s">
        <v>1051</v>
      </c>
      <c r="R40" s="111" t="s">
        <v>1237</v>
      </c>
      <c r="S40" s="93" t="str">
        <f t="shared" si="3"/>
        <v>2026Q1|NFR-09-K1</v>
      </c>
      <c r="T40" s="93" t="s">
        <v>691</v>
      </c>
    </row>
    <row r="41" spans="1:20" ht="29.15" x14ac:dyDescent="0.4">
      <c r="A41" s="93" t="s">
        <v>1051</v>
      </c>
      <c r="B41" s="93" t="s">
        <v>1238</v>
      </c>
      <c r="C41" s="93" t="s">
        <v>550</v>
      </c>
      <c r="D41" s="111" t="s">
        <v>1239</v>
      </c>
      <c r="E41" s="93" t="s">
        <v>1154</v>
      </c>
      <c r="F41" s="93" t="s">
        <v>1160</v>
      </c>
      <c r="G41" s="93" t="s">
        <v>1240</v>
      </c>
      <c r="H41" s="93">
        <v>5</v>
      </c>
      <c r="I41" s="93">
        <v>15</v>
      </c>
      <c r="J41" s="93">
        <v>18</v>
      </c>
      <c r="K41" s="109">
        <v>46112</v>
      </c>
      <c r="L41" s="93" t="s">
        <v>1240</v>
      </c>
      <c r="M41" s="111" t="s">
        <v>756</v>
      </c>
      <c r="N41" s="93" t="str">
        <f t="shared" si="2"/>
        <v>Rosso</v>
      </c>
      <c r="O41" s="93" t="s">
        <v>512</v>
      </c>
      <c r="P41" s="93" t="s">
        <v>1051</v>
      </c>
      <c r="Q41" s="93" t="s">
        <v>1051</v>
      </c>
      <c r="R41" s="111" t="s">
        <v>1241</v>
      </c>
      <c r="S41" s="93" t="str">
        <f t="shared" si="3"/>
        <v>2026Q1|NFR-09-K2</v>
      </c>
      <c r="T41" s="93" t="s">
        <v>691</v>
      </c>
    </row>
    <row r="42" spans="1:20" ht="29.15" x14ac:dyDescent="0.4">
      <c r="A42" s="93" t="s">
        <v>1051</v>
      </c>
      <c r="B42" s="93" t="s">
        <v>1242</v>
      </c>
      <c r="C42" s="93" t="s">
        <v>555</v>
      </c>
      <c r="D42" s="111" t="s">
        <v>1243</v>
      </c>
      <c r="E42" s="93" t="s">
        <v>732</v>
      </c>
      <c r="F42" s="93" t="s">
        <v>1170</v>
      </c>
      <c r="G42" s="93" t="s">
        <v>1244</v>
      </c>
      <c r="H42" s="93"/>
      <c r="I42" s="93"/>
      <c r="J42" s="93"/>
      <c r="K42" s="109"/>
      <c r="L42" s="93"/>
      <c r="M42" s="111" t="s">
        <v>1225</v>
      </c>
      <c r="N42" s="93" t="str">
        <f t="shared" si="2"/>
        <v>Soglie da definire</v>
      </c>
      <c r="O42" s="93" t="s">
        <v>512</v>
      </c>
      <c r="P42" s="93" t="s">
        <v>1051</v>
      </c>
      <c r="Q42" s="93" t="s">
        <v>1051</v>
      </c>
      <c r="R42" s="111" t="s">
        <v>1245</v>
      </c>
      <c r="S42" s="93" t="str">
        <f t="shared" si="3"/>
        <v>2026Q1|NFR-10-K1</v>
      </c>
      <c r="T42" s="93" t="s">
        <v>691</v>
      </c>
    </row>
    <row r="43" spans="1:20" ht="29.15" x14ac:dyDescent="0.4">
      <c r="A43" s="93" t="s">
        <v>1051</v>
      </c>
      <c r="B43" s="93" t="s">
        <v>1246</v>
      </c>
      <c r="C43" s="93" t="s">
        <v>555</v>
      </c>
      <c r="D43" s="111" t="s">
        <v>1247</v>
      </c>
      <c r="E43" s="93" t="s">
        <v>1154</v>
      </c>
      <c r="F43" s="93" t="s">
        <v>1160</v>
      </c>
      <c r="G43" s="93" t="s">
        <v>1248</v>
      </c>
      <c r="H43" s="93">
        <v>20</v>
      </c>
      <c r="I43" s="93">
        <v>50</v>
      </c>
      <c r="J43" s="93">
        <v>80</v>
      </c>
      <c r="K43" s="109">
        <v>46112</v>
      </c>
      <c r="L43" s="93" t="s">
        <v>1248</v>
      </c>
      <c r="M43" s="111" t="s">
        <v>756</v>
      </c>
      <c r="N43" s="93" t="str">
        <f t="shared" si="2"/>
        <v>Rosso</v>
      </c>
      <c r="O43" s="93" t="s">
        <v>512</v>
      </c>
      <c r="P43" s="93" t="s">
        <v>1051</v>
      </c>
      <c r="Q43" s="93" t="s">
        <v>1051</v>
      </c>
      <c r="R43" s="111" t="s">
        <v>1249</v>
      </c>
      <c r="S43" s="93" t="str">
        <f t="shared" si="3"/>
        <v>2026Q1|NFR-10-K3</v>
      </c>
      <c r="T43" s="93" t="s">
        <v>691</v>
      </c>
    </row>
    <row r="44" spans="1:20" ht="29.15" x14ac:dyDescent="0.4">
      <c r="A44" s="93" t="s">
        <v>1051</v>
      </c>
      <c r="B44" s="93" t="s">
        <v>1209</v>
      </c>
      <c r="C44" s="93" t="s">
        <v>562</v>
      </c>
      <c r="D44" s="111" t="s">
        <v>1210</v>
      </c>
      <c r="E44" s="93" t="s">
        <v>1154</v>
      </c>
      <c r="F44" s="93" t="s">
        <v>1165</v>
      </c>
      <c r="G44" s="93" t="s">
        <v>1211</v>
      </c>
      <c r="H44" s="93">
        <v>3</v>
      </c>
      <c r="I44" s="93">
        <v>8</v>
      </c>
      <c r="J44" s="93">
        <v>9</v>
      </c>
      <c r="K44" s="109">
        <v>46112</v>
      </c>
      <c r="L44" s="93" t="s">
        <v>1211</v>
      </c>
      <c r="M44" s="111" t="s">
        <v>756</v>
      </c>
      <c r="N44" s="93" t="str">
        <f t="shared" si="2"/>
        <v>Rosso</v>
      </c>
      <c r="O44" s="93" t="s">
        <v>512</v>
      </c>
      <c r="P44" s="93" t="s">
        <v>766</v>
      </c>
      <c r="Q44" s="93" t="s">
        <v>766</v>
      </c>
      <c r="R44" s="111" t="s">
        <v>1212</v>
      </c>
      <c r="S44" s="93" t="str">
        <f t="shared" si="3"/>
        <v>2026Q1|NFR-11-K1</v>
      </c>
      <c r="T44" s="93" t="s">
        <v>691</v>
      </c>
    </row>
    <row r="45" spans="1:20" ht="29.15" x14ac:dyDescent="0.4">
      <c r="A45" s="93" t="s">
        <v>1051</v>
      </c>
      <c r="B45" s="93" t="s">
        <v>1213</v>
      </c>
      <c r="C45" s="93" t="s">
        <v>562</v>
      </c>
      <c r="D45" s="111" t="s">
        <v>1214</v>
      </c>
      <c r="E45" s="93" t="s">
        <v>732</v>
      </c>
      <c r="F45" s="93" t="s">
        <v>1165</v>
      </c>
      <c r="G45" s="93" t="s">
        <v>1215</v>
      </c>
      <c r="H45" s="93">
        <v>2</v>
      </c>
      <c r="I45" s="93">
        <v>6</v>
      </c>
      <c r="J45" s="93">
        <v>5</v>
      </c>
      <c r="K45" s="109">
        <v>46112</v>
      </c>
      <c r="L45" s="93" t="s">
        <v>1215</v>
      </c>
      <c r="M45" s="111" t="s">
        <v>756</v>
      </c>
      <c r="N45" s="93" t="str">
        <f t="shared" si="2"/>
        <v>Ambra</v>
      </c>
      <c r="O45" s="93" t="s">
        <v>512</v>
      </c>
      <c r="P45" s="93" t="s">
        <v>766</v>
      </c>
      <c r="Q45" s="93" t="s">
        <v>766</v>
      </c>
      <c r="R45" s="111" t="s">
        <v>1216</v>
      </c>
      <c r="S45" s="93" t="str">
        <f t="shared" si="3"/>
        <v>2026Q1|NFR-11-K2</v>
      </c>
      <c r="T45" s="93" t="s">
        <v>691</v>
      </c>
    </row>
    <row r="46" spans="1:20" ht="29.15" x14ac:dyDescent="0.4">
      <c r="A46" s="93" t="s">
        <v>1051</v>
      </c>
      <c r="B46" s="93" t="s">
        <v>1217</v>
      </c>
      <c r="C46" s="93" t="s">
        <v>569</v>
      </c>
      <c r="D46" s="111" t="s">
        <v>1218</v>
      </c>
      <c r="E46" s="93" t="s">
        <v>732</v>
      </c>
      <c r="F46" s="93" t="s">
        <v>1165</v>
      </c>
      <c r="G46" s="93" t="s">
        <v>1219</v>
      </c>
      <c r="H46" s="93">
        <v>10</v>
      </c>
      <c r="I46" s="93">
        <v>30</v>
      </c>
      <c r="J46" s="93">
        <v>6</v>
      </c>
      <c r="K46" s="109">
        <v>46112</v>
      </c>
      <c r="L46" s="93" t="s">
        <v>1219</v>
      </c>
      <c r="M46" s="111" t="s">
        <v>756</v>
      </c>
      <c r="N46" s="93" t="str">
        <f t="shared" si="2"/>
        <v>Verde</v>
      </c>
      <c r="O46" s="93" t="s">
        <v>512</v>
      </c>
      <c r="P46" s="93" t="s">
        <v>766</v>
      </c>
      <c r="Q46" s="93" t="s">
        <v>766</v>
      </c>
      <c r="R46" s="111" t="s">
        <v>1220</v>
      </c>
      <c r="S46" s="93" t="str">
        <f t="shared" si="3"/>
        <v>2026Q1|NFR-12-K1</v>
      </c>
      <c r="T46" s="93" t="s">
        <v>691</v>
      </c>
    </row>
    <row r="47" spans="1:20" ht="29.15" x14ac:dyDescent="0.4">
      <c r="A47" s="93" t="s">
        <v>1051</v>
      </c>
      <c r="B47" s="93" t="s">
        <v>1221</v>
      </c>
      <c r="C47" s="93" t="s">
        <v>569</v>
      </c>
      <c r="D47" s="111" t="s">
        <v>1222</v>
      </c>
      <c r="E47" s="93" t="s">
        <v>1154</v>
      </c>
      <c r="F47" s="93" t="s">
        <v>1155</v>
      </c>
      <c r="G47" s="93" t="s">
        <v>1223</v>
      </c>
      <c r="H47" s="93">
        <v>4</v>
      </c>
      <c r="I47" s="93">
        <v>12</v>
      </c>
      <c r="J47" s="93">
        <v>3.5</v>
      </c>
      <c r="K47" s="109">
        <v>46112</v>
      </c>
      <c r="L47" s="93" t="s">
        <v>1223</v>
      </c>
      <c r="M47" s="111" t="s">
        <v>756</v>
      </c>
      <c r="N47" s="93" t="str">
        <f t="shared" si="2"/>
        <v>Verde</v>
      </c>
      <c r="O47" s="93" t="s">
        <v>512</v>
      </c>
      <c r="P47" s="93" t="s">
        <v>766</v>
      </c>
      <c r="Q47" s="93" t="s">
        <v>766</v>
      </c>
      <c r="R47" s="111" t="s">
        <v>1224</v>
      </c>
      <c r="S47" s="93" t="str">
        <f t="shared" si="3"/>
        <v>2026Q1|NFR-12-K3</v>
      </c>
      <c r="T47" s="93" t="s">
        <v>691</v>
      </c>
    </row>
    <row r="48" spans="1:20" ht="29.15" x14ac:dyDescent="0.4">
      <c r="A48" s="93" t="s">
        <v>566</v>
      </c>
      <c r="B48" s="93" t="s">
        <v>410</v>
      </c>
      <c r="C48" s="93" t="s">
        <v>508</v>
      </c>
      <c r="D48" s="111" t="s">
        <v>1150</v>
      </c>
      <c r="E48" s="93" t="s">
        <v>732</v>
      </c>
      <c r="F48" s="93" t="s">
        <v>735</v>
      </c>
      <c r="G48" s="93" t="s">
        <v>738</v>
      </c>
      <c r="H48" s="93">
        <v>3</v>
      </c>
      <c r="I48" s="93">
        <v>6</v>
      </c>
      <c r="J48" s="93">
        <v>4.2</v>
      </c>
      <c r="K48" s="109">
        <v>46203</v>
      </c>
      <c r="L48" s="93" t="s">
        <v>738</v>
      </c>
      <c r="M48" s="111" t="s">
        <v>756</v>
      </c>
      <c r="N48" s="93" t="str">
        <f t="shared" si="2"/>
        <v>Ambra</v>
      </c>
      <c r="O48" s="93" t="s">
        <v>512</v>
      </c>
      <c r="P48" s="93" t="s">
        <v>766</v>
      </c>
      <c r="Q48" s="93" t="s">
        <v>766</v>
      </c>
      <c r="R48" s="111" t="s">
        <v>1151</v>
      </c>
      <c r="S48" s="93" t="str">
        <f t="shared" si="3"/>
        <v>2026Q2|NFR-01-K1</v>
      </c>
      <c r="T48" s="93" t="s">
        <v>691</v>
      </c>
    </row>
    <row r="49" spans="1:20" ht="29.15" x14ac:dyDescent="0.4">
      <c r="A49" s="93" t="s">
        <v>566</v>
      </c>
      <c r="B49" s="93" t="s">
        <v>1152</v>
      </c>
      <c r="C49" s="93" t="s">
        <v>508</v>
      </c>
      <c r="D49" s="111" t="s">
        <v>1153</v>
      </c>
      <c r="E49" s="93" t="s">
        <v>1154</v>
      </c>
      <c r="F49" s="93" t="s">
        <v>1155</v>
      </c>
      <c r="G49" s="93" t="s">
        <v>1156</v>
      </c>
      <c r="H49" s="93">
        <v>4</v>
      </c>
      <c r="I49" s="93">
        <v>12</v>
      </c>
      <c r="J49" s="93">
        <v>2.5</v>
      </c>
      <c r="K49" s="109">
        <v>46203</v>
      </c>
      <c r="L49" s="93" t="s">
        <v>1156</v>
      </c>
      <c r="M49" s="111" t="s">
        <v>756</v>
      </c>
      <c r="N49" s="93" t="str">
        <f t="shared" si="2"/>
        <v>Verde</v>
      </c>
      <c r="O49" s="93" t="s">
        <v>512</v>
      </c>
      <c r="P49" s="93" t="s">
        <v>766</v>
      </c>
      <c r="Q49" s="93" t="s">
        <v>766</v>
      </c>
      <c r="R49" s="111" t="s">
        <v>1157</v>
      </c>
      <c r="S49" s="93" t="str">
        <f t="shared" si="3"/>
        <v>2026Q2|NFR-01-K3</v>
      </c>
      <c r="T49" s="93" t="s">
        <v>691</v>
      </c>
    </row>
    <row r="50" spans="1:20" ht="29.15" x14ac:dyDescent="0.4">
      <c r="A50" s="93" t="s">
        <v>566</v>
      </c>
      <c r="B50" s="93" t="s">
        <v>1158</v>
      </c>
      <c r="C50" s="93" t="s">
        <v>514</v>
      </c>
      <c r="D50" s="111" t="s">
        <v>1159</v>
      </c>
      <c r="E50" s="93" t="s">
        <v>1154</v>
      </c>
      <c r="F50" s="93" t="s">
        <v>1160</v>
      </c>
      <c r="G50" s="93" t="s">
        <v>1161</v>
      </c>
      <c r="H50" s="93">
        <v>60</v>
      </c>
      <c r="I50" s="93">
        <v>75</v>
      </c>
      <c r="J50" s="93">
        <v>78</v>
      </c>
      <c r="K50" s="109">
        <v>46203</v>
      </c>
      <c r="L50" s="93" t="s">
        <v>1161</v>
      </c>
      <c r="M50" s="111" t="s">
        <v>756</v>
      </c>
      <c r="N50" s="93" t="str">
        <f t="shared" si="2"/>
        <v>Rosso</v>
      </c>
      <c r="O50" s="93" t="s">
        <v>512</v>
      </c>
      <c r="P50" s="93" t="s">
        <v>766</v>
      </c>
      <c r="Q50" s="93" t="s">
        <v>766</v>
      </c>
      <c r="R50" s="111" t="s">
        <v>1162</v>
      </c>
      <c r="S50" s="93" t="str">
        <f t="shared" si="3"/>
        <v>2026Q2|NFR-02-K1</v>
      </c>
      <c r="T50" s="93" t="s">
        <v>691</v>
      </c>
    </row>
    <row r="51" spans="1:20" ht="29.15" x14ac:dyDescent="0.4">
      <c r="A51" s="93" t="s">
        <v>566</v>
      </c>
      <c r="B51" s="93" t="s">
        <v>1163</v>
      </c>
      <c r="C51" s="93" t="s">
        <v>514</v>
      </c>
      <c r="D51" s="111" t="s">
        <v>1164</v>
      </c>
      <c r="E51" s="93" t="s">
        <v>732</v>
      </c>
      <c r="F51" s="93" t="s">
        <v>1165</v>
      </c>
      <c r="G51" s="93" t="s">
        <v>1166</v>
      </c>
      <c r="H51" s="93">
        <v>2</v>
      </c>
      <c r="I51" s="93">
        <v>4</v>
      </c>
      <c r="J51" s="93">
        <v>1</v>
      </c>
      <c r="K51" s="109">
        <v>46203</v>
      </c>
      <c r="L51" s="93" t="s">
        <v>1166</v>
      </c>
      <c r="M51" s="111" t="s">
        <v>756</v>
      </c>
      <c r="N51" s="93" t="str">
        <f t="shared" si="2"/>
        <v>Verde</v>
      </c>
      <c r="O51" s="93" t="s">
        <v>512</v>
      </c>
      <c r="P51" s="93" t="s">
        <v>766</v>
      </c>
      <c r="Q51" s="93" t="s">
        <v>766</v>
      </c>
      <c r="R51" s="111" t="s">
        <v>1167</v>
      </c>
      <c r="S51" s="93" t="str">
        <f t="shared" si="3"/>
        <v>2026Q2|NFR-02-K2</v>
      </c>
      <c r="T51" s="93" t="s">
        <v>691</v>
      </c>
    </row>
    <row r="52" spans="1:20" ht="29.15" x14ac:dyDescent="0.4">
      <c r="A52" s="93" t="s">
        <v>566</v>
      </c>
      <c r="B52" s="93" t="s">
        <v>1168</v>
      </c>
      <c r="C52" s="93" t="s">
        <v>520</v>
      </c>
      <c r="D52" s="111" t="s">
        <v>1169</v>
      </c>
      <c r="E52" s="93" t="s">
        <v>732</v>
      </c>
      <c r="F52" s="93" t="s">
        <v>1170</v>
      </c>
      <c r="G52" s="93" t="s">
        <v>1171</v>
      </c>
      <c r="H52" s="93">
        <v>1.5</v>
      </c>
      <c r="I52" s="93">
        <v>3</v>
      </c>
      <c r="J52" s="93">
        <v>0.8</v>
      </c>
      <c r="K52" s="109">
        <v>46203</v>
      </c>
      <c r="L52" s="93" t="s">
        <v>1171</v>
      </c>
      <c r="M52" s="111" t="s">
        <v>756</v>
      </c>
      <c r="N52" s="93" t="str">
        <f t="shared" si="2"/>
        <v>Verde</v>
      </c>
      <c r="O52" s="93" t="s">
        <v>512</v>
      </c>
      <c r="P52" s="93" t="s">
        <v>766</v>
      </c>
      <c r="Q52" s="93" t="s">
        <v>766</v>
      </c>
      <c r="R52" s="111" t="s">
        <v>1172</v>
      </c>
      <c r="S52" s="93" t="str">
        <f t="shared" si="3"/>
        <v>2026Q2|NFR-03-K1</v>
      </c>
      <c r="T52" s="93" t="s">
        <v>691</v>
      </c>
    </row>
    <row r="53" spans="1:20" ht="29.15" x14ac:dyDescent="0.4">
      <c r="A53" s="93" t="s">
        <v>566</v>
      </c>
      <c r="B53" s="93" t="s">
        <v>1173</v>
      </c>
      <c r="C53" s="93" t="s">
        <v>520</v>
      </c>
      <c r="D53" s="111" t="s">
        <v>1174</v>
      </c>
      <c r="E53" s="93" t="s">
        <v>1154</v>
      </c>
      <c r="F53" s="93" t="s">
        <v>1160</v>
      </c>
      <c r="G53" s="93" t="s">
        <v>1175</v>
      </c>
      <c r="H53" s="93">
        <v>20</v>
      </c>
      <c r="I53" s="93">
        <v>40</v>
      </c>
      <c r="J53" s="93"/>
      <c r="K53" s="109"/>
      <c r="L53" s="93"/>
      <c r="M53" s="111" t="s">
        <v>1225</v>
      </c>
      <c r="N53" s="93" t="str">
        <f t="shared" si="2"/>
        <v>Non rilevato</v>
      </c>
      <c r="O53" s="93" t="s">
        <v>512</v>
      </c>
      <c r="P53" s="93" t="s">
        <v>766</v>
      </c>
      <c r="Q53" s="93" t="s">
        <v>766</v>
      </c>
      <c r="R53" s="111" t="s">
        <v>1176</v>
      </c>
      <c r="S53" s="93" t="str">
        <f t="shared" si="3"/>
        <v>2026Q2|NFR-03-K2</v>
      </c>
      <c r="T53" s="93" t="s">
        <v>691</v>
      </c>
    </row>
    <row r="54" spans="1:20" ht="29.15" x14ac:dyDescent="0.4">
      <c r="A54" s="93" t="s">
        <v>566</v>
      </c>
      <c r="B54" s="93" t="s">
        <v>1177</v>
      </c>
      <c r="C54" s="93" t="s">
        <v>526</v>
      </c>
      <c r="D54" s="111" t="s">
        <v>1178</v>
      </c>
      <c r="E54" s="93" t="s">
        <v>1154</v>
      </c>
      <c r="F54" s="93" t="s">
        <v>1165</v>
      </c>
      <c r="G54" s="93" t="s">
        <v>1179</v>
      </c>
      <c r="H54" s="93">
        <v>1</v>
      </c>
      <c r="I54" s="93">
        <v>3</v>
      </c>
      <c r="J54" s="93">
        <v>2</v>
      </c>
      <c r="K54" s="109">
        <v>46203</v>
      </c>
      <c r="L54" s="93" t="s">
        <v>1179</v>
      </c>
      <c r="M54" s="111" t="s">
        <v>756</v>
      </c>
      <c r="N54" s="93" t="str">
        <f t="shared" si="2"/>
        <v>Ambra</v>
      </c>
      <c r="O54" s="93" t="s">
        <v>512</v>
      </c>
      <c r="P54" s="93" t="s">
        <v>766</v>
      </c>
      <c r="Q54" s="93" t="s">
        <v>766</v>
      </c>
      <c r="R54" s="111" t="s">
        <v>1180</v>
      </c>
      <c r="S54" s="93" t="str">
        <f t="shared" si="3"/>
        <v>2026Q2|NFR-04-K1</v>
      </c>
      <c r="T54" s="93" t="s">
        <v>691</v>
      </c>
    </row>
    <row r="55" spans="1:20" ht="29.15" x14ac:dyDescent="0.4">
      <c r="A55" s="93" t="s">
        <v>566</v>
      </c>
      <c r="B55" s="93" t="s">
        <v>1181</v>
      </c>
      <c r="C55" s="93" t="s">
        <v>526</v>
      </c>
      <c r="D55" s="111" t="s">
        <v>1182</v>
      </c>
      <c r="E55" s="93" t="s">
        <v>732</v>
      </c>
      <c r="F55" s="93" t="s">
        <v>1183</v>
      </c>
      <c r="G55" s="93" t="s">
        <v>1184</v>
      </c>
      <c r="H55" s="93">
        <v>2</v>
      </c>
      <c r="I55" s="93">
        <v>5</v>
      </c>
      <c r="J55" s="93">
        <v>3</v>
      </c>
      <c r="K55" s="109">
        <v>46203</v>
      </c>
      <c r="L55" s="93" t="s">
        <v>1184</v>
      </c>
      <c r="M55" s="111" t="s">
        <v>756</v>
      </c>
      <c r="N55" s="93" t="str">
        <f t="shared" si="2"/>
        <v>Ambra</v>
      </c>
      <c r="O55" s="93" t="s">
        <v>512</v>
      </c>
      <c r="P55" s="93" t="s">
        <v>766</v>
      </c>
      <c r="Q55" s="93" t="s">
        <v>766</v>
      </c>
      <c r="R55" s="111" t="s">
        <v>1185</v>
      </c>
      <c r="S55" s="93" t="str">
        <f t="shared" si="3"/>
        <v>2026Q2|NFR-04-K2</v>
      </c>
      <c r="T55" s="93" t="s">
        <v>691</v>
      </c>
    </row>
    <row r="56" spans="1:20" ht="29.15" x14ac:dyDescent="0.4">
      <c r="A56" s="93" t="s">
        <v>566</v>
      </c>
      <c r="B56" s="93" t="s">
        <v>1186</v>
      </c>
      <c r="C56" s="93" t="s">
        <v>530</v>
      </c>
      <c r="D56" s="111" t="s">
        <v>1187</v>
      </c>
      <c r="E56" s="93" t="s">
        <v>732</v>
      </c>
      <c r="F56" s="93" t="s">
        <v>1165</v>
      </c>
      <c r="G56" s="93" t="s">
        <v>1188</v>
      </c>
      <c r="H56" s="93">
        <v>3</v>
      </c>
      <c r="I56" s="93">
        <v>6</v>
      </c>
      <c r="J56" s="93">
        <v>7</v>
      </c>
      <c r="K56" s="109">
        <v>46203</v>
      </c>
      <c r="L56" s="93" t="s">
        <v>1188</v>
      </c>
      <c r="M56" s="111" t="s">
        <v>756</v>
      </c>
      <c r="N56" s="93" t="str">
        <f t="shared" si="2"/>
        <v>Rosso</v>
      </c>
      <c r="O56" s="93" t="s">
        <v>512</v>
      </c>
      <c r="P56" s="93" t="s">
        <v>766</v>
      </c>
      <c r="Q56" s="93" t="s">
        <v>766</v>
      </c>
      <c r="R56" s="111" t="s">
        <v>1189</v>
      </c>
      <c r="S56" s="93" t="str">
        <f t="shared" si="3"/>
        <v>2026Q2|NFR-05-K2</v>
      </c>
      <c r="T56" s="93" t="s">
        <v>691</v>
      </c>
    </row>
    <row r="57" spans="1:20" ht="29.15" x14ac:dyDescent="0.4">
      <c r="A57" s="93" t="s">
        <v>566</v>
      </c>
      <c r="B57" s="93" t="s">
        <v>1190</v>
      </c>
      <c r="C57" s="93" t="s">
        <v>530</v>
      </c>
      <c r="D57" s="111" t="s">
        <v>1191</v>
      </c>
      <c r="E57" s="93" t="s">
        <v>1154</v>
      </c>
      <c r="F57" s="93" t="s">
        <v>1160</v>
      </c>
      <c r="G57" s="93" t="s">
        <v>1192</v>
      </c>
      <c r="H57" s="93">
        <v>30</v>
      </c>
      <c r="I57" s="93">
        <v>60</v>
      </c>
      <c r="J57" s="93">
        <v>25</v>
      </c>
      <c r="K57" s="109">
        <v>46203</v>
      </c>
      <c r="L57" s="93" t="s">
        <v>1192</v>
      </c>
      <c r="M57" s="111" t="s">
        <v>756</v>
      </c>
      <c r="N57" s="93" t="str">
        <f t="shared" si="2"/>
        <v>Verde</v>
      </c>
      <c r="O57" s="93" t="s">
        <v>512</v>
      </c>
      <c r="P57" s="93" t="s">
        <v>766</v>
      </c>
      <c r="Q57" s="93" t="s">
        <v>766</v>
      </c>
      <c r="R57" s="111" t="s">
        <v>1193</v>
      </c>
      <c r="S57" s="93" t="str">
        <f t="shared" si="3"/>
        <v>2026Q2|NFR-05-K3</v>
      </c>
      <c r="T57" s="93" t="s">
        <v>691</v>
      </c>
    </row>
    <row r="58" spans="1:20" ht="29.15" x14ac:dyDescent="0.4">
      <c r="A58" s="93" t="s">
        <v>566</v>
      </c>
      <c r="B58" s="93" t="s">
        <v>1226</v>
      </c>
      <c r="C58" s="93" t="s">
        <v>535</v>
      </c>
      <c r="D58" s="111" t="s">
        <v>1227</v>
      </c>
      <c r="E58" s="93" t="s">
        <v>732</v>
      </c>
      <c r="F58" s="93" t="s">
        <v>1202</v>
      </c>
      <c r="G58" s="93" t="s">
        <v>1228</v>
      </c>
      <c r="H58" s="93">
        <v>10</v>
      </c>
      <c r="I58" s="93">
        <v>30</v>
      </c>
      <c r="J58" s="93">
        <v>14</v>
      </c>
      <c r="K58" s="109">
        <v>46203</v>
      </c>
      <c r="L58" s="93" t="s">
        <v>1228</v>
      </c>
      <c r="M58" s="111" t="s">
        <v>756</v>
      </c>
      <c r="N58" s="93" t="str">
        <f t="shared" si="2"/>
        <v>Ambra</v>
      </c>
      <c r="O58" s="93" t="s">
        <v>512</v>
      </c>
      <c r="P58" s="93" t="s">
        <v>1051</v>
      </c>
      <c r="Q58" s="93" t="s">
        <v>1051</v>
      </c>
      <c r="R58" s="111" t="s">
        <v>1229</v>
      </c>
      <c r="S58" s="93" t="str">
        <f t="shared" si="3"/>
        <v>2026Q2|NFR-06-K1</v>
      </c>
      <c r="T58" s="93" t="s">
        <v>691</v>
      </c>
    </row>
    <row r="59" spans="1:20" ht="29.15" x14ac:dyDescent="0.4">
      <c r="A59" s="93" t="s">
        <v>566</v>
      </c>
      <c r="B59" s="93" t="s">
        <v>1230</v>
      </c>
      <c r="C59" s="93" t="s">
        <v>535</v>
      </c>
      <c r="D59" s="111" t="s">
        <v>1231</v>
      </c>
      <c r="E59" s="93" t="s">
        <v>1154</v>
      </c>
      <c r="F59" s="93" t="s">
        <v>1160</v>
      </c>
      <c r="G59" s="93" t="s">
        <v>1232</v>
      </c>
      <c r="H59" s="93">
        <v>20</v>
      </c>
      <c r="I59" s="93">
        <v>40</v>
      </c>
      <c r="J59" s="93">
        <v>35</v>
      </c>
      <c r="K59" s="109">
        <v>46203</v>
      </c>
      <c r="L59" s="93" t="s">
        <v>1232</v>
      </c>
      <c r="M59" s="111" t="s">
        <v>756</v>
      </c>
      <c r="N59" s="93" t="str">
        <f t="shared" si="2"/>
        <v>Ambra</v>
      </c>
      <c r="O59" s="93" t="s">
        <v>512</v>
      </c>
      <c r="P59" s="93" t="s">
        <v>1051</v>
      </c>
      <c r="Q59" s="93" t="s">
        <v>1051</v>
      </c>
      <c r="R59" s="111" t="s">
        <v>1233</v>
      </c>
      <c r="S59" s="93" t="str">
        <f t="shared" si="3"/>
        <v>2026Q2|NFR-06-K2</v>
      </c>
      <c r="T59" s="93" t="s">
        <v>869</v>
      </c>
    </row>
    <row r="60" spans="1:20" ht="29.15" x14ac:dyDescent="0.4">
      <c r="A60" s="93" t="s">
        <v>566</v>
      </c>
      <c r="B60" s="93" t="s">
        <v>1194</v>
      </c>
      <c r="C60" s="93" t="s">
        <v>541</v>
      </c>
      <c r="D60" s="111" t="s">
        <v>1195</v>
      </c>
      <c r="E60" s="93" t="s">
        <v>1154</v>
      </c>
      <c r="F60" s="93" t="s">
        <v>1165</v>
      </c>
      <c r="G60" s="93" t="s">
        <v>1161</v>
      </c>
      <c r="H60" s="93">
        <v>1</v>
      </c>
      <c r="I60" s="93">
        <v>2</v>
      </c>
      <c r="J60" s="93">
        <v>1</v>
      </c>
      <c r="K60" s="109">
        <v>46203</v>
      </c>
      <c r="L60" s="93" t="s">
        <v>1161</v>
      </c>
      <c r="M60" s="111" t="s">
        <v>756</v>
      </c>
      <c r="N60" s="93" t="str">
        <f t="shared" si="2"/>
        <v>Ambra</v>
      </c>
      <c r="O60" s="93" t="s">
        <v>512</v>
      </c>
      <c r="P60" s="93" t="s">
        <v>766</v>
      </c>
      <c r="Q60" s="93" t="s">
        <v>766</v>
      </c>
      <c r="R60" s="111" t="s">
        <v>1196</v>
      </c>
      <c r="S60" s="93" t="str">
        <f t="shared" si="3"/>
        <v>2026Q2|NFR-07-K1</v>
      </c>
      <c r="T60" s="93" t="s">
        <v>691</v>
      </c>
    </row>
    <row r="61" spans="1:20" ht="29.15" x14ac:dyDescent="0.4">
      <c r="A61" s="93" t="s">
        <v>566</v>
      </c>
      <c r="B61" s="93" t="s">
        <v>1197</v>
      </c>
      <c r="C61" s="93" t="s">
        <v>541</v>
      </c>
      <c r="D61" s="111" t="s">
        <v>1198</v>
      </c>
      <c r="E61" s="93" t="s">
        <v>732</v>
      </c>
      <c r="F61" s="93" t="s">
        <v>1155</v>
      </c>
      <c r="G61" s="93" t="s">
        <v>1166</v>
      </c>
      <c r="H61" s="93">
        <v>4</v>
      </c>
      <c r="I61" s="93">
        <v>12</v>
      </c>
      <c r="J61" s="93">
        <v>3</v>
      </c>
      <c r="K61" s="109">
        <v>46203</v>
      </c>
      <c r="L61" s="93" t="s">
        <v>1166</v>
      </c>
      <c r="M61" s="111" t="s">
        <v>756</v>
      </c>
      <c r="N61" s="93" t="str">
        <f t="shared" si="2"/>
        <v>Verde</v>
      </c>
      <c r="O61" s="93" t="s">
        <v>512</v>
      </c>
      <c r="P61" s="93" t="s">
        <v>766</v>
      </c>
      <c r="Q61" s="93" t="s">
        <v>766</v>
      </c>
      <c r="R61" s="111" t="s">
        <v>1199</v>
      </c>
      <c r="S61" s="93" t="str">
        <f t="shared" si="3"/>
        <v>2026Q2|NFR-07-K2</v>
      </c>
      <c r="T61" s="93" t="s">
        <v>691</v>
      </c>
    </row>
    <row r="62" spans="1:20" ht="29.15" x14ac:dyDescent="0.4">
      <c r="A62" s="93" t="s">
        <v>566</v>
      </c>
      <c r="B62" s="93" t="s">
        <v>1200</v>
      </c>
      <c r="C62" s="93" t="s">
        <v>545</v>
      </c>
      <c r="D62" s="111" t="s">
        <v>1201</v>
      </c>
      <c r="E62" s="93" t="s">
        <v>732</v>
      </c>
      <c r="F62" s="93" t="s">
        <v>1202</v>
      </c>
      <c r="G62" s="93" t="s">
        <v>1203</v>
      </c>
      <c r="H62" s="93">
        <v>20</v>
      </c>
      <c r="I62" s="93">
        <v>50</v>
      </c>
      <c r="J62" s="93">
        <v>24</v>
      </c>
      <c r="K62" s="109">
        <v>46203</v>
      </c>
      <c r="L62" s="93" t="s">
        <v>1203</v>
      </c>
      <c r="M62" s="111" t="s">
        <v>756</v>
      </c>
      <c r="N62" s="93" t="str">
        <f t="shared" si="2"/>
        <v>Ambra</v>
      </c>
      <c r="O62" s="93" t="s">
        <v>512</v>
      </c>
      <c r="P62" s="93" t="s">
        <v>766</v>
      </c>
      <c r="Q62" s="93" t="s">
        <v>766</v>
      </c>
      <c r="R62" s="111" t="s">
        <v>1204</v>
      </c>
      <c r="S62" s="93" t="str">
        <f t="shared" si="3"/>
        <v>2026Q2|NFR-08-K1</v>
      </c>
      <c r="T62" s="93" t="s">
        <v>691</v>
      </c>
    </row>
    <row r="63" spans="1:20" ht="29.15" x14ac:dyDescent="0.4">
      <c r="A63" s="93" t="s">
        <v>566</v>
      </c>
      <c r="B63" s="93" t="s">
        <v>1205</v>
      </c>
      <c r="C63" s="93" t="s">
        <v>545</v>
      </c>
      <c r="D63" s="111" t="s">
        <v>1206</v>
      </c>
      <c r="E63" s="93" t="s">
        <v>1154</v>
      </c>
      <c r="F63" s="93" t="s">
        <v>1160</v>
      </c>
      <c r="G63" s="93" t="s">
        <v>1207</v>
      </c>
      <c r="H63" s="93">
        <v>5</v>
      </c>
      <c r="I63" s="93">
        <v>15</v>
      </c>
      <c r="J63" s="93">
        <v>6</v>
      </c>
      <c r="K63" s="109">
        <v>46203</v>
      </c>
      <c r="L63" s="93" t="s">
        <v>1207</v>
      </c>
      <c r="M63" s="111" t="s">
        <v>756</v>
      </c>
      <c r="N63" s="93" t="str">
        <f t="shared" si="2"/>
        <v>Ambra</v>
      </c>
      <c r="O63" s="93" t="s">
        <v>512</v>
      </c>
      <c r="P63" s="93" t="s">
        <v>766</v>
      </c>
      <c r="Q63" s="93" t="s">
        <v>766</v>
      </c>
      <c r="R63" s="111" t="s">
        <v>1208</v>
      </c>
      <c r="S63" s="93" t="str">
        <f t="shared" si="3"/>
        <v>2026Q2|NFR-08-K2</v>
      </c>
      <c r="T63" s="93" t="s">
        <v>691</v>
      </c>
    </row>
    <row r="64" spans="1:20" ht="29.15" x14ac:dyDescent="0.4">
      <c r="A64" s="93" t="s">
        <v>566</v>
      </c>
      <c r="B64" s="93" t="s">
        <v>1234</v>
      </c>
      <c r="C64" s="93" t="s">
        <v>550</v>
      </c>
      <c r="D64" s="111" t="s">
        <v>1235</v>
      </c>
      <c r="E64" s="93" t="s">
        <v>732</v>
      </c>
      <c r="F64" s="93" t="s">
        <v>735</v>
      </c>
      <c r="G64" s="93" t="s">
        <v>1236</v>
      </c>
      <c r="H64" s="93">
        <v>2</v>
      </c>
      <c r="I64" s="93">
        <v>5</v>
      </c>
      <c r="J64" s="93">
        <v>3.8</v>
      </c>
      <c r="K64" s="109">
        <v>46203</v>
      </c>
      <c r="L64" s="93" t="s">
        <v>1236</v>
      </c>
      <c r="M64" s="111" t="s">
        <v>756</v>
      </c>
      <c r="N64" s="93" t="str">
        <f t="shared" si="2"/>
        <v>Ambra</v>
      </c>
      <c r="O64" s="93" t="s">
        <v>512</v>
      </c>
      <c r="P64" s="93" t="s">
        <v>1051</v>
      </c>
      <c r="Q64" s="93" t="s">
        <v>1051</v>
      </c>
      <c r="R64" s="111" t="s">
        <v>1237</v>
      </c>
      <c r="S64" s="93" t="str">
        <f t="shared" si="3"/>
        <v>2026Q2|NFR-09-K1</v>
      </c>
      <c r="T64" s="93" t="s">
        <v>691</v>
      </c>
    </row>
    <row r="65" spans="1:20" ht="29.15" x14ac:dyDescent="0.4">
      <c r="A65" s="93" t="s">
        <v>566</v>
      </c>
      <c r="B65" s="93" t="s">
        <v>1238</v>
      </c>
      <c r="C65" s="93" t="s">
        <v>550</v>
      </c>
      <c r="D65" s="111" t="s">
        <v>1239</v>
      </c>
      <c r="E65" s="93" t="s">
        <v>1154</v>
      </c>
      <c r="F65" s="93" t="s">
        <v>1160</v>
      </c>
      <c r="G65" s="93" t="s">
        <v>1240</v>
      </c>
      <c r="H65" s="93">
        <v>5</v>
      </c>
      <c r="I65" s="93">
        <v>15</v>
      </c>
      <c r="J65" s="93">
        <v>11</v>
      </c>
      <c r="K65" s="109">
        <v>46203</v>
      </c>
      <c r="L65" s="93" t="s">
        <v>1240</v>
      </c>
      <c r="M65" s="111" t="s">
        <v>756</v>
      </c>
      <c r="N65" s="93" t="str">
        <f t="shared" si="2"/>
        <v>Ambra</v>
      </c>
      <c r="O65" s="93" t="s">
        <v>512</v>
      </c>
      <c r="P65" s="93" t="s">
        <v>1051</v>
      </c>
      <c r="Q65" s="93" t="s">
        <v>1051</v>
      </c>
      <c r="R65" s="111" t="s">
        <v>1241</v>
      </c>
      <c r="S65" s="93" t="str">
        <f t="shared" si="3"/>
        <v>2026Q2|NFR-09-K2</v>
      </c>
      <c r="T65" s="93" t="s">
        <v>691</v>
      </c>
    </row>
    <row r="66" spans="1:20" ht="29.15" x14ac:dyDescent="0.4">
      <c r="A66" s="93" t="s">
        <v>566</v>
      </c>
      <c r="B66" s="93" t="s">
        <v>1242</v>
      </c>
      <c r="C66" s="93" t="s">
        <v>555</v>
      </c>
      <c r="D66" s="111" t="s">
        <v>1243</v>
      </c>
      <c r="E66" s="93" t="s">
        <v>732</v>
      </c>
      <c r="F66" s="93" t="s">
        <v>1170</v>
      </c>
      <c r="G66" s="93" t="s">
        <v>1244</v>
      </c>
      <c r="H66" s="93"/>
      <c r="I66" s="93"/>
      <c r="J66" s="93">
        <v>1.4</v>
      </c>
      <c r="K66" s="109">
        <v>46203</v>
      </c>
      <c r="L66" s="93" t="s">
        <v>1244</v>
      </c>
      <c r="M66" s="111" t="s">
        <v>756</v>
      </c>
      <c r="N66" s="93" t="str">
        <f t="shared" si="2"/>
        <v>Soglie da definire</v>
      </c>
      <c r="O66" s="93" t="s">
        <v>512</v>
      </c>
      <c r="P66" s="93" t="s">
        <v>1051</v>
      </c>
      <c r="Q66" s="93" t="s">
        <v>1051</v>
      </c>
      <c r="R66" s="111" t="s">
        <v>1245</v>
      </c>
      <c r="S66" s="93" t="str">
        <f t="shared" si="3"/>
        <v>2026Q2|NFR-10-K1</v>
      </c>
      <c r="T66" s="93" t="s">
        <v>691</v>
      </c>
    </row>
    <row r="67" spans="1:20" ht="29.15" x14ac:dyDescent="0.4">
      <c r="A67" s="93" t="s">
        <v>566</v>
      </c>
      <c r="B67" s="93" t="s">
        <v>1246</v>
      </c>
      <c r="C67" s="93" t="s">
        <v>555</v>
      </c>
      <c r="D67" s="111" t="s">
        <v>1247</v>
      </c>
      <c r="E67" s="93" t="s">
        <v>1154</v>
      </c>
      <c r="F67" s="93" t="s">
        <v>1160</v>
      </c>
      <c r="G67" s="93" t="s">
        <v>1248</v>
      </c>
      <c r="H67" s="93">
        <v>20</v>
      </c>
      <c r="I67" s="93">
        <v>50</v>
      </c>
      <c r="J67" s="93">
        <v>60</v>
      </c>
      <c r="K67" s="109">
        <v>46203</v>
      </c>
      <c r="L67" s="93" t="s">
        <v>1248</v>
      </c>
      <c r="M67" s="111" t="s">
        <v>756</v>
      </c>
      <c r="N67" s="93" t="str">
        <f t="shared" si="2"/>
        <v>Rosso</v>
      </c>
      <c r="O67" s="93" t="s">
        <v>512</v>
      </c>
      <c r="P67" s="93" t="s">
        <v>1051</v>
      </c>
      <c r="Q67" s="93" t="s">
        <v>1051</v>
      </c>
      <c r="R67" s="111" t="s">
        <v>1249</v>
      </c>
      <c r="S67" s="93" t="str">
        <f t="shared" si="3"/>
        <v>2026Q2|NFR-10-K3</v>
      </c>
      <c r="T67" s="93" t="s">
        <v>691</v>
      </c>
    </row>
    <row r="68" spans="1:20" ht="29.15" x14ac:dyDescent="0.4">
      <c r="A68" s="93" t="s">
        <v>566</v>
      </c>
      <c r="B68" s="93" t="s">
        <v>1209</v>
      </c>
      <c r="C68" s="93" t="s">
        <v>562</v>
      </c>
      <c r="D68" s="111" t="s">
        <v>1210</v>
      </c>
      <c r="E68" s="93" t="s">
        <v>1154</v>
      </c>
      <c r="F68" s="93" t="s">
        <v>1165</v>
      </c>
      <c r="G68" s="93" t="s">
        <v>1211</v>
      </c>
      <c r="H68" s="93">
        <v>3</v>
      </c>
      <c r="I68" s="93">
        <v>8</v>
      </c>
      <c r="J68" s="93">
        <v>7</v>
      </c>
      <c r="K68" s="109">
        <v>46203</v>
      </c>
      <c r="L68" s="93" t="s">
        <v>1211</v>
      </c>
      <c r="M68" s="111" t="s">
        <v>756</v>
      </c>
      <c r="N68" s="93" t="str">
        <f t="shared" si="2"/>
        <v>Ambra</v>
      </c>
      <c r="O68" s="93" t="s">
        <v>512</v>
      </c>
      <c r="P68" s="93" t="s">
        <v>766</v>
      </c>
      <c r="Q68" s="93" t="s">
        <v>766</v>
      </c>
      <c r="R68" s="111" t="s">
        <v>1212</v>
      </c>
      <c r="S68" s="93" t="str">
        <f t="shared" si="3"/>
        <v>2026Q2|NFR-11-K1</v>
      </c>
      <c r="T68" s="93" t="s">
        <v>691</v>
      </c>
    </row>
    <row r="69" spans="1:20" ht="29.15" x14ac:dyDescent="0.4">
      <c r="A69" s="93" t="s">
        <v>566</v>
      </c>
      <c r="B69" s="93" t="s">
        <v>1213</v>
      </c>
      <c r="C69" s="93" t="s">
        <v>562</v>
      </c>
      <c r="D69" s="111" t="s">
        <v>1214</v>
      </c>
      <c r="E69" s="93" t="s">
        <v>732</v>
      </c>
      <c r="F69" s="93" t="s">
        <v>1165</v>
      </c>
      <c r="G69" s="93" t="s">
        <v>1215</v>
      </c>
      <c r="H69" s="93">
        <v>2</v>
      </c>
      <c r="I69" s="93">
        <v>6</v>
      </c>
      <c r="J69" s="93">
        <v>5</v>
      </c>
      <c r="K69" s="109">
        <v>46203</v>
      </c>
      <c r="L69" s="93" t="s">
        <v>1215</v>
      </c>
      <c r="M69" s="111" t="s">
        <v>756</v>
      </c>
      <c r="N69" s="93" t="str">
        <f t="shared" si="2"/>
        <v>Ambra</v>
      </c>
      <c r="O69" s="93" t="s">
        <v>512</v>
      </c>
      <c r="P69" s="93" t="s">
        <v>766</v>
      </c>
      <c r="Q69" s="93" t="s">
        <v>766</v>
      </c>
      <c r="R69" s="111" t="s">
        <v>1216</v>
      </c>
      <c r="S69" s="93" t="str">
        <f t="shared" si="3"/>
        <v>2026Q2|NFR-11-K2</v>
      </c>
      <c r="T69" s="93" t="s">
        <v>691</v>
      </c>
    </row>
    <row r="70" spans="1:20" ht="29.15" x14ac:dyDescent="0.4">
      <c r="A70" s="93" t="s">
        <v>566</v>
      </c>
      <c r="B70" s="93" t="s">
        <v>1217</v>
      </c>
      <c r="C70" s="93" t="s">
        <v>569</v>
      </c>
      <c r="D70" s="111" t="s">
        <v>1218</v>
      </c>
      <c r="E70" s="93" t="s">
        <v>732</v>
      </c>
      <c r="F70" s="93" t="s">
        <v>1165</v>
      </c>
      <c r="G70" s="93" t="s">
        <v>1219</v>
      </c>
      <c r="H70" s="93">
        <v>10</v>
      </c>
      <c r="I70" s="93">
        <v>30</v>
      </c>
      <c r="J70" s="93">
        <v>14</v>
      </c>
      <c r="K70" s="109">
        <v>46203</v>
      </c>
      <c r="L70" s="93" t="s">
        <v>1219</v>
      </c>
      <c r="M70" s="111" t="s">
        <v>756</v>
      </c>
      <c r="N70" s="93" t="str">
        <f t="shared" si="2"/>
        <v>Ambra</v>
      </c>
      <c r="O70" s="93" t="s">
        <v>512</v>
      </c>
      <c r="P70" s="93" t="s">
        <v>766</v>
      </c>
      <c r="Q70" s="93" t="s">
        <v>766</v>
      </c>
      <c r="R70" s="111" t="s">
        <v>1220</v>
      </c>
      <c r="S70" s="93" t="str">
        <f t="shared" si="3"/>
        <v>2026Q2|NFR-12-K1</v>
      </c>
      <c r="T70" s="93" t="s">
        <v>691</v>
      </c>
    </row>
    <row r="71" spans="1:20" ht="29.15" x14ac:dyDescent="0.4">
      <c r="A71" s="93" t="s">
        <v>566</v>
      </c>
      <c r="B71" s="93" t="s">
        <v>1221</v>
      </c>
      <c r="C71" s="93" t="s">
        <v>569</v>
      </c>
      <c r="D71" s="111" t="s">
        <v>1222</v>
      </c>
      <c r="E71" s="93" t="s">
        <v>1154</v>
      </c>
      <c r="F71" s="93" t="s">
        <v>1155</v>
      </c>
      <c r="G71" s="93" t="s">
        <v>1223</v>
      </c>
      <c r="H71" s="93">
        <v>4</v>
      </c>
      <c r="I71" s="93">
        <v>12</v>
      </c>
      <c r="J71" s="93">
        <v>5</v>
      </c>
      <c r="K71" s="109">
        <v>46203</v>
      </c>
      <c r="L71" s="93" t="s">
        <v>1223</v>
      </c>
      <c r="M71" s="111" t="s">
        <v>756</v>
      </c>
      <c r="N71" s="93" t="str">
        <f t="shared" si="2"/>
        <v>Ambra</v>
      </c>
      <c r="O71" s="93" t="s">
        <v>512</v>
      </c>
      <c r="P71" s="93" t="s">
        <v>766</v>
      </c>
      <c r="Q71" s="93" t="s">
        <v>766</v>
      </c>
      <c r="R71" s="111" t="s">
        <v>1224</v>
      </c>
      <c r="S71" s="93" t="str">
        <f t="shared" si="3"/>
        <v>2026Q2|NFR-12-K3</v>
      </c>
      <c r="T71" s="93" t="s">
        <v>691</v>
      </c>
    </row>
    <row r="72" spans="1:20" ht="29.15" x14ac:dyDescent="0.4">
      <c r="A72" s="183" t="s">
        <v>1361</v>
      </c>
      <c r="B72" s="183" t="s">
        <v>410</v>
      </c>
      <c r="C72" s="183" t="s">
        <v>508</v>
      </c>
      <c r="D72" s="184" t="s">
        <v>1150</v>
      </c>
      <c r="E72" s="183" t="s">
        <v>732</v>
      </c>
      <c r="F72" s="183" t="s">
        <v>735</v>
      </c>
      <c r="G72" s="183" t="s">
        <v>738</v>
      </c>
      <c r="H72" s="93">
        <v>3</v>
      </c>
      <c r="I72" s="93">
        <v>6</v>
      </c>
      <c r="J72" s="93">
        <v>5.0999999999999996</v>
      </c>
      <c r="K72" s="109">
        <v>46295</v>
      </c>
      <c r="L72" s="183" t="s">
        <v>738</v>
      </c>
      <c r="M72" s="184" t="s">
        <v>1362</v>
      </c>
      <c r="N72" s="93" t="str">
        <f>IF(OR(H72="",I72=""),"Soglie da definire",IF(I72&lt;H72,"SOGLIE INVERTITE — correggere",IF(J72="","Non rilevato",IF(J72&gt;=I72,"Rosso",IF(J72&gt;=H72,"Ambra","Verde")))))</f>
        <v>Ambra</v>
      </c>
      <c r="O72" s="183" t="s">
        <v>512</v>
      </c>
      <c r="P72" s="183" t="s">
        <v>766</v>
      </c>
      <c r="Q72" s="183" t="s">
        <v>1361</v>
      </c>
      <c r="R72" s="184" t="s">
        <v>1363</v>
      </c>
      <c r="S72" s="93" t="str">
        <f>A72&amp;"|"&amp;B72</f>
        <v>2026Q3|NFR-01-K1</v>
      </c>
      <c r="T72" s="183" t="s">
        <v>1364</v>
      </c>
    </row>
    <row r="73" spans="1:20" ht="29.15" x14ac:dyDescent="0.4">
      <c r="A73" s="183" t="s">
        <v>1361</v>
      </c>
      <c r="B73" s="183" t="s">
        <v>1152</v>
      </c>
      <c r="C73" s="183" t="s">
        <v>508</v>
      </c>
      <c r="D73" s="184" t="s">
        <v>1153</v>
      </c>
      <c r="E73" s="183" t="s">
        <v>1154</v>
      </c>
      <c r="F73" s="183" t="s">
        <v>1155</v>
      </c>
      <c r="G73" s="183" t="s">
        <v>1156</v>
      </c>
      <c r="H73" s="93">
        <v>4</v>
      </c>
      <c r="I73" s="93">
        <v>12</v>
      </c>
      <c r="J73" s="93">
        <v>3</v>
      </c>
      <c r="K73" s="109">
        <v>46295</v>
      </c>
      <c r="L73" s="183" t="s">
        <v>1156</v>
      </c>
      <c r="M73" s="184" t="s">
        <v>1365</v>
      </c>
      <c r="N73" s="93" t="str">
        <f>IF(OR(H73="",I73=""),"Soglie da definire",IF(I73&lt;H73,"SOGLIE INVERTITE — correggere",IF(J73="","Non rilevato",IF(J73&gt;=I73,"Rosso",IF(J73&gt;=H73,"Ambra","Verde")))))</f>
        <v>Verde</v>
      </c>
      <c r="O73" s="183" t="s">
        <v>512</v>
      </c>
      <c r="P73" s="183" t="s">
        <v>766</v>
      </c>
      <c r="Q73" s="183" t="s">
        <v>1361</v>
      </c>
      <c r="R73" s="184" t="s">
        <v>1366</v>
      </c>
      <c r="S73" s="93" t="str">
        <f>A73&amp;"|"&amp;B73</f>
        <v>2026Q3|NFR-01-K3</v>
      </c>
      <c r="T73" s="183" t="s">
        <v>1364</v>
      </c>
    </row>
    <row r="74" spans="1:20" ht="29.15" x14ac:dyDescent="0.4">
      <c r="A74" s="183" t="s">
        <v>1361</v>
      </c>
      <c r="B74" s="183" t="s">
        <v>1158</v>
      </c>
      <c r="C74" s="183" t="s">
        <v>514</v>
      </c>
      <c r="D74" s="184" t="s">
        <v>1159</v>
      </c>
      <c r="E74" s="183" t="s">
        <v>1154</v>
      </c>
      <c r="F74" s="183" t="s">
        <v>1160</v>
      </c>
      <c r="G74" s="183" t="s">
        <v>1161</v>
      </c>
      <c r="H74" s="93">
        <v>60</v>
      </c>
      <c r="I74" s="93">
        <v>75</v>
      </c>
      <c r="J74" s="93">
        <v>72</v>
      </c>
      <c r="K74" s="109">
        <v>46295</v>
      </c>
      <c r="L74" s="183" t="s">
        <v>1161</v>
      </c>
      <c r="M74" s="184" t="s">
        <v>1367</v>
      </c>
      <c r="N74" s="93" t="str">
        <f>IF(OR(H74="",I74=""),"Soglie da definire",IF(I74&lt;H74,"SOGLIE INVERTITE — correggere",IF(J74="","Non rilevato",IF(J74&gt;=I74,"Rosso",IF(J74&gt;=H74,"Ambra","Verde")))))</f>
        <v>Ambra</v>
      </c>
      <c r="O74" s="183" t="s">
        <v>512</v>
      </c>
      <c r="P74" s="183" t="s">
        <v>766</v>
      </c>
      <c r="Q74" s="183" t="s">
        <v>1361</v>
      </c>
      <c r="R74" s="184" t="s">
        <v>1368</v>
      </c>
      <c r="S74" s="93" t="str">
        <f>A74&amp;"|"&amp;B74</f>
        <v>2026Q3|NFR-02-K1</v>
      </c>
      <c r="T74" s="183" t="s">
        <v>1364</v>
      </c>
    </row>
    <row r="75" spans="1:20" ht="29.15" x14ac:dyDescent="0.4">
      <c r="A75" s="183" t="s">
        <v>1361</v>
      </c>
      <c r="B75" s="183" t="s">
        <v>1163</v>
      </c>
      <c r="C75" s="183" t="s">
        <v>514</v>
      </c>
      <c r="D75" s="184" t="s">
        <v>1164</v>
      </c>
      <c r="E75" s="183" t="s">
        <v>732</v>
      </c>
      <c r="F75" s="183" t="s">
        <v>1165</v>
      </c>
      <c r="G75" s="183" t="s">
        <v>1166</v>
      </c>
      <c r="H75" s="93">
        <v>2</v>
      </c>
      <c r="I75" s="93">
        <v>4</v>
      </c>
      <c r="J75" s="93">
        <v>0</v>
      </c>
      <c r="K75" s="109">
        <v>46295</v>
      </c>
      <c r="L75" s="183" t="s">
        <v>1369</v>
      </c>
      <c r="M75" s="184" t="s">
        <v>1370</v>
      </c>
      <c r="N75" s="93" t="str">
        <f>IF(OR(H75="",I75=""),"Soglie da definire",IF(I75&lt;H75,"SOGLIE INVERTITE — correggere",IF(J75="","Non rilevato",IF(J75&gt;=I75,"Rosso",IF(J75&gt;=H75,"Ambra","Verde")))))</f>
        <v>Verde</v>
      </c>
      <c r="O75" s="183" t="s">
        <v>524</v>
      </c>
      <c r="P75" s="183" t="s">
        <v>766</v>
      </c>
      <c r="Q75" s="183" t="s">
        <v>766</v>
      </c>
      <c r="R75" s="184" t="s">
        <v>1167</v>
      </c>
      <c r="S75" s="93" t="str">
        <f>A75&amp;"|"&amp;B75</f>
        <v>2026Q3|NFR-02-K2</v>
      </c>
      <c r="T75" s="183" t="s">
        <v>1364</v>
      </c>
    </row>
    <row r="76" spans="1:20" ht="29.15" x14ac:dyDescent="0.4">
      <c r="A76" s="183" t="s">
        <v>1361</v>
      </c>
      <c r="B76" s="183" t="s">
        <v>1168</v>
      </c>
      <c r="C76" s="183" t="s">
        <v>520</v>
      </c>
      <c r="D76" s="184" t="s">
        <v>1169</v>
      </c>
      <c r="E76" s="183" t="s">
        <v>732</v>
      </c>
      <c r="F76" s="183" t="s">
        <v>1170</v>
      </c>
      <c r="G76" s="183" t="s">
        <v>1171</v>
      </c>
      <c r="H76" s="93">
        <v>1.5</v>
      </c>
      <c r="I76" s="93">
        <v>3</v>
      </c>
      <c r="J76" s="93">
        <v>1.9</v>
      </c>
      <c r="K76" s="109">
        <v>46295</v>
      </c>
      <c r="L76" s="183" t="s">
        <v>1171</v>
      </c>
      <c r="M76" s="184" t="s">
        <v>1371</v>
      </c>
      <c r="N76" s="93" t="str">
        <f>IF(OR(H76="",I76=""),"Soglie da definire",IF(I76&lt;H76,"SOGLIE INVERTITE — correggere",IF(J76="","Non rilevato",IF(J76&gt;=I76,"Rosso",IF(J76&gt;=H76,"Ambra","Verde")))))</f>
        <v>Ambra</v>
      </c>
      <c r="O76" s="183" t="s">
        <v>512</v>
      </c>
      <c r="P76" s="183" t="s">
        <v>766</v>
      </c>
      <c r="Q76" s="183" t="s">
        <v>1361</v>
      </c>
      <c r="R76" s="184" t="s">
        <v>1372</v>
      </c>
      <c r="S76" s="93" t="str">
        <f>A76&amp;"|"&amp;B76</f>
        <v>2026Q3|NFR-03-K1</v>
      </c>
      <c r="T76" s="183" t="s">
        <v>1364</v>
      </c>
    </row>
    <row r="77" spans="1:20" ht="29.15" x14ac:dyDescent="0.4">
      <c r="A77" s="183" t="s">
        <v>1361</v>
      </c>
      <c r="B77" s="183" t="s">
        <v>1173</v>
      </c>
      <c r="C77" s="183" t="s">
        <v>520</v>
      </c>
      <c r="D77" s="184" t="s">
        <v>1174</v>
      </c>
      <c r="E77" s="183" t="s">
        <v>1154</v>
      </c>
      <c r="F77" s="183" t="s">
        <v>1160</v>
      </c>
      <c r="G77" s="183" t="s">
        <v>1175</v>
      </c>
      <c r="H77" s="93">
        <v>20</v>
      </c>
      <c r="I77" s="93">
        <v>40</v>
      </c>
      <c r="J77" s="93"/>
      <c r="K77" s="109"/>
      <c r="L77" s="183" t="s">
        <v>1175</v>
      </c>
      <c r="M77" s="184" t="s">
        <v>1373</v>
      </c>
      <c r="N77" s="93" t="str">
        <f>IF(OR(H77="",I77=""),"Soglie da definire",IF(I77&lt;H77,"SOGLIE INVERTITE — correggere",IF(J77="","Non rilevato",IF(J77&gt;=I77,"Rosso",IF(J77&gt;=H77,"Ambra","Verde")))))</f>
        <v>Non rilevato</v>
      </c>
      <c r="O77" s="183" t="s">
        <v>512</v>
      </c>
      <c r="P77" s="183" t="s">
        <v>766</v>
      </c>
      <c r="Q77" s="183" t="s">
        <v>1361</v>
      </c>
      <c r="R77" s="184" t="s">
        <v>1374</v>
      </c>
      <c r="S77" s="93" t="str">
        <f>A77&amp;"|"&amp;B77</f>
        <v>2026Q3|NFR-03-K2</v>
      </c>
      <c r="T77" s="183" t="s">
        <v>1364</v>
      </c>
    </row>
    <row r="78" spans="1:20" ht="29.15" x14ac:dyDescent="0.4">
      <c r="A78" s="183" t="s">
        <v>1361</v>
      </c>
      <c r="B78" s="183" t="s">
        <v>1177</v>
      </c>
      <c r="C78" s="183" t="s">
        <v>526</v>
      </c>
      <c r="D78" s="184" t="s">
        <v>1178</v>
      </c>
      <c r="E78" s="183" t="s">
        <v>1154</v>
      </c>
      <c r="F78" s="183" t="s">
        <v>1165</v>
      </c>
      <c r="G78" s="183" t="s">
        <v>1179</v>
      </c>
      <c r="H78" s="93">
        <v>1</v>
      </c>
      <c r="I78" s="93">
        <v>3</v>
      </c>
      <c r="J78" s="93">
        <v>2</v>
      </c>
      <c r="K78" s="109">
        <v>46295</v>
      </c>
      <c r="L78" s="183" t="s">
        <v>1179</v>
      </c>
      <c r="M78" s="184" t="s">
        <v>1375</v>
      </c>
      <c r="N78" s="93" t="str">
        <f>IF(OR(H78="",I78=""),"Soglie da definire",IF(I78&lt;H78,"SOGLIE INVERTITE — correggere",IF(J78="","Non rilevato",IF(J78&gt;=I78,"Rosso",IF(J78&gt;=H78,"Ambra","Verde")))))</f>
        <v>Ambra</v>
      </c>
      <c r="O78" s="183" t="s">
        <v>512</v>
      </c>
      <c r="P78" s="183" t="s">
        <v>766</v>
      </c>
      <c r="Q78" s="183" t="s">
        <v>1361</v>
      </c>
      <c r="R78" s="184" t="s">
        <v>1376</v>
      </c>
      <c r="S78" s="93" t="str">
        <f>A78&amp;"|"&amp;B78</f>
        <v>2026Q3|NFR-04-K1</v>
      </c>
      <c r="T78" s="183" t="s">
        <v>1364</v>
      </c>
    </row>
    <row r="79" spans="1:20" ht="29.15" x14ac:dyDescent="0.4">
      <c r="A79" s="183" t="s">
        <v>1361</v>
      </c>
      <c r="B79" s="183" t="s">
        <v>1181</v>
      </c>
      <c r="C79" s="183" t="s">
        <v>526</v>
      </c>
      <c r="D79" s="184" t="s">
        <v>1182</v>
      </c>
      <c r="E79" s="183" t="s">
        <v>732</v>
      </c>
      <c r="F79" s="183" t="s">
        <v>1183</v>
      </c>
      <c r="G79" s="183" t="s">
        <v>1184</v>
      </c>
      <c r="H79" s="93">
        <v>2</v>
      </c>
      <c r="I79" s="93">
        <v>5</v>
      </c>
      <c r="J79" s="93">
        <v>0</v>
      </c>
      <c r="K79" s="109">
        <v>46295</v>
      </c>
      <c r="L79" s="183" t="s">
        <v>1184</v>
      </c>
      <c r="M79" s="184" t="s">
        <v>1377</v>
      </c>
      <c r="N79" s="93" t="str">
        <f>IF(OR(H79="",I79=""),"Soglie da definire",IF(I79&lt;H79,"SOGLIE INVERTITE — correggere",IF(J79="","Non rilevato",IF(J79&gt;=I79,"Rosso",IF(J79&gt;=H79,"Ambra","Verde")))))</f>
        <v>Verde</v>
      </c>
      <c r="O79" s="183" t="s">
        <v>512</v>
      </c>
      <c r="P79" s="183" t="s">
        <v>766</v>
      </c>
      <c r="Q79" s="183" t="s">
        <v>1361</v>
      </c>
      <c r="R79" s="184" t="s">
        <v>1378</v>
      </c>
      <c r="S79" s="93" t="str">
        <f>A79&amp;"|"&amp;B79</f>
        <v>2026Q3|NFR-04-K2</v>
      </c>
      <c r="T79" s="183" t="s">
        <v>1364</v>
      </c>
    </row>
    <row r="80" spans="1:20" x14ac:dyDescent="0.4">
      <c r="A80" s="183" t="s">
        <v>1361</v>
      </c>
      <c r="B80" s="183" t="s">
        <v>1186</v>
      </c>
      <c r="C80" s="183" t="s">
        <v>530</v>
      </c>
      <c r="D80" s="184" t="s">
        <v>1187</v>
      </c>
      <c r="E80" s="183" t="s">
        <v>732</v>
      </c>
      <c r="F80" s="183" t="s">
        <v>1165</v>
      </c>
      <c r="G80" s="183" t="s">
        <v>1188</v>
      </c>
      <c r="H80" s="93">
        <v>3</v>
      </c>
      <c r="I80" s="93">
        <v>6</v>
      </c>
      <c r="J80" s="93">
        <v>4</v>
      </c>
      <c r="K80" s="109">
        <v>46295</v>
      </c>
      <c r="L80" s="183" t="s">
        <v>1188</v>
      </c>
      <c r="M80" s="184" t="s">
        <v>1379</v>
      </c>
      <c r="N80" s="93" t="str">
        <f>IF(OR(H80="",I80=""),"Soglie da definire",IF(I80&lt;H80,"SOGLIE INVERTITE — correggere",IF(J80="","Non rilevato",IF(J80&gt;=I80,"Rosso",IF(J80&gt;=H80,"Ambra","Verde")))))</f>
        <v>Ambra</v>
      </c>
      <c r="O80" s="183" t="s">
        <v>512</v>
      </c>
      <c r="P80" s="183" t="s">
        <v>766</v>
      </c>
      <c r="Q80" s="183" t="s">
        <v>1361</v>
      </c>
      <c r="R80" s="184" t="s">
        <v>1380</v>
      </c>
      <c r="S80" s="93" t="str">
        <f>A80&amp;"|"&amp;B80</f>
        <v>2026Q3|NFR-05-K2</v>
      </c>
      <c r="T80" s="183" t="s">
        <v>1364</v>
      </c>
    </row>
    <row r="81" spans="1:20" ht="29.15" x14ac:dyDescent="0.4">
      <c r="A81" s="183" t="s">
        <v>1361</v>
      </c>
      <c r="B81" s="183" t="s">
        <v>1190</v>
      </c>
      <c r="C81" s="183" t="s">
        <v>530</v>
      </c>
      <c r="D81" s="184" t="s">
        <v>1191</v>
      </c>
      <c r="E81" s="183" t="s">
        <v>1154</v>
      </c>
      <c r="F81" s="183" t="s">
        <v>1160</v>
      </c>
      <c r="G81" s="183" t="s">
        <v>1192</v>
      </c>
      <c r="H81" s="93">
        <v>30</v>
      </c>
      <c r="I81" s="93">
        <v>60</v>
      </c>
      <c r="J81" s="93">
        <v>18</v>
      </c>
      <c r="K81" s="109">
        <v>46295</v>
      </c>
      <c r="L81" s="183" t="s">
        <v>1192</v>
      </c>
      <c r="M81" s="184" t="s">
        <v>1381</v>
      </c>
      <c r="N81" s="93" t="str">
        <f>IF(OR(H81="",I81=""),"Soglie da definire",IF(I81&lt;H81,"SOGLIE INVERTITE — correggere",IF(J81="","Non rilevato",IF(J81&gt;=I81,"Rosso",IF(J81&gt;=H81,"Ambra","Verde")))))</f>
        <v>Verde</v>
      </c>
      <c r="O81" s="183" t="s">
        <v>512</v>
      </c>
      <c r="P81" s="183" t="s">
        <v>766</v>
      </c>
      <c r="Q81" s="183" t="s">
        <v>1361</v>
      </c>
      <c r="R81" s="184" t="s">
        <v>1382</v>
      </c>
      <c r="S81" s="93" t="str">
        <f>A81&amp;"|"&amp;B81</f>
        <v>2026Q3|NFR-05-K3</v>
      </c>
      <c r="T81" s="183" t="s">
        <v>1364</v>
      </c>
    </row>
    <row r="82" spans="1:20" ht="29.15" x14ac:dyDescent="0.4">
      <c r="A82" s="183" t="s">
        <v>1361</v>
      </c>
      <c r="B82" s="183" t="s">
        <v>1226</v>
      </c>
      <c r="C82" s="183" t="s">
        <v>535</v>
      </c>
      <c r="D82" s="184" t="s">
        <v>1227</v>
      </c>
      <c r="E82" s="183" t="s">
        <v>732</v>
      </c>
      <c r="F82" s="183" t="s">
        <v>1202</v>
      </c>
      <c r="G82" s="183" t="s">
        <v>1228</v>
      </c>
      <c r="H82" s="93">
        <v>10</v>
      </c>
      <c r="I82" s="93">
        <v>30</v>
      </c>
      <c r="J82" s="93">
        <v>6</v>
      </c>
      <c r="K82" s="109">
        <v>46295</v>
      </c>
      <c r="L82" s="183" t="s">
        <v>1228</v>
      </c>
      <c r="M82" s="184" t="s">
        <v>1383</v>
      </c>
      <c r="N82" s="93" t="str">
        <f>IF(OR(H82="",I82=""),"Soglie da definire",IF(I82&lt;H82,"SOGLIE INVERTITE — correggere",IF(J82="","Non rilevato",IF(J82&gt;=I82,"Rosso",IF(J82&gt;=H82,"Ambra","Verde")))))</f>
        <v>Verde</v>
      </c>
      <c r="O82" s="183" t="s">
        <v>512</v>
      </c>
      <c r="P82" s="183" t="s">
        <v>1051</v>
      </c>
      <c r="Q82" s="183" t="s">
        <v>1361</v>
      </c>
      <c r="R82" s="184" t="s">
        <v>1384</v>
      </c>
      <c r="S82" s="93" t="str">
        <f>A82&amp;"|"&amp;B82</f>
        <v>2026Q3|NFR-06-K1</v>
      </c>
      <c r="T82" s="183" t="s">
        <v>1364</v>
      </c>
    </row>
    <row r="83" spans="1:20" ht="29.15" x14ac:dyDescent="0.4">
      <c r="A83" s="183" t="s">
        <v>1361</v>
      </c>
      <c r="B83" s="183" t="s">
        <v>1230</v>
      </c>
      <c r="C83" s="183" t="s">
        <v>535</v>
      </c>
      <c r="D83" s="184" t="s">
        <v>1231</v>
      </c>
      <c r="E83" s="183" t="s">
        <v>1154</v>
      </c>
      <c r="F83" s="183" t="s">
        <v>1160</v>
      </c>
      <c r="G83" s="183" t="s">
        <v>1232</v>
      </c>
      <c r="H83" s="93">
        <v>20</v>
      </c>
      <c r="I83" s="93">
        <v>40</v>
      </c>
      <c r="J83" s="93">
        <v>22</v>
      </c>
      <c r="K83" s="109">
        <v>46295</v>
      </c>
      <c r="L83" s="183" t="s">
        <v>1232</v>
      </c>
      <c r="M83" s="184" t="s">
        <v>1385</v>
      </c>
      <c r="N83" s="93" t="str">
        <f>IF(OR(H83="",I83=""),"Soglie da definire",IF(I83&lt;H83,"SOGLIE INVERTITE — correggere",IF(J83="","Non rilevato",IF(J83&gt;=I83,"Rosso",IF(J83&gt;=H83,"Ambra","Verde")))))</f>
        <v>Ambra</v>
      </c>
      <c r="O83" s="183" t="s">
        <v>512</v>
      </c>
      <c r="P83" s="183" t="s">
        <v>1051</v>
      </c>
      <c r="Q83" s="183" t="s">
        <v>1361</v>
      </c>
      <c r="R83" s="184" t="s">
        <v>1386</v>
      </c>
      <c r="S83" s="93" t="str">
        <f>A83&amp;"|"&amp;B83</f>
        <v>2026Q3|NFR-06-K2</v>
      </c>
      <c r="T83" s="183" t="s">
        <v>1364</v>
      </c>
    </row>
    <row r="84" spans="1:20" ht="29.15" x14ac:dyDescent="0.4">
      <c r="A84" s="183" t="s">
        <v>1361</v>
      </c>
      <c r="B84" s="183" t="s">
        <v>1194</v>
      </c>
      <c r="C84" s="183" t="s">
        <v>541</v>
      </c>
      <c r="D84" s="184" t="s">
        <v>1195</v>
      </c>
      <c r="E84" s="183" t="s">
        <v>1154</v>
      </c>
      <c r="F84" s="183" t="s">
        <v>1165</v>
      </c>
      <c r="G84" s="183" t="s">
        <v>1161</v>
      </c>
      <c r="H84" s="93">
        <v>1</v>
      </c>
      <c r="I84" s="93">
        <v>2</v>
      </c>
      <c r="J84" s="93">
        <v>1</v>
      </c>
      <c r="K84" s="109">
        <v>46295</v>
      </c>
      <c r="L84" s="183" t="s">
        <v>1161</v>
      </c>
      <c r="M84" s="184" t="s">
        <v>1387</v>
      </c>
      <c r="N84" s="93" t="str">
        <f>IF(OR(H84="",I84=""),"Soglie da definire",IF(I84&lt;H84,"SOGLIE INVERTITE — correggere",IF(J84="","Non rilevato",IF(J84&gt;=I84,"Rosso",IF(J84&gt;=H84,"Ambra","Verde")))))</f>
        <v>Ambra</v>
      </c>
      <c r="O84" s="183" t="s">
        <v>512</v>
      </c>
      <c r="P84" s="183" t="s">
        <v>766</v>
      </c>
      <c r="Q84" s="183" t="s">
        <v>1361</v>
      </c>
      <c r="R84" s="184" t="s">
        <v>1388</v>
      </c>
      <c r="S84" s="93" t="str">
        <f>A84&amp;"|"&amp;B84</f>
        <v>2026Q3|NFR-07-K1</v>
      </c>
      <c r="T84" s="183" t="s">
        <v>1364</v>
      </c>
    </row>
    <row r="85" spans="1:20" ht="29.15" x14ac:dyDescent="0.4">
      <c r="A85" s="183" t="s">
        <v>1361</v>
      </c>
      <c r="B85" s="183" t="s">
        <v>1197</v>
      </c>
      <c r="C85" s="183" t="s">
        <v>541</v>
      </c>
      <c r="D85" s="184" t="s">
        <v>1198</v>
      </c>
      <c r="E85" s="183" t="s">
        <v>732</v>
      </c>
      <c r="F85" s="183" t="s">
        <v>1155</v>
      </c>
      <c r="G85" s="183" t="s">
        <v>1166</v>
      </c>
      <c r="H85" s="93">
        <v>4</v>
      </c>
      <c r="I85" s="93">
        <v>12</v>
      </c>
      <c r="J85" s="93">
        <v>2.5</v>
      </c>
      <c r="K85" s="109">
        <v>46295</v>
      </c>
      <c r="L85" s="183" t="s">
        <v>1166</v>
      </c>
      <c r="M85" s="184" t="s">
        <v>1387</v>
      </c>
      <c r="N85" s="93" t="str">
        <f>IF(OR(H85="",I85=""),"Soglie da definire",IF(I85&lt;H85,"SOGLIE INVERTITE — correggere",IF(J85="","Non rilevato",IF(J85&gt;=I85,"Rosso",IF(J85&gt;=H85,"Ambra","Verde")))))</f>
        <v>Verde</v>
      </c>
      <c r="O85" s="183" t="s">
        <v>512</v>
      </c>
      <c r="P85" s="183" t="s">
        <v>766</v>
      </c>
      <c r="Q85" s="183" t="s">
        <v>1361</v>
      </c>
      <c r="R85" s="184" t="s">
        <v>1388</v>
      </c>
      <c r="S85" s="93" t="str">
        <f>A85&amp;"|"&amp;B85</f>
        <v>2026Q3|NFR-07-K2</v>
      </c>
      <c r="T85" s="183" t="s">
        <v>1364</v>
      </c>
    </row>
    <row r="86" spans="1:20" ht="29.15" x14ac:dyDescent="0.4">
      <c r="A86" s="183" t="s">
        <v>1361</v>
      </c>
      <c r="B86" s="183" t="s">
        <v>1200</v>
      </c>
      <c r="C86" s="183" t="s">
        <v>545</v>
      </c>
      <c r="D86" s="184" t="s">
        <v>1201</v>
      </c>
      <c r="E86" s="183" t="s">
        <v>732</v>
      </c>
      <c r="F86" s="183" t="s">
        <v>1202</v>
      </c>
      <c r="G86" s="183" t="s">
        <v>1203</v>
      </c>
      <c r="H86" s="93">
        <v>20</v>
      </c>
      <c r="I86" s="93">
        <v>50</v>
      </c>
      <c r="J86" s="93">
        <v>22</v>
      </c>
      <c r="K86" s="109">
        <v>46295</v>
      </c>
      <c r="L86" s="183" t="s">
        <v>1203</v>
      </c>
      <c r="M86" s="184" t="s">
        <v>1387</v>
      </c>
      <c r="N86" s="93" t="str">
        <f>IF(OR(H86="",I86=""),"Soglie da definire",IF(I86&lt;H86,"SOGLIE INVERTITE — correggere",IF(J86="","Non rilevato",IF(J86&gt;=I86,"Rosso",IF(J86&gt;=H86,"Ambra","Verde")))))</f>
        <v>Ambra</v>
      </c>
      <c r="O86" s="183" t="s">
        <v>512</v>
      </c>
      <c r="P86" s="183" t="s">
        <v>766</v>
      </c>
      <c r="Q86" s="183" t="s">
        <v>1361</v>
      </c>
      <c r="R86" s="184" t="s">
        <v>1389</v>
      </c>
      <c r="S86" s="93" t="str">
        <f>A86&amp;"|"&amp;B86</f>
        <v>2026Q3|NFR-08-K1</v>
      </c>
      <c r="T86" s="183" t="s">
        <v>1364</v>
      </c>
    </row>
    <row r="87" spans="1:20" ht="29.15" x14ac:dyDescent="0.4">
      <c r="A87" s="183" t="s">
        <v>1361</v>
      </c>
      <c r="B87" s="183" t="s">
        <v>1205</v>
      </c>
      <c r="C87" s="183" t="s">
        <v>545</v>
      </c>
      <c r="D87" s="184" t="s">
        <v>1206</v>
      </c>
      <c r="E87" s="183" t="s">
        <v>1154</v>
      </c>
      <c r="F87" s="183" t="s">
        <v>1160</v>
      </c>
      <c r="G87" s="183" t="s">
        <v>1207</v>
      </c>
      <c r="H87" s="93">
        <v>5</v>
      </c>
      <c r="I87" s="93">
        <v>15</v>
      </c>
      <c r="J87" s="93">
        <v>5</v>
      </c>
      <c r="K87" s="109">
        <v>46295</v>
      </c>
      <c r="L87" s="183" t="s">
        <v>1207</v>
      </c>
      <c r="M87" s="184" t="s">
        <v>1387</v>
      </c>
      <c r="N87" s="93" t="str">
        <f>IF(OR(H87="",I87=""),"Soglie da definire",IF(I87&lt;H87,"SOGLIE INVERTITE — correggere",IF(J87="","Non rilevato",IF(J87&gt;=I87,"Rosso",IF(J87&gt;=H87,"Ambra","Verde")))))</f>
        <v>Ambra</v>
      </c>
      <c r="O87" s="183" t="s">
        <v>512</v>
      </c>
      <c r="P87" s="183" t="s">
        <v>766</v>
      </c>
      <c r="Q87" s="183" t="s">
        <v>1361</v>
      </c>
      <c r="R87" s="184" t="s">
        <v>1389</v>
      </c>
      <c r="S87" s="93" t="str">
        <f>A87&amp;"|"&amp;B87</f>
        <v>2026Q3|NFR-08-K2</v>
      </c>
      <c r="T87" s="183" t="s">
        <v>1364</v>
      </c>
    </row>
    <row r="88" spans="1:20" ht="29.15" x14ac:dyDescent="0.4">
      <c r="A88" s="183" t="s">
        <v>1361</v>
      </c>
      <c r="B88" s="183" t="s">
        <v>1234</v>
      </c>
      <c r="C88" s="183" t="s">
        <v>550</v>
      </c>
      <c r="D88" s="184" t="s">
        <v>1235</v>
      </c>
      <c r="E88" s="183" t="s">
        <v>732</v>
      </c>
      <c r="F88" s="183" t="s">
        <v>735</v>
      </c>
      <c r="G88" s="183" t="s">
        <v>1236</v>
      </c>
      <c r="H88" s="93">
        <v>2</v>
      </c>
      <c r="I88" s="93">
        <v>5</v>
      </c>
      <c r="J88" s="93">
        <v>4.2</v>
      </c>
      <c r="K88" s="109">
        <v>46295</v>
      </c>
      <c r="L88" s="183" t="s">
        <v>1236</v>
      </c>
      <c r="M88" s="184" t="s">
        <v>1387</v>
      </c>
      <c r="N88" s="93" t="str">
        <f>IF(OR(H88="",I88=""),"Soglie da definire",IF(I88&lt;H88,"SOGLIE INVERTITE — correggere",IF(J88="","Non rilevato",IF(J88&gt;=I88,"Rosso",IF(J88&gt;=H88,"Ambra","Verde")))))</f>
        <v>Ambra</v>
      </c>
      <c r="O88" s="183" t="s">
        <v>512</v>
      </c>
      <c r="P88" s="183" t="s">
        <v>1051</v>
      </c>
      <c r="Q88" s="183" t="s">
        <v>1361</v>
      </c>
      <c r="R88" s="184" t="s">
        <v>1390</v>
      </c>
      <c r="S88" s="93" t="str">
        <f>A88&amp;"|"&amp;B88</f>
        <v>2026Q3|NFR-09-K1</v>
      </c>
      <c r="T88" s="183" t="s">
        <v>1364</v>
      </c>
    </row>
    <row r="89" spans="1:20" ht="29.15" x14ac:dyDescent="0.4">
      <c r="A89" s="183" t="s">
        <v>1361</v>
      </c>
      <c r="B89" s="183" t="s">
        <v>1238</v>
      </c>
      <c r="C89" s="183" t="s">
        <v>550</v>
      </c>
      <c r="D89" s="184" t="s">
        <v>1239</v>
      </c>
      <c r="E89" s="183" t="s">
        <v>1154</v>
      </c>
      <c r="F89" s="183" t="s">
        <v>1160</v>
      </c>
      <c r="G89" s="183" t="s">
        <v>1240</v>
      </c>
      <c r="H89" s="93">
        <v>5</v>
      </c>
      <c r="I89" s="93">
        <v>15</v>
      </c>
      <c r="J89" s="93">
        <v>9</v>
      </c>
      <c r="K89" s="109">
        <v>46295</v>
      </c>
      <c r="L89" s="183" t="s">
        <v>1240</v>
      </c>
      <c r="M89" s="184" t="s">
        <v>1387</v>
      </c>
      <c r="N89" s="93" t="str">
        <f>IF(OR(H89="",I89=""),"Soglie da definire",IF(I89&lt;H89,"SOGLIE INVERTITE — correggere",IF(J89="","Non rilevato",IF(J89&gt;=I89,"Rosso",IF(J89&gt;=H89,"Ambra","Verde")))))</f>
        <v>Ambra</v>
      </c>
      <c r="O89" s="183" t="s">
        <v>512</v>
      </c>
      <c r="P89" s="183" t="s">
        <v>1051</v>
      </c>
      <c r="Q89" s="183" t="s">
        <v>1361</v>
      </c>
      <c r="R89" s="184" t="s">
        <v>1390</v>
      </c>
      <c r="S89" s="93" t="str">
        <f>A89&amp;"|"&amp;B89</f>
        <v>2026Q3|NFR-09-K2</v>
      </c>
      <c r="T89" s="183" t="s">
        <v>1364</v>
      </c>
    </row>
    <row r="90" spans="1:20" ht="29.15" x14ac:dyDescent="0.4">
      <c r="A90" s="183" t="s">
        <v>1361</v>
      </c>
      <c r="B90" s="183" t="s">
        <v>1242</v>
      </c>
      <c r="C90" s="183" t="s">
        <v>555</v>
      </c>
      <c r="D90" s="184" t="s">
        <v>1243</v>
      </c>
      <c r="E90" s="183" t="s">
        <v>732</v>
      </c>
      <c r="F90" s="183" t="s">
        <v>1170</v>
      </c>
      <c r="G90" s="183" t="s">
        <v>1244</v>
      </c>
      <c r="H90" s="93"/>
      <c r="I90" s="93"/>
      <c r="J90" s="93">
        <v>1.9</v>
      </c>
      <c r="K90" s="109">
        <v>46295</v>
      </c>
      <c r="L90" s="183" t="s">
        <v>1244</v>
      </c>
      <c r="M90" s="184" t="s">
        <v>1387</v>
      </c>
      <c r="N90" s="93" t="str">
        <f>IF(OR(H90="",I90=""),"Soglie da definire",IF(I90&lt;H90,"SOGLIE INVERTITE — correggere",IF(J90="","Non rilevato",IF(J90&gt;=I90,"Rosso",IF(J90&gt;=H90,"Ambra","Verde")))))</f>
        <v>Soglie da definire</v>
      </c>
      <c r="O90" s="183" t="s">
        <v>512</v>
      </c>
      <c r="P90" s="183" t="s">
        <v>1051</v>
      </c>
      <c r="Q90" s="183" t="s">
        <v>1361</v>
      </c>
      <c r="R90" s="184" t="s">
        <v>1391</v>
      </c>
      <c r="S90" s="93" t="str">
        <f>A90&amp;"|"&amp;B90</f>
        <v>2026Q3|NFR-10-K1</v>
      </c>
      <c r="T90" s="183" t="s">
        <v>1364</v>
      </c>
    </row>
    <row r="91" spans="1:20" ht="29.15" x14ac:dyDescent="0.4">
      <c r="A91" s="183" t="s">
        <v>1361</v>
      </c>
      <c r="B91" s="183" t="s">
        <v>1246</v>
      </c>
      <c r="C91" s="183" t="s">
        <v>555</v>
      </c>
      <c r="D91" s="184" t="s">
        <v>1247</v>
      </c>
      <c r="E91" s="183" t="s">
        <v>1154</v>
      </c>
      <c r="F91" s="183" t="s">
        <v>1160</v>
      </c>
      <c r="G91" s="183" t="s">
        <v>1248</v>
      </c>
      <c r="H91" s="93">
        <v>20</v>
      </c>
      <c r="I91" s="93">
        <v>50</v>
      </c>
      <c r="J91" s="93">
        <v>45</v>
      </c>
      <c r="K91" s="109">
        <v>46295</v>
      </c>
      <c r="L91" s="183" t="s">
        <v>1248</v>
      </c>
      <c r="M91" s="184" t="s">
        <v>1387</v>
      </c>
      <c r="N91" s="93" t="str">
        <f>IF(OR(H91="",I91=""),"Soglie da definire",IF(I91&lt;H91,"SOGLIE INVERTITE — correggere",IF(J91="","Non rilevato",IF(J91&gt;=I91,"Rosso",IF(J91&gt;=H91,"Ambra","Verde")))))</f>
        <v>Ambra</v>
      </c>
      <c r="O91" s="183" t="s">
        <v>512</v>
      </c>
      <c r="P91" s="183" t="s">
        <v>1051</v>
      </c>
      <c r="Q91" s="183" t="s">
        <v>1361</v>
      </c>
      <c r="R91" s="184" t="s">
        <v>1391</v>
      </c>
      <c r="S91" s="93" t="str">
        <f>A91&amp;"|"&amp;B91</f>
        <v>2026Q3|NFR-10-K3</v>
      </c>
      <c r="T91" s="183" t="s">
        <v>1364</v>
      </c>
    </row>
    <row r="92" spans="1:20" ht="29.15" x14ac:dyDescent="0.4">
      <c r="A92" s="183" t="s">
        <v>1361</v>
      </c>
      <c r="B92" s="183" t="s">
        <v>1209</v>
      </c>
      <c r="C92" s="183" t="s">
        <v>562</v>
      </c>
      <c r="D92" s="184" t="s">
        <v>1210</v>
      </c>
      <c r="E92" s="183" t="s">
        <v>1154</v>
      </c>
      <c r="F92" s="183" t="s">
        <v>1165</v>
      </c>
      <c r="G92" s="183" t="s">
        <v>1211</v>
      </c>
      <c r="H92" s="93">
        <v>3</v>
      </c>
      <c r="I92" s="93">
        <v>8</v>
      </c>
      <c r="J92" s="93">
        <v>6</v>
      </c>
      <c r="K92" s="109">
        <v>46295</v>
      </c>
      <c r="L92" s="183" t="s">
        <v>1211</v>
      </c>
      <c r="M92" s="184" t="s">
        <v>1387</v>
      </c>
      <c r="N92" s="93" t="str">
        <f>IF(OR(H92="",I92=""),"Soglie da definire",IF(I92&lt;H92,"SOGLIE INVERTITE — correggere",IF(J92="","Non rilevato",IF(J92&gt;=I92,"Rosso",IF(J92&gt;=H92,"Ambra","Verde")))))</f>
        <v>Ambra</v>
      </c>
      <c r="O92" s="183" t="s">
        <v>512</v>
      </c>
      <c r="P92" s="183" t="s">
        <v>766</v>
      </c>
      <c r="Q92" s="183" t="s">
        <v>1361</v>
      </c>
      <c r="R92" s="184" t="s">
        <v>1392</v>
      </c>
      <c r="S92" s="93" t="str">
        <f>A92&amp;"|"&amp;B92</f>
        <v>2026Q3|NFR-11-K1</v>
      </c>
      <c r="T92" s="183" t="s">
        <v>1364</v>
      </c>
    </row>
    <row r="93" spans="1:20" ht="29.15" x14ac:dyDescent="0.4">
      <c r="A93" s="183" t="s">
        <v>1361</v>
      </c>
      <c r="B93" s="183" t="s">
        <v>1213</v>
      </c>
      <c r="C93" s="183" t="s">
        <v>562</v>
      </c>
      <c r="D93" s="184" t="s">
        <v>1214</v>
      </c>
      <c r="E93" s="183" t="s">
        <v>732</v>
      </c>
      <c r="F93" s="183" t="s">
        <v>1165</v>
      </c>
      <c r="G93" s="183" t="s">
        <v>1215</v>
      </c>
      <c r="H93" s="93">
        <v>2</v>
      </c>
      <c r="I93" s="93">
        <v>6</v>
      </c>
      <c r="J93" s="93">
        <v>5</v>
      </c>
      <c r="K93" s="109">
        <v>46295</v>
      </c>
      <c r="L93" s="183" t="s">
        <v>1215</v>
      </c>
      <c r="M93" s="184" t="s">
        <v>1387</v>
      </c>
      <c r="N93" s="93" t="str">
        <f>IF(OR(H93="",I93=""),"Soglie da definire",IF(I93&lt;H93,"SOGLIE INVERTITE — correggere",IF(J93="","Non rilevato",IF(J93&gt;=I93,"Rosso",IF(J93&gt;=H93,"Ambra","Verde")))))</f>
        <v>Ambra</v>
      </c>
      <c r="O93" s="183" t="s">
        <v>512</v>
      </c>
      <c r="P93" s="183" t="s">
        <v>766</v>
      </c>
      <c r="Q93" s="183" t="s">
        <v>1361</v>
      </c>
      <c r="R93" s="184" t="s">
        <v>1392</v>
      </c>
      <c r="S93" s="93" t="str">
        <f>A93&amp;"|"&amp;B93</f>
        <v>2026Q3|NFR-11-K2</v>
      </c>
      <c r="T93" s="183" t="s">
        <v>1364</v>
      </c>
    </row>
    <row r="94" spans="1:20" ht="29.15" x14ac:dyDescent="0.4">
      <c r="A94" s="183" t="s">
        <v>1361</v>
      </c>
      <c r="B94" s="183" t="s">
        <v>1217</v>
      </c>
      <c r="C94" s="183" t="s">
        <v>569</v>
      </c>
      <c r="D94" s="184" t="s">
        <v>1218</v>
      </c>
      <c r="E94" s="183" t="s">
        <v>732</v>
      </c>
      <c r="F94" s="183" t="s">
        <v>1165</v>
      </c>
      <c r="G94" s="183" t="s">
        <v>1219</v>
      </c>
      <c r="H94" s="93">
        <v>10</v>
      </c>
      <c r="I94" s="93">
        <v>30</v>
      </c>
      <c r="J94" s="93">
        <v>12</v>
      </c>
      <c r="K94" s="109">
        <v>46295</v>
      </c>
      <c r="L94" s="183" t="s">
        <v>1219</v>
      </c>
      <c r="M94" s="184" t="s">
        <v>1387</v>
      </c>
      <c r="N94" s="93" t="str">
        <f>IF(OR(H94="",I94=""),"Soglie da definire",IF(I94&lt;H94,"SOGLIE INVERTITE — correggere",IF(J94="","Non rilevato",IF(J94&gt;=I94,"Rosso",IF(J94&gt;=H94,"Ambra","Verde")))))</f>
        <v>Ambra</v>
      </c>
      <c r="O94" s="183" t="s">
        <v>512</v>
      </c>
      <c r="P94" s="183" t="s">
        <v>766</v>
      </c>
      <c r="Q94" s="183" t="s">
        <v>1361</v>
      </c>
      <c r="R94" s="184" t="s">
        <v>1393</v>
      </c>
      <c r="S94" s="93" t="str">
        <f>A94&amp;"|"&amp;B94</f>
        <v>2026Q3|NFR-12-K1</v>
      </c>
      <c r="T94" s="183" t="s">
        <v>1364</v>
      </c>
    </row>
    <row r="95" spans="1:20" ht="29.15" x14ac:dyDescent="0.4">
      <c r="A95" s="183" t="s">
        <v>1361</v>
      </c>
      <c r="B95" s="183" t="s">
        <v>1221</v>
      </c>
      <c r="C95" s="183" t="s">
        <v>569</v>
      </c>
      <c r="D95" s="184" t="s">
        <v>1222</v>
      </c>
      <c r="E95" s="183" t="s">
        <v>1154</v>
      </c>
      <c r="F95" s="183" t="s">
        <v>1155</v>
      </c>
      <c r="G95" s="183" t="s">
        <v>1223</v>
      </c>
      <c r="H95" s="93">
        <v>4</v>
      </c>
      <c r="I95" s="93">
        <v>12</v>
      </c>
      <c r="J95" s="93">
        <v>4.5</v>
      </c>
      <c r="K95" s="109">
        <v>46295</v>
      </c>
      <c r="L95" s="183" t="s">
        <v>1223</v>
      </c>
      <c r="M95" s="184" t="s">
        <v>1387</v>
      </c>
      <c r="N95" s="93" t="str">
        <f>IF(OR(H95="",I95=""),"Soglie da definire",IF(I95&lt;H95,"SOGLIE INVERTITE — correggere",IF(J95="","Non rilevato",IF(J95&gt;=I95,"Rosso",IF(J95&gt;=H95,"Ambra","Verde")))))</f>
        <v>Ambra</v>
      </c>
      <c r="O95" s="183" t="s">
        <v>512</v>
      </c>
      <c r="P95" s="183" t="s">
        <v>766</v>
      </c>
      <c r="Q95" s="183" t="s">
        <v>1361</v>
      </c>
      <c r="R95" s="184" t="s">
        <v>1393</v>
      </c>
      <c r="S95" s="93" t="str">
        <f>A95&amp;"|"&amp;B95</f>
        <v>2026Q3|NFR-12-K3</v>
      </c>
      <c r="T95" s="183" t="s">
        <v>1364</v>
      </c>
    </row>
    <row r="96" spans="1:20" ht="58.3" x14ac:dyDescent="0.4">
      <c r="A96" s="183" t="s">
        <v>1361</v>
      </c>
      <c r="B96" s="183" t="s">
        <v>1394</v>
      </c>
      <c r="C96" s="183" t="s">
        <v>514</v>
      </c>
      <c r="D96" s="184" t="s">
        <v>1395</v>
      </c>
      <c r="E96" s="183" t="s">
        <v>732</v>
      </c>
      <c r="F96" s="183" t="s">
        <v>1165</v>
      </c>
      <c r="G96" s="183" t="s">
        <v>1396</v>
      </c>
      <c r="H96" s="93">
        <v>1</v>
      </c>
      <c r="I96" s="93">
        <v>3</v>
      </c>
      <c r="J96" s="93"/>
      <c r="K96" s="109"/>
      <c r="L96" s="183"/>
      <c r="M96" s="184"/>
      <c r="N96" s="93" t="str">
        <f>IF(OR(H96="",I96=""),"Soglie da definire",IF(I96&lt;H96,"SOGLIE INVERTITE — correggere",IF(J96="","Non rilevato",IF(J96&gt;=I96,"Rosso",IF(J96&gt;=H96,"Ambra","Verde")))))</f>
        <v>Non rilevato</v>
      </c>
      <c r="O96" s="183" t="s">
        <v>512</v>
      </c>
      <c r="P96" s="183" t="s">
        <v>1361</v>
      </c>
      <c r="Q96" s="183" t="s">
        <v>1361</v>
      </c>
      <c r="R96" s="184" t="s">
        <v>1397</v>
      </c>
      <c r="S96" s="93" t="str">
        <f>A96&amp;"|"&amp;B96</f>
        <v>2026Q3|NFR-02-K3</v>
      </c>
      <c r="T96" s="183" t="s">
        <v>1364</v>
      </c>
    </row>
  </sheetData>
  <mergeCells count="6">
    <mergeCell ref="A1:L1"/>
    <mergeCell ref="L3:M3"/>
    <mergeCell ref="C3:J3"/>
    <mergeCell ref="O3:P3"/>
    <mergeCell ref="A2:I2"/>
    <mergeCell ref="Q3:R3"/>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Q15"/>
  <sheetViews>
    <sheetView workbookViewId="0"/>
  </sheetViews>
  <sheetFormatPr defaultRowHeight="14.6" x14ac:dyDescent="0.4"/>
  <cols>
    <col min="1" max="3" width="15" customWidth="1"/>
    <col min="4" max="4" width="50" customWidth="1"/>
    <col min="5" max="15" width="15" customWidth="1"/>
    <col min="16" max="16" width="60" customWidth="1"/>
    <col min="17" max="17" width="15" customWidth="1"/>
  </cols>
  <sheetData>
    <row r="1" spans="1:17" ht="28" customHeight="1" x14ac:dyDescent="0.4">
      <c r="A1" s="146" t="str">
        <f>"Horizon Scan NFR — NewsLog — notizie valutate ogni settimana   ·   "&amp;etichettaCiclo</f>
        <v>Horizon Scan NFR — NewsLog — notizie valutate ogni settimana   ·   Ciclo 2026Q3 · dati al 30/09/2026 · da validare · Uso interno</v>
      </c>
      <c r="B1" s="147"/>
      <c r="C1" s="147"/>
      <c r="D1" s="147"/>
      <c r="E1" s="147"/>
      <c r="F1" s="147"/>
      <c r="G1" s="147"/>
      <c r="H1" s="147"/>
      <c r="I1" s="147"/>
      <c r="J1" s="147"/>
      <c r="K1" s="147"/>
      <c r="L1" s="147"/>
    </row>
    <row r="2" spans="1:17" ht="72.55" customHeight="1" x14ac:dyDescent="0.4">
      <c r="A2" s="167" t="s">
        <v>1250</v>
      </c>
      <c r="B2" s="116"/>
      <c r="C2" s="116"/>
      <c r="D2" s="116"/>
      <c r="E2" s="116"/>
      <c r="F2" s="116"/>
      <c r="G2" s="116"/>
      <c r="H2" s="116"/>
      <c r="I2" s="116"/>
    </row>
    <row r="3" spans="1:17" x14ac:dyDescent="0.4">
      <c r="A3" s="112" t="s">
        <v>1251</v>
      </c>
      <c r="B3" s="105" t="s">
        <v>995</v>
      </c>
      <c r="C3" s="182" t="s">
        <v>1251</v>
      </c>
      <c r="D3" s="116"/>
      <c r="E3" s="116"/>
      <c r="F3" s="116"/>
      <c r="G3" s="116"/>
      <c r="H3" s="116"/>
      <c r="I3" s="116"/>
      <c r="J3" s="116"/>
      <c r="K3" s="116"/>
      <c r="L3" s="116"/>
      <c r="M3" s="116"/>
      <c r="N3" s="116"/>
      <c r="O3" s="116"/>
      <c r="P3" s="116"/>
      <c r="Q3" s="106" t="s">
        <v>997</v>
      </c>
    </row>
    <row r="4" spans="1:17" ht="58" customHeight="1" x14ac:dyDescent="0.4">
      <c r="A4" s="107" t="s">
        <v>1252</v>
      </c>
      <c r="B4" s="107" t="s">
        <v>1253</v>
      </c>
      <c r="C4" s="107" t="s">
        <v>1254</v>
      </c>
      <c r="D4" s="107" t="s">
        <v>1255</v>
      </c>
      <c r="E4" s="107" t="s">
        <v>1256</v>
      </c>
      <c r="F4" s="107" t="s">
        <v>1257</v>
      </c>
      <c r="G4" s="107" t="s">
        <v>1258</v>
      </c>
      <c r="H4" s="107" t="s">
        <v>1259</v>
      </c>
      <c r="I4" s="107" t="s">
        <v>1260</v>
      </c>
      <c r="J4" s="107" t="s">
        <v>1261</v>
      </c>
      <c r="K4" s="107" t="s">
        <v>1262</v>
      </c>
      <c r="L4" s="107" t="s">
        <v>1263</v>
      </c>
      <c r="M4" s="107" t="s">
        <v>1264</v>
      </c>
      <c r="N4" s="107" t="s">
        <v>1265</v>
      </c>
      <c r="O4" s="107" t="s">
        <v>1266</v>
      </c>
      <c r="P4" s="107" t="s">
        <v>1267</v>
      </c>
      <c r="Q4" s="107" t="s">
        <v>1090</v>
      </c>
    </row>
    <row r="5" spans="1:17" x14ac:dyDescent="0.4">
      <c r="A5" s="113" t="s">
        <v>773</v>
      </c>
      <c r="B5" s="55" t="s">
        <v>451</v>
      </c>
      <c r="C5" s="113" t="s">
        <v>780</v>
      </c>
      <c r="D5" s="113" t="s">
        <v>494</v>
      </c>
      <c r="E5" s="113" t="s">
        <v>355</v>
      </c>
      <c r="F5" s="113" t="s">
        <v>787</v>
      </c>
      <c r="G5" s="113" t="s">
        <v>790</v>
      </c>
      <c r="H5" s="113" t="s">
        <v>497</v>
      </c>
      <c r="I5" s="113" t="s">
        <v>796</v>
      </c>
      <c r="J5" s="113" t="s">
        <v>799</v>
      </c>
      <c r="K5" s="113" t="s">
        <v>801</v>
      </c>
      <c r="L5" s="113" t="s">
        <v>803</v>
      </c>
      <c r="M5" s="113" t="s">
        <v>806</v>
      </c>
      <c r="N5" s="113" t="s">
        <v>808</v>
      </c>
      <c r="O5" s="113" t="s">
        <v>810</v>
      </c>
      <c r="P5" s="113" t="s">
        <v>812</v>
      </c>
      <c r="Q5" s="53" t="s">
        <v>9</v>
      </c>
    </row>
    <row r="6" spans="1:17" ht="29.15" x14ac:dyDescent="0.4">
      <c r="A6" s="109">
        <v>46162</v>
      </c>
      <c r="B6" s="109">
        <f t="shared" ref="B6:B15" si="0">A6-WEEKDAY(A6,2)+1</f>
        <v>46160</v>
      </c>
      <c r="C6" s="93" t="s">
        <v>1268</v>
      </c>
      <c r="D6" s="111" t="s">
        <v>1269</v>
      </c>
      <c r="E6" s="93" t="s">
        <v>1270</v>
      </c>
      <c r="F6" s="93" t="s">
        <v>1271</v>
      </c>
      <c r="G6" s="93" t="s">
        <v>514</v>
      </c>
      <c r="H6" s="93" t="s">
        <v>795</v>
      </c>
      <c r="I6" s="93">
        <v>0</v>
      </c>
      <c r="J6" s="93">
        <v>0</v>
      </c>
      <c r="K6" s="93">
        <v>0</v>
      </c>
      <c r="L6" s="93">
        <v>0</v>
      </c>
      <c r="M6" s="93">
        <v>0</v>
      </c>
      <c r="N6" s="93">
        <v>2</v>
      </c>
      <c r="O6" s="93">
        <v>0</v>
      </c>
      <c r="P6" s="111" t="s">
        <v>1272</v>
      </c>
      <c r="Q6" s="93" t="s">
        <v>691</v>
      </c>
    </row>
    <row r="7" spans="1:17" ht="29.15" x14ac:dyDescent="0.4">
      <c r="A7" s="109">
        <v>46182</v>
      </c>
      <c r="B7" s="109">
        <f t="shared" si="0"/>
        <v>46181</v>
      </c>
      <c r="C7" s="93" t="s">
        <v>782</v>
      </c>
      <c r="D7" s="111" t="s">
        <v>1273</v>
      </c>
      <c r="E7" s="93" t="s">
        <v>786</v>
      </c>
      <c r="F7" s="93" t="s">
        <v>789</v>
      </c>
      <c r="G7" s="93" t="s">
        <v>508</v>
      </c>
      <c r="H7" s="93" t="s">
        <v>795</v>
      </c>
      <c r="I7" s="93">
        <v>0</v>
      </c>
      <c r="J7" s="93">
        <v>3</v>
      </c>
      <c r="K7" s="93">
        <v>0</v>
      </c>
      <c r="L7" s="93">
        <v>1</v>
      </c>
      <c r="M7" s="93">
        <v>0</v>
      </c>
      <c r="N7" s="93">
        <v>0</v>
      </c>
      <c r="O7" s="93">
        <v>0</v>
      </c>
      <c r="P7" s="111" t="s">
        <v>1274</v>
      </c>
      <c r="Q7" s="93" t="s">
        <v>691</v>
      </c>
    </row>
    <row r="8" spans="1:17" ht="29.15" x14ac:dyDescent="0.4">
      <c r="A8" s="109">
        <v>46183</v>
      </c>
      <c r="B8" s="109">
        <f t="shared" si="0"/>
        <v>46181</v>
      </c>
      <c r="C8" s="93" t="s">
        <v>1275</v>
      </c>
      <c r="D8" s="111" t="s">
        <v>1276</v>
      </c>
      <c r="E8" s="93" t="s">
        <v>1277</v>
      </c>
      <c r="F8" s="93" t="s">
        <v>1278</v>
      </c>
      <c r="G8" s="93" t="s">
        <v>530</v>
      </c>
      <c r="H8" s="93" t="s">
        <v>1279</v>
      </c>
      <c r="I8" s="93">
        <v>0</v>
      </c>
      <c r="J8" s="93">
        <v>0</v>
      </c>
      <c r="K8" s="93">
        <v>0</v>
      </c>
      <c r="L8" s="93">
        <v>0</v>
      </c>
      <c r="M8" s="93">
        <v>0</v>
      </c>
      <c r="N8" s="93">
        <v>0</v>
      </c>
      <c r="O8" s="93">
        <v>2</v>
      </c>
      <c r="P8" s="111" t="s">
        <v>1280</v>
      </c>
      <c r="Q8" s="93" t="s">
        <v>691</v>
      </c>
    </row>
    <row r="9" spans="1:17" ht="29.15" x14ac:dyDescent="0.4">
      <c r="A9" s="109">
        <v>46184</v>
      </c>
      <c r="B9" s="109">
        <f t="shared" si="0"/>
        <v>46181</v>
      </c>
      <c r="C9" s="93" t="s">
        <v>1281</v>
      </c>
      <c r="D9" s="111" t="s">
        <v>1282</v>
      </c>
      <c r="E9" s="93" t="s">
        <v>1283</v>
      </c>
      <c r="F9" s="93" t="s">
        <v>1278</v>
      </c>
      <c r="G9" s="93" t="s">
        <v>514</v>
      </c>
      <c r="H9" s="93" t="s">
        <v>1279</v>
      </c>
      <c r="I9" s="93">
        <v>0</v>
      </c>
      <c r="J9" s="93">
        <v>0</v>
      </c>
      <c r="K9" s="93">
        <v>0</v>
      </c>
      <c r="L9" s="93">
        <v>0</v>
      </c>
      <c r="M9" s="93">
        <v>0</v>
      </c>
      <c r="N9" s="93">
        <v>1</v>
      </c>
      <c r="O9" s="93">
        <v>0</v>
      </c>
      <c r="P9" s="111" t="s">
        <v>1284</v>
      </c>
      <c r="Q9" s="93" t="s">
        <v>691</v>
      </c>
    </row>
    <row r="10" spans="1:17" ht="29.15" x14ac:dyDescent="0.4">
      <c r="A10" s="109">
        <v>46189</v>
      </c>
      <c r="B10" s="109">
        <f t="shared" si="0"/>
        <v>46188</v>
      </c>
      <c r="C10" s="93" t="s">
        <v>1285</v>
      </c>
      <c r="D10" s="111" t="s">
        <v>1286</v>
      </c>
      <c r="E10" s="93" t="s">
        <v>1287</v>
      </c>
      <c r="F10" s="93" t="s">
        <v>1288</v>
      </c>
      <c r="G10" s="93" t="s">
        <v>508</v>
      </c>
      <c r="H10" s="93" t="s">
        <v>795</v>
      </c>
      <c r="I10" s="93">
        <v>0</v>
      </c>
      <c r="J10" s="93">
        <v>2</v>
      </c>
      <c r="K10" s="93">
        <v>0</v>
      </c>
      <c r="L10" s="93">
        <v>0</v>
      </c>
      <c r="M10" s="93">
        <v>0</v>
      </c>
      <c r="N10" s="93">
        <v>0</v>
      </c>
      <c r="O10" s="93">
        <v>0</v>
      </c>
      <c r="P10" s="111" t="s">
        <v>1289</v>
      </c>
      <c r="Q10" s="93" t="s">
        <v>691</v>
      </c>
    </row>
    <row r="11" spans="1:17" x14ac:dyDescent="0.4">
      <c r="A11" s="109">
        <v>46190</v>
      </c>
      <c r="B11" s="109">
        <f t="shared" si="0"/>
        <v>46188</v>
      </c>
      <c r="C11" s="93" t="s">
        <v>1290</v>
      </c>
      <c r="D11" s="111" t="s">
        <v>1291</v>
      </c>
      <c r="E11" s="93" t="s">
        <v>1292</v>
      </c>
      <c r="F11" s="93" t="s">
        <v>1293</v>
      </c>
      <c r="G11" s="93" t="s">
        <v>530</v>
      </c>
      <c r="H11" s="93" t="s">
        <v>1279</v>
      </c>
      <c r="I11" s="93">
        <v>0</v>
      </c>
      <c r="J11" s="93">
        <v>0</v>
      </c>
      <c r="K11" s="93">
        <v>0</v>
      </c>
      <c r="L11" s="93">
        <v>0</v>
      </c>
      <c r="M11" s="93">
        <v>0</v>
      </c>
      <c r="N11" s="93">
        <v>0</v>
      </c>
      <c r="O11" s="93">
        <v>1</v>
      </c>
      <c r="P11" s="111" t="s">
        <v>1294</v>
      </c>
      <c r="Q11" s="93" t="s">
        <v>691</v>
      </c>
    </row>
    <row r="12" spans="1:17" ht="29.15" x14ac:dyDescent="0.4">
      <c r="A12" s="109">
        <v>46191</v>
      </c>
      <c r="B12" s="109">
        <f t="shared" si="0"/>
        <v>46188</v>
      </c>
      <c r="C12" s="93" t="s">
        <v>1295</v>
      </c>
      <c r="D12" s="111" t="s">
        <v>1296</v>
      </c>
      <c r="E12" s="93" t="s">
        <v>1297</v>
      </c>
      <c r="F12" s="93" t="s">
        <v>1298</v>
      </c>
      <c r="G12" s="93" t="s">
        <v>526</v>
      </c>
      <c r="H12" s="93" t="s">
        <v>1299</v>
      </c>
      <c r="I12" s="93">
        <v>0</v>
      </c>
      <c r="J12" s="93">
        <v>0</v>
      </c>
      <c r="K12" s="93">
        <v>0</v>
      </c>
      <c r="L12" s="93">
        <v>0</v>
      </c>
      <c r="M12" s="93">
        <v>1</v>
      </c>
      <c r="N12" s="93">
        <v>0</v>
      </c>
      <c r="O12" s="93">
        <v>0</v>
      </c>
      <c r="P12" s="111" t="s">
        <v>1300</v>
      </c>
      <c r="Q12" s="93" t="s">
        <v>691</v>
      </c>
    </row>
    <row r="13" spans="1:17" ht="29.15" x14ac:dyDescent="0.4">
      <c r="A13" s="109">
        <v>46196</v>
      </c>
      <c r="B13" s="109">
        <f t="shared" si="0"/>
        <v>46195</v>
      </c>
      <c r="C13" s="93" t="s">
        <v>1301</v>
      </c>
      <c r="D13" s="111" t="s">
        <v>1302</v>
      </c>
      <c r="E13" s="93" t="s">
        <v>1283</v>
      </c>
      <c r="F13" s="93" t="s">
        <v>1278</v>
      </c>
      <c r="G13" s="93" t="s">
        <v>514</v>
      </c>
      <c r="H13" s="93" t="s">
        <v>795</v>
      </c>
      <c r="I13" s="93">
        <v>0</v>
      </c>
      <c r="J13" s="93">
        <v>0</v>
      </c>
      <c r="K13" s="93">
        <v>0</v>
      </c>
      <c r="L13" s="93">
        <v>0</v>
      </c>
      <c r="M13" s="93">
        <v>0</v>
      </c>
      <c r="N13" s="93">
        <v>1</v>
      </c>
      <c r="O13" s="93">
        <v>0</v>
      </c>
      <c r="P13" s="111" t="s">
        <v>1303</v>
      </c>
      <c r="Q13" s="93" t="s">
        <v>691</v>
      </c>
    </row>
    <row r="14" spans="1:17" ht="29.15" x14ac:dyDescent="0.4">
      <c r="A14" s="109">
        <v>46197</v>
      </c>
      <c r="B14" s="109">
        <f t="shared" si="0"/>
        <v>46195</v>
      </c>
      <c r="C14" s="93" t="s">
        <v>1304</v>
      </c>
      <c r="D14" s="111" t="s">
        <v>1305</v>
      </c>
      <c r="E14" s="93" t="s">
        <v>1306</v>
      </c>
      <c r="F14" s="93" t="s">
        <v>1307</v>
      </c>
      <c r="G14" s="93" t="s">
        <v>508</v>
      </c>
      <c r="H14" s="93" t="s">
        <v>795</v>
      </c>
      <c r="I14" s="93">
        <v>0</v>
      </c>
      <c r="J14" s="93">
        <v>2</v>
      </c>
      <c r="K14" s="93">
        <v>0</v>
      </c>
      <c r="L14" s="93">
        <v>2</v>
      </c>
      <c r="M14" s="93">
        <v>0</v>
      </c>
      <c r="N14" s="93">
        <v>0</v>
      </c>
      <c r="O14" s="93">
        <v>0</v>
      </c>
      <c r="P14" s="111" t="s">
        <v>1308</v>
      </c>
      <c r="Q14" s="93" t="s">
        <v>691</v>
      </c>
    </row>
    <row r="15" spans="1:17" ht="29.15" x14ac:dyDescent="0.4">
      <c r="A15" s="109">
        <v>46198</v>
      </c>
      <c r="B15" s="109">
        <f t="shared" si="0"/>
        <v>46195</v>
      </c>
      <c r="C15" s="93" t="s">
        <v>1309</v>
      </c>
      <c r="D15" s="111" t="s">
        <v>1310</v>
      </c>
      <c r="E15" s="93" t="s">
        <v>1311</v>
      </c>
      <c r="F15" s="93" t="s">
        <v>1278</v>
      </c>
      <c r="G15" s="93" t="s">
        <v>530</v>
      </c>
      <c r="H15" s="93" t="s">
        <v>1279</v>
      </c>
      <c r="I15" s="93">
        <v>0</v>
      </c>
      <c r="J15" s="93">
        <v>0</v>
      </c>
      <c r="K15" s="93">
        <v>0</v>
      </c>
      <c r="L15" s="93">
        <v>0</v>
      </c>
      <c r="M15" s="93">
        <v>0</v>
      </c>
      <c r="N15" s="93">
        <v>0</v>
      </c>
      <c r="O15" s="93">
        <v>2</v>
      </c>
      <c r="P15" s="111" t="s">
        <v>1312</v>
      </c>
      <c r="Q15" s="93" t="s">
        <v>691</v>
      </c>
    </row>
  </sheetData>
  <mergeCells count="3">
    <mergeCell ref="A2:I2"/>
    <mergeCell ref="C3:P3"/>
    <mergeCell ref="A1:L1"/>
  </mergeCells>
  <dataValidations count="1">
    <dataValidation type="list" allowBlank="1" sqref="H6:H20000" xr:uid="{00000000-0002-0000-1200-000000000000}">
      <formula1>"Peggiorativo,Migliorativo,Neutro,Non rilevante"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I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s>
  <sheetData>
    <row r="1" spans="1:9" ht="28" customHeight="1" x14ac:dyDescent="0.4">
      <c r="A1" s="146" t="str">
        <f>"Horizon Scan NFR — Sintesi_Cicli — commento di A1 e sintesi di A5, una riga per ciclo   ·   "&amp;etichettaCiclo</f>
        <v>Horizon Scan NFR — Sintesi_Cicli — commento di A1 e sintesi di A5, una riga per ciclo   ·   Ciclo 2026Q3 · dati al 30/09/2026 · da validare · Uso interno</v>
      </c>
      <c r="B1" s="147"/>
      <c r="C1" s="147"/>
      <c r="D1" s="147"/>
      <c r="E1" s="147"/>
      <c r="F1" s="147"/>
      <c r="G1" s="147"/>
      <c r="H1" s="147"/>
      <c r="I1" s="147"/>
    </row>
    <row r="2" spans="1:9" ht="72.55" customHeight="1" x14ac:dyDescent="0.4">
      <c r="A2" s="136" t="s">
        <v>1313</v>
      </c>
      <c r="B2" s="116"/>
      <c r="C2" s="116"/>
      <c r="D2" s="116"/>
    </row>
    <row r="3" spans="1:9" x14ac:dyDescent="0.4">
      <c r="A3" s="179" t="s">
        <v>994</v>
      </c>
      <c r="B3" s="116"/>
      <c r="C3" s="116"/>
      <c r="D3" s="104" t="s">
        <v>1314</v>
      </c>
      <c r="E3" s="180" t="s">
        <v>996</v>
      </c>
      <c r="F3" s="116"/>
      <c r="G3" s="116"/>
      <c r="H3" s="116"/>
      <c r="I3" s="116"/>
    </row>
    <row r="4" spans="1:9" ht="47.05" customHeight="1" x14ac:dyDescent="0.4">
      <c r="A4" s="107" t="s">
        <v>1315</v>
      </c>
      <c r="B4" s="107" t="s">
        <v>1316</v>
      </c>
      <c r="C4" s="107" t="s">
        <v>1317</v>
      </c>
      <c r="D4" s="107" t="s">
        <v>1318</v>
      </c>
      <c r="E4" s="107" t="s">
        <v>1319</v>
      </c>
      <c r="F4" s="107" t="s">
        <v>1320</v>
      </c>
      <c r="G4" s="107" t="s">
        <v>1321</v>
      </c>
      <c r="H4" s="107" t="s">
        <v>1322</v>
      </c>
      <c r="I4" s="107" t="s">
        <v>1018</v>
      </c>
    </row>
    <row r="5" spans="1:9" x14ac:dyDescent="0.4">
      <c r="A5" s="108" t="s">
        <v>424</v>
      </c>
      <c r="B5" s="108" t="s">
        <v>621</v>
      </c>
      <c r="C5" s="108" t="s">
        <v>818</v>
      </c>
      <c r="D5" s="108" t="s">
        <v>822</v>
      </c>
      <c r="E5" s="55" t="s">
        <v>826</v>
      </c>
      <c r="F5" s="55" t="s">
        <v>829</v>
      </c>
      <c r="G5" s="55" t="s">
        <v>832</v>
      </c>
      <c r="H5" s="55" t="s">
        <v>835</v>
      </c>
      <c r="I5" s="55" t="s">
        <v>680</v>
      </c>
    </row>
    <row r="6" spans="1:9" ht="72.900000000000006" x14ac:dyDescent="0.4">
      <c r="A6" s="111" t="s">
        <v>766</v>
      </c>
      <c r="B6" s="114">
        <v>46022</v>
      </c>
      <c r="C6" s="111" t="s">
        <v>1323</v>
      </c>
      <c r="D6" s="111" t="s">
        <v>1324</v>
      </c>
      <c r="E6" s="111">
        <v>2</v>
      </c>
      <c r="F6" s="111"/>
      <c r="G6" s="111"/>
      <c r="H6" s="111"/>
      <c r="I6" s="114">
        <v>46022</v>
      </c>
    </row>
    <row r="7" spans="1:9" ht="58.3" x14ac:dyDescent="0.4">
      <c r="A7" s="111" t="s">
        <v>1051</v>
      </c>
      <c r="B7" s="114">
        <v>46112</v>
      </c>
      <c r="C7" s="111" t="s">
        <v>1325</v>
      </c>
      <c r="D7" s="111" t="s">
        <v>1326</v>
      </c>
      <c r="E7" s="111">
        <v>1</v>
      </c>
      <c r="F7" s="111"/>
      <c r="G7" s="111"/>
      <c r="H7" s="111"/>
      <c r="I7" s="114">
        <v>46112</v>
      </c>
    </row>
    <row r="8" spans="1:9" ht="87.45" x14ac:dyDescent="0.4">
      <c r="A8" s="111" t="s">
        <v>566</v>
      </c>
      <c r="B8" s="114">
        <v>46203</v>
      </c>
      <c r="C8" s="111" t="s">
        <v>1327</v>
      </c>
      <c r="D8" s="111" t="s">
        <v>1328</v>
      </c>
      <c r="E8" s="111">
        <v>1</v>
      </c>
      <c r="F8" s="111"/>
      <c r="G8" s="111" t="s">
        <v>1329</v>
      </c>
      <c r="H8" s="111"/>
      <c r="I8" s="114">
        <v>46203</v>
      </c>
    </row>
    <row r="9" spans="1:9" ht="102" x14ac:dyDescent="0.4">
      <c r="A9" s="184" t="s">
        <v>1361</v>
      </c>
      <c r="B9" s="114">
        <v>46295</v>
      </c>
      <c r="C9" s="184" t="s">
        <v>1471</v>
      </c>
      <c r="D9" s="184" t="s">
        <v>1472</v>
      </c>
      <c r="E9" s="111">
        <v>2</v>
      </c>
      <c r="F9" s="111"/>
      <c r="G9" s="111"/>
      <c r="H9" s="111"/>
      <c r="I9" s="114">
        <v>46302</v>
      </c>
    </row>
  </sheetData>
  <mergeCells count="4">
    <mergeCell ref="A1:I1"/>
    <mergeCell ref="E3:I3"/>
    <mergeCell ref="A3:C3"/>
    <mergeCell ref="A2:D2"/>
  </mergeCell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E8"/>
  <sheetViews>
    <sheetView workbookViewId="0"/>
  </sheetViews>
  <sheetFormatPr defaultRowHeight="14.6" x14ac:dyDescent="0.4"/>
  <cols>
    <col min="1" max="2" width="15" customWidth="1"/>
    <col min="3" max="3" width="80" customWidth="1"/>
    <col min="4" max="4" width="70" customWidth="1"/>
    <col min="5" max="5" width="15" customWidth="1"/>
  </cols>
  <sheetData>
    <row r="1" spans="1:5" ht="28" customHeight="1" x14ac:dyDescent="0.4">
      <c r="A1" s="146" t="str">
        <f>"Horizon Scan NFR — Sintesi_Settimane — sintesi di A3 e flag proposti, una riga per settimana   ·   "&amp;etichettaCiclo</f>
        <v>Horizon Scan NFR — Sintesi_Settimane — sintesi di A3 e flag proposti, una riga per settimana   ·   Ciclo 2026Q3 · dati al 30/09/2026 · da validare · Uso interno</v>
      </c>
      <c r="B1" s="147"/>
      <c r="C1" s="147"/>
      <c r="D1" s="147"/>
      <c r="E1" s="147"/>
    </row>
    <row r="2" spans="1:5" ht="72.55" customHeight="1" x14ac:dyDescent="0.4">
      <c r="A2" s="167" t="s">
        <v>1330</v>
      </c>
      <c r="B2" s="116"/>
      <c r="C2" s="116"/>
      <c r="D2" s="116"/>
    </row>
    <row r="3" spans="1:5" x14ac:dyDescent="0.4">
      <c r="A3" s="112" t="s">
        <v>1251</v>
      </c>
      <c r="B3" s="105" t="s">
        <v>996</v>
      </c>
      <c r="C3" s="112" t="s">
        <v>1251</v>
      </c>
      <c r="D3" s="180" t="s">
        <v>996</v>
      </c>
      <c r="E3" s="116"/>
    </row>
    <row r="4" spans="1:5" ht="36" customHeight="1" x14ac:dyDescent="0.4">
      <c r="A4" s="107" t="s">
        <v>1331</v>
      </c>
      <c r="B4" s="107" t="s">
        <v>1332</v>
      </c>
      <c r="C4" s="107" t="s">
        <v>1333</v>
      </c>
      <c r="D4" s="107" t="s">
        <v>1334</v>
      </c>
      <c r="E4" s="107" t="s">
        <v>1018</v>
      </c>
    </row>
    <row r="5" spans="1:5" x14ac:dyDescent="0.4">
      <c r="A5" s="113" t="s">
        <v>451</v>
      </c>
      <c r="B5" s="55" t="s">
        <v>89</v>
      </c>
      <c r="C5" s="113" t="s">
        <v>840</v>
      </c>
      <c r="D5" s="55" t="s">
        <v>843</v>
      </c>
      <c r="E5" s="55" t="s">
        <v>680</v>
      </c>
    </row>
    <row r="6" spans="1:5" ht="43.75" x14ac:dyDescent="0.4">
      <c r="A6" s="114">
        <v>46188</v>
      </c>
      <c r="B6" s="111">
        <v>3</v>
      </c>
      <c r="C6" s="111" t="s">
        <v>1335</v>
      </c>
      <c r="D6" s="111" t="s">
        <v>1336</v>
      </c>
      <c r="E6" s="114">
        <v>46188</v>
      </c>
    </row>
    <row r="7" spans="1:5" ht="43.75" x14ac:dyDescent="0.4">
      <c r="A7" s="114">
        <v>46195</v>
      </c>
      <c r="B7" s="111">
        <v>3</v>
      </c>
      <c r="C7" s="111" t="s">
        <v>1337</v>
      </c>
      <c r="D7" s="111" t="s">
        <v>1338</v>
      </c>
      <c r="E7" s="114">
        <v>46195</v>
      </c>
    </row>
    <row r="8" spans="1:5" ht="58.3" x14ac:dyDescent="0.4">
      <c r="A8" s="114">
        <v>46202</v>
      </c>
      <c r="B8" s="111">
        <v>3</v>
      </c>
      <c r="C8" s="111" t="s">
        <v>1339</v>
      </c>
      <c r="D8" s="111" t="s">
        <v>1340</v>
      </c>
      <c r="E8" s="114">
        <v>46202</v>
      </c>
    </row>
  </sheetData>
  <mergeCells count="3">
    <mergeCell ref="D3:E3"/>
    <mergeCell ref="A1:E1"/>
    <mergeCell ref="A2:D2"/>
  </mergeCell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L346"/>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46" t="str">
        <f>"Horizon Scan NFR — Storico_Validazioni — proposte degli agenti e decisioni, una riga per oggetto e campo   ·   "&amp;etichettaCiclo</f>
        <v>Horizon Scan NFR — Storico_Validazioni — proposte degli agenti e decisioni, una riga per oggetto e campo   ·   Ciclo 2026Q3 · dati al 30/09/2026 · da validare · Uso interno</v>
      </c>
      <c r="B1" s="147"/>
      <c r="C1" s="147"/>
      <c r="D1" s="147"/>
      <c r="E1" s="147"/>
      <c r="F1" s="147"/>
      <c r="G1" s="147"/>
      <c r="H1" s="147"/>
      <c r="I1" s="147"/>
      <c r="J1" s="147"/>
      <c r="K1" s="147"/>
      <c r="L1" s="147"/>
    </row>
    <row r="2" spans="1:12" ht="72.55" customHeight="1" x14ac:dyDescent="0.4">
      <c r="A2" s="168" t="s">
        <v>1341</v>
      </c>
      <c r="B2" s="116"/>
      <c r="C2" s="116"/>
      <c r="D2" s="116"/>
      <c r="E2" s="116"/>
      <c r="F2" s="116"/>
      <c r="G2" s="116"/>
      <c r="H2" s="116"/>
      <c r="I2" s="116"/>
    </row>
    <row r="3" spans="1:12" x14ac:dyDescent="0.4">
      <c r="A3" s="180" t="s">
        <v>996</v>
      </c>
      <c r="B3" s="116"/>
      <c r="C3" s="116"/>
      <c r="D3" s="116"/>
      <c r="E3" s="116"/>
      <c r="F3" s="116"/>
      <c r="G3" s="181" t="s">
        <v>997</v>
      </c>
      <c r="H3" s="116"/>
      <c r="I3" s="116"/>
      <c r="J3" s="116"/>
      <c r="K3" s="116"/>
      <c r="L3" s="116"/>
    </row>
    <row r="4" spans="1:12" ht="91" customHeight="1" x14ac:dyDescent="0.4">
      <c r="A4" s="107" t="s">
        <v>1342</v>
      </c>
      <c r="B4" s="107" t="s">
        <v>1343</v>
      </c>
      <c r="C4" s="107" t="s">
        <v>1344</v>
      </c>
      <c r="D4" s="107" t="s">
        <v>1345</v>
      </c>
      <c r="E4" s="107" t="s">
        <v>1346</v>
      </c>
      <c r="F4" s="107" t="s">
        <v>1347</v>
      </c>
      <c r="G4" s="107" t="s">
        <v>1348</v>
      </c>
      <c r="H4" s="107" t="s">
        <v>1349</v>
      </c>
      <c r="I4" s="107" t="s">
        <v>1350</v>
      </c>
      <c r="J4" s="107" t="s">
        <v>1351</v>
      </c>
      <c r="K4" s="107" t="s">
        <v>1021</v>
      </c>
      <c r="L4" s="107" t="s">
        <v>1352</v>
      </c>
    </row>
    <row r="5" spans="1:12" x14ac:dyDescent="0.4">
      <c r="A5" s="55" t="s">
        <v>848</v>
      </c>
      <c r="B5" s="55" t="s">
        <v>851</v>
      </c>
      <c r="C5" s="55" t="s">
        <v>161</v>
      </c>
      <c r="D5" s="55" t="s">
        <v>162</v>
      </c>
      <c r="E5" s="55" t="s">
        <v>859</v>
      </c>
      <c r="F5" s="55" t="s">
        <v>862</v>
      </c>
      <c r="G5" s="53" t="s">
        <v>865</v>
      </c>
      <c r="H5" s="53" t="s">
        <v>870</v>
      </c>
      <c r="I5" s="53" t="s">
        <v>873</v>
      </c>
      <c r="J5" s="53" t="s">
        <v>877</v>
      </c>
      <c r="K5" s="53" t="s">
        <v>692</v>
      </c>
      <c r="L5" s="53" t="s">
        <v>417</v>
      </c>
    </row>
    <row r="6" spans="1:12" ht="29.15" x14ac:dyDescent="0.4">
      <c r="A6" s="93" t="s">
        <v>566</v>
      </c>
      <c r="B6" s="93" t="s">
        <v>18</v>
      </c>
      <c r="C6" s="93" t="s">
        <v>508</v>
      </c>
      <c r="D6" s="111" t="s">
        <v>509</v>
      </c>
      <c r="E6" s="93" t="s">
        <v>191</v>
      </c>
      <c r="F6" s="93">
        <v>4</v>
      </c>
      <c r="G6" s="93" t="s">
        <v>691</v>
      </c>
      <c r="H6" s="93">
        <v>4</v>
      </c>
      <c r="I6" s="111"/>
      <c r="J6" s="93" t="s">
        <v>687</v>
      </c>
      <c r="K6" s="109">
        <v>46218</v>
      </c>
      <c r="L6" s="93" t="s">
        <v>881</v>
      </c>
    </row>
    <row r="7" spans="1:12" ht="29.15" x14ac:dyDescent="0.4">
      <c r="A7" s="93" t="s">
        <v>566</v>
      </c>
      <c r="B7" s="93" t="s">
        <v>18</v>
      </c>
      <c r="C7" s="93" t="s">
        <v>508</v>
      </c>
      <c r="D7" s="111" t="s">
        <v>509</v>
      </c>
      <c r="E7" s="93" t="s">
        <v>277</v>
      </c>
      <c r="F7" s="93">
        <v>5</v>
      </c>
      <c r="G7" s="93" t="s">
        <v>691</v>
      </c>
      <c r="H7" s="93">
        <v>5</v>
      </c>
      <c r="I7" s="111"/>
      <c r="J7" s="93" t="s">
        <v>687</v>
      </c>
      <c r="K7" s="109">
        <v>46218</v>
      </c>
      <c r="L7" s="93" t="s">
        <v>881</v>
      </c>
    </row>
    <row r="8" spans="1:12" ht="29.15" x14ac:dyDescent="0.4">
      <c r="A8" s="93" t="s">
        <v>566</v>
      </c>
      <c r="B8" s="93" t="s">
        <v>18</v>
      </c>
      <c r="C8" s="93" t="s">
        <v>508</v>
      </c>
      <c r="D8" s="111" t="s">
        <v>509</v>
      </c>
      <c r="E8" s="93" t="s">
        <v>194</v>
      </c>
      <c r="F8" s="93">
        <v>4</v>
      </c>
      <c r="G8" s="93" t="s">
        <v>691</v>
      </c>
      <c r="H8" s="93">
        <v>4</v>
      </c>
      <c r="I8" s="111"/>
      <c r="J8" s="93" t="s">
        <v>687</v>
      </c>
      <c r="K8" s="109">
        <v>46218</v>
      </c>
      <c r="L8" s="93" t="s">
        <v>881</v>
      </c>
    </row>
    <row r="9" spans="1:12" ht="29.15" x14ac:dyDescent="0.4">
      <c r="A9" s="93" t="s">
        <v>566</v>
      </c>
      <c r="B9" s="93" t="s">
        <v>18</v>
      </c>
      <c r="C9" s="93" t="s">
        <v>508</v>
      </c>
      <c r="D9" s="111" t="s">
        <v>509</v>
      </c>
      <c r="E9" s="93" t="s">
        <v>192</v>
      </c>
      <c r="F9" s="93">
        <v>4</v>
      </c>
      <c r="G9" s="93" t="s">
        <v>691</v>
      </c>
      <c r="H9" s="93">
        <v>4</v>
      </c>
      <c r="I9" s="111"/>
      <c r="J9" s="93" t="s">
        <v>687</v>
      </c>
      <c r="K9" s="109">
        <v>46218</v>
      </c>
      <c r="L9" s="93" t="s">
        <v>881</v>
      </c>
    </row>
    <row r="10" spans="1:12" ht="29.15" x14ac:dyDescent="0.4">
      <c r="A10" s="93" t="s">
        <v>566</v>
      </c>
      <c r="B10" s="93" t="s">
        <v>18</v>
      </c>
      <c r="C10" s="93" t="s">
        <v>508</v>
      </c>
      <c r="D10" s="111" t="s">
        <v>509</v>
      </c>
      <c r="E10" s="93" t="s">
        <v>505</v>
      </c>
      <c r="F10" s="93"/>
      <c r="G10" s="93" t="s">
        <v>691</v>
      </c>
      <c r="H10" s="93"/>
      <c r="I10" s="111"/>
      <c r="J10" s="93" t="s">
        <v>687</v>
      </c>
      <c r="K10" s="109">
        <v>46218</v>
      </c>
      <c r="L10" s="93" t="s">
        <v>881</v>
      </c>
    </row>
    <row r="11" spans="1:12" x14ac:dyDescent="0.4">
      <c r="A11" s="93" t="s">
        <v>566</v>
      </c>
      <c r="B11" s="93" t="s">
        <v>18</v>
      </c>
      <c r="C11" s="93" t="s">
        <v>514</v>
      </c>
      <c r="D11" s="111" t="s">
        <v>515</v>
      </c>
      <c r="E11" s="93" t="s">
        <v>191</v>
      </c>
      <c r="F11" s="93">
        <v>4</v>
      </c>
      <c r="G11" s="93" t="s">
        <v>691</v>
      </c>
      <c r="H11" s="93">
        <v>4</v>
      </c>
      <c r="I11" s="111"/>
      <c r="J11" s="93" t="s">
        <v>687</v>
      </c>
      <c r="K11" s="109">
        <v>46218</v>
      </c>
      <c r="L11" s="93" t="s">
        <v>881</v>
      </c>
    </row>
    <row r="12" spans="1:12" x14ac:dyDescent="0.4">
      <c r="A12" s="93" t="s">
        <v>566</v>
      </c>
      <c r="B12" s="93" t="s">
        <v>18</v>
      </c>
      <c r="C12" s="93" t="s">
        <v>514</v>
      </c>
      <c r="D12" s="111" t="s">
        <v>515</v>
      </c>
      <c r="E12" s="93" t="s">
        <v>277</v>
      </c>
      <c r="F12" s="93">
        <v>4</v>
      </c>
      <c r="G12" s="93" t="s">
        <v>691</v>
      </c>
      <c r="H12" s="93">
        <v>4</v>
      </c>
      <c r="I12" s="111"/>
      <c r="J12" s="93" t="s">
        <v>687</v>
      </c>
      <c r="K12" s="109">
        <v>46218</v>
      </c>
      <c r="L12" s="93" t="s">
        <v>881</v>
      </c>
    </row>
    <row r="13" spans="1:12" x14ac:dyDescent="0.4">
      <c r="A13" s="93" t="s">
        <v>566</v>
      </c>
      <c r="B13" s="93" t="s">
        <v>18</v>
      </c>
      <c r="C13" s="93" t="s">
        <v>514</v>
      </c>
      <c r="D13" s="111" t="s">
        <v>515</v>
      </c>
      <c r="E13" s="93" t="s">
        <v>194</v>
      </c>
      <c r="F13" s="93">
        <v>3</v>
      </c>
      <c r="G13" s="93" t="s">
        <v>691</v>
      </c>
      <c r="H13" s="93">
        <v>3</v>
      </c>
      <c r="I13" s="111"/>
      <c r="J13" s="93" t="s">
        <v>687</v>
      </c>
      <c r="K13" s="109">
        <v>46218</v>
      </c>
      <c r="L13" s="93" t="s">
        <v>881</v>
      </c>
    </row>
    <row r="14" spans="1:12" x14ac:dyDescent="0.4">
      <c r="A14" s="93" t="s">
        <v>566</v>
      </c>
      <c r="B14" s="93" t="s">
        <v>18</v>
      </c>
      <c r="C14" s="93" t="s">
        <v>514</v>
      </c>
      <c r="D14" s="111" t="s">
        <v>515</v>
      </c>
      <c r="E14" s="93" t="s">
        <v>192</v>
      </c>
      <c r="F14" s="93">
        <v>2</v>
      </c>
      <c r="G14" s="93" t="s">
        <v>691</v>
      </c>
      <c r="H14" s="93">
        <v>2</v>
      </c>
      <c r="I14" s="111"/>
      <c r="J14" s="93" t="s">
        <v>687</v>
      </c>
      <c r="K14" s="109">
        <v>46218</v>
      </c>
      <c r="L14" s="93" t="s">
        <v>881</v>
      </c>
    </row>
    <row r="15" spans="1:12" x14ac:dyDescent="0.4">
      <c r="A15" s="93" t="s">
        <v>566</v>
      </c>
      <c r="B15" s="93" t="s">
        <v>18</v>
      </c>
      <c r="C15" s="93" t="s">
        <v>514</v>
      </c>
      <c r="D15" s="111" t="s">
        <v>515</v>
      </c>
      <c r="E15" s="93" t="s">
        <v>505</v>
      </c>
      <c r="F15" s="93"/>
      <c r="G15" s="93" t="s">
        <v>691</v>
      </c>
      <c r="H15" s="93"/>
      <c r="I15" s="111"/>
      <c r="J15" s="93" t="s">
        <v>687</v>
      </c>
      <c r="K15" s="109">
        <v>46218</v>
      </c>
      <c r="L15" s="93" t="s">
        <v>881</v>
      </c>
    </row>
    <row r="16" spans="1:12" ht="29.15" x14ac:dyDescent="0.4">
      <c r="A16" s="93" t="s">
        <v>566</v>
      </c>
      <c r="B16" s="93" t="s">
        <v>18</v>
      </c>
      <c r="C16" s="93" t="s">
        <v>520</v>
      </c>
      <c r="D16" s="111" t="s">
        <v>521</v>
      </c>
      <c r="E16" s="93" t="s">
        <v>191</v>
      </c>
      <c r="F16" s="93">
        <v>3</v>
      </c>
      <c r="G16" s="93" t="s">
        <v>691</v>
      </c>
      <c r="H16" s="93">
        <v>3</v>
      </c>
      <c r="I16" s="111"/>
      <c r="J16" s="93" t="s">
        <v>687</v>
      </c>
      <c r="K16" s="109">
        <v>46218</v>
      </c>
      <c r="L16" s="93" t="s">
        <v>881</v>
      </c>
    </row>
    <row r="17" spans="1:12" ht="29.15" x14ac:dyDescent="0.4">
      <c r="A17" s="93" t="s">
        <v>566</v>
      </c>
      <c r="B17" s="93" t="s">
        <v>18</v>
      </c>
      <c r="C17" s="93" t="s">
        <v>520</v>
      </c>
      <c r="D17" s="111" t="s">
        <v>521</v>
      </c>
      <c r="E17" s="93" t="s">
        <v>277</v>
      </c>
      <c r="F17" s="93">
        <v>2</v>
      </c>
      <c r="G17" s="93" t="s">
        <v>691</v>
      </c>
      <c r="H17" s="93">
        <v>2</v>
      </c>
      <c r="I17" s="111"/>
      <c r="J17" s="93" t="s">
        <v>687</v>
      </c>
      <c r="K17" s="109">
        <v>46218</v>
      </c>
      <c r="L17" s="93" t="s">
        <v>881</v>
      </c>
    </row>
    <row r="18" spans="1:12" ht="29.15" x14ac:dyDescent="0.4">
      <c r="A18" s="93" t="s">
        <v>566</v>
      </c>
      <c r="B18" s="93" t="s">
        <v>18</v>
      </c>
      <c r="C18" s="93" t="s">
        <v>520</v>
      </c>
      <c r="D18" s="111" t="s">
        <v>521</v>
      </c>
      <c r="E18" s="93" t="s">
        <v>194</v>
      </c>
      <c r="F18" s="93">
        <v>3</v>
      </c>
      <c r="G18" s="93" t="s">
        <v>691</v>
      </c>
      <c r="H18" s="93">
        <v>3</v>
      </c>
      <c r="I18" s="111"/>
      <c r="J18" s="93" t="s">
        <v>687</v>
      </c>
      <c r="K18" s="109">
        <v>46218</v>
      </c>
      <c r="L18" s="93" t="s">
        <v>881</v>
      </c>
    </row>
    <row r="19" spans="1:12" ht="29.15" x14ac:dyDescent="0.4">
      <c r="A19" s="93" t="s">
        <v>566</v>
      </c>
      <c r="B19" s="93" t="s">
        <v>18</v>
      </c>
      <c r="C19" s="93" t="s">
        <v>520</v>
      </c>
      <c r="D19" s="111" t="s">
        <v>521</v>
      </c>
      <c r="E19" s="93" t="s">
        <v>192</v>
      </c>
      <c r="F19" s="93">
        <v>3</v>
      </c>
      <c r="G19" s="93" t="s">
        <v>691</v>
      </c>
      <c r="H19" s="93">
        <v>3</v>
      </c>
      <c r="I19" s="111"/>
      <c r="J19" s="93" t="s">
        <v>687</v>
      </c>
      <c r="K19" s="109">
        <v>46218</v>
      </c>
      <c r="L19" s="93" t="s">
        <v>881</v>
      </c>
    </row>
    <row r="20" spans="1:12" ht="29.15" x14ac:dyDescent="0.4">
      <c r="A20" s="93" t="s">
        <v>566</v>
      </c>
      <c r="B20" s="93" t="s">
        <v>18</v>
      </c>
      <c r="C20" s="93" t="s">
        <v>520</v>
      </c>
      <c r="D20" s="111" t="s">
        <v>521</v>
      </c>
      <c r="E20" s="93" t="s">
        <v>505</v>
      </c>
      <c r="F20" s="93"/>
      <c r="G20" s="93" t="s">
        <v>691</v>
      </c>
      <c r="H20" s="93"/>
      <c r="I20" s="111"/>
      <c r="J20" s="93" t="s">
        <v>687</v>
      </c>
      <c r="K20" s="109">
        <v>46218</v>
      </c>
      <c r="L20" s="93" t="s">
        <v>881</v>
      </c>
    </row>
    <row r="21" spans="1:12" x14ac:dyDescent="0.4">
      <c r="A21" s="93" t="s">
        <v>566</v>
      </c>
      <c r="B21" s="93" t="s">
        <v>18</v>
      </c>
      <c r="C21" s="93" t="s">
        <v>526</v>
      </c>
      <c r="D21" s="111" t="s">
        <v>527</v>
      </c>
      <c r="E21" s="93" t="s">
        <v>191</v>
      </c>
      <c r="F21" s="93">
        <v>3</v>
      </c>
      <c r="G21" s="93" t="s">
        <v>691</v>
      </c>
      <c r="H21" s="93">
        <v>3</v>
      </c>
      <c r="I21" s="111"/>
      <c r="J21" s="93" t="s">
        <v>687</v>
      </c>
      <c r="K21" s="109">
        <v>46218</v>
      </c>
      <c r="L21" s="93" t="s">
        <v>881</v>
      </c>
    </row>
    <row r="22" spans="1:12" x14ac:dyDescent="0.4">
      <c r="A22" s="93" t="s">
        <v>566</v>
      </c>
      <c r="B22" s="93" t="s">
        <v>18</v>
      </c>
      <c r="C22" s="93" t="s">
        <v>526</v>
      </c>
      <c r="D22" s="111" t="s">
        <v>527</v>
      </c>
      <c r="E22" s="93" t="s">
        <v>277</v>
      </c>
      <c r="F22" s="93">
        <v>2</v>
      </c>
      <c r="G22" s="93" t="s">
        <v>691</v>
      </c>
      <c r="H22" s="93">
        <v>2</v>
      </c>
      <c r="I22" s="111"/>
      <c r="J22" s="93" t="s">
        <v>687</v>
      </c>
      <c r="K22" s="109">
        <v>46218</v>
      </c>
      <c r="L22" s="93" t="s">
        <v>881</v>
      </c>
    </row>
    <row r="23" spans="1:12" x14ac:dyDescent="0.4">
      <c r="A23" s="93" t="s">
        <v>566</v>
      </c>
      <c r="B23" s="93" t="s">
        <v>18</v>
      </c>
      <c r="C23" s="93" t="s">
        <v>526</v>
      </c>
      <c r="D23" s="111" t="s">
        <v>527</v>
      </c>
      <c r="E23" s="93" t="s">
        <v>194</v>
      </c>
      <c r="F23" s="93">
        <v>3</v>
      </c>
      <c r="G23" s="93" t="s">
        <v>691</v>
      </c>
      <c r="H23" s="93">
        <v>3</v>
      </c>
      <c r="I23" s="111"/>
      <c r="J23" s="93" t="s">
        <v>687</v>
      </c>
      <c r="K23" s="109">
        <v>46218</v>
      </c>
      <c r="L23" s="93" t="s">
        <v>881</v>
      </c>
    </row>
    <row r="24" spans="1:12" x14ac:dyDescent="0.4">
      <c r="A24" s="93" t="s">
        <v>566</v>
      </c>
      <c r="B24" s="93" t="s">
        <v>18</v>
      </c>
      <c r="C24" s="93" t="s">
        <v>526</v>
      </c>
      <c r="D24" s="111" t="s">
        <v>527</v>
      </c>
      <c r="E24" s="93" t="s">
        <v>192</v>
      </c>
      <c r="F24" s="93">
        <v>3</v>
      </c>
      <c r="G24" s="93" t="s">
        <v>691</v>
      </c>
      <c r="H24" s="93">
        <v>3</v>
      </c>
      <c r="I24" s="111"/>
      <c r="J24" s="93" t="s">
        <v>687</v>
      </c>
      <c r="K24" s="109">
        <v>46218</v>
      </c>
      <c r="L24" s="93" t="s">
        <v>881</v>
      </c>
    </row>
    <row r="25" spans="1:12" x14ac:dyDescent="0.4">
      <c r="A25" s="93" t="s">
        <v>566</v>
      </c>
      <c r="B25" s="93" t="s">
        <v>18</v>
      </c>
      <c r="C25" s="93" t="s">
        <v>526</v>
      </c>
      <c r="D25" s="111" t="s">
        <v>527</v>
      </c>
      <c r="E25" s="93" t="s">
        <v>505</v>
      </c>
      <c r="F25" s="93"/>
      <c r="G25" s="93" t="s">
        <v>691</v>
      </c>
      <c r="H25" s="93"/>
      <c r="I25" s="111"/>
      <c r="J25" s="93" t="s">
        <v>687</v>
      </c>
      <c r="K25" s="109">
        <v>46218</v>
      </c>
      <c r="L25" s="93" t="s">
        <v>881</v>
      </c>
    </row>
    <row r="26" spans="1:12" x14ac:dyDescent="0.4">
      <c r="A26" s="93" t="s">
        <v>566</v>
      </c>
      <c r="B26" s="93" t="s">
        <v>18</v>
      </c>
      <c r="C26" s="93" t="s">
        <v>530</v>
      </c>
      <c r="D26" s="111" t="s">
        <v>531</v>
      </c>
      <c r="E26" s="93" t="s">
        <v>191</v>
      </c>
      <c r="F26" s="93">
        <v>3</v>
      </c>
      <c r="G26" s="93" t="s">
        <v>691</v>
      </c>
      <c r="H26" s="93">
        <v>3</v>
      </c>
      <c r="I26" s="111"/>
      <c r="J26" s="93" t="s">
        <v>687</v>
      </c>
      <c r="K26" s="109">
        <v>46218</v>
      </c>
      <c r="L26" s="93" t="s">
        <v>881</v>
      </c>
    </row>
    <row r="27" spans="1:12" x14ac:dyDescent="0.4">
      <c r="A27" s="93" t="s">
        <v>566</v>
      </c>
      <c r="B27" s="93" t="s">
        <v>18</v>
      </c>
      <c r="C27" s="93" t="s">
        <v>530</v>
      </c>
      <c r="D27" s="111" t="s">
        <v>531</v>
      </c>
      <c r="E27" s="93" t="s">
        <v>277</v>
      </c>
      <c r="F27" s="93">
        <v>3</v>
      </c>
      <c r="G27" s="93" t="s">
        <v>691</v>
      </c>
      <c r="H27" s="93">
        <v>3</v>
      </c>
      <c r="I27" s="111"/>
      <c r="J27" s="93" t="s">
        <v>687</v>
      </c>
      <c r="K27" s="109">
        <v>46218</v>
      </c>
      <c r="L27" s="93" t="s">
        <v>881</v>
      </c>
    </row>
    <row r="28" spans="1:12" x14ac:dyDescent="0.4">
      <c r="A28" s="93" t="s">
        <v>566</v>
      </c>
      <c r="B28" s="93" t="s">
        <v>18</v>
      </c>
      <c r="C28" s="93" t="s">
        <v>530</v>
      </c>
      <c r="D28" s="111" t="s">
        <v>531</v>
      </c>
      <c r="E28" s="93" t="s">
        <v>194</v>
      </c>
      <c r="F28" s="93">
        <v>3</v>
      </c>
      <c r="G28" s="93" t="s">
        <v>691</v>
      </c>
      <c r="H28" s="93">
        <v>3</v>
      </c>
      <c r="I28" s="111"/>
      <c r="J28" s="93" t="s">
        <v>687</v>
      </c>
      <c r="K28" s="109">
        <v>46218</v>
      </c>
      <c r="L28" s="93" t="s">
        <v>881</v>
      </c>
    </row>
    <row r="29" spans="1:12" x14ac:dyDescent="0.4">
      <c r="A29" s="93" t="s">
        <v>566</v>
      </c>
      <c r="B29" s="93" t="s">
        <v>18</v>
      </c>
      <c r="C29" s="93" t="s">
        <v>530</v>
      </c>
      <c r="D29" s="111" t="s">
        <v>531</v>
      </c>
      <c r="E29" s="93" t="s">
        <v>192</v>
      </c>
      <c r="F29" s="93">
        <v>3</v>
      </c>
      <c r="G29" s="93" t="s">
        <v>691</v>
      </c>
      <c r="H29" s="93">
        <v>3</v>
      </c>
      <c r="I29" s="111"/>
      <c r="J29" s="93" t="s">
        <v>687</v>
      </c>
      <c r="K29" s="109">
        <v>46218</v>
      </c>
      <c r="L29" s="93" t="s">
        <v>881</v>
      </c>
    </row>
    <row r="30" spans="1:12" x14ac:dyDescent="0.4">
      <c r="A30" s="93" t="s">
        <v>566</v>
      </c>
      <c r="B30" s="93" t="s">
        <v>18</v>
      </c>
      <c r="C30" s="93" t="s">
        <v>530</v>
      </c>
      <c r="D30" s="111" t="s">
        <v>531</v>
      </c>
      <c r="E30" s="93" t="s">
        <v>505</v>
      </c>
      <c r="F30" s="93"/>
      <c r="G30" s="93" t="s">
        <v>691</v>
      </c>
      <c r="H30" s="93"/>
      <c r="I30" s="111"/>
      <c r="J30" s="93" t="s">
        <v>687</v>
      </c>
      <c r="K30" s="109">
        <v>46218</v>
      </c>
      <c r="L30" s="93" t="s">
        <v>881</v>
      </c>
    </row>
    <row r="31" spans="1:12" ht="29.15" x14ac:dyDescent="0.4">
      <c r="A31" s="93" t="s">
        <v>566</v>
      </c>
      <c r="B31" s="93" t="s">
        <v>18</v>
      </c>
      <c r="C31" s="93" t="s">
        <v>535</v>
      </c>
      <c r="D31" s="111" t="s">
        <v>536</v>
      </c>
      <c r="E31" s="93" t="s">
        <v>191</v>
      </c>
      <c r="F31" s="93">
        <v>3</v>
      </c>
      <c r="G31" s="93" t="s">
        <v>691</v>
      </c>
      <c r="H31" s="93">
        <v>3</v>
      </c>
      <c r="I31" s="111"/>
      <c r="J31" s="93" t="s">
        <v>687</v>
      </c>
      <c r="K31" s="109">
        <v>46218</v>
      </c>
      <c r="L31" s="93" t="s">
        <v>881</v>
      </c>
    </row>
    <row r="32" spans="1:12" ht="29.15" x14ac:dyDescent="0.4">
      <c r="A32" s="93" t="s">
        <v>566</v>
      </c>
      <c r="B32" s="93" t="s">
        <v>18</v>
      </c>
      <c r="C32" s="93" t="s">
        <v>535</v>
      </c>
      <c r="D32" s="111" t="s">
        <v>536</v>
      </c>
      <c r="E32" s="93" t="s">
        <v>277</v>
      </c>
      <c r="F32" s="93">
        <v>3</v>
      </c>
      <c r="G32" s="93" t="s">
        <v>691</v>
      </c>
      <c r="H32" s="93">
        <v>3</v>
      </c>
      <c r="I32" s="111"/>
      <c r="J32" s="93" t="s">
        <v>687</v>
      </c>
      <c r="K32" s="109">
        <v>46218</v>
      </c>
      <c r="L32" s="93" t="s">
        <v>881</v>
      </c>
    </row>
    <row r="33" spans="1:12" ht="29.15" x14ac:dyDescent="0.4">
      <c r="A33" s="93" t="s">
        <v>566</v>
      </c>
      <c r="B33" s="93" t="s">
        <v>18</v>
      </c>
      <c r="C33" s="93" t="s">
        <v>535</v>
      </c>
      <c r="D33" s="111" t="s">
        <v>536</v>
      </c>
      <c r="E33" s="93" t="s">
        <v>194</v>
      </c>
      <c r="F33" s="93">
        <v>3</v>
      </c>
      <c r="G33" s="93" t="s">
        <v>691</v>
      </c>
      <c r="H33" s="93">
        <v>3</v>
      </c>
      <c r="I33" s="111"/>
      <c r="J33" s="93" t="s">
        <v>687</v>
      </c>
      <c r="K33" s="109">
        <v>46218</v>
      </c>
      <c r="L33" s="93" t="s">
        <v>881</v>
      </c>
    </row>
    <row r="34" spans="1:12" ht="29.15" x14ac:dyDescent="0.4">
      <c r="A34" s="93" t="s">
        <v>566</v>
      </c>
      <c r="B34" s="93" t="s">
        <v>18</v>
      </c>
      <c r="C34" s="93" t="s">
        <v>535</v>
      </c>
      <c r="D34" s="111" t="s">
        <v>536</v>
      </c>
      <c r="E34" s="93" t="s">
        <v>192</v>
      </c>
      <c r="F34" s="93">
        <v>3</v>
      </c>
      <c r="G34" s="93" t="s">
        <v>691</v>
      </c>
      <c r="H34" s="93">
        <v>3</v>
      </c>
      <c r="I34" s="111"/>
      <c r="J34" s="93" t="s">
        <v>687</v>
      </c>
      <c r="K34" s="109">
        <v>46218</v>
      </c>
      <c r="L34" s="93" t="s">
        <v>881</v>
      </c>
    </row>
    <row r="35" spans="1:12" ht="29.15" x14ac:dyDescent="0.4">
      <c r="A35" s="93" t="s">
        <v>566</v>
      </c>
      <c r="B35" s="93" t="s">
        <v>18</v>
      </c>
      <c r="C35" s="93" t="s">
        <v>535</v>
      </c>
      <c r="D35" s="111" t="s">
        <v>536</v>
      </c>
      <c r="E35" s="93" t="s">
        <v>505</v>
      </c>
      <c r="F35" s="93"/>
      <c r="G35" s="93" t="s">
        <v>691</v>
      </c>
      <c r="H35" s="93"/>
      <c r="I35" s="111"/>
      <c r="J35" s="93" t="s">
        <v>687</v>
      </c>
      <c r="K35" s="109">
        <v>46218</v>
      </c>
      <c r="L35" s="93" t="s">
        <v>881</v>
      </c>
    </row>
    <row r="36" spans="1:12" ht="29.15" x14ac:dyDescent="0.4">
      <c r="A36" s="93" t="s">
        <v>566</v>
      </c>
      <c r="B36" s="93" t="s">
        <v>18</v>
      </c>
      <c r="C36" s="93" t="s">
        <v>541</v>
      </c>
      <c r="D36" s="111" t="s">
        <v>542</v>
      </c>
      <c r="E36" s="93" t="s">
        <v>191</v>
      </c>
      <c r="F36" s="93">
        <v>4</v>
      </c>
      <c r="G36" s="93" t="s">
        <v>691</v>
      </c>
      <c r="H36" s="93">
        <v>4</v>
      </c>
      <c r="I36" s="111"/>
      <c r="J36" s="93" t="s">
        <v>687</v>
      </c>
      <c r="K36" s="109">
        <v>46218</v>
      </c>
      <c r="L36" s="93" t="s">
        <v>881</v>
      </c>
    </row>
    <row r="37" spans="1:12" ht="29.15" x14ac:dyDescent="0.4">
      <c r="A37" s="93" t="s">
        <v>566</v>
      </c>
      <c r="B37" s="93" t="s">
        <v>18</v>
      </c>
      <c r="C37" s="93" t="s">
        <v>541</v>
      </c>
      <c r="D37" s="111" t="s">
        <v>542</v>
      </c>
      <c r="E37" s="93" t="s">
        <v>277</v>
      </c>
      <c r="F37" s="93">
        <v>5</v>
      </c>
      <c r="G37" s="93" t="s">
        <v>691</v>
      </c>
      <c r="H37" s="93">
        <v>5</v>
      </c>
      <c r="I37" s="111"/>
      <c r="J37" s="93" t="s">
        <v>687</v>
      </c>
      <c r="K37" s="109">
        <v>46218</v>
      </c>
      <c r="L37" s="93" t="s">
        <v>881</v>
      </c>
    </row>
    <row r="38" spans="1:12" ht="29.15" x14ac:dyDescent="0.4">
      <c r="A38" s="93" t="s">
        <v>566</v>
      </c>
      <c r="B38" s="93" t="s">
        <v>18</v>
      </c>
      <c r="C38" s="93" t="s">
        <v>541</v>
      </c>
      <c r="D38" s="111" t="s">
        <v>542</v>
      </c>
      <c r="E38" s="93" t="s">
        <v>194</v>
      </c>
      <c r="F38" s="93">
        <v>3</v>
      </c>
      <c r="G38" s="93" t="s">
        <v>691</v>
      </c>
      <c r="H38" s="93">
        <v>3</v>
      </c>
      <c r="I38" s="111"/>
      <c r="J38" s="93" t="s">
        <v>687</v>
      </c>
      <c r="K38" s="109">
        <v>46218</v>
      </c>
      <c r="L38" s="93" t="s">
        <v>881</v>
      </c>
    </row>
    <row r="39" spans="1:12" ht="29.15" x14ac:dyDescent="0.4">
      <c r="A39" s="93" t="s">
        <v>566</v>
      </c>
      <c r="B39" s="93" t="s">
        <v>18</v>
      </c>
      <c r="C39" s="93" t="s">
        <v>541</v>
      </c>
      <c r="D39" s="111" t="s">
        <v>542</v>
      </c>
      <c r="E39" s="93" t="s">
        <v>192</v>
      </c>
      <c r="F39" s="93">
        <v>3</v>
      </c>
      <c r="G39" s="93" t="s">
        <v>691</v>
      </c>
      <c r="H39" s="93">
        <v>3</v>
      </c>
      <c r="I39" s="111"/>
      <c r="J39" s="93" t="s">
        <v>687</v>
      </c>
      <c r="K39" s="109">
        <v>46218</v>
      </c>
      <c r="L39" s="93" t="s">
        <v>881</v>
      </c>
    </row>
    <row r="40" spans="1:12" ht="29.15" x14ac:dyDescent="0.4">
      <c r="A40" s="93" t="s">
        <v>566</v>
      </c>
      <c r="B40" s="93" t="s">
        <v>18</v>
      </c>
      <c r="C40" s="93" t="s">
        <v>541</v>
      </c>
      <c r="D40" s="111" t="s">
        <v>542</v>
      </c>
      <c r="E40" s="93" t="s">
        <v>505</v>
      </c>
      <c r="F40" s="93"/>
      <c r="G40" s="93" t="s">
        <v>691</v>
      </c>
      <c r="H40" s="93"/>
      <c r="I40" s="111"/>
      <c r="J40" s="93" t="s">
        <v>687</v>
      </c>
      <c r="K40" s="109">
        <v>46218</v>
      </c>
      <c r="L40" s="93" t="s">
        <v>881</v>
      </c>
    </row>
    <row r="41" spans="1:12" x14ac:dyDescent="0.4">
      <c r="A41" s="93" t="s">
        <v>566</v>
      </c>
      <c r="B41" s="93" t="s">
        <v>18</v>
      </c>
      <c r="C41" s="93" t="s">
        <v>545</v>
      </c>
      <c r="D41" s="111" t="s">
        <v>546</v>
      </c>
      <c r="E41" s="93" t="s">
        <v>191</v>
      </c>
      <c r="F41" s="93">
        <v>3</v>
      </c>
      <c r="G41" s="93" t="s">
        <v>691</v>
      </c>
      <c r="H41" s="93">
        <v>3</v>
      </c>
      <c r="I41" s="111"/>
      <c r="J41" s="93" t="s">
        <v>687</v>
      </c>
      <c r="K41" s="109">
        <v>46218</v>
      </c>
      <c r="L41" s="93" t="s">
        <v>881</v>
      </c>
    </row>
    <row r="42" spans="1:12" x14ac:dyDescent="0.4">
      <c r="A42" s="93" t="s">
        <v>566</v>
      </c>
      <c r="B42" s="93" t="s">
        <v>18</v>
      </c>
      <c r="C42" s="93" t="s">
        <v>545</v>
      </c>
      <c r="D42" s="111" t="s">
        <v>546</v>
      </c>
      <c r="E42" s="93" t="s">
        <v>277</v>
      </c>
      <c r="F42" s="93">
        <v>3</v>
      </c>
      <c r="G42" s="93" t="s">
        <v>691</v>
      </c>
      <c r="H42" s="93">
        <v>3</v>
      </c>
      <c r="I42" s="111"/>
      <c r="J42" s="93" t="s">
        <v>687</v>
      </c>
      <c r="K42" s="109">
        <v>46218</v>
      </c>
      <c r="L42" s="93" t="s">
        <v>881</v>
      </c>
    </row>
    <row r="43" spans="1:12" x14ac:dyDescent="0.4">
      <c r="A43" s="93" t="s">
        <v>566</v>
      </c>
      <c r="B43" s="93" t="s">
        <v>18</v>
      </c>
      <c r="C43" s="93" t="s">
        <v>545</v>
      </c>
      <c r="D43" s="111" t="s">
        <v>546</v>
      </c>
      <c r="E43" s="93" t="s">
        <v>194</v>
      </c>
      <c r="F43" s="93">
        <v>3</v>
      </c>
      <c r="G43" s="93" t="s">
        <v>691</v>
      </c>
      <c r="H43" s="93">
        <v>3</v>
      </c>
      <c r="I43" s="111"/>
      <c r="J43" s="93" t="s">
        <v>687</v>
      </c>
      <c r="K43" s="109">
        <v>46218</v>
      </c>
      <c r="L43" s="93" t="s">
        <v>881</v>
      </c>
    </row>
    <row r="44" spans="1:12" x14ac:dyDescent="0.4">
      <c r="A44" s="93" t="s">
        <v>566</v>
      </c>
      <c r="B44" s="93" t="s">
        <v>18</v>
      </c>
      <c r="C44" s="93" t="s">
        <v>545</v>
      </c>
      <c r="D44" s="111" t="s">
        <v>546</v>
      </c>
      <c r="E44" s="93" t="s">
        <v>192</v>
      </c>
      <c r="F44" s="93">
        <v>2</v>
      </c>
      <c r="G44" s="93" t="s">
        <v>691</v>
      </c>
      <c r="H44" s="93">
        <v>2</v>
      </c>
      <c r="I44" s="111"/>
      <c r="J44" s="93" t="s">
        <v>687</v>
      </c>
      <c r="K44" s="109">
        <v>46218</v>
      </c>
      <c r="L44" s="93" t="s">
        <v>881</v>
      </c>
    </row>
    <row r="45" spans="1:12" x14ac:dyDescent="0.4">
      <c r="A45" s="93" t="s">
        <v>566</v>
      </c>
      <c r="B45" s="93" t="s">
        <v>18</v>
      </c>
      <c r="C45" s="93" t="s">
        <v>545</v>
      </c>
      <c r="D45" s="111" t="s">
        <v>546</v>
      </c>
      <c r="E45" s="93" t="s">
        <v>505</v>
      </c>
      <c r="F45" s="93"/>
      <c r="G45" s="93" t="s">
        <v>691</v>
      </c>
      <c r="H45" s="93"/>
      <c r="I45" s="111"/>
      <c r="J45" s="93" t="s">
        <v>687</v>
      </c>
      <c r="K45" s="109">
        <v>46218</v>
      </c>
      <c r="L45" s="93" t="s">
        <v>881</v>
      </c>
    </row>
    <row r="46" spans="1:12" ht="29.15" x14ac:dyDescent="0.4">
      <c r="A46" s="93" t="s">
        <v>566</v>
      </c>
      <c r="B46" s="93" t="s">
        <v>18</v>
      </c>
      <c r="C46" s="93" t="s">
        <v>550</v>
      </c>
      <c r="D46" s="111" t="s">
        <v>551</v>
      </c>
      <c r="E46" s="93" t="s">
        <v>191</v>
      </c>
      <c r="F46" s="93">
        <v>4</v>
      </c>
      <c r="G46" s="93" t="s">
        <v>691</v>
      </c>
      <c r="H46" s="93">
        <v>4</v>
      </c>
      <c r="I46" s="111"/>
      <c r="J46" s="93" t="s">
        <v>687</v>
      </c>
      <c r="K46" s="109">
        <v>46218</v>
      </c>
      <c r="L46" s="93" t="s">
        <v>881</v>
      </c>
    </row>
    <row r="47" spans="1:12" ht="29.15" x14ac:dyDescent="0.4">
      <c r="A47" s="93" t="s">
        <v>566</v>
      </c>
      <c r="B47" s="93" t="s">
        <v>18</v>
      </c>
      <c r="C47" s="93" t="s">
        <v>550</v>
      </c>
      <c r="D47" s="111" t="s">
        <v>551</v>
      </c>
      <c r="E47" s="93" t="s">
        <v>277</v>
      </c>
      <c r="F47" s="93">
        <v>3</v>
      </c>
      <c r="G47" s="93" t="s">
        <v>691</v>
      </c>
      <c r="H47" s="93">
        <v>3</v>
      </c>
      <c r="I47" s="111"/>
      <c r="J47" s="93" t="s">
        <v>687</v>
      </c>
      <c r="K47" s="109">
        <v>46218</v>
      </c>
      <c r="L47" s="93" t="s">
        <v>881</v>
      </c>
    </row>
    <row r="48" spans="1:12" ht="29.15" x14ac:dyDescent="0.4">
      <c r="A48" s="93" t="s">
        <v>566</v>
      </c>
      <c r="B48" s="93" t="s">
        <v>18</v>
      </c>
      <c r="C48" s="93" t="s">
        <v>550</v>
      </c>
      <c r="D48" s="111" t="s">
        <v>551</v>
      </c>
      <c r="E48" s="93" t="s">
        <v>194</v>
      </c>
      <c r="F48" s="93">
        <v>2</v>
      </c>
      <c r="G48" s="93" t="s">
        <v>691</v>
      </c>
      <c r="H48" s="93">
        <v>2</v>
      </c>
      <c r="I48" s="111"/>
      <c r="J48" s="93" t="s">
        <v>687</v>
      </c>
      <c r="K48" s="109">
        <v>46218</v>
      </c>
      <c r="L48" s="93" t="s">
        <v>881</v>
      </c>
    </row>
    <row r="49" spans="1:12" ht="29.15" x14ac:dyDescent="0.4">
      <c r="A49" s="93" t="s">
        <v>566</v>
      </c>
      <c r="B49" s="93" t="s">
        <v>18</v>
      </c>
      <c r="C49" s="93" t="s">
        <v>550</v>
      </c>
      <c r="D49" s="111" t="s">
        <v>551</v>
      </c>
      <c r="E49" s="93" t="s">
        <v>192</v>
      </c>
      <c r="F49" s="93">
        <v>2</v>
      </c>
      <c r="G49" s="93" t="s">
        <v>691</v>
      </c>
      <c r="H49" s="93">
        <v>2</v>
      </c>
      <c r="I49" s="111"/>
      <c r="J49" s="93" t="s">
        <v>687</v>
      </c>
      <c r="K49" s="109">
        <v>46218</v>
      </c>
      <c r="L49" s="93" t="s">
        <v>881</v>
      </c>
    </row>
    <row r="50" spans="1:12" ht="29.15" x14ac:dyDescent="0.4">
      <c r="A50" s="93" t="s">
        <v>566</v>
      </c>
      <c r="B50" s="93" t="s">
        <v>18</v>
      </c>
      <c r="C50" s="93" t="s">
        <v>550</v>
      </c>
      <c r="D50" s="111" t="s">
        <v>551</v>
      </c>
      <c r="E50" s="93" t="s">
        <v>505</v>
      </c>
      <c r="F50" s="93"/>
      <c r="G50" s="93" t="s">
        <v>691</v>
      </c>
      <c r="H50" s="93"/>
      <c r="I50" s="111"/>
      <c r="J50" s="93" t="s">
        <v>687</v>
      </c>
      <c r="K50" s="109">
        <v>46218</v>
      </c>
      <c r="L50" s="93" t="s">
        <v>881</v>
      </c>
    </row>
    <row r="51" spans="1:12" ht="29.15" x14ac:dyDescent="0.4">
      <c r="A51" s="93" t="s">
        <v>566</v>
      </c>
      <c r="B51" s="93" t="s">
        <v>18</v>
      </c>
      <c r="C51" s="93" t="s">
        <v>555</v>
      </c>
      <c r="D51" s="111" t="s">
        <v>556</v>
      </c>
      <c r="E51" s="93" t="s">
        <v>191</v>
      </c>
      <c r="F51" s="93">
        <v>3</v>
      </c>
      <c r="G51" s="93" t="s">
        <v>691</v>
      </c>
      <c r="H51" s="93">
        <v>3</v>
      </c>
      <c r="I51" s="111" t="s">
        <v>1353</v>
      </c>
      <c r="J51" s="93" t="s">
        <v>687</v>
      </c>
      <c r="K51" s="109">
        <v>46218</v>
      </c>
      <c r="L51" s="93" t="s">
        <v>881</v>
      </c>
    </row>
    <row r="52" spans="1:12" ht="29.15" x14ac:dyDescent="0.4">
      <c r="A52" s="93" t="s">
        <v>566</v>
      </c>
      <c r="B52" s="93" t="s">
        <v>18</v>
      </c>
      <c r="C52" s="93" t="s">
        <v>555</v>
      </c>
      <c r="D52" s="111" t="s">
        <v>556</v>
      </c>
      <c r="E52" s="93" t="s">
        <v>277</v>
      </c>
      <c r="F52" s="93"/>
      <c r="G52" s="93" t="s">
        <v>691</v>
      </c>
      <c r="H52" s="93"/>
      <c r="I52" s="111" t="s">
        <v>1353</v>
      </c>
      <c r="J52" s="93" t="s">
        <v>687</v>
      </c>
      <c r="K52" s="109">
        <v>46218</v>
      </c>
      <c r="L52" s="93" t="s">
        <v>881</v>
      </c>
    </row>
    <row r="53" spans="1:12" ht="29.15" x14ac:dyDescent="0.4">
      <c r="A53" s="93" t="s">
        <v>566</v>
      </c>
      <c r="B53" s="93" t="s">
        <v>18</v>
      </c>
      <c r="C53" s="93" t="s">
        <v>555</v>
      </c>
      <c r="D53" s="111" t="s">
        <v>556</v>
      </c>
      <c r="E53" s="93" t="s">
        <v>194</v>
      </c>
      <c r="F53" s="93">
        <v>3</v>
      </c>
      <c r="G53" s="93" t="s">
        <v>691</v>
      </c>
      <c r="H53" s="93">
        <v>3</v>
      </c>
      <c r="I53" s="111" t="s">
        <v>1353</v>
      </c>
      <c r="J53" s="93" t="s">
        <v>687</v>
      </c>
      <c r="K53" s="109">
        <v>46218</v>
      </c>
      <c r="L53" s="93" t="s">
        <v>881</v>
      </c>
    </row>
    <row r="54" spans="1:12" ht="29.15" x14ac:dyDescent="0.4">
      <c r="A54" s="93" t="s">
        <v>566</v>
      </c>
      <c r="B54" s="93" t="s">
        <v>18</v>
      </c>
      <c r="C54" s="93" t="s">
        <v>555</v>
      </c>
      <c r="D54" s="111" t="s">
        <v>556</v>
      </c>
      <c r="E54" s="93" t="s">
        <v>192</v>
      </c>
      <c r="F54" s="93">
        <v>4</v>
      </c>
      <c r="G54" s="93" t="s">
        <v>869</v>
      </c>
      <c r="H54" s="93">
        <v>3</v>
      </c>
      <c r="I54" s="111" t="s">
        <v>1353</v>
      </c>
      <c r="J54" s="93" t="s">
        <v>687</v>
      </c>
      <c r="K54" s="109">
        <v>46218</v>
      </c>
      <c r="L54" s="93" t="s">
        <v>881</v>
      </c>
    </row>
    <row r="55" spans="1:12" ht="29.15" x14ac:dyDescent="0.4">
      <c r="A55" s="93" t="s">
        <v>566</v>
      </c>
      <c r="B55" s="93" t="s">
        <v>18</v>
      </c>
      <c r="C55" s="93" t="s">
        <v>555</v>
      </c>
      <c r="D55" s="111" t="s">
        <v>556</v>
      </c>
      <c r="E55" s="93" t="s">
        <v>505</v>
      </c>
      <c r="F55" s="93"/>
      <c r="G55" s="93" t="s">
        <v>691</v>
      </c>
      <c r="H55" s="93"/>
      <c r="I55" s="111" t="s">
        <v>1353</v>
      </c>
      <c r="J55" s="93" t="s">
        <v>687</v>
      </c>
      <c r="K55" s="109">
        <v>46218</v>
      </c>
      <c r="L55" s="93" t="s">
        <v>881</v>
      </c>
    </row>
    <row r="56" spans="1:12" x14ac:dyDescent="0.4">
      <c r="A56" s="93" t="s">
        <v>566</v>
      </c>
      <c r="B56" s="93" t="s">
        <v>18</v>
      </c>
      <c r="C56" s="93" t="s">
        <v>562</v>
      </c>
      <c r="D56" s="111" t="s">
        <v>563</v>
      </c>
      <c r="E56" s="93" t="s">
        <v>191</v>
      </c>
      <c r="F56" s="93">
        <v>3</v>
      </c>
      <c r="G56" s="93" t="s">
        <v>691</v>
      </c>
      <c r="H56" s="93">
        <v>3</v>
      </c>
      <c r="I56" s="111"/>
      <c r="J56" s="93" t="s">
        <v>687</v>
      </c>
      <c r="K56" s="109">
        <v>46218</v>
      </c>
      <c r="L56" s="93" t="s">
        <v>881</v>
      </c>
    </row>
    <row r="57" spans="1:12" x14ac:dyDescent="0.4">
      <c r="A57" s="93" t="s">
        <v>566</v>
      </c>
      <c r="B57" s="93" t="s">
        <v>18</v>
      </c>
      <c r="C57" s="93" t="s">
        <v>562</v>
      </c>
      <c r="D57" s="111" t="s">
        <v>563</v>
      </c>
      <c r="E57" s="93" t="s">
        <v>277</v>
      </c>
      <c r="F57" s="93">
        <v>2</v>
      </c>
      <c r="G57" s="93" t="s">
        <v>691</v>
      </c>
      <c r="H57" s="93">
        <v>2</v>
      </c>
      <c r="I57" s="111"/>
      <c r="J57" s="93" t="s">
        <v>687</v>
      </c>
      <c r="K57" s="109">
        <v>46218</v>
      </c>
      <c r="L57" s="93" t="s">
        <v>881</v>
      </c>
    </row>
    <row r="58" spans="1:12" x14ac:dyDescent="0.4">
      <c r="A58" s="93" t="s">
        <v>566</v>
      </c>
      <c r="B58" s="93" t="s">
        <v>18</v>
      </c>
      <c r="C58" s="93" t="s">
        <v>562</v>
      </c>
      <c r="D58" s="111" t="s">
        <v>563</v>
      </c>
      <c r="E58" s="93" t="s">
        <v>194</v>
      </c>
      <c r="F58" s="93">
        <v>3</v>
      </c>
      <c r="G58" s="93" t="s">
        <v>691</v>
      </c>
      <c r="H58" s="93">
        <v>3</v>
      </c>
      <c r="I58" s="111"/>
      <c r="J58" s="93" t="s">
        <v>687</v>
      </c>
      <c r="K58" s="109">
        <v>46218</v>
      </c>
      <c r="L58" s="93" t="s">
        <v>881</v>
      </c>
    </row>
    <row r="59" spans="1:12" x14ac:dyDescent="0.4">
      <c r="A59" s="93" t="s">
        <v>566</v>
      </c>
      <c r="B59" s="93" t="s">
        <v>18</v>
      </c>
      <c r="C59" s="93" t="s">
        <v>562</v>
      </c>
      <c r="D59" s="111" t="s">
        <v>563</v>
      </c>
      <c r="E59" s="93" t="s">
        <v>192</v>
      </c>
      <c r="F59" s="93">
        <v>3</v>
      </c>
      <c r="G59" s="93" t="s">
        <v>691</v>
      </c>
      <c r="H59" s="93">
        <v>3</v>
      </c>
      <c r="I59" s="111"/>
      <c r="J59" s="93" t="s">
        <v>687</v>
      </c>
      <c r="K59" s="109">
        <v>46218</v>
      </c>
      <c r="L59" s="93" t="s">
        <v>881</v>
      </c>
    </row>
    <row r="60" spans="1:12" x14ac:dyDescent="0.4">
      <c r="A60" s="93" t="s">
        <v>566</v>
      </c>
      <c r="B60" s="93" t="s">
        <v>18</v>
      </c>
      <c r="C60" s="93" t="s">
        <v>562</v>
      </c>
      <c r="D60" s="111" t="s">
        <v>563</v>
      </c>
      <c r="E60" s="93" t="s">
        <v>505</v>
      </c>
      <c r="F60" s="93">
        <v>3</v>
      </c>
      <c r="G60" s="93" t="s">
        <v>691</v>
      </c>
      <c r="H60" s="93">
        <v>3</v>
      </c>
      <c r="I60" s="111"/>
      <c r="J60" s="93" t="s">
        <v>687</v>
      </c>
      <c r="K60" s="109">
        <v>46218</v>
      </c>
      <c r="L60" s="93" t="s">
        <v>881</v>
      </c>
    </row>
    <row r="61" spans="1:12" ht="29.15" x14ac:dyDescent="0.4">
      <c r="A61" s="93" t="s">
        <v>566</v>
      </c>
      <c r="B61" s="93" t="s">
        <v>18</v>
      </c>
      <c r="C61" s="93" t="s">
        <v>569</v>
      </c>
      <c r="D61" s="111" t="s">
        <v>570</v>
      </c>
      <c r="E61" s="93" t="s">
        <v>191</v>
      </c>
      <c r="F61" s="93">
        <v>3</v>
      </c>
      <c r="G61" s="93" t="s">
        <v>691</v>
      </c>
      <c r="H61" s="93">
        <v>3</v>
      </c>
      <c r="I61" s="111" t="s">
        <v>1354</v>
      </c>
      <c r="J61" s="93" t="s">
        <v>687</v>
      </c>
      <c r="K61" s="109">
        <v>46218</v>
      </c>
      <c r="L61" s="93" t="s">
        <v>881</v>
      </c>
    </row>
    <row r="62" spans="1:12" ht="29.15" x14ac:dyDescent="0.4">
      <c r="A62" s="93" t="s">
        <v>566</v>
      </c>
      <c r="B62" s="93" t="s">
        <v>18</v>
      </c>
      <c r="C62" s="93" t="s">
        <v>569</v>
      </c>
      <c r="D62" s="111" t="s">
        <v>570</v>
      </c>
      <c r="E62" s="93" t="s">
        <v>277</v>
      </c>
      <c r="F62" s="93">
        <v>4</v>
      </c>
      <c r="G62" s="93" t="s">
        <v>691</v>
      </c>
      <c r="H62" s="93">
        <v>4</v>
      </c>
      <c r="I62" s="111" t="s">
        <v>1354</v>
      </c>
      <c r="J62" s="93" t="s">
        <v>687</v>
      </c>
      <c r="K62" s="109">
        <v>46218</v>
      </c>
      <c r="L62" s="93" t="s">
        <v>881</v>
      </c>
    </row>
    <row r="63" spans="1:12" ht="29.15" x14ac:dyDescent="0.4">
      <c r="A63" s="93" t="s">
        <v>566</v>
      </c>
      <c r="B63" s="93" t="s">
        <v>18</v>
      </c>
      <c r="C63" s="93" t="s">
        <v>569</v>
      </c>
      <c r="D63" s="111" t="s">
        <v>570</v>
      </c>
      <c r="E63" s="93" t="s">
        <v>194</v>
      </c>
      <c r="F63" s="93">
        <v>4</v>
      </c>
      <c r="G63" s="93" t="s">
        <v>691</v>
      </c>
      <c r="H63" s="93">
        <v>4</v>
      </c>
      <c r="I63" s="111" t="s">
        <v>1354</v>
      </c>
      <c r="J63" s="93" t="s">
        <v>687</v>
      </c>
      <c r="K63" s="109">
        <v>46218</v>
      </c>
      <c r="L63" s="93" t="s">
        <v>881</v>
      </c>
    </row>
    <row r="64" spans="1:12" ht="29.15" x14ac:dyDescent="0.4">
      <c r="A64" s="93" t="s">
        <v>566</v>
      </c>
      <c r="B64" s="93" t="s">
        <v>18</v>
      </c>
      <c r="C64" s="93" t="s">
        <v>569</v>
      </c>
      <c r="D64" s="111" t="s">
        <v>570</v>
      </c>
      <c r="E64" s="93" t="s">
        <v>192</v>
      </c>
      <c r="F64" s="93">
        <v>4</v>
      </c>
      <c r="G64" s="93" t="s">
        <v>691</v>
      </c>
      <c r="H64" s="93">
        <v>4</v>
      </c>
      <c r="I64" s="111" t="s">
        <v>1354</v>
      </c>
      <c r="J64" s="93" t="s">
        <v>687</v>
      </c>
      <c r="K64" s="109">
        <v>46218</v>
      </c>
      <c r="L64" s="93" t="s">
        <v>881</v>
      </c>
    </row>
    <row r="65" spans="1:12" ht="29.15" x14ac:dyDescent="0.4">
      <c r="A65" s="93" t="s">
        <v>566</v>
      </c>
      <c r="B65" s="93" t="s">
        <v>18</v>
      </c>
      <c r="C65" s="93" t="s">
        <v>569</v>
      </c>
      <c r="D65" s="111" t="s">
        <v>570</v>
      </c>
      <c r="E65" s="93" t="s">
        <v>505</v>
      </c>
      <c r="F65" s="93"/>
      <c r="G65" s="93" t="s">
        <v>691</v>
      </c>
      <c r="H65" s="93"/>
      <c r="I65" s="111" t="s">
        <v>1354</v>
      </c>
      <c r="J65" s="93" t="s">
        <v>687</v>
      </c>
      <c r="K65" s="109">
        <v>46218</v>
      </c>
      <c r="L65" s="93" t="s">
        <v>881</v>
      </c>
    </row>
    <row r="66" spans="1:12" x14ac:dyDescent="0.4">
      <c r="A66" s="93" t="s">
        <v>566</v>
      </c>
      <c r="B66" s="93" t="s">
        <v>114</v>
      </c>
      <c r="C66" s="93" t="s">
        <v>410</v>
      </c>
      <c r="D66" s="111" t="s">
        <v>1150</v>
      </c>
      <c r="E66" s="93" t="s">
        <v>745</v>
      </c>
      <c r="F66" s="93">
        <v>4.2</v>
      </c>
      <c r="G66" s="93" t="s">
        <v>691</v>
      </c>
      <c r="H66" s="93">
        <v>4.2</v>
      </c>
      <c r="I66" s="111"/>
      <c r="J66" s="93" t="s">
        <v>687</v>
      </c>
      <c r="K66" s="109">
        <v>46218</v>
      </c>
      <c r="L66" s="93" t="s">
        <v>881</v>
      </c>
    </row>
    <row r="67" spans="1:12" x14ac:dyDescent="0.4">
      <c r="A67" s="93" t="s">
        <v>566</v>
      </c>
      <c r="B67" s="93" t="s">
        <v>114</v>
      </c>
      <c r="C67" s="93" t="s">
        <v>410</v>
      </c>
      <c r="D67" s="111" t="s">
        <v>1150</v>
      </c>
      <c r="E67" s="93" t="s">
        <v>739</v>
      </c>
      <c r="F67" s="93">
        <v>3</v>
      </c>
      <c r="G67" s="93" t="s">
        <v>691</v>
      </c>
      <c r="H67" s="93">
        <v>3</v>
      </c>
      <c r="I67" s="111"/>
      <c r="J67" s="93" t="s">
        <v>687</v>
      </c>
      <c r="K67" s="109">
        <v>46218</v>
      </c>
      <c r="L67" s="93" t="s">
        <v>881</v>
      </c>
    </row>
    <row r="68" spans="1:12" x14ac:dyDescent="0.4">
      <c r="A68" s="93" t="s">
        <v>566</v>
      </c>
      <c r="B68" s="93" t="s">
        <v>114</v>
      </c>
      <c r="C68" s="93" t="s">
        <v>410</v>
      </c>
      <c r="D68" s="111" t="s">
        <v>1150</v>
      </c>
      <c r="E68" s="93" t="s">
        <v>743</v>
      </c>
      <c r="F68" s="93">
        <v>6</v>
      </c>
      <c r="G68" s="93" t="s">
        <v>691</v>
      </c>
      <c r="H68" s="93">
        <v>6</v>
      </c>
      <c r="I68" s="111"/>
      <c r="J68" s="93" t="s">
        <v>687</v>
      </c>
      <c r="K68" s="109">
        <v>46218</v>
      </c>
      <c r="L68" s="93" t="s">
        <v>881</v>
      </c>
    </row>
    <row r="69" spans="1:12" ht="29.15" x14ac:dyDescent="0.4">
      <c r="A69" s="93" t="s">
        <v>566</v>
      </c>
      <c r="B69" s="93" t="s">
        <v>114</v>
      </c>
      <c r="C69" s="93" t="s">
        <v>1152</v>
      </c>
      <c r="D69" s="111" t="s">
        <v>1153</v>
      </c>
      <c r="E69" s="93" t="s">
        <v>745</v>
      </c>
      <c r="F69" s="93">
        <v>2.5</v>
      </c>
      <c r="G69" s="93" t="s">
        <v>691</v>
      </c>
      <c r="H69" s="93">
        <v>2.5</v>
      </c>
      <c r="I69" s="111"/>
      <c r="J69" s="93" t="s">
        <v>687</v>
      </c>
      <c r="K69" s="109">
        <v>46218</v>
      </c>
      <c r="L69" s="93" t="s">
        <v>881</v>
      </c>
    </row>
    <row r="70" spans="1:12" ht="29.15" x14ac:dyDescent="0.4">
      <c r="A70" s="93" t="s">
        <v>566</v>
      </c>
      <c r="B70" s="93" t="s">
        <v>114</v>
      </c>
      <c r="C70" s="93" t="s">
        <v>1152</v>
      </c>
      <c r="D70" s="111" t="s">
        <v>1153</v>
      </c>
      <c r="E70" s="93" t="s">
        <v>739</v>
      </c>
      <c r="F70" s="93">
        <v>4</v>
      </c>
      <c r="G70" s="93" t="s">
        <v>691</v>
      </c>
      <c r="H70" s="93">
        <v>4</v>
      </c>
      <c r="I70" s="111"/>
      <c r="J70" s="93" t="s">
        <v>687</v>
      </c>
      <c r="K70" s="109">
        <v>46218</v>
      </c>
      <c r="L70" s="93" t="s">
        <v>881</v>
      </c>
    </row>
    <row r="71" spans="1:12" ht="29.15" x14ac:dyDescent="0.4">
      <c r="A71" s="93" t="s">
        <v>566</v>
      </c>
      <c r="B71" s="93" t="s">
        <v>114</v>
      </c>
      <c r="C71" s="93" t="s">
        <v>1152</v>
      </c>
      <c r="D71" s="111" t="s">
        <v>1153</v>
      </c>
      <c r="E71" s="93" t="s">
        <v>743</v>
      </c>
      <c r="F71" s="93">
        <v>12</v>
      </c>
      <c r="G71" s="93" t="s">
        <v>691</v>
      </c>
      <c r="H71" s="93">
        <v>12</v>
      </c>
      <c r="I71" s="111"/>
      <c r="J71" s="93" t="s">
        <v>687</v>
      </c>
      <c r="K71" s="109">
        <v>46218</v>
      </c>
      <c r="L71" s="93" t="s">
        <v>881</v>
      </c>
    </row>
    <row r="72" spans="1:12" x14ac:dyDescent="0.4">
      <c r="A72" s="93" t="s">
        <v>566</v>
      </c>
      <c r="B72" s="93" t="s">
        <v>114</v>
      </c>
      <c r="C72" s="93" t="s">
        <v>1158</v>
      </c>
      <c r="D72" s="111" t="s">
        <v>1159</v>
      </c>
      <c r="E72" s="93" t="s">
        <v>745</v>
      </c>
      <c r="F72" s="93">
        <v>78</v>
      </c>
      <c r="G72" s="93" t="s">
        <v>691</v>
      </c>
      <c r="H72" s="93">
        <v>78</v>
      </c>
      <c r="I72" s="111"/>
      <c r="J72" s="93" t="s">
        <v>687</v>
      </c>
      <c r="K72" s="109">
        <v>46218</v>
      </c>
      <c r="L72" s="93" t="s">
        <v>881</v>
      </c>
    </row>
    <row r="73" spans="1:12" x14ac:dyDescent="0.4">
      <c r="A73" s="93" t="s">
        <v>566</v>
      </c>
      <c r="B73" s="93" t="s">
        <v>114</v>
      </c>
      <c r="C73" s="93" t="s">
        <v>1158</v>
      </c>
      <c r="D73" s="111" t="s">
        <v>1159</v>
      </c>
      <c r="E73" s="93" t="s">
        <v>739</v>
      </c>
      <c r="F73" s="93">
        <v>60</v>
      </c>
      <c r="G73" s="93" t="s">
        <v>691</v>
      </c>
      <c r="H73" s="93">
        <v>60</v>
      </c>
      <c r="I73" s="111"/>
      <c r="J73" s="93" t="s">
        <v>687</v>
      </c>
      <c r="K73" s="109">
        <v>46218</v>
      </c>
      <c r="L73" s="93" t="s">
        <v>881</v>
      </c>
    </row>
    <row r="74" spans="1:12" x14ac:dyDescent="0.4">
      <c r="A74" s="93" t="s">
        <v>566</v>
      </c>
      <c r="B74" s="93" t="s">
        <v>114</v>
      </c>
      <c r="C74" s="93" t="s">
        <v>1158</v>
      </c>
      <c r="D74" s="111" t="s">
        <v>1159</v>
      </c>
      <c r="E74" s="93" t="s">
        <v>743</v>
      </c>
      <c r="F74" s="93">
        <v>75</v>
      </c>
      <c r="G74" s="93" t="s">
        <v>691</v>
      </c>
      <c r="H74" s="93">
        <v>75</v>
      </c>
      <c r="I74" s="111"/>
      <c r="J74" s="93" t="s">
        <v>687</v>
      </c>
      <c r="K74" s="109">
        <v>46218</v>
      </c>
      <c r="L74" s="93" t="s">
        <v>881</v>
      </c>
    </row>
    <row r="75" spans="1:12" ht="29.15" x14ac:dyDescent="0.4">
      <c r="A75" s="93" t="s">
        <v>566</v>
      </c>
      <c r="B75" s="93" t="s">
        <v>114</v>
      </c>
      <c r="C75" s="93" t="s">
        <v>1163</v>
      </c>
      <c r="D75" s="111" t="s">
        <v>1164</v>
      </c>
      <c r="E75" s="93" t="s">
        <v>745</v>
      </c>
      <c r="F75" s="93">
        <v>1</v>
      </c>
      <c r="G75" s="93" t="s">
        <v>691</v>
      </c>
      <c r="H75" s="93">
        <v>1</v>
      </c>
      <c r="I75" s="111"/>
      <c r="J75" s="93" t="s">
        <v>687</v>
      </c>
      <c r="K75" s="109">
        <v>46218</v>
      </c>
      <c r="L75" s="93" t="s">
        <v>881</v>
      </c>
    </row>
    <row r="76" spans="1:12" ht="29.15" x14ac:dyDescent="0.4">
      <c r="A76" s="93" t="s">
        <v>566</v>
      </c>
      <c r="B76" s="93" t="s">
        <v>114</v>
      </c>
      <c r="C76" s="93" t="s">
        <v>1163</v>
      </c>
      <c r="D76" s="111" t="s">
        <v>1164</v>
      </c>
      <c r="E76" s="93" t="s">
        <v>739</v>
      </c>
      <c r="F76" s="93">
        <v>2</v>
      </c>
      <c r="G76" s="93" t="s">
        <v>691</v>
      </c>
      <c r="H76" s="93">
        <v>2</v>
      </c>
      <c r="I76" s="111"/>
      <c r="J76" s="93" t="s">
        <v>687</v>
      </c>
      <c r="K76" s="109">
        <v>46218</v>
      </c>
      <c r="L76" s="93" t="s">
        <v>881</v>
      </c>
    </row>
    <row r="77" spans="1:12" ht="29.15" x14ac:dyDescent="0.4">
      <c r="A77" s="93" t="s">
        <v>566</v>
      </c>
      <c r="B77" s="93" t="s">
        <v>114</v>
      </c>
      <c r="C77" s="93" t="s">
        <v>1163</v>
      </c>
      <c r="D77" s="111" t="s">
        <v>1164</v>
      </c>
      <c r="E77" s="93" t="s">
        <v>743</v>
      </c>
      <c r="F77" s="93">
        <v>4</v>
      </c>
      <c r="G77" s="93" t="s">
        <v>691</v>
      </c>
      <c r="H77" s="93">
        <v>4</v>
      </c>
      <c r="I77" s="111"/>
      <c r="J77" s="93" t="s">
        <v>687</v>
      </c>
      <c r="K77" s="109">
        <v>46218</v>
      </c>
      <c r="L77" s="93" t="s">
        <v>881</v>
      </c>
    </row>
    <row r="78" spans="1:12" x14ac:dyDescent="0.4">
      <c r="A78" s="93" t="s">
        <v>566</v>
      </c>
      <c r="B78" s="93" t="s">
        <v>114</v>
      </c>
      <c r="C78" s="93" t="s">
        <v>1168</v>
      </c>
      <c r="D78" s="111" t="s">
        <v>1169</v>
      </c>
      <c r="E78" s="93" t="s">
        <v>745</v>
      </c>
      <c r="F78" s="93">
        <v>0.8</v>
      </c>
      <c r="G78" s="93" t="s">
        <v>691</v>
      </c>
      <c r="H78" s="93">
        <v>0.8</v>
      </c>
      <c r="I78" s="111"/>
      <c r="J78" s="93" t="s">
        <v>687</v>
      </c>
      <c r="K78" s="109">
        <v>46218</v>
      </c>
      <c r="L78" s="93" t="s">
        <v>881</v>
      </c>
    </row>
    <row r="79" spans="1:12" x14ac:dyDescent="0.4">
      <c r="A79" s="93" t="s">
        <v>566</v>
      </c>
      <c r="B79" s="93" t="s">
        <v>114</v>
      </c>
      <c r="C79" s="93" t="s">
        <v>1168</v>
      </c>
      <c r="D79" s="111" t="s">
        <v>1169</v>
      </c>
      <c r="E79" s="93" t="s">
        <v>739</v>
      </c>
      <c r="F79" s="93">
        <v>1.5</v>
      </c>
      <c r="G79" s="93" t="s">
        <v>691</v>
      </c>
      <c r="H79" s="93">
        <v>1.5</v>
      </c>
      <c r="I79" s="111"/>
      <c r="J79" s="93" t="s">
        <v>687</v>
      </c>
      <c r="K79" s="109">
        <v>46218</v>
      </c>
      <c r="L79" s="93" t="s">
        <v>881</v>
      </c>
    </row>
    <row r="80" spans="1:12" x14ac:dyDescent="0.4">
      <c r="A80" s="93" t="s">
        <v>566</v>
      </c>
      <c r="B80" s="93" t="s">
        <v>114</v>
      </c>
      <c r="C80" s="93" t="s">
        <v>1168</v>
      </c>
      <c r="D80" s="111" t="s">
        <v>1169</v>
      </c>
      <c r="E80" s="93" t="s">
        <v>743</v>
      </c>
      <c r="F80" s="93">
        <v>3</v>
      </c>
      <c r="G80" s="93" t="s">
        <v>691</v>
      </c>
      <c r="H80" s="93">
        <v>3</v>
      </c>
      <c r="I80" s="111"/>
      <c r="J80" s="93" t="s">
        <v>687</v>
      </c>
      <c r="K80" s="109">
        <v>46218</v>
      </c>
      <c r="L80" s="93" t="s">
        <v>881</v>
      </c>
    </row>
    <row r="81" spans="1:12" ht="29.15" x14ac:dyDescent="0.4">
      <c r="A81" s="93" t="s">
        <v>566</v>
      </c>
      <c r="B81" s="93" t="s">
        <v>114</v>
      </c>
      <c r="C81" s="93" t="s">
        <v>1173</v>
      </c>
      <c r="D81" s="111" t="s">
        <v>1174</v>
      </c>
      <c r="E81" s="93" t="s">
        <v>745</v>
      </c>
      <c r="F81" s="93"/>
      <c r="G81" s="93" t="s">
        <v>691</v>
      </c>
      <c r="H81" s="93"/>
      <c r="I81" s="111"/>
      <c r="J81" s="93" t="s">
        <v>687</v>
      </c>
      <c r="K81" s="109">
        <v>46218</v>
      </c>
      <c r="L81" s="93" t="s">
        <v>881</v>
      </c>
    </row>
    <row r="82" spans="1:12" ht="29.15" x14ac:dyDescent="0.4">
      <c r="A82" s="93" t="s">
        <v>566</v>
      </c>
      <c r="B82" s="93" t="s">
        <v>114</v>
      </c>
      <c r="C82" s="93" t="s">
        <v>1173</v>
      </c>
      <c r="D82" s="111" t="s">
        <v>1174</v>
      </c>
      <c r="E82" s="93" t="s">
        <v>739</v>
      </c>
      <c r="F82" s="93">
        <v>20</v>
      </c>
      <c r="G82" s="93" t="s">
        <v>691</v>
      </c>
      <c r="H82" s="93">
        <v>20</v>
      </c>
      <c r="I82" s="111"/>
      <c r="J82" s="93" t="s">
        <v>687</v>
      </c>
      <c r="K82" s="109">
        <v>46218</v>
      </c>
      <c r="L82" s="93" t="s">
        <v>881</v>
      </c>
    </row>
    <row r="83" spans="1:12" ht="29.15" x14ac:dyDescent="0.4">
      <c r="A83" s="93" t="s">
        <v>566</v>
      </c>
      <c r="B83" s="93" t="s">
        <v>114</v>
      </c>
      <c r="C83" s="93" t="s">
        <v>1173</v>
      </c>
      <c r="D83" s="111" t="s">
        <v>1174</v>
      </c>
      <c r="E83" s="93" t="s">
        <v>743</v>
      </c>
      <c r="F83" s="93">
        <v>40</v>
      </c>
      <c r="G83" s="93" t="s">
        <v>691</v>
      </c>
      <c r="H83" s="93">
        <v>40</v>
      </c>
      <c r="I83" s="111"/>
      <c r="J83" s="93" t="s">
        <v>687</v>
      </c>
      <c r="K83" s="109">
        <v>46218</v>
      </c>
      <c r="L83" s="93" t="s">
        <v>881</v>
      </c>
    </row>
    <row r="84" spans="1:12" ht="29.15" x14ac:dyDescent="0.4">
      <c r="A84" s="93" t="s">
        <v>566</v>
      </c>
      <c r="B84" s="93" t="s">
        <v>114</v>
      </c>
      <c r="C84" s="93" t="s">
        <v>1177</v>
      </c>
      <c r="D84" s="111" t="s">
        <v>1178</v>
      </c>
      <c r="E84" s="93" t="s">
        <v>745</v>
      </c>
      <c r="F84" s="93">
        <v>2</v>
      </c>
      <c r="G84" s="93" t="s">
        <v>691</v>
      </c>
      <c r="H84" s="93">
        <v>2</v>
      </c>
      <c r="I84" s="111"/>
      <c r="J84" s="93" t="s">
        <v>687</v>
      </c>
      <c r="K84" s="109">
        <v>46218</v>
      </c>
      <c r="L84" s="93" t="s">
        <v>881</v>
      </c>
    </row>
    <row r="85" spans="1:12" ht="29.15" x14ac:dyDescent="0.4">
      <c r="A85" s="93" t="s">
        <v>566</v>
      </c>
      <c r="B85" s="93" t="s">
        <v>114</v>
      </c>
      <c r="C85" s="93" t="s">
        <v>1177</v>
      </c>
      <c r="D85" s="111" t="s">
        <v>1178</v>
      </c>
      <c r="E85" s="93" t="s">
        <v>739</v>
      </c>
      <c r="F85" s="93">
        <v>1</v>
      </c>
      <c r="G85" s="93" t="s">
        <v>691</v>
      </c>
      <c r="H85" s="93">
        <v>1</v>
      </c>
      <c r="I85" s="111"/>
      <c r="J85" s="93" t="s">
        <v>687</v>
      </c>
      <c r="K85" s="109">
        <v>46218</v>
      </c>
      <c r="L85" s="93" t="s">
        <v>881</v>
      </c>
    </row>
    <row r="86" spans="1:12" ht="29.15" x14ac:dyDescent="0.4">
      <c r="A86" s="93" t="s">
        <v>566</v>
      </c>
      <c r="B86" s="93" t="s">
        <v>114</v>
      </c>
      <c r="C86" s="93" t="s">
        <v>1177</v>
      </c>
      <c r="D86" s="111" t="s">
        <v>1178</v>
      </c>
      <c r="E86" s="93" t="s">
        <v>743</v>
      </c>
      <c r="F86" s="93">
        <v>3</v>
      </c>
      <c r="G86" s="93" t="s">
        <v>691</v>
      </c>
      <c r="H86" s="93">
        <v>3</v>
      </c>
      <c r="I86" s="111"/>
      <c r="J86" s="93" t="s">
        <v>687</v>
      </c>
      <c r="K86" s="109">
        <v>46218</v>
      </c>
      <c r="L86" s="93" t="s">
        <v>881</v>
      </c>
    </row>
    <row r="87" spans="1:12" x14ac:dyDescent="0.4">
      <c r="A87" s="93" t="s">
        <v>566</v>
      </c>
      <c r="B87" s="93" t="s">
        <v>114</v>
      </c>
      <c r="C87" s="93" t="s">
        <v>1181</v>
      </c>
      <c r="D87" s="111" t="s">
        <v>1182</v>
      </c>
      <c r="E87" s="93" t="s">
        <v>745</v>
      </c>
      <c r="F87" s="93">
        <v>3</v>
      </c>
      <c r="G87" s="93" t="s">
        <v>691</v>
      </c>
      <c r="H87" s="93">
        <v>3</v>
      </c>
      <c r="I87" s="111"/>
      <c r="J87" s="93" t="s">
        <v>687</v>
      </c>
      <c r="K87" s="109">
        <v>46218</v>
      </c>
      <c r="L87" s="93" t="s">
        <v>881</v>
      </c>
    </row>
    <row r="88" spans="1:12" x14ac:dyDescent="0.4">
      <c r="A88" s="93" t="s">
        <v>566</v>
      </c>
      <c r="B88" s="93" t="s">
        <v>114</v>
      </c>
      <c r="C88" s="93" t="s">
        <v>1181</v>
      </c>
      <c r="D88" s="111" t="s">
        <v>1182</v>
      </c>
      <c r="E88" s="93" t="s">
        <v>739</v>
      </c>
      <c r="F88" s="93">
        <v>2</v>
      </c>
      <c r="G88" s="93" t="s">
        <v>691</v>
      </c>
      <c r="H88" s="93">
        <v>2</v>
      </c>
      <c r="I88" s="111"/>
      <c r="J88" s="93" t="s">
        <v>687</v>
      </c>
      <c r="K88" s="109">
        <v>46218</v>
      </c>
      <c r="L88" s="93" t="s">
        <v>881</v>
      </c>
    </row>
    <row r="89" spans="1:12" x14ac:dyDescent="0.4">
      <c r="A89" s="93" t="s">
        <v>566</v>
      </c>
      <c r="B89" s="93" t="s">
        <v>114</v>
      </c>
      <c r="C89" s="93" t="s">
        <v>1181</v>
      </c>
      <c r="D89" s="111" t="s">
        <v>1182</v>
      </c>
      <c r="E89" s="93" t="s">
        <v>743</v>
      </c>
      <c r="F89" s="93">
        <v>5</v>
      </c>
      <c r="G89" s="93" t="s">
        <v>691</v>
      </c>
      <c r="H89" s="93">
        <v>5</v>
      </c>
      <c r="I89" s="111"/>
      <c r="J89" s="93" t="s">
        <v>687</v>
      </c>
      <c r="K89" s="109">
        <v>46218</v>
      </c>
      <c r="L89" s="93" t="s">
        <v>881</v>
      </c>
    </row>
    <row r="90" spans="1:12" x14ac:dyDescent="0.4">
      <c r="A90" s="93" t="s">
        <v>566</v>
      </c>
      <c r="B90" s="93" t="s">
        <v>114</v>
      </c>
      <c r="C90" s="93" t="s">
        <v>1186</v>
      </c>
      <c r="D90" s="111" t="s">
        <v>1187</v>
      </c>
      <c r="E90" s="93" t="s">
        <v>745</v>
      </c>
      <c r="F90" s="93">
        <v>7</v>
      </c>
      <c r="G90" s="93" t="s">
        <v>691</v>
      </c>
      <c r="H90" s="93">
        <v>7</v>
      </c>
      <c r="I90" s="111"/>
      <c r="J90" s="93" t="s">
        <v>687</v>
      </c>
      <c r="K90" s="109">
        <v>46218</v>
      </c>
      <c r="L90" s="93" t="s">
        <v>881</v>
      </c>
    </row>
    <row r="91" spans="1:12" x14ac:dyDescent="0.4">
      <c r="A91" s="93" t="s">
        <v>566</v>
      </c>
      <c r="B91" s="93" t="s">
        <v>114</v>
      </c>
      <c r="C91" s="93" t="s">
        <v>1186</v>
      </c>
      <c r="D91" s="111" t="s">
        <v>1187</v>
      </c>
      <c r="E91" s="93" t="s">
        <v>739</v>
      </c>
      <c r="F91" s="93">
        <v>3</v>
      </c>
      <c r="G91" s="93" t="s">
        <v>691</v>
      </c>
      <c r="H91" s="93">
        <v>3</v>
      </c>
      <c r="I91" s="111"/>
      <c r="J91" s="93" t="s">
        <v>687</v>
      </c>
      <c r="K91" s="109">
        <v>46218</v>
      </c>
      <c r="L91" s="93" t="s">
        <v>881</v>
      </c>
    </row>
    <row r="92" spans="1:12" x14ac:dyDescent="0.4">
      <c r="A92" s="93" t="s">
        <v>566</v>
      </c>
      <c r="B92" s="93" t="s">
        <v>114</v>
      </c>
      <c r="C92" s="93" t="s">
        <v>1186</v>
      </c>
      <c r="D92" s="111" t="s">
        <v>1187</v>
      </c>
      <c r="E92" s="93" t="s">
        <v>743</v>
      </c>
      <c r="F92" s="93">
        <v>6</v>
      </c>
      <c r="G92" s="93" t="s">
        <v>691</v>
      </c>
      <c r="H92" s="93">
        <v>6</v>
      </c>
      <c r="I92" s="111"/>
      <c r="J92" s="93" t="s">
        <v>687</v>
      </c>
      <c r="K92" s="109">
        <v>46218</v>
      </c>
      <c r="L92" s="93" t="s">
        <v>881</v>
      </c>
    </row>
    <row r="93" spans="1:12" ht="29.15" x14ac:dyDescent="0.4">
      <c r="A93" s="93" t="s">
        <v>566</v>
      </c>
      <c r="B93" s="93" t="s">
        <v>114</v>
      </c>
      <c r="C93" s="93" t="s">
        <v>1190</v>
      </c>
      <c r="D93" s="111" t="s">
        <v>1191</v>
      </c>
      <c r="E93" s="93" t="s">
        <v>745</v>
      </c>
      <c r="F93" s="93">
        <v>25</v>
      </c>
      <c r="G93" s="93" t="s">
        <v>691</v>
      </c>
      <c r="H93" s="93">
        <v>25</v>
      </c>
      <c r="I93" s="111"/>
      <c r="J93" s="93" t="s">
        <v>687</v>
      </c>
      <c r="K93" s="109">
        <v>46218</v>
      </c>
      <c r="L93" s="93" t="s">
        <v>881</v>
      </c>
    </row>
    <row r="94" spans="1:12" ht="29.15" x14ac:dyDescent="0.4">
      <c r="A94" s="93" t="s">
        <v>566</v>
      </c>
      <c r="B94" s="93" t="s">
        <v>114</v>
      </c>
      <c r="C94" s="93" t="s">
        <v>1190</v>
      </c>
      <c r="D94" s="111" t="s">
        <v>1191</v>
      </c>
      <c r="E94" s="93" t="s">
        <v>739</v>
      </c>
      <c r="F94" s="93">
        <v>30</v>
      </c>
      <c r="G94" s="93" t="s">
        <v>691</v>
      </c>
      <c r="H94" s="93">
        <v>30</v>
      </c>
      <c r="I94" s="111"/>
      <c r="J94" s="93" t="s">
        <v>687</v>
      </c>
      <c r="K94" s="109">
        <v>46218</v>
      </c>
      <c r="L94" s="93" t="s">
        <v>881</v>
      </c>
    </row>
    <row r="95" spans="1:12" ht="29.15" x14ac:dyDescent="0.4">
      <c r="A95" s="93" t="s">
        <v>566</v>
      </c>
      <c r="B95" s="93" t="s">
        <v>114</v>
      </c>
      <c r="C95" s="93" t="s">
        <v>1190</v>
      </c>
      <c r="D95" s="111" t="s">
        <v>1191</v>
      </c>
      <c r="E95" s="93" t="s">
        <v>743</v>
      </c>
      <c r="F95" s="93">
        <v>60</v>
      </c>
      <c r="G95" s="93" t="s">
        <v>691</v>
      </c>
      <c r="H95" s="93">
        <v>60</v>
      </c>
      <c r="I95" s="111"/>
      <c r="J95" s="93" t="s">
        <v>687</v>
      </c>
      <c r="K95" s="109">
        <v>46218</v>
      </c>
      <c r="L95" s="93" t="s">
        <v>881</v>
      </c>
    </row>
    <row r="96" spans="1:12" ht="29.15" x14ac:dyDescent="0.4">
      <c r="A96" s="93" t="s">
        <v>566</v>
      </c>
      <c r="B96" s="93" t="s">
        <v>114</v>
      </c>
      <c r="C96" s="93" t="s">
        <v>1226</v>
      </c>
      <c r="D96" s="111" t="s">
        <v>1227</v>
      </c>
      <c r="E96" s="93" t="s">
        <v>745</v>
      </c>
      <c r="F96" s="93">
        <v>14</v>
      </c>
      <c r="G96" s="93" t="s">
        <v>691</v>
      </c>
      <c r="H96" s="93">
        <v>14</v>
      </c>
      <c r="I96" s="111"/>
      <c r="J96" s="93" t="s">
        <v>687</v>
      </c>
      <c r="K96" s="109">
        <v>46218</v>
      </c>
      <c r="L96" s="93" t="s">
        <v>881</v>
      </c>
    </row>
    <row r="97" spans="1:12" ht="29.15" x14ac:dyDescent="0.4">
      <c r="A97" s="93" t="s">
        <v>566</v>
      </c>
      <c r="B97" s="93" t="s">
        <v>114</v>
      </c>
      <c r="C97" s="93" t="s">
        <v>1226</v>
      </c>
      <c r="D97" s="111" t="s">
        <v>1227</v>
      </c>
      <c r="E97" s="93" t="s">
        <v>739</v>
      </c>
      <c r="F97" s="93">
        <v>10</v>
      </c>
      <c r="G97" s="93" t="s">
        <v>691</v>
      </c>
      <c r="H97" s="93">
        <v>10</v>
      </c>
      <c r="I97" s="111"/>
      <c r="J97" s="93" t="s">
        <v>687</v>
      </c>
      <c r="K97" s="109">
        <v>46218</v>
      </c>
      <c r="L97" s="93" t="s">
        <v>881</v>
      </c>
    </row>
    <row r="98" spans="1:12" ht="29.15" x14ac:dyDescent="0.4">
      <c r="A98" s="93" t="s">
        <v>566</v>
      </c>
      <c r="B98" s="93" t="s">
        <v>114</v>
      </c>
      <c r="C98" s="93" t="s">
        <v>1226</v>
      </c>
      <c r="D98" s="111" t="s">
        <v>1227</v>
      </c>
      <c r="E98" s="93" t="s">
        <v>743</v>
      </c>
      <c r="F98" s="93">
        <v>30</v>
      </c>
      <c r="G98" s="93" t="s">
        <v>691</v>
      </c>
      <c r="H98" s="93">
        <v>30</v>
      </c>
      <c r="I98" s="111"/>
      <c r="J98" s="93" t="s">
        <v>687</v>
      </c>
      <c r="K98" s="109">
        <v>46218</v>
      </c>
      <c r="L98" s="93" t="s">
        <v>881</v>
      </c>
    </row>
    <row r="99" spans="1:12" ht="29.15" x14ac:dyDescent="0.4">
      <c r="A99" s="93" t="s">
        <v>566</v>
      </c>
      <c r="B99" s="93" t="s">
        <v>114</v>
      </c>
      <c r="C99" s="93" t="s">
        <v>1230</v>
      </c>
      <c r="D99" s="111" t="s">
        <v>1231</v>
      </c>
      <c r="E99" s="93" t="s">
        <v>745</v>
      </c>
      <c r="F99" s="93">
        <v>35</v>
      </c>
      <c r="G99" s="93" t="s">
        <v>691</v>
      </c>
      <c r="H99" s="93">
        <v>35</v>
      </c>
      <c r="I99" s="111" t="s">
        <v>1355</v>
      </c>
      <c r="J99" s="93" t="s">
        <v>687</v>
      </c>
      <c r="K99" s="109">
        <v>46218</v>
      </c>
      <c r="L99" s="93" t="s">
        <v>881</v>
      </c>
    </row>
    <row r="100" spans="1:12" ht="29.15" x14ac:dyDescent="0.4">
      <c r="A100" s="93" t="s">
        <v>566</v>
      </c>
      <c r="B100" s="93" t="s">
        <v>114</v>
      </c>
      <c r="C100" s="93" t="s">
        <v>1230</v>
      </c>
      <c r="D100" s="111" t="s">
        <v>1231</v>
      </c>
      <c r="E100" s="93" t="s">
        <v>739</v>
      </c>
      <c r="F100" s="93">
        <v>30</v>
      </c>
      <c r="G100" s="93" t="s">
        <v>869</v>
      </c>
      <c r="H100" s="93">
        <v>20</v>
      </c>
      <c r="I100" s="111" t="s">
        <v>1355</v>
      </c>
      <c r="J100" s="93" t="s">
        <v>687</v>
      </c>
      <c r="K100" s="109">
        <v>46218</v>
      </c>
      <c r="L100" s="93" t="s">
        <v>881</v>
      </c>
    </row>
    <row r="101" spans="1:12" ht="29.15" x14ac:dyDescent="0.4">
      <c r="A101" s="93" t="s">
        <v>566</v>
      </c>
      <c r="B101" s="93" t="s">
        <v>114</v>
      </c>
      <c r="C101" s="93" t="s">
        <v>1230</v>
      </c>
      <c r="D101" s="111" t="s">
        <v>1231</v>
      </c>
      <c r="E101" s="93" t="s">
        <v>743</v>
      </c>
      <c r="F101" s="93">
        <v>40</v>
      </c>
      <c r="G101" s="93" t="s">
        <v>691</v>
      </c>
      <c r="H101" s="93">
        <v>40</v>
      </c>
      <c r="I101" s="111" t="s">
        <v>1355</v>
      </c>
      <c r="J101" s="93" t="s">
        <v>687</v>
      </c>
      <c r="K101" s="109">
        <v>46218</v>
      </c>
      <c r="L101" s="93" t="s">
        <v>881</v>
      </c>
    </row>
    <row r="102" spans="1:12" ht="29.15" x14ac:dyDescent="0.4">
      <c r="A102" s="93" t="s">
        <v>566</v>
      </c>
      <c r="B102" s="93" t="s">
        <v>114</v>
      </c>
      <c r="C102" s="93" t="s">
        <v>1194</v>
      </c>
      <c r="D102" s="111" t="s">
        <v>1195</v>
      </c>
      <c r="E102" s="93" t="s">
        <v>745</v>
      </c>
      <c r="F102" s="93">
        <v>1</v>
      </c>
      <c r="G102" s="93" t="s">
        <v>691</v>
      </c>
      <c r="H102" s="93">
        <v>1</v>
      </c>
      <c r="I102" s="111"/>
      <c r="J102" s="93" t="s">
        <v>687</v>
      </c>
      <c r="K102" s="109">
        <v>46218</v>
      </c>
      <c r="L102" s="93" t="s">
        <v>881</v>
      </c>
    </row>
    <row r="103" spans="1:12" ht="29.15" x14ac:dyDescent="0.4">
      <c r="A103" s="93" t="s">
        <v>566</v>
      </c>
      <c r="B103" s="93" t="s">
        <v>114</v>
      </c>
      <c r="C103" s="93" t="s">
        <v>1194</v>
      </c>
      <c r="D103" s="111" t="s">
        <v>1195</v>
      </c>
      <c r="E103" s="93" t="s">
        <v>739</v>
      </c>
      <c r="F103" s="93">
        <v>1</v>
      </c>
      <c r="G103" s="93" t="s">
        <v>691</v>
      </c>
      <c r="H103" s="93">
        <v>1</v>
      </c>
      <c r="I103" s="111"/>
      <c r="J103" s="93" t="s">
        <v>687</v>
      </c>
      <c r="K103" s="109">
        <v>46218</v>
      </c>
      <c r="L103" s="93" t="s">
        <v>881</v>
      </c>
    </row>
    <row r="104" spans="1:12" ht="29.15" x14ac:dyDescent="0.4">
      <c r="A104" s="93" t="s">
        <v>566</v>
      </c>
      <c r="B104" s="93" t="s">
        <v>114</v>
      </c>
      <c r="C104" s="93" t="s">
        <v>1194</v>
      </c>
      <c r="D104" s="111" t="s">
        <v>1195</v>
      </c>
      <c r="E104" s="93" t="s">
        <v>743</v>
      </c>
      <c r="F104" s="93">
        <v>2</v>
      </c>
      <c r="G104" s="93" t="s">
        <v>691</v>
      </c>
      <c r="H104" s="93">
        <v>2</v>
      </c>
      <c r="I104" s="111"/>
      <c r="J104" s="93" t="s">
        <v>687</v>
      </c>
      <c r="K104" s="109">
        <v>46218</v>
      </c>
      <c r="L104" s="93" t="s">
        <v>881</v>
      </c>
    </row>
    <row r="105" spans="1:12" ht="29.15" x14ac:dyDescent="0.4">
      <c r="A105" s="93" t="s">
        <v>566</v>
      </c>
      <c r="B105" s="93" t="s">
        <v>114</v>
      </c>
      <c r="C105" s="93" t="s">
        <v>1197</v>
      </c>
      <c r="D105" s="111" t="s">
        <v>1198</v>
      </c>
      <c r="E105" s="93" t="s">
        <v>745</v>
      </c>
      <c r="F105" s="93">
        <v>3</v>
      </c>
      <c r="G105" s="93" t="s">
        <v>691</v>
      </c>
      <c r="H105" s="93">
        <v>3</v>
      </c>
      <c r="I105" s="111"/>
      <c r="J105" s="93" t="s">
        <v>687</v>
      </c>
      <c r="K105" s="109">
        <v>46218</v>
      </c>
      <c r="L105" s="93" t="s">
        <v>881</v>
      </c>
    </row>
    <row r="106" spans="1:12" ht="29.15" x14ac:dyDescent="0.4">
      <c r="A106" s="93" t="s">
        <v>566</v>
      </c>
      <c r="B106" s="93" t="s">
        <v>114</v>
      </c>
      <c r="C106" s="93" t="s">
        <v>1197</v>
      </c>
      <c r="D106" s="111" t="s">
        <v>1198</v>
      </c>
      <c r="E106" s="93" t="s">
        <v>739</v>
      </c>
      <c r="F106" s="93">
        <v>4</v>
      </c>
      <c r="G106" s="93" t="s">
        <v>691</v>
      </c>
      <c r="H106" s="93">
        <v>4</v>
      </c>
      <c r="I106" s="111"/>
      <c r="J106" s="93" t="s">
        <v>687</v>
      </c>
      <c r="K106" s="109">
        <v>46218</v>
      </c>
      <c r="L106" s="93" t="s">
        <v>881</v>
      </c>
    </row>
    <row r="107" spans="1:12" ht="29.15" x14ac:dyDescent="0.4">
      <c r="A107" s="93" t="s">
        <v>566</v>
      </c>
      <c r="B107" s="93" t="s">
        <v>114</v>
      </c>
      <c r="C107" s="93" t="s">
        <v>1197</v>
      </c>
      <c r="D107" s="111" t="s">
        <v>1198</v>
      </c>
      <c r="E107" s="93" t="s">
        <v>743</v>
      </c>
      <c r="F107" s="93">
        <v>12</v>
      </c>
      <c r="G107" s="93" t="s">
        <v>691</v>
      </c>
      <c r="H107" s="93">
        <v>12</v>
      </c>
      <c r="I107" s="111"/>
      <c r="J107" s="93" t="s">
        <v>687</v>
      </c>
      <c r="K107" s="109">
        <v>46218</v>
      </c>
      <c r="L107" s="93" t="s">
        <v>881</v>
      </c>
    </row>
    <row r="108" spans="1:12" x14ac:dyDescent="0.4">
      <c r="A108" s="93" t="s">
        <v>566</v>
      </c>
      <c r="B108" s="93" t="s">
        <v>114</v>
      </c>
      <c r="C108" s="93" t="s">
        <v>1200</v>
      </c>
      <c r="D108" s="111" t="s">
        <v>1201</v>
      </c>
      <c r="E108" s="93" t="s">
        <v>745</v>
      </c>
      <c r="F108" s="93">
        <v>24</v>
      </c>
      <c r="G108" s="93" t="s">
        <v>691</v>
      </c>
      <c r="H108" s="93">
        <v>24</v>
      </c>
      <c r="I108" s="111"/>
      <c r="J108" s="93" t="s">
        <v>687</v>
      </c>
      <c r="K108" s="109">
        <v>46218</v>
      </c>
      <c r="L108" s="93" t="s">
        <v>881</v>
      </c>
    </row>
    <row r="109" spans="1:12" x14ac:dyDescent="0.4">
      <c r="A109" s="93" t="s">
        <v>566</v>
      </c>
      <c r="B109" s="93" t="s">
        <v>114</v>
      </c>
      <c r="C109" s="93" t="s">
        <v>1200</v>
      </c>
      <c r="D109" s="111" t="s">
        <v>1201</v>
      </c>
      <c r="E109" s="93" t="s">
        <v>739</v>
      </c>
      <c r="F109" s="93">
        <v>20</v>
      </c>
      <c r="G109" s="93" t="s">
        <v>691</v>
      </c>
      <c r="H109" s="93">
        <v>20</v>
      </c>
      <c r="I109" s="111"/>
      <c r="J109" s="93" t="s">
        <v>687</v>
      </c>
      <c r="K109" s="109">
        <v>46218</v>
      </c>
      <c r="L109" s="93" t="s">
        <v>881</v>
      </c>
    </row>
    <row r="110" spans="1:12" x14ac:dyDescent="0.4">
      <c r="A110" s="93" t="s">
        <v>566</v>
      </c>
      <c r="B110" s="93" t="s">
        <v>114</v>
      </c>
      <c r="C110" s="93" t="s">
        <v>1200</v>
      </c>
      <c r="D110" s="111" t="s">
        <v>1201</v>
      </c>
      <c r="E110" s="93" t="s">
        <v>743</v>
      </c>
      <c r="F110" s="93">
        <v>50</v>
      </c>
      <c r="G110" s="93" t="s">
        <v>691</v>
      </c>
      <c r="H110" s="93">
        <v>50</v>
      </c>
      <c r="I110" s="111"/>
      <c r="J110" s="93" t="s">
        <v>687</v>
      </c>
      <c r="K110" s="109">
        <v>46218</v>
      </c>
      <c r="L110" s="93" t="s">
        <v>881</v>
      </c>
    </row>
    <row r="111" spans="1:12" x14ac:dyDescent="0.4">
      <c r="A111" s="93" t="s">
        <v>566</v>
      </c>
      <c r="B111" s="93" t="s">
        <v>114</v>
      </c>
      <c r="C111" s="93" t="s">
        <v>1205</v>
      </c>
      <c r="D111" s="111" t="s">
        <v>1206</v>
      </c>
      <c r="E111" s="93" t="s">
        <v>745</v>
      </c>
      <c r="F111" s="93">
        <v>6</v>
      </c>
      <c r="G111" s="93" t="s">
        <v>691</v>
      </c>
      <c r="H111" s="93">
        <v>6</v>
      </c>
      <c r="I111" s="111"/>
      <c r="J111" s="93" t="s">
        <v>687</v>
      </c>
      <c r="K111" s="109">
        <v>46218</v>
      </c>
      <c r="L111" s="93" t="s">
        <v>881</v>
      </c>
    </row>
    <row r="112" spans="1:12" x14ac:dyDescent="0.4">
      <c r="A112" s="93" t="s">
        <v>566</v>
      </c>
      <c r="B112" s="93" t="s">
        <v>114</v>
      </c>
      <c r="C112" s="93" t="s">
        <v>1205</v>
      </c>
      <c r="D112" s="111" t="s">
        <v>1206</v>
      </c>
      <c r="E112" s="93" t="s">
        <v>739</v>
      </c>
      <c r="F112" s="93">
        <v>5</v>
      </c>
      <c r="G112" s="93" t="s">
        <v>691</v>
      </c>
      <c r="H112" s="93">
        <v>5</v>
      </c>
      <c r="I112" s="111"/>
      <c r="J112" s="93" t="s">
        <v>687</v>
      </c>
      <c r="K112" s="109">
        <v>46218</v>
      </c>
      <c r="L112" s="93" t="s">
        <v>881</v>
      </c>
    </row>
    <row r="113" spans="1:12" x14ac:dyDescent="0.4">
      <c r="A113" s="93" t="s">
        <v>566</v>
      </c>
      <c r="B113" s="93" t="s">
        <v>114</v>
      </c>
      <c r="C113" s="93" t="s">
        <v>1205</v>
      </c>
      <c r="D113" s="111" t="s">
        <v>1206</v>
      </c>
      <c r="E113" s="93" t="s">
        <v>743</v>
      </c>
      <c r="F113" s="93">
        <v>15</v>
      </c>
      <c r="G113" s="93" t="s">
        <v>691</v>
      </c>
      <c r="H113" s="93">
        <v>15</v>
      </c>
      <c r="I113" s="111"/>
      <c r="J113" s="93" t="s">
        <v>687</v>
      </c>
      <c r="K113" s="109">
        <v>46218</v>
      </c>
      <c r="L113" s="93" t="s">
        <v>881</v>
      </c>
    </row>
    <row r="114" spans="1:12" ht="29.15" x14ac:dyDescent="0.4">
      <c r="A114" s="93" t="s">
        <v>566</v>
      </c>
      <c r="B114" s="93" t="s">
        <v>114</v>
      </c>
      <c r="C114" s="93" t="s">
        <v>1234</v>
      </c>
      <c r="D114" s="111" t="s">
        <v>1235</v>
      </c>
      <c r="E114" s="93" t="s">
        <v>745</v>
      </c>
      <c r="F114" s="93">
        <v>3.8</v>
      </c>
      <c r="G114" s="93" t="s">
        <v>691</v>
      </c>
      <c r="H114" s="93">
        <v>3.8</v>
      </c>
      <c r="I114" s="111"/>
      <c r="J114" s="93" t="s">
        <v>687</v>
      </c>
      <c r="K114" s="109">
        <v>46218</v>
      </c>
      <c r="L114" s="93" t="s">
        <v>881</v>
      </c>
    </row>
    <row r="115" spans="1:12" ht="29.15" x14ac:dyDescent="0.4">
      <c r="A115" s="93" t="s">
        <v>566</v>
      </c>
      <c r="B115" s="93" t="s">
        <v>114</v>
      </c>
      <c r="C115" s="93" t="s">
        <v>1234</v>
      </c>
      <c r="D115" s="111" t="s">
        <v>1235</v>
      </c>
      <c r="E115" s="93" t="s">
        <v>739</v>
      </c>
      <c r="F115" s="93">
        <v>2</v>
      </c>
      <c r="G115" s="93" t="s">
        <v>691</v>
      </c>
      <c r="H115" s="93">
        <v>2</v>
      </c>
      <c r="I115" s="111"/>
      <c r="J115" s="93" t="s">
        <v>687</v>
      </c>
      <c r="K115" s="109">
        <v>46218</v>
      </c>
      <c r="L115" s="93" t="s">
        <v>881</v>
      </c>
    </row>
    <row r="116" spans="1:12" ht="29.15" x14ac:dyDescent="0.4">
      <c r="A116" s="93" t="s">
        <v>566</v>
      </c>
      <c r="B116" s="93" t="s">
        <v>114</v>
      </c>
      <c r="C116" s="93" t="s">
        <v>1234</v>
      </c>
      <c r="D116" s="111" t="s">
        <v>1235</v>
      </c>
      <c r="E116" s="93" t="s">
        <v>743</v>
      </c>
      <c r="F116" s="93">
        <v>5</v>
      </c>
      <c r="G116" s="93" t="s">
        <v>691</v>
      </c>
      <c r="H116" s="93">
        <v>5</v>
      </c>
      <c r="I116" s="111"/>
      <c r="J116" s="93" t="s">
        <v>687</v>
      </c>
      <c r="K116" s="109">
        <v>46218</v>
      </c>
      <c r="L116" s="93" t="s">
        <v>881</v>
      </c>
    </row>
    <row r="117" spans="1:12" ht="29.15" x14ac:dyDescent="0.4">
      <c r="A117" s="93" t="s">
        <v>566</v>
      </c>
      <c r="B117" s="93" t="s">
        <v>114</v>
      </c>
      <c r="C117" s="93" t="s">
        <v>1238</v>
      </c>
      <c r="D117" s="111" t="s">
        <v>1239</v>
      </c>
      <c r="E117" s="93" t="s">
        <v>745</v>
      </c>
      <c r="F117" s="93">
        <v>11</v>
      </c>
      <c r="G117" s="93" t="s">
        <v>691</v>
      </c>
      <c r="H117" s="93">
        <v>11</v>
      </c>
      <c r="I117" s="111"/>
      <c r="J117" s="93" t="s">
        <v>687</v>
      </c>
      <c r="K117" s="109">
        <v>46218</v>
      </c>
      <c r="L117" s="93" t="s">
        <v>881</v>
      </c>
    </row>
    <row r="118" spans="1:12" ht="29.15" x14ac:dyDescent="0.4">
      <c r="A118" s="93" t="s">
        <v>566</v>
      </c>
      <c r="B118" s="93" t="s">
        <v>114</v>
      </c>
      <c r="C118" s="93" t="s">
        <v>1238</v>
      </c>
      <c r="D118" s="111" t="s">
        <v>1239</v>
      </c>
      <c r="E118" s="93" t="s">
        <v>739</v>
      </c>
      <c r="F118" s="93">
        <v>5</v>
      </c>
      <c r="G118" s="93" t="s">
        <v>691</v>
      </c>
      <c r="H118" s="93">
        <v>5</v>
      </c>
      <c r="I118" s="111"/>
      <c r="J118" s="93" t="s">
        <v>687</v>
      </c>
      <c r="K118" s="109">
        <v>46218</v>
      </c>
      <c r="L118" s="93" t="s">
        <v>881</v>
      </c>
    </row>
    <row r="119" spans="1:12" ht="29.15" x14ac:dyDescent="0.4">
      <c r="A119" s="93" t="s">
        <v>566</v>
      </c>
      <c r="B119" s="93" t="s">
        <v>114</v>
      </c>
      <c r="C119" s="93" t="s">
        <v>1238</v>
      </c>
      <c r="D119" s="111" t="s">
        <v>1239</v>
      </c>
      <c r="E119" s="93" t="s">
        <v>743</v>
      </c>
      <c r="F119" s="93">
        <v>15</v>
      </c>
      <c r="G119" s="93" t="s">
        <v>691</v>
      </c>
      <c r="H119" s="93">
        <v>15</v>
      </c>
      <c r="I119" s="111"/>
      <c r="J119" s="93" t="s">
        <v>687</v>
      </c>
      <c r="K119" s="109">
        <v>46218</v>
      </c>
      <c r="L119" s="93" t="s">
        <v>881</v>
      </c>
    </row>
    <row r="120" spans="1:12" ht="29.15" x14ac:dyDescent="0.4">
      <c r="A120" s="93" t="s">
        <v>566</v>
      </c>
      <c r="B120" s="93" t="s">
        <v>114</v>
      </c>
      <c r="C120" s="93" t="s">
        <v>1242</v>
      </c>
      <c r="D120" s="111" t="s">
        <v>1243</v>
      </c>
      <c r="E120" s="93" t="s">
        <v>745</v>
      </c>
      <c r="F120" s="93">
        <v>1.4</v>
      </c>
      <c r="G120" s="93" t="s">
        <v>691</v>
      </c>
      <c r="H120" s="93">
        <v>1.4</v>
      </c>
      <c r="I120" s="111"/>
      <c r="J120" s="93" t="s">
        <v>687</v>
      </c>
      <c r="K120" s="109">
        <v>46218</v>
      </c>
      <c r="L120" s="93" t="s">
        <v>881</v>
      </c>
    </row>
    <row r="121" spans="1:12" ht="29.15" x14ac:dyDescent="0.4">
      <c r="A121" s="93" t="s">
        <v>566</v>
      </c>
      <c r="B121" s="93" t="s">
        <v>114</v>
      </c>
      <c r="C121" s="93" t="s">
        <v>1242</v>
      </c>
      <c r="D121" s="111" t="s">
        <v>1243</v>
      </c>
      <c r="E121" s="93" t="s">
        <v>739</v>
      </c>
      <c r="F121" s="93"/>
      <c r="G121" s="93" t="s">
        <v>691</v>
      </c>
      <c r="H121" s="93"/>
      <c r="I121" s="111"/>
      <c r="J121" s="93" t="s">
        <v>687</v>
      </c>
      <c r="K121" s="109">
        <v>46218</v>
      </c>
      <c r="L121" s="93" t="s">
        <v>881</v>
      </c>
    </row>
    <row r="122" spans="1:12" ht="29.15" x14ac:dyDescent="0.4">
      <c r="A122" s="93" t="s">
        <v>566</v>
      </c>
      <c r="B122" s="93" t="s">
        <v>114</v>
      </c>
      <c r="C122" s="93" t="s">
        <v>1242</v>
      </c>
      <c r="D122" s="111" t="s">
        <v>1243</v>
      </c>
      <c r="E122" s="93" t="s">
        <v>743</v>
      </c>
      <c r="F122" s="93"/>
      <c r="G122" s="93" t="s">
        <v>691</v>
      </c>
      <c r="H122" s="93"/>
      <c r="I122" s="111"/>
      <c r="J122" s="93" t="s">
        <v>687</v>
      </c>
      <c r="K122" s="109">
        <v>46218</v>
      </c>
      <c r="L122" s="93" t="s">
        <v>881</v>
      </c>
    </row>
    <row r="123" spans="1:12" ht="29.15" x14ac:dyDescent="0.4">
      <c r="A123" s="93" t="s">
        <v>566</v>
      </c>
      <c r="B123" s="93" t="s">
        <v>114</v>
      </c>
      <c r="C123" s="93" t="s">
        <v>1246</v>
      </c>
      <c r="D123" s="111" t="s">
        <v>1247</v>
      </c>
      <c r="E123" s="93" t="s">
        <v>745</v>
      </c>
      <c r="F123" s="93">
        <v>60</v>
      </c>
      <c r="G123" s="93" t="s">
        <v>691</v>
      </c>
      <c r="H123" s="93">
        <v>60</v>
      </c>
      <c r="I123" s="111"/>
      <c r="J123" s="93" t="s">
        <v>687</v>
      </c>
      <c r="K123" s="109">
        <v>46218</v>
      </c>
      <c r="L123" s="93" t="s">
        <v>881</v>
      </c>
    </row>
    <row r="124" spans="1:12" ht="29.15" x14ac:dyDescent="0.4">
      <c r="A124" s="93" t="s">
        <v>566</v>
      </c>
      <c r="B124" s="93" t="s">
        <v>114</v>
      </c>
      <c r="C124" s="93" t="s">
        <v>1246</v>
      </c>
      <c r="D124" s="111" t="s">
        <v>1247</v>
      </c>
      <c r="E124" s="93" t="s">
        <v>739</v>
      </c>
      <c r="F124" s="93">
        <v>20</v>
      </c>
      <c r="G124" s="93" t="s">
        <v>691</v>
      </c>
      <c r="H124" s="93">
        <v>20</v>
      </c>
      <c r="I124" s="111"/>
      <c r="J124" s="93" t="s">
        <v>687</v>
      </c>
      <c r="K124" s="109">
        <v>46218</v>
      </c>
      <c r="L124" s="93" t="s">
        <v>881</v>
      </c>
    </row>
    <row r="125" spans="1:12" ht="29.15" x14ac:dyDescent="0.4">
      <c r="A125" s="93" t="s">
        <v>566</v>
      </c>
      <c r="B125" s="93" t="s">
        <v>114</v>
      </c>
      <c r="C125" s="93" t="s">
        <v>1246</v>
      </c>
      <c r="D125" s="111" t="s">
        <v>1247</v>
      </c>
      <c r="E125" s="93" t="s">
        <v>743</v>
      </c>
      <c r="F125" s="93">
        <v>50</v>
      </c>
      <c r="G125" s="93" t="s">
        <v>691</v>
      </c>
      <c r="H125" s="93">
        <v>50</v>
      </c>
      <c r="I125" s="111"/>
      <c r="J125" s="93" t="s">
        <v>687</v>
      </c>
      <c r="K125" s="109">
        <v>46218</v>
      </c>
      <c r="L125" s="93" t="s">
        <v>881</v>
      </c>
    </row>
    <row r="126" spans="1:12" ht="29.15" x14ac:dyDescent="0.4">
      <c r="A126" s="93" t="s">
        <v>566</v>
      </c>
      <c r="B126" s="93" t="s">
        <v>114</v>
      </c>
      <c r="C126" s="93" t="s">
        <v>1209</v>
      </c>
      <c r="D126" s="111" t="s">
        <v>1210</v>
      </c>
      <c r="E126" s="93" t="s">
        <v>745</v>
      </c>
      <c r="F126" s="93">
        <v>7</v>
      </c>
      <c r="G126" s="93" t="s">
        <v>691</v>
      </c>
      <c r="H126" s="93">
        <v>7</v>
      </c>
      <c r="I126" s="111"/>
      <c r="J126" s="93" t="s">
        <v>687</v>
      </c>
      <c r="K126" s="109">
        <v>46218</v>
      </c>
      <c r="L126" s="93" t="s">
        <v>881</v>
      </c>
    </row>
    <row r="127" spans="1:12" ht="29.15" x14ac:dyDescent="0.4">
      <c r="A127" s="93" t="s">
        <v>566</v>
      </c>
      <c r="B127" s="93" t="s">
        <v>114</v>
      </c>
      <c r="C127" s="93" t="s">
        <v>1209</v>
      </c>
      <c r="D127" s="111" t="s">
        <v>1210</v>
      </c>
      <c r="E127" s="93" t="s">
        <v>739</v>
      </c>
      <c r="F127" s="93">
        <v>3</v>
      </c>
      <c r="G127" s="93" t="s">
        <v>691</v>
      </c>
      <c r="H127" s="93">
        <v>3</v>
      </c>
      <c r="I127" s="111"/>
      <c r="J127" s="93" t="s">
        <v>687</v>
      </c>
      <c r="K127" s="109">
        <v>46218</v>
      </c>
      <c r="L127" s="93" t="s">
        <v>881</v>
      </c>
    </row>
    <row r="128" spans="1:12" ht="29.15" x14ac:dyDescent="0.4">
      <c r="A128" s="93" t="s">
        <v>566</v>
      </c>
      <c r="B128" s="93" t="s">
        <v>114</v>
      </c>
      <c r="C128" s="93" t="s">
        <v>1209</v>
      </c>
      <c r="D128" s="111" t="s">
        <v>1210</v>
      </c>
      <c r="E128" s="93" t="s">
        <v>743</v>
      </c>
      <c r="F128" s="93">
        <v>8</v>
      </c>
      <c r="G128" s="93" t="s">
        <v>691</v>
      </c>
      <c r="H128" s="93">
        <v>8</v>
      </c>
      <c r="I128" s="111"/>
      <c r="J128" s="93" t="s">
        <v>687</v>
      </c>
      <c r="K128" s="109">
        <v>46218</v>
      </c>
      <c r="L128" s="93" t="s">
        <v>881</v>
      </c>
    </row>
    <row r="129" spans="1:12" ht="29.15" x14ac:dyDescent="0.4">
      <c r="A129" s="93" t="s">
        <v>566</v>
      </c>
      <c r="B129" s="93" t="s">
        <v>114</v>
      </c>
      <c r="C129" s="93" t="s">
        <v>1213</v>
      </c>
      <c r="D129" s="111" t="s">
        <v>1214</v>
      </c>
      <c r="E129" s="93" t="s">
        <v>745</v>
      </c>
      <c r="F129" s="93">
        <v>5</v>
      </c>
      <c r="G129" s="93" t="s">
        <v>691</v>
      </c>
      <c r="H129" s="93">
        <v>5</v>
      </c>
      <c r="I129" s="111"/>
      <c r="J129" s="93" t="s">
        <v>687</v>
      </c>
      <c r="K129" s="109">
        <v>46218</v>
      </c>
      <c r="L129" s="93" t="s">
        <v>881</v>
      </c>
    </row>
    <row r="130" spans="1:12" ht="29.15" x14ac:dyDescent="0.4">
      <c r="A130" s="93" t="s">
        <v>566</v>
      </c>
      <c r="B130" s="93" t="s">
        <v>114</v>
      </c>
      <c r="C130" s="93" t="s">
        <v>1213</v>
      </c>
      <c r="D130" s="111" t="s">
        <v>1214</v>
      </c>
      <c r="E130" s="93" t="s">
        <v>739</v>
      </c>
      <c r="F130" s="93">
        <v>2</v>
      </c>
      <c r="G130" s="93" t="s">
        <v>691</v>
      </c>
      <c r="H130" s="93">
        <v>2</v>
      </c>
      <c r="I130" s="111"/>
      <c r="J130" s="93" t="s">
        <v>687</v>
      </c>
      <c r="K130" s="109">
        <v>46218</v>
      </c>
      <c r="L130" s="93" t="s">
        <v>881</v>
      </c>
    </row>
    <row r="131" spans="1:12" ht="29.15" x14ac:dyDescent="0.4">
      <c r="A131" s="93" t="s">
        <v>566</v>
      </c>
      <c r="B131" s="93" t="s">
        <v>114</v>
      </c>
      <c r="C131" s="93" t="s">
        <v>1213</v>
      </c>
      <c r="D131" s="111" t="s">
        <v>1214</v>
      </c>
      <c r="E131" s="93" t="s">
        <v>743</v>
      </c>
      <c r="F131" s="93">
        <v>6</v>
      </c>
      <c r="G131" s="93" t="s">
        <v>691</v>
      </c>
      <c r="H131" s="93">
        <v>6</v>
      </c>
      <c r="I131" s="111"/>
      <c r="J131" s="93" t="s">
        <v>687</v>
      </c>
      <c r="K131" s="109">
        <v>46218</v>
      </c>
      <c r="L131" s="93" t="s">
        <v>881</v>
      </c>
    </row>
    <row r="132" spans="1:12" ht="29.15" x14ac:dyDescent="0.4">
      <c r="A132" s="93" t="s">
        <v>566</v>
      </c>
      <c r="B132" s="93" t="s">
        <v>114</v>
      </c>
      <c r="C132" s="93" t="s">
        <v>1217</v>
      </c>
      <c r="D132" s="111" t="s">
        <v>1218</v>
      </c>
      <c r="E132" s="93" t="s">
        <v>745</v>
      </c>
      <c r="F132" s="93">
        <v>14</v>
      </c>
      <c r="G132" s="93" t="s">
        <v>691</v>
      </c>
      <c r="H132" s="93">
        <v>14</v>
      </c>
      <c r="I132" s="111"/>
      <c r="J132" s="93" t="s">
        <v>687</v>
      </c>
      <c r="K132" s="109">
        <v>46218</v>
      </c>
      <c r="L132" s="93" t="s">
        <v>881</v>
      </c>
    </row>
    <row r="133" spans="1:12" ht="29.15" x14ac:dyDescent="0.4">
      <c r="A133" s="93" t="s">
        <v>566</v>
      </c>
      <c r="B133" s="93" t="s">
        <v>114</v>
      </c>
      <c r="C133" s="93" t="s">
        <v>1217</v>
      </c>
      <c r="D133" s="111" t="s">
        <v>1218</v>
      </c>
      <c r="E133" s="93" t="s">
        <v>739</v>
      </c>
      <c r="F133" s="93">
        <v>10</v>
      </c>
      <c r="G133" s="93" t="s">
        <v>691</v>
      </c>
      <c r="H133" s="93">
        <v>10</v>
      </c>
      <c r="I133" s="111"/>
      <c r="J133" s="93" t="s">
        <v>687</v>
      </c>
      <c r="K133" s="109">
        <v>46218</v>
      </c>
      <c r="L133" s="93" t="s">
        <v>881</v>
      </c>
    </row>
    <row r="134" spans="1:12" ht="29.15" x14ac:dyDescent="0.4">
      <c r="A134" s="93" t="s">
        <v>566</v>
      </c>
      <c r="B134" s="93" t="s">
        <v>114</v>
      </c>
      <c r="C134" s="93" t="s">
        <v>1217</v>
      </c>
      <c r="D134" s="111" t="s">
        <v>1218</v>
      </c>
      <c r="E134" s="93" t="s">
        <v>743</v>
      </c>
      <c r="F134" s="93">
        <v>30</v>
      </c>
      <c r="G134" s="93" t="s">
        <v>691</v>
      </c>
      <c r="H134" s="93">
        <v>30</v>
      </c>
      <c r="I134" s="111"/>
      <c r="J134" s="93" t="s">
        <v>687</v>
      </c>
      <c r="K134" s="109">
        <v>46218</v>
      </c>
      <c r="L134" s="93" t="s">
        <v>881</v>
      </c>
    </row>
    <row r="135" spans="1:12" ht="29.15" x14ac:dyDescent="0.4">
      <c r="A135" s="93" t="s">
        <v>566</v>
      </c>
      <c r="B135" s="93" t="s">
        <v>114</v>
      </c>
      <c r="C135" s="93" t="s">
        <v>1221</v>
      </c>
      <c r="D135" s="111" t="s">
        <v>1222</v>
      </c>
      <c r="E135" s="93" t="s">
        <v>745</v>
      </c>
      <c r="F135" s="93">
        <v>5</v>
      </c>
      <c r="G135" s="93" t="s">
        <v>691</v>
      </c>
      <c r="H135" s="93">
        <v>5</v>
      </c>
      <c r="I135" s="111"/>
      <c r="J135" s="93" t="s">
        <v>687</v>
      </c>
      <c r="K135" s="109">
        <v>46218</v>
      </c>
      <c r="L135" s="93" t="s">
        <v>881</v>
      </c>
    </row>
    <row r="136" spans="1:12" ht="29.15" x14ac:dyDescent="0.4">
      <c r="A136" s="93" t="s">
        <v>566</v>
      </c>
      <c r="B136" s="93" t="s">
        <v>114</v>
      </c>
      <c r="C136" s="93" t="s">
        <v>1221</v>
      </c>
      <c r="D136" s="111" t="s">
        <v>1222</v>
      </c>
      <c r="E136" s="93" t="s">
        <v>739</v>
      </c>
      <c r="F136" s="93">
        <v>4</v>
      </c>
      <c r="G136" s="93" t="s">
        <v>691</v>
      </c>
      <c r="H136" s="93">
        <v>4</v>
      </c>
      <c r="I136" s="111"/>
      <c r="J136" s="93" t="s">
        <v>687</v>
      </c>
      <c r="K136" s="109">
        <v>46218</v>
      </c>
      <c r="L136" s="93" t="s">
        <v>881</v>
      </c>
    </row>
    <row r="137" spans="1:12" ht="29.15" x14ac:dyDescent="0.4">
      <c r="A137" s="93" t="s">
        <v>566</v>
      </c>
      <c r="B137" s="93" t="s">
        <v>114</v>
      </c>
      <c r="C137" s="93" t="s">
        <v>1221</v>
      </c>
      <c r="D137" s="111" t="s">
        <v>1222</v>
      </c>
      <c r="E137" s="93" t="s">
        <v>743</v>
      </c>
      <c r="F137" s="93">
        <v>12</v>
      </c>
      <c r="G137" s="93" t="s">
        <v>691</v>
      </c>
      <c r="H137" s="93">
        <v>12</v>
      </c>
      <c r="I137" s="111"/>
      <c r="J137" s="93" t="s">
        <v>687</v>
      </c>
      <c r="K137" s="109">
        <v>46218</v>
      </c>
      <c r="L137" s="93" t="s">
        <v>881</v>
      </c>
    </row>
    <row r="138" spans="1:12" ht="29.15" x14ac:dyDescent="0.4">
      <c r="A138" s="93" t="s">
        <v>566</v>
      </c>
      <c r="B138" s="93" t="s">
        <v>460</v>
      </c>
      <c r="C138" s="93" t="s">
        <v>702</v>
      </c>
      <c r="D138" s="111" t="s">
        <v>1091</v>
      </c>
      <c r="E138" s="93" t="s">
        <v>169</v>
      </c>
      <c r="F138" s="93" t="s">
        <v>511</v>
      </c>
      <c r="G138" s="93" t="s">
        <v>691</v>
      </c>
      <c r="H138" s="93" t="s">
        <v>511</v>
      </c>
      <c r="I138" s="111"/>
      <c r="J138" s="93" t="s">
        <v>687</v>
      </c>
      <c r="K138" s="109">
        <v>46218</v>
      </c>
      <c r="L138" s="93" t="s">
        <v>881</v>
      </c>
    </row>
    <row r="139" spans="1:12" ht="29.15" x14ac:dyDescent="0.4">
      <c r="A139" s="93" t="s">
        <v>566</v>
      </c>
      <c r="B139" s="93" t="s">
        <v>460</v>
      </c>
      <c r="C139" s="93" t="s">
        <v>702</v>
      </c>
      <c r="D139" s="111" t="s">
        <v>1091</v>
      </c>
      <c r="E139" s="93" t="s">
        <v>461</v>
      </c>
      <c r="F139" s="93" t="s">
        <v>708</v>
      </c>
      <c r="G139" s="93" t="s">
        <v>691</v>
      </c>
      <c r="H139" s="93" t="s">
        <v>708</v>
      </c>
      <c r="I139" s="111"/>
      <c r="J139" s="93" t="s">
        <v>687</v>
      </c>
      <c r="K139" s="109">
        <v>46218</v>
      </c>
      <c r="L139" s="93" t="s">
        <v>881</v>
      </c>
    </row>
    <row r="140" spans="1:12" ht="29.15" x14ac:dyDescent="0.4">
      <c r="A140" s="93" t="s">
        <v>566</v>
      </c>
      <c r="B140" s="93" t="s">
        <v>460</v>
      </c>
      <c r="C140" s="93" t="s">
        <v>1093</v>
      </c>
      <c r="D140" s="111" t="s">
        <v>1094</v>
      </c>
      <c r="E140" s="93" t="s">
        <v>169</v>
      </c>
      <c r="F140" s="93" t="s">
        <v>517</v>
      </c>
      <c r="G140" s="93" t="s">
        <v>691</v>
      </c>
      <c r="H140" s="93" t="s">
        <v>517</v>
      </c>
      <c r="I140" s="111"/>
      <c r="J140" s="93" t="s">
        <v>687</v>
      </c>
      <c r="K140" s="109">
        <v>46218</v>
      </c>
      <c r="L140" s="93" t="s">
        <v>881</v>
      </c>
    </row>
    <row r="141" spans="1:12" ht="29.15" x14ac:dyDescent="0.4">
      <c r="A141" s="93" t="s">
        <v>566</v>
      </c>
      <c r="B141" s="93" t="s">
        <v>460</v>
      </c>
      <c r="C141" s="93" t="s">
        <v>1093</v>
      </c>
      <c r="D141" s="111" t="s">
        <v>1094</v>
      </c>
      <c r="E141" s="93" t="s">
        <v>461</v>
      </c>
      <c r="F141" s="93" t="s">
        <v>1095</v>
      </c>
      <c r="G141" s="93" t="s">
        <v>691</v>
      </c>
      <c r="H141" s="93" t="s">
        <v>1095</v>
      </c>
      <c r="I141" s="111"/>
      <c r="J141" s="93" t="s">
        <v>687</v>
      </c>
      <c r="K141" s="109">
        <v>46218</v>
      </c>
      <c r="L141" s="93" t="s">
        <v>881</v>
      </c>
    </row>
    <row r="142" spans="1:12" ht="29.15" x14ac:dyDescent="0.4">
      <c r="A142" s="93" t="s">
        <v>566</v>
      </c>
      <c r="B142" s="93" t="s">
        <v>460</v>
      </c>
      <c r="C142" s="93" t="s">
        <v>1097</v>
      </c>
      <c r="D142" s="111" t="s">
        <v>1098</v>
      </c>
      <c r="E142" s="93" t="s">
        <v>169</v>
      </c>
      <c r="F142" s="93" t="s">
        <v>523</v>
      </c>
      <c r="G142" s="93" t="s">
        <v>691</v>
      </c>
      <c r="H142" s="93" t="s">
        <v>523</v>
      </c>
      <c r="I142" s="111"/>
      <c r="J142" s="93" t="s">
        <v>687</v>
      </c>
      <c r="K142" s="109">
        <v>46218</v>
      </c>
      <c r="L142" s="93" t="s">
        <v>881</v>
      </c>
    </row>
    <row r="143" spans="1:12" ht="29.15" x14ac:dyDescent="0.4">
      <c r="A143" s="93" t="s">
        <v>566</v>
      </c>
      <c r="B143" s="93" t="s">
        <v>460</v>
      </c>
      <c r="C143" s="93" t="s">
        <v>1097</v>
      </c>
      <c r="D143" s="111" t="s">
        <v>1098</v>
      </c>
      <c r="E143" s="93" t="s">
        <v>461</v>
      </c>
      <c r="F143" s="93" t="s">
        <v>708</v>
      </c>
      <c r="G143" s="93" t="s">
        <v>691</v>
      </c>
      <c r="H143" s="93" t="s">
        <v>708</v>
      </c>
      <c r="I143" s="111"/>
      <c r="J143" s="93" t="s">
        <v>687</v>
      </c>
      <c r="K143" s="109">
        <v>46218</v>
      </c>
      <c r="L143" s="93" t="s">
        <v>881</v>
      </c>
    </row>
    <row r="144" spans="1:12" ht="29.15" x14ac:dyDescent="0.4">
      <c r="A144" s="93" t="s">
        <v>566</v>
      </c>
      <c r="B144" s="93" t="s">
        <v>460</v>
      </c>
      <c r="C144" s="93" t="s">
        <v>1100</v>
      </c>
      <c r="D144" s="111" t="s">
        <v>1101</v>
      </c>
      <c r="E144" s="93" t="s">
        <v>169</v>
      </c>
      <c r="F144" s="93" t="s">
        <v>529</v>
      </c>
      <c r="G144" s="93" t="s">
        <v>691</v>
      </c>
      <c r="H144" s="93" t="s">
        <v>529</v>
      </c>
      <c r="I144" s="111"/>
      <c r="J144" s="93" t="s">
        <v>687</v>
      </c>
      <c r="K144" s="109">
        <v>46218</v>
      </c>
      <c r="L144" s="93" t="s">
        <v>881</v>
      </c>
    </row>
    <row r="145" spans="1:12" ht="29.15" x14ac:dyDescent="0.4">
      <c r="A145" s="93" t="s">
        <v>566</v>
      </c>
      <c r="B145" s="93" t="s">
        <v>460</v>
      </c>
      <c r="C145" s="93" t="s">
        <v>1100</v>
      </c>
      <c r="D145" s="111" t="s">
        <v>1101</v>
      </c>
      <c r="E145" s="93" t="s">
        <v>461</v>
      </c>
      <c r="F145" s="93" t="s">
        <v>1095</v>
      </c>
      <c r="G145" s="93" t="s">
        <v>691</v>
      </c>
      <c r="H145" s="93" t="s">
        <v>1095</v>
      </c>
      <c r="I145" s="111"/>
      <c r="J145" s="93" t="s">
        <v>687</v>
      </c>
      <c r="K145" s="109">
        <v>46218</v>
      </c>
      <c r="L145" s="93" t="s">
        <v>881</v>
      </c>
    </row>
    <row r="146" spans="1:12" ht="29.15" x14ac:dyDescent="0.4">
      <c r="A146" s="93" t="s">
        <v>566</v>
      </c>
      <c r="B146" s="93" t="s">
        <v>460</v>
      </c>
      <c r="C146" s="93" t="s">
        <v>1103</v>
      </c>
      <c r="D146" s="111" t="s">
        <v>1104</v>
      </c>
      <c r="E146" s="93" t="s">
        <v>169</v>
      </c>
      <c r="F146" s="93" t="s">
        <v>533</v>
      </c>
      <c r="G146" s="93" t="s">
        <v>1108</v>
      </c>
      <c r="H146" s="93"/>
      <c r="I146" s="111" t="s">
        <v>1356</v>
      </c>
      <c r="J146" s="93" t="s">
        <v>687</v>
      </c>
      <c r="K146" s="109">
        <v>46218</v>
      </c>
      <c r="L146" s="93" t="s">
        <v>881</v>
      </c>
    </row>
    <row r="147" spans="1:12" ht="29.15" x14ac:dyDescent="0.4">
      <c r="A147" s="93" t="s">
        <v>566</v>
      </c>
      <c r="B147" s="93" t="s">
        <v>460</v>
      </c>
      <c r="C147" s="93" t="s">
        <v>1103</v>
      </c>
      <c r="D147" s="111" t="s">
        <v>1104</v>
      </c>
      <c r="E147" s="93" t="s">
        <v>461</v>
      </c>
      <c r="F147" s="93" t="s">
        <v>1105</v>
      </c>
      <c r="G147" s="93" t="s">
        <v>1108</v>
      </c>
      <c r="H147" s="93"/>
      <c r="I147" s="111" t="s">
        <v>1356</v>
      </c>
      <c r="J147" s="93" t="s">
        <v>687</v>
      </c>
      <c r="K147" s="109">
        <v>46218</v>
      </c>
      <c r="L147" s="93" t="s">
        <v>881</v>
      </c>
    </row>
    <row r="148" spans="1:12" ht="29.15" x14ac:dyDescent="0.4">
      <c r="A148" s="93" t="s">
        <v>566</v>
      </c>
      <c r="B148" s="93" t="s">
        <v>460</v>
      </c>
      <c r="C148" s="93" t="s">
        <v>1109</v>
      </c>
      <c r="D148" s="111" t="s">
        <v>1110</v>
      </c>
      <c r="E148" s="93" t="s">
        <v>169</v>
      </c>
      <c r="F148" s="93" t="s">
        <v>538</v>
      </c>
      <c r="G148" s="93" t="s">
        <v>691</v>
      </c>
      <c r="H148" s="93" t="s">
        <v>538</v>
      </c>
      <c r="I148" s="111"/>
      <c r="J148" s="93" t="s">
        <v>687</v>
      </c>
      <c r="K148" s="109">
        <v>46218</v>
      </c>
      <c r="L148" s="93" t="s">
        <v>881</v>
      </c>
    </row>
    <row r="149" spans="1:12" ht="29.15" x14ac:dyDescent="0.4">
      <c r="A149" s="93" t="s">
        <v>566</v>
      </c>
      <c r="B149" s="93" t="s">
        <v>460</v>
      </c>
      <c r="C149" s="93" t="s">
        <v>1109</v>
      </c>
      <c r="D149" s="111" t="s">
        <v>1110</v>
      </c>
      <c r="E149" s="93" t="s">
        <v>461</v>
      </c>
      <c r="F149" s="93" t="s">
        <v>1105</v>
      </c>
      <c r="G149" s="93" t="s">
        <v>691</v>
      </c>
      <c r="H149" s="93" t="s">
        <v>1105</v>
      </c>
      <c r="I149" s="111"/>
      <c r="J149" s="93" t="s">
        <v>687</v>
      </c>
      <c r="K149" s="109">
        <v>46218</v>
      </c>
      <c r="L149" s="93" t="s">
        <v>881</v>
      </c>
    </row>
    <row r="150" spans="1:12" ht="29.15" x14ac:dyDescent="0.4">
      <c r="A150" s="93" t="s">
        <v>566</v>
      </c>
      <c r="B150" s="93" t="s">
        <v>460</v>
      </c>
      <c r="C150" s="93" t="s">
        <v>1112</v>
      </c>
      <c r="D150" s="111" t="s">
        <v>1113</v>
      </c>
      <c r="E150" s="93" t="s">
        <v>169</v>
      </c>
      <c r="F150" s="93" t="s">
        <v>517</v>
      </c>
      <c r="G150" s="93" t="s">
        <v>691</v>
      </c>
      <c r="H150" s="93" t="s">
        <v>517</v>
      </c>
      <c r="I150" s="111"/>
      <c r="J150" s="93" t="s">
        <v>687</v>
      </c>
      <c r="K150" s="109">
        <v>46218</v>
      </c>
      <c r="L150" s="93" t="s">
        <v>881</v>
      </c>
    </row>
    <row r="151" spans="1:12" ht="29.15" x14ac:dyDescent="0.4">
      <c r="A151" s="93" t="s">
        <v>566</v>
      </c>
      <c r="B151" s="93" t="s">
        <v>460</v>
      </c>
      <c r="C151" s="93" t="s">
        <v>1112</v>
      </c>
      <c r="D151" s="111" t="s">
        <v>1113</v>
      </c>
      <c r="E151" s="93" t="s">
        <v>461</v>
      </c>
      <c r="F151" s="93" t="s">
        <v>708</v>
      </c>
      <c r="G151" s="93" t="s">
        <v>691</v>
      </c>
      <c r="H151" s="93" t="s">
        <v>708</v>
      </c>
      <c r="I151" s="111"/>
      <c r="J151" s="93" t="s">
        <v>687</v>
      </c>
      <c r="K151" s="109">
        <v>46218</v>
      </c>
      <c r="L151" s="93" t="s">
        <v>881</v>
      </c>
    </row>
    <row r="152" spans="1:12" ht="29.15" x14ac:dyDescent="0.4">
      <c r="A152" s="93" t="s">
        <v>566</v>
      </c>
      <c r="B152" s="93" t="s">
        <v>460</v>
      </c>
      <c r="C152" s="93" t="s">
        <v>1115</v>
      </c>
      <c r="D152" s="111" t="s">
        <v>1116</v>
      </c>
      <c r="E152" s="93" t="s">
        <v>169</v>
      </c>
      <c r="F152" s="93" t="s">
        <v>538</v>
      </c>
      <c r="G152" s="93" t="s">
        <v>691</v>
      </c>
      <c r="H152" s="93" t="s">
        <v>538</v>
      </c>
      <c r="I152" s="111"/>
      <c r="J152" s="93" t="s">
        <v>687</v>
      </c>
      <c r="K152" s="109">
        <v>46218</v>
      </c>
      <c r="L152" s="93" t="s">
        <v>881</v>
      </c>
    </row>
    <row r="153" spans="1:12" ht="29.15" x14ac:dyDescent="0.4">
      <c r="A153" s="93" t="s">
        <v>566</v>
      </c>
      <c r="B153" s="93" t="s">
        <v>460</v>
      </c>
      <c r="C153" s="93" t="s">
        <v>1115</v>
      </c>
      <c r="D153" s="111" t="s">
        <v>1116</v>
      </c>
      <c r="E153" s="93" t="s">
        <v>461</v>
      </c>
      <c r="F153" s="93" t="s">
        <v>1105</v>
      </c>
      <c r="G153" s="93" t="s">
        <v>691</v>
      </c>
      <c r="H153" s="93" t="s">
        <v>1105</v>
      </c>
      <c r="I153" s="111"/>
      <c r="J153" s="93" t="s">
        <v>687</v>
      </c>
      <c r="K153" s="109">
        <v>46218</v>
      </c>
      <c r="L153" s="93" t="s">
        <v>881</v>
      </c>
    </row>
    <row r="154" spans="1:12" ht="29.15" x14ac:dyDescent="0.4">
      <c r="A154" s="93" t="s">
        <v>566</v>
      </c>
      <c r="B154" s="93" t="s">
        <v>460</v>
      </c>
      <c r="C154" s="93" t="s">
        <v>1118</v>
      </c>
      <c r="D154" s="111" t="s">
        <v>1119</v>
      </c>
      <c r="E154" s="93" t="s">
        <v>169</v>
      </c>
      <c r="F154" s="93" t="s">
        <v>523</v>
      </c>
      <c r="G154" s="93" t="s">
        <v>691</v>
      </c>
      <c r="H154" s="93" t="s">
        <v>523</v>
      </c>
      <c r="I154" s="111"/>
      <c r="J154" s="93" t="s">
        <v>687</v>
      </c>
      <c r="K154" s="109">
        <v>46218</v>
      </c>
      <c r="L154" s="93" t="s">
        <v>881</v>
      </c>
    </row>
    <row r="155" spans="1:12" ht="29.15" x14ac:dyDescent="0.4">
      <c r="A155" s="93" t="s">
        <v>566</v>
      </c>
      <c r="B155" s="93" t="s">
        <v>460</v>
      </c>
      <c r="C155" s="93" t="s">
        <v>1118</v>
      </c>
      <c r="D155" s="111" t="s">
        <v>1119</v>
      </c>
      <c r="E155" s="93" t="s">
        <v>461</v>
      </c>
      <c r="F155" s="93" t="s">
        <v>1095</v>
      </c>
      <c r="G155" s="93" t="s">
        <v>691</v>
      </c>
      <c r="H155" s="93" t="s">
        <v>1095</v>
      </c>
      <c r="I155" s="111"/>
      <c r="J155" s="93" t="s">
        <v>687</v>
      </c>
      <c r="K155" s="109">
        <v>46218</v>
      </c>
      <c r="L155" s="93" t="s">
        <v>881</v>
      </c>
    </row>
    <row r="156" spans="1:12" ht="29.15" x14ac:dyDescent="0.4">
      <c r="A156" s="93" t="s">
        <v>566</v>
      </c>
      <c r="B156" s="93" t="s">
        <v>460</v>
      </c>
      <c r="C156" s="93" t="s">
        <v>1121</v>
      </c>
      <c r="D156" s="111" t="s">
        <v>1122</v>
      </c>
      <c r="E156" s="93" t="s">
        <v>169</v>
      </c>
      <c r="F156" s="93" t="s">
        <v>558</v>
      </c>
      <c r="G156" s="93" t="s">
        <v>691</v>
      </c>
      <c r="H156" s="93" t="s">
        <v>558</v>
      </c>
      <c r="I156" s="111"/>
      <c r="J156" s="93" t="s">
        <v>687</v>
      </c>
      <c r="K156" s="109">
        <v>46218</v>
      </c>
      <c r="L156" s="93" t="s">
        <v>881</v>
      </c>
    </row>
    <row r="157" spans="1:12" ht="29.15" x14ac:dyDescent="0.4">
      <c r="A157" s="93" t="s">
        <v>566</v>
      </c>
      <c r="B157" s="93" t="s">
        <v>460</v>
      </c>
      <c r="C157" s="93" t="s">
        <v>1121</v>
      </c>
      <c r="D157" s="111" t="s">
        <v>1122</v>
      </c>
      <c r="E157" s="93" t="s">
        <v>461</v>
      </c>
      <c r="F157" s="93" t="s">
        <v>1105</v>
      </c>
      <c r="G157" s="93" t="s">
        <v>691</v>
      </c>
      <c r="H157" s="93" t="s">
        <v>1105</v>
      </c>
      <c r="I157" s="111"/>
      <c r="J157" s="93" t="s">
        <v>687</v>
      </c>
      <c r="K157" s="109">
        <v>46218</v>
      </c>
      <c r="L157" s="93" t="s">
        <v>881</v>
      </c>
    </row>
    <row r="158" spans="1:12" ht="29.15" x14ac:dyDescent="0.4">
      <c r="A158" s="93" t="s">
        <v>566</v>
      </c>
      <c r="B158" s="93" t="s">
        <v>460</v>
      </c>
      <c r="C158" s="93" t="s">
        <v>1124</v>
      </c>
      <c r="D158" s="111" t="s">
        <v>1125</v>
      </c>
      <c r="E158" s="93" t="s">
        <v>169</v>
      </c>
      <c r="F158" s="93" t="s">
        <v>564</v>
      </c>
      <c r="G158" s="93" t="s">
        <v>691</v>
      </c>
      <c r="H158" s="93" t="s">
        <v>564</v>
      </c>
      <c r="I158" s="111"/>
      <c r="J158" s="93" t="s">
        <v>687</v>
      </c>
      <c r="K158" s="109">
        <v>46218</v>
      </c>
      <c r="L158" s="93" t="s">
        <v>881</v>
      </c>
    </row>
    <row r="159" spans="1:12" ht="29.15" x14ac:dyDescent="0.4">
      <c r="A159" s="93" t="s">
        <v>566</v>
      </c>
      <c r="B159" s="93" t="s">
        <v>460</v>
      </c>
      <c r="C159" s="93" t="s">
        <v>1124</v>
      </c>
      <c r="D159" s="111" t="s">
        <v>1125</v>
      </c>
      <c r="E159" s="93" t="s">
        <v>461</v>
      </c>
      <c r="F159" s="93" t="s">
        <v>1095</v>
      </c>
      <c r="G159" s="93" t="s">
        <v>691</v>
      </c>
      <c r="H159" s="93" t="s">
        <v>1095</v>
      </c>
      <c r="I159" s="111"/>
      <c r="J159" s="93" t="s">
        <v>687</v>
      </c>
      <c r="K159" s="109">
        <v>46218</v>
      </c>
      <c r="L159" s="93" t="s">
        <v>881</v>
      </c>
    </row>
    <row r="160" spans="1:12" ht="29.15" x14ac:dyDescent="0.4">
      <c r="A160" s="93" t="s">
        <v>566</v>
      </c>
      <c r="B160" s="93" t="s">
        <v>460</v>
      </c>
      <c r="C160" s="93" t="s">
        <v>1127</v>
      </c>
      <c r="D160" s="111" t="s">
        <v>1128</v>
      </c>
      <c r="E160" s="93" t="s">
        <v>169</v>
      </c>
      <c r="F160" s="93" t="s">
        <v>533</v>
      </c>
      <c r="G160" s="93" t="s">
        <v>691</v>
      </c>
      <c r="H160" s="93" t="s">
        <v>533</v>
      </c>
      <c r="I160" s="111"/>
      <c r="J160" s="93" t="s">
        <v>687</v>
      </c>
      <c r="K160" s="109">
        <v>46218</v>
      </c>
      <c r="L160" s="93" t="s">
        <v>881</v>
      </c>
    </row>
    <row r="161" spans="1:12" ht="29.15" x14ac:dyDescent="0.4">
      <c r="A161" s="93" t="s">
        <v>566</v>
      </c>
      <c r="B161" s="93" t="s">
        <v>460</v>
      </c>
      <c r="C161" s="93" t="s">
        <v>1127</v>
      </c>
      <c r="D161" s="111" t="s">
        <v>1128</v>
      </c>
      <c r="E161" s="93" t="s">
        <v>461</v>
      </c>
      <c r="F161" s="93" t="s">
        <v>1105</v>
      </c>
      <c r="G161" s="93" t="s">
        <v>691</v>
      </c>
      <c r="H161" s="93" t="s">
        <v>1105</v>
      </c>
      <c r="I161" s="111"/>
      <c r="J161" s="93" t="s">
        <v>687</v>
      </c>
      <c r="K161" s="109">
        <v>46218</v>
      </c>
      <c r="L161" s="93" t="s">
        <v>881</v>
      </c>
    </row>
    <row r="162" spans="1:12" x14ac:dyDescent="0.4">
      <c r="A162" s="93" t="s">
        <v>1357</v>
      </c>
      <c r="B162" s="93" t="s">
        <v>493</v>
      </c>
      <c r="C162" s="93" t="s">
        <v>1268</v>
      </c>
      <c r="D162" s="111" t="s">
        <v>1269</v>
      </c>
      <c r="E162" s="93" t="s">
        <v>790</v>
      </c>
      <c r="F162" s="93" t="s">
        <v>514</v>
      </c>
      <c r="G162" s="93" t="s">
        <v>691</v>
      </c>
      <c r="H162" s="93" t="s">
        <v>514</v>
      </c>
      <c r="I162" s="111"/>
      <c r="J162" s="93" t="s">
        <v>687</v>
      </c>
      <c r="K162" s="109">
        <v>46169</v>
      </c>
      <c r="L162" s="93" t="s">
        <v>881</v>
      </c>
    </row>
    <row r="163" spans="1:12" x14ac:dyDescent="0.4">
      <c r="A163" s="93" t="s">
        <v>1357</v>
      </c>
      <c r="B163" s="93" t="s">
        <v>493</v>
      </c>
      <c r="C163" s="93" t="s">
        <v>1268</v>
      </c>
      <c r="D163" s="111" t="s">
        <v>1269</v>
      </c>
      <c r="E163" s="93" t="s">
        <v>497</v>
      </c>
      <c r="F163" s="93" t="s">
        <v>795</v>
      </c>
      <c r="G163" s="93" t="s">
        <v>691</v>
      </c>
      <c r="H163" s="93" t="s">
        <v>795</v>
      </c>
      <c r="I163" s="111"/>
      <c r="J163" s="93" t="s">
        <v>687</v>
      </c>
      <c r="K163" s="109">
        <v>46169</v>
      </c>
      <c r="L163" s="93" t="s">
        <v>881</v>
      </c>
    </row>
    <row r="164" spans="1:12" ht="29.15" x14ac:dyDescent="0.4">
      <c r="A164" s="93" t="s">
        <v>1358</v>
      </c>
      <c r="B164" s="93" t="s">
        <v>493</v>
      </c>
      <c r="C164" s="93" t="s">
        <v>782</v>
      </c>
      <c r="D164" s="111" t="s">
        <v>1273</v>
      </c>
      <c r="E164" s="93" t="s">
        <v>790</v>
      </c>
      <c r="F164" s="93" t="s">
        <v>508</v>
      </c>
      <c r="G164" s="93" t="s">
        <v>691</v>
      </c>
      <c r="H164" s="93" t="s">
        <v>508</v>
      </c>
      <c r="I164" s="111"/>
      <c r="J164" s="93" t="s">
        <v>687</v>
      </c>
      <c r="K164" s="109">
        <v>46190</v>
      </c>
      <c r="L164" s="93" t="s">
        <v>881</v>
      </c>
    </row>
    <row r="165" spans="1:12" ht="29.15" x14ac:dyDescent="0.4">
      <c r="A165" s="93" t="s">
        <v>1358</v>
      </c>
      <c r="B165" s="93" t="s">
        <v>493</v>
      </c>
      <c r="C165" s="93" t="s">
        <v>782</v>
      </c>
      <c r="D165" s="111" t="s">
        <v>1273</v>
      </c>
      <c r="E165" s="93" t="s">
        <v>497</v>
      </c>
      <c r="F165" s="93" t="s">
        <v>795</v>
      </c>
      <c r="G165" s="93" t="s">
        <v>691</v>
      </c>
      <c r="H165" s="93" t="s">
        <v>795</v>
      </c>
      <c r="I165" s="111"/>
      <c r="J165" s="93" t="s">
        <v>687</v>
      </c>
      <c r="K165" s="109">
        <v>46190</v>
      </c>
      <c r="L165" s="93" t="s">
        <v>881</v>
      </c>
    </row>
    <row r="166" spans="1:12" ht="29.15" x14ac:dyDescent="0.4">
      <c r="A166" s="93" t="s">
        <v>1358</v>
      </c>
      <c r="B166" s="93" t="s">
        <v>493</v>
      </c>
      <c r="C166" s="93" t="s">
        <v>1275</v>
      </c>
      <c r="D166" s="111" t="s">
        <v>1276</v>
      </c>
      <c r="E166" s="93" t="s">
        <v>790</v>
      </c>
      <c r="F166" s="93" t="s">
        <v>530</v>
      </c>
      <c r="G166" s="93" t="s">
        <v>691</v>
      </c>
      <c r="H166" s="93" t="s">
        <v>530</v>
      </c>
      <c r="I166" s="111"/>
      <c r="J166" s="93" t="s">
        <v>687</v>
      </c>
      <c r="K166" s="109">
        <v>46190</v>
      </c>
      <c r="L166" s="93" t="s">
        <v>881</v>
      </c>
    </row>
    <row r="167" spans="1:12" ht="29.15" x14ac:dyDescent="0.4">
      <c r="A167" s="93" t="s">
        <v>1358</v>
      </c>
      <c r="B167" s="93" t="s">
        <v>493</v>
      </c>
      <c r="C167" s="93" t="s">
        <v>1275</v>
      </c>
      <c r="D167" s="111" t="s">
        <v>1276</v>
      </c>
      <c r="E167" s="93" t="s">
        <v>497</v>
      </c>
      <c r="F167" s="93" t="s">
        <v>1279</v>
      </c>
      <c r="G167" s="93" t="s">
        <v>691</v>
      </c>
      <c r="H167" s="93" t="s">
        <v>1279</v>
      </c>
      <c r="I167" s="111"/>
      <c r="J167" s="93" t="s">
        <v>687</v>
      </c>
      <c r="K167" s="109">
        <v>46190</v>
      </c>
      <c r="L167" s="93" t="s">
        <v>881</v>
      </c>
    </row>
    <row r="168" spans="1:12" ht="29.15" x14ac:dyDescent="0.4">
      <c r="A168" s="93" t="s">
        <v>1358</v>
      </c>
      <c r="B168" s="93" t="s">
        <v>493</v>
      </c>
      <c r="C168" s="93" t="s">
        <v>1281</v>
      </c>
      <c r="D168" s="111" t="s">
        <v>1282</v>
      </c>
      <c r="E168" s="93" t="s">
        <v>790</v>
      </c>
      <c r="F168" s="93" t="s">
        <v>514</v>
      </c>
      <c r="G168" s="93" t="s">
        <v>691</v>
      </c>
      <c r="H168" s="93" t="s">
        <v>514</v>
      </c>
      <c r="I168" s="111"/>
      <c r="J168" s="93" t="s">
        <v>687</v>
      </c>
      <c r="K168" s="109">
        <v>46190</v>
      </c>
      <c r="L168" s="93" t="s">
        <v>881</v>
      </c>
    </row>
    <row r="169" spans="1:12" ht="29.15" x14ac:dyDescent="0.4">
      <c r="A169" s="93" t="s">
        <v>1358</v>
      </c>
      <c r="B169" s="93" t="s">
        <v>493</v>
      </c>
      <c r="C169" s="93" t="s">
        <v>1281</v>
      </c>
      <c r="D169" s="111" t="s">
        <v>1282</v>
      </c>
      <c r="E169" s="93" t="s">
        <v>497</v>
      </c>
      <c r="F169" s="93" t="s">
        <v>1279</v>
      </c>
      <c r="G169" s="93" t="s">
        <v>691</v>
      </c>
      <c r="H169" s="93" t="s">
        <v>1279</v>
      </c>
      <c r="I169" s="111"/>
      <c r="J169" s="93" t="s">
        <v>687</v>
      </c>
      <c r="K169" s="109">
        <v>46190</v>
      </c>
      <c r="L169" s="93" t="s">
        <v>881</v>
      </c>
    </row>
    <row r="170" spans="1:12" x14ac:dyDescent="0.4">
      <c r="A170" s="93" t="s">
        <v>1359</v>
      </c>
      <c r="B170" s="93" t="s">
        <v>493</v>
      </c>
      <c r="C170" s="93" t="s">
        <v>1285</v>
      </c>
      <c r="D170" s="111" t="s">
        <v>1286</v>
      </c>
      <c r="E170" s="93" t="s">
        <v>790</v>
      </c>
      <c r="F170" s="93" t="s">
        <v>508</v>
      </c>
      <c r="G170" s="93" t="s">
        <v>691</v>
      </c>
      <c r="H170" s="93" t="s">
        <v>508</v>
      </c>
      <c r="I170" s="111"/>
      <c r="J170" s="93" t="s">
        <v>687</v>
      </c>
      <c r="K170" s="109">
        <v>46197</v>
      </c>
      <c r="L170" s="93" t="s">
        <v>881</v>
      </c>
    </row>
    <row r="171" spans="1:12" x14ac:dyDescent="0.4">
      <c r="A171" s="93" t="s">
        <v>1359</v>
      </c>
      <c r="B171" s="93" t="s">
        <v>493</v>
      </c>
      <c r="C171" s="93" t="s">
        <v>1285</v>
      </c>
      <c r="D171" s="111" t="s">
        <v>1286</v>
      </c>
      <c r="E171" s="93" t="s">
        <v>497</v>
      </c>
      <c r="F171" s="93" t="s">
        <v>795</v>
      </c>
      <c r="G171" s="93" t="s">
        <v>691</v>
      </c>
      <c r="H171" s="93" t="s">
        <v>795</v>
      </c>
      <c r="I171" s="111"/>
      <c r="J171" s="93" t="s">
        <v>687</v>
      </c>
      <c r="K171" s="109">
        <v>46197</v>
      </c>
      <c r="L171" s="93" t="s">
        <v>881</v>
      </c>
    </row>
    <row r="172" spans="1:12" ht="29.15" x14ac:dyDescent="0.4">
      <c r="A172" s="93" t="s">
        <v>1359</v>
      </c>
      <c r="B172" s="93" t="s">
        <v>493</v>
      </c>
      <c r="C172" s="93" t="s">
        <v>1290</v>
      </c>
      <c r="D172" s="111" t="s">
        <v>1291</v>
      </c>
      <c r="E172" s="93" t="s">
        <v>790</v>
      </c>
      <c r="F172" s="93" t="s">
        <v>530</v>
      </c>
      <c r="G172" s="93" t="s">
        <v>691</v>
      </c>
      <c r="H172" s="93" t="s">
        <v>530</v>
      </c>
      <c r="I172" s="111"/>
      <c r="J172" s="93" t="s">
        <v>687</v>
      </c>
      <c r="K172" s="109">
        <v>46197</v>
      </c>
      <c r="L172" s="93" t="s">
        <v>881</v>
      </c>
    </row>
    <row r="173" spans="1:12" ht="29.15" x14ac:dyDescent="0.4">
      <c r="A173" s="93" t="s">
        <v>1359</v>
      </c>
      <c r="B173" s="93" t="s">
        <v>493</v>
      </c>
      <c r="C173" s="93" t="s">
        <v>1290</v>
      </c>
      <c r="D173" s="111" t="s">
        <v>1291</v>
      </c>
      <c r="E173" s="93" t="s">
        <v>497</v>
      </c>
      <c r="F173" s="93" t="s">
        <v>1279</v>
      </c>
      <c r="G173" s="93" t="s">
        <v>691</v>
      </c>
      <c r="H173" s="93" t="s">
        <v>1279</v>
      </c>
      <c r="I173" s="111"/>
      <c r="J173" s="93" t="s">
        <v>687</v>
      </c>
      <c r="K173" s="109">
        <v>46197</v>
      </c>
      <c r="L173" s="93" t="s">
        <v>881</v>
      </c>
    </row>
    <row r="174" spans="1:12" x14ac:dyDescent="0.4">
      <c r="A174" s="93" t="s">
        <v>1359</v>
      </c>
      <c r="B174" s="93" t="s">
        <v>493</v>
      </c>
      <c r="C174" s="93" t="s">
        <v>1295</v>
      </c>
      <c r="D174" s="111" t="s">
        <v>1296</v>
      </c>
      <c r="E174" s="93" t="s">
        <v>790</v>
      </c>
      <c r="F174" s="93" t="s">
        <v>526</v>
      </c>
      <c r="G174" s="93" t="s">
        <v>691</v>
      </c>
      <c r="H174" s="93" t="s">
        <v>526</v>
      </c>
      <c r="I174" s="111"/>
      <c r="J174" s="93" t="s">
        <v>687</v>
      </c>
      <c r="K174" s="109">
        <v>46197</v>
      </c>
      <c r="L174" s="93" t="s">
        <v>881</v>
      </c>
    </row>
    <row r="175" spans="1:12" x14ac:dyDescent="0.4">
      <c r="A175" s="93" t="s">
        <v>1359</v>
      </c>
      <c r="B175" s="93" t="s">
        <v>493</v>
      </c>
      <c r="C175" s="93" t="s">
        <v>1295</v>
      </c>
      <c r="D175" s="111" t="s">
        <v>1296</v>
      </c>
      <c r="E175" s="93" t="s">
        <v>497</v>
      </c>
      <c r="F175" s="93" t="s">
        <v>1299</v>
      </c>
      <c r="G175" s="93" t="s">
        <v>691</v>
      </c>
      <c r="H175" s="93" t="s">
        <v>1299</v>
      </c>
      <c r="I175" s="111"/>
      <c r="J175" s="93" t="s">
        <v>687</v>
      </c>
      <c r="K175" s="109">
        <v>46197</v>
      </c>
      <c r="L175" s="93" t="s">
        <v>881</v>
      </c>
    </row>
    <row r="176" spans="1:12" x14ac:dyDescent="0.4">
      <c r="A176" s="93" t="s">
        <v>1360</v>
      </c>
      <c r="B176" s="93" t="s">
        <v>493</v>
      </c>
      <c r="C176" s="93" t="s">
        <v>1301</v>
      </c>
      <c r="D176" s="111" t="s">
        <v>1302</v>
      </c>
      <c r="E176" s="93" t="s">
        <v>790</v>
      </c>
      <c r="F176" s="93" t="s">
        <v>514</v>
      </c>
      <c r="G176" s="93" t="s">
        <v>691</v>
      </c>
      <c r="H176" s="93" t="s">
        <v>514</v>
      </c>
      <c r="I176" s="111"/>
      <c r="J176" s="93" t="s">
        <v>687</v>
      </c>
      <c r="K176" s="109">
        <v>46204</v>
      </c>
      <c r="L176" s="93" t="s">
        <v>881</v>
      </c>
    </row>
    <row r="177" spans="1:12" x14ac:dyDescent="0.4">
      <c r="A177" s="93" t="s">
        <v>1360</v>
      </c>
      <c r="B177" s="93" t="s">
        <v>493</v>
      </c>
      <c r="C177" s="93" t="s">
        <v>1301</v>
      </c>
      <c r="D177" s="111" t="s">
        <v>1302</v>
      </c>
      <c r="E177" s="93" t="s">
        <v>497</v>
      </c>
      <c r="F177" s="93" t="s">
        <v>795</v>
      </c>
      <c r="G177" s="93" t="s">
        <v>691</v>
      </c>
      <c r="H177" s="93" t="s">
        <v>795</v>
      </c>
      <c r="I177" s="111"/>
      <c r="J177" s="93" t="s">
        <v>687</v>
      </c>
      <c r="K177" s="109">
        <v>46204</v>
      </c>
      <c r="L177" s="93" t="s">
        <v>881</v>
      </c>
    </row>
    <row r="178" spans="1:12" x14ac:dyDescent="0.4">
      <c r="A178" s="93" t="s">
        <v>1360</v>
      </c>
      <c r="B178" s="93" t="s">
        <v>493</v>
      </c>
      <c r="C178" s="93" t="s">
        <v>1304</v>
      </c>
      <c r="D178" s="111" t="s">
        <v>1305</v>
      </c>
      <c r="E178" s="93" t="s">
        <v>790</v>
      </c>
      <c r="F178" s="93" t="s">
        <v>508</v>
      </c>
      <c r="G178" s="93" t="s">
        <v>691</v>
      </c>
      <c r="H178" s="93" t="s">
        <v>508</v>
      </c>
      <c r="I178" s="111"/>
      <c r="J178" s="93" t="s">
        <v>687</v>
      </c>
      <c r="K178" s="109">
        <v>46204</v>
      </c>
      <c r="L178" s="93" t="s">
        <v>881</v>
      </c>
    </row>
    <row r="179" spans="1:12" x14ac:dyDescent="0.4">
      <c r="A179" s="93" t="s">
        <v>1360</v>
      </c>
      <c r="B179" s="93" t="s">
        <v>493</v>
      </c>
      <c r="C179" s="93" t="s">
        <v>1304</v>
      </c>
      <c r="D179" s="111" t="s">
        <v>1305</v>
      </c>
      <c r="E179" s="93" t="s">
        <v>497</v>
      </c>
      <c r="F179" s="93" t="s">
        <v>795</v>
      </c>
      <c r="G179" s="93" t="s">
        <v>691</v>
      </c>
      <c r="H179" s="93" t="s">
        <v>795</v>
      </c>
      <c r="I179" s="111"/>
      <c r="J179" s="93" t="s">
        <v>687</v>
      </c>
      <c r="K179" s="109">
        <v>46204</v>
      </c>
      <c r="L179" s="93" t="s">
        <v>881</v>
      </c>
    </row>
    <row r="180" spans="1:12" x14ac:dyDescent="0.4">
      <c r="A180" s="93" t="s">
        <v>1360</v>
      </c>
      <c r="B180" s="93" t="s">
        <v>493</v>
      </c>
      <c r="C180" s="93" t="s">
        <v>1309</v>
      </c>
      <c r="D180" s="111" t="s">
        <v>1310</v>
      </c>
      <c r="E180" s="93" t="s">
        <v>790</v>
      </c>
      <c r="F180" s="93" t="s">
        <v>530</v>
      </c>
      <c r="G180" s="93" t="s">
        <v>691</v>
      </c>
      <c r="H180" s="93" t="s">
        <v>530</v>
      </c>
      <c r="I180" s="111"/>
      <c r="J180" s="93" t="s">
        <v>687</v>
      </c>
      <c r="K180" s="109">
        <v>46204</v>
      </c>
      <c r="L180" s="93" t="s">
        <v>881</v>
      </c>
    </row>
    <row r="181" spans="1:12" x14ac:dyDescent="0.4">
      <c r="A181" s="93" t="s">
        <v>1360</v>
      </c>
      <c r="B181" s="93" t="s">
        <v>493</v>
      </c>
      <c r="C181" s="93" t="s">
        <v>1309</v>
      </c>
      <c r="D181" s="111" t="s">
        <v>1310</v>
      </c>
      <c r="E181" s="93" t="s">
        <v>497</v>
      </c>
      <c r="F181" s="93" t="s">
        <v>1279</v>
      </c>
      <c r="G181" s="93" t="s">
        <v>691</v>
      </c>
      <c r="H181" s="93" t="s">
        <v>1279</v>
      </c>
      <c r="I181" s="111"/>
      <c r="J181" s="93" t="s">
        <v>687</v>
      </c>
      <c r="K181" s="109">
        <v>46204</v>
      </c>
      <c r="L181" s="93" t="s">
        <v>881</v>
      </c>
    </row>
    <row r="182" spans="1:12" ht="29.15" x14ac:dyDescent="0.4">
      <c r="A182" s="183" t="s">
        <v>1361</v>
      </c>
      <c r="B182" s="183" t="s">
        <v>18</v>
      </c>
      <c r="C182" s="183" t="s">
        <v>508</v>
      </c>
      <c r="D182" s="184" t="s">
        <v>509</v>
      </c>
      <c r="E182" s="183" t="s">
        <v>191</v>
      </c>
      <c r="F182" s="93">
        <v>4</v>
      </c>
      <c r="G182" s="93"/>
      <c r="H182" s="93"/>
      <c r="I182" s="111"/>
      <c r="J182" s="93"/>
      <c r="K182" s="109"/>
      <c r="L182" s="183" t="s">
        <v>1473</v>
      </c>
    </row>
    <row r="183" spans="1:12" ht="29.15" x14ac:dyDescent="0.4">
      <c r="A183" s="183" t="s">
        <v>1361</v>
      </c>
      <c r="B183" s="183" t="s">
        <v>18</v>
      </c>
      <c r="C183" s="183" t="s">
        <v>508</v>
      </c>
      <c r="D183" s="184" t="s">
        <v>509</v>
      </c>
      <c r="E183" s="183" t="s">
        <v>277</v>
      </c>
      <c r="F183" s="93">
        <v>5</v>
      </c>
      <c r="G183" s="93"/>
      <c r="H183" s="93"/>
      <c r="I183" s="111"/>
      <c r="J183" s="93"/>
      <c r="K183" s="109"/>
      <c r="L183" s="183" t="s">
        <v>1473</v>
      </c>
    </row>
    <row r="184" spans="1:12" ht="29.15" x14ac:dyDescent="0.4">
      <c r="A184" s="183" t="s">
        <v>1361</v>
      </c>
      <c r="B184" s="183" t="s">
        <v>18</v>
      </c>
      <c r="C184" s="183" t="s">
        <v>508</v>
      </c>
      <c r="D184" s="184" t="s">
        <v>509</v>
      </c>
      <c r="E184" s="183" t="s">
        <v>194</v>
      </c>
      <c r="F184" s="93">
        <v>4</v>
      </c>
      <c r="G184" s="93"/>
      <c r="H184" s="93"/>
      <c r="I184" s="111"/>
      <c r="J184" s="93"/>
      <c r="K184" s="109"/>
      <c r="L184" s="183" t="s">
        <v>1473</v>
      </c>
    </row>
    <row r="185" spans="1:12" ht="29.15" x14ac:dyDescent="0.4">
      <c r="A185" s="183" t="s">
        <v>1361</v>
      </c>
      <c r="B185" s="183" t="s">
        <v>18</v>
      </c>
      <c r="C185" s="183" t="s">
        <v>508</v>
      </c>
      <c r="D185" s="184" t="s">
        <v>509</v>
      </c>
      <c r="E185" s="183" t="s">
        <v>192</v>
      </c>
      <c r="F185" s="93">
        <v>4</v>
      </c>
      <c r="G185" s="93"/>
      <c r="H185" s="93"/>
      <c r="I185" s="111"/>
      <c r="J185" s="93"/>
      <c r="K185" s="109"/>
      <c r="L185" s="183" t="s">
        <v>1473</v>
      </c>
    </row>
    <row r="186" spans="1:12" ht="29.15" x14ac:dyDescent="0.4">
      <c r="A186" s="183" t="s">
        <v>1361</v>
      </c>
      <c r="B186" s="183" t="s">
        <v>18</v>
      </c>
      <c r="C186" s="183" t="s">
        <v>508</v>
      </c>
      <c r="D186" s="184" t="s">
        <v>509</v>
      </c>
      <c r="E186" s="183" t="s">
        <v>505</v>
      </c>
      <c r="F186" s="93"/>
      <c r="G186" s="93"/>
      <c r="H186" s="93"/>
      <c r="I186" s="111"/>
      <c r="J186" s="93"/>
      <c r="K186" s="109"/>
      <c r="L186" s="183" t="s">
        <v>1473</v>
      </c>
    </row>
    <row r="187" spans="1:12" x14ac:dyDescent="0.4">
      <c r="A187" s="183" t="s">
        <v>1361</v>
      </c>
      <c r="B187" s="183" t="s">
        <v>18</v>
      </c>
      <c r="C187" s="183" t="s">
        <v>514</v>
      </c>
      <c r="D187" s="184" t="s">
        <v>515</v>
      </c>
      <c r="E187" s="183" t="s">
        <v>191</v>
      </c>
      <c r="F187" s="93">
        <v>4</v>
      </c>
      <c r="G187" s="93"/>
      <c r="H187" s="93"/>
      <c r="I187" s="111"/>
      <c r="J187" s="93"/>
      <c r="K187" s="109"/>
      <c r="L187" s="183" t="s">
        <v>1473</v>
      </c>
    </row>
    <row r="188" spans="1:12" x14ac:dyDescent="0.4">
      <c r="A188" s="183" t="s">
        <v>1361</v>
      </c>
      <c r="B188" s="183" t="s">
        <v>18</v>
      </c>
      <c r="C188" s="183" t="s">
        <v>514</v>
      </c>
      <c r="D188" s="184" t="s">
        <v>515</v>
      </c>
      <c r="E188" s="183" t="s">
        <v>277</v>
      </c>
      <c r="F188" s="93">
        <v>4</v>
      </c>
      <c r="G188" s="93"/>
      <c r="H188" s="93"/>
      <c r="I188" s="111"/>
      <c r="J188" s="93"/>
      <c r="K188" s="109"/>
      <c r="L188" s="183" t="s">
        <v>1473</v>
      </c>
    </row>
    <row r="189" spans="1:12" x14ac:dyDescent="0.4">
      <c r="A189" s="183" t="s">
        <v>1361</v>
      </c>
      <c r="B189" s="183" t="s">
        <v>18</v>
      </c>
      <c r="C189" s="183" t="s">
        <v>514</v>
      </c>
      <c r="D189" s="184" t="s">
        <v>515</v>
      </c>
      <c r="E189" s="183" t="s">
        <v>194</v>
      </c>
      <c r="F189" s="93">
        <v>3</v>
      </c>
      <c r="G189" s="93"/>
      <c r="H189" s="93"/>
      <c r="I189" s="111"/>
      <c r="J189" s="93"/>
      <c r="K189" s="109"/>
      <c r="L189" s="183" t="s">
        <v>1473</v>
      </c>
    </row>
    <row r="190" spans="1:12" x14ac:dyDescent="0.4">
      <c r="A190" s="183" t="s">
        <v>1361</v>
      </c>
      <c r="B190" s="183" t="s">
        <v>18</v>
      </c>
      <c r="C190" s="183" t="s">
        <v>514</v>
      </c>
      <c r="D190" s="184" t="s">
        <v>515</v>
      </c>
      <c r="E190" s="183" t="s">
        <v>192</v>
      </c>
      <c r="F190" s="93">
        <v>2</v>
      </c>
      <c r="G190" s="93"/>
      <c r="H190" s="93"/>
      <c r="I190" s="111"/>
      <c r="J190" s="93"/>
      <c r="K190" s="109"/>
      <c r="L190" s="183" t="s">
        <v>1473</v>
      </c>
    </row>
    <row r="191" spans="1:12" x14ac:dyDescent="0.4">
      <c r="A191" s="183" t="s">
        <v>1361</v>
      </c>
      <c r="B191" s="183" t="s">
        <v>18</v>
      </c>
      <c r="C191" s="183" t="s">
        <v>514</v>
      </c>
      <c r="D191" s="184" t="s">
        <v>515</v>
      </c>
      <c r="E191" s="183" t="s">
        <v>505</v>
      </c>
      <c r="F191" s="93"/>
      <c r="G191" s="93"/>
      <c r="H191" s="93"/>
      <c r="I191" s="111"/>
      <c r="J191" s="93"/>
      <c r="K191" s="109"/>
      <c r="L191" s="183" t="s">
        <v>1473</v>
      </c>
    </row>
    <row r="192" spans="1:12" ht="29.15" x14ac:dyDescent="0.4">
      <c r="A192" s="183" t="s">
        <v>1361</v>
      </c>
      <c r="B192" s="183" t="s">
        <v>18</v>
      </c>
      <c r="C192" s="183" t="s">
        <v>520</v>
      </c>
      <c r="D192" s="184" t="s">
        <v>521</v>
      </c>
      <c r="E192" s="183" t="s">
        <v>191</v>
      </c>
      <c r="F192" s="93">
        <v>3</v>
      </c>
      <c r="G192" s="93"/>
      <c r="H192" s="93"/>
      <c r="I192" s="111"/>
      <c r="J192" s="93"/>
      <c r="K192" s="109"/>
      <c r="L192" s="183" t="s">
        <v>1473</v>
      </c>
    </row>
    <row r="193" spans="1:12" ht="29.15" x14ac:dyDescent="0.4">
      <c r="A193" s="183" t="s">
        <v>1361</v>
      </c>
      <c r="B193" s="183" t="s">
        <v>18</v>
      </c>
      <c r="C193" s="183" t="s">
        <v>520</v>
      </c>
      <c r="D193" s="184" t="s">
        <v>521</v>
      </c>
      <c r="E193" s="183" t="s">
        <v>277</v>
      </c>
      <c r="F193" s="93">
        <v>2</v>
      </c>
      <c r="G193" s="93"/>
      <c r="H193" s="93"/>
      <c r="I193" s="111"/>
      <c r="J193" s="93"/>
      <c r="K193" s="109"/>
      <c r="L193" s="183" t="s">
        <v>1473</v>
      </c>
    </row>
    <row r="194" spans="1:12" ht="29.15" x14ac:dyDescent="0.4">
      <c r="A194" s="183" t="s">
        <v>1361</v>
      </c>
      <c r="B194" s="183" t="s">
        <v>18</v>
      </c>
      <c r="C194" s="183" t="s">
        <v>520</v>
      </c>
      <c r="D194" s="184" t="s">
        <v>521</v>
      </c>
      <c r="E194" s="183" t="s">
        <v>194</v>
      </c>
      <c r="F194" s="93">
        <v>4</v>
      </c>
      <c r="G194" s="93"/>
      <c r="H194" s="93"/>
      <c r="I194" s="111"/>
      <c r="J194" s="93"/>
      <c r="K194" s="109"/>
      <c r="L194" s="183" t="s">
        <v>1473</v>
      </c>
    </row>
    <row r="195" spans="1:12" ht="29.15" x14ac:dyDescent="0.4">
      <c r="A195" s="183" t="s">
        <v>1361</v>
      </c>
      <c r="B195" s="183" t="s">
        <v>18</v>
      </c>
      <c r="C195" s="183" t="s">
        <v>520</v>
      </c>
      <c r="D195" s="184" t="s">
        <v>521</v>
      </c>
      <c r="E195" s="183" t="s">
        <v>192</v>
      </c>
      <c r="F195" s="93">
        <v>3</v>
      </c>
      <c r="G195" s="93"/>
      <c r="H195" s="93"/>
      <c r="I195" s="111"/>
      <c r="J195" s="93"/>
      <c r="K195" s="109"/>
      <c r="L195" s="183" t="s">
        <v>1473</v>
      </c>
    </row>
    <row r="196" spans="1:12" ht="29.15" x14ac:dyDescent="0.4">
      <c r="A196" s="183" t="s">
        <v>1361</v>
      </c>
      <c r="B196" s="183" t="s">
        <v>18</v>
      </c>
      <c r="C196" s="183" t="s">
        <v>520</v>
      </c>
      <c r="D196" s="184" t="s">
        <v>521</v>
      </c>
      <c r="E196" s="183" t="s">
        <v>505</v>
      </c>
      <c r="F196" s="93"/>
      <c r="G196" s="93"/>
      <c r="H196" s="93"/>
      <c r="I196" s="111"/>
      <c r="J196" s="93"/>
      <c r="K196" s="109"/>
      <c r="L196" s="183" t="s">
        <v>1473</v>
      </c>
    </row>
    <row r="197" spans="1:12" x14ac:dyDescent="0.4">
      <c r="A197" s="183" t="s">
        <v>1361</v>
      </c>
      <c r="B197" s="183" t="s">
        <v>18</v>
      </c>
      <c r="C197" s="183" t="s">
        <v>526</v>
      </c>
      <c r="D197" s="184" t="s">
        <v>527</v>
      </c>
      <c r="E197" s="183" t="s">
        <v>191</v>
      </c>
      <c r="F197" s="93">
        <v>3</v>
      </c>
      <c r="G197" s="93"/>
      <c r="H197" s="93"/>
      <c r="I197" s="111"/>
      <c r="J197" s="93"/>
      <c r="K197" s="109"/>
      <c r="L197" s="183" t="s">
        <v>1473</v>
      </c>
    </row>
    <row r="198" spans="1:12" x14ac:dyDescent="0.4">
      <c r="A198" s="183" t="s">
        <v>1361</v>
      </c>
      <c r="B198" s="183" t="s">
        <v>18</v>
      </c>
      <c r="C198" s="183" t="s">
        <v>526</v>
      </c>
      <c r="D198" s="184" t="s">
        <v>527</v>
      </c>
      <c r="E198" s="183" t="s">
        <v>277</v>
      </c>
      <c r="F198" s="93">
        <v>2</v>
      </c>
      <c r="G198" s="93"/>
      <c r="H198" s="93"/>
      <c r="I198" s="111"/>
      <c r="J198" s="93"/>
      <c r="K198" s="109"/>
      <c r="L198" s="183" t="s">
        <v>1473</v>
      </c>
    </row>
    <row r="199" spans="1:12" x14ac:dyDescent="0.4">
      <c r="A199" s="183" t="s">
        <v>1361</v>
      </c>
      <c r="B199" s="183" t="s">
        <v>18</v>
      </c>
      <c r="C199" s="183" t="s">
        <v>526</v>
      </c>
      <c r="D199" s="184" t="s">
        <v>527</v>
      </c>
      <c r="E199" s="183" t="s">
        <v>194</v>
      </c>
      <c r="F199" s="93">
        <v>3</v>
      </c>
      <c r="G199" s="93"/>
      <c r="H199" s="93"/>
      <c r="I199" s="111"/>
      <c r="J199" s="93"/>
      <c r="K199" s="109"/>
      <c r="L199" s="183" t="s">
        <v>1473</v>
      </c>
    </row>
    <row r="200" spans="1:12" x14ac:dyDescent="0.4">
      <c r="A200" s="183" t="s">
        <v>1361</v>
      </c>
      <c r="B200" s="183" t="s">
        <v>18</v>
      </c>
      <c r="C200" s="183" t="s">
        <v>526</v>
      </c>
      <c r="D200" s="184" t="s">
        <v>527</v>
      </c>
      <c r="E200" s="183" t="s">
        <v>192</v>
      </c>
      <c r="F200" s="93">
        <v>3</v>
      </c>
      <c r="G200" s="93"/>
      <c r="H200" s="93"/>
      <c r="I200" s="111"/>
      <c r="J200" s="93"/>
      <c r="K200" s="109"/>
      <c r="L200" s="183" t="s">
        <v>1473</v>
      </c>
    </row>
    <row r="201" spans="1:12" x14ac:dyDescent="0.4">
      <c r="A201" s="183" t="s">
        <v>1361</v>
      </c>
      <c r="B201" s="183" t="s">
        <v>18</v>
      </c>
      <c r="C201" s="183" t="s">
        <v>526</v>
      </c>
      <c r="D201" s="184" t="s">
        <v>527</v>
      </c>
      <c r="E201" s="183" t="s">
        <v>505</v>
      </c>
      <c r="F201" s="93"/>
      <c r="G201" s="93"/>
      <c r="H201" s="93"/>
      <c r="I201" s="111"/>
      <c r="J201" s="93"/>
      <c r="K201" s="109"/>
      <c r="L201" s="183" t="s">
        <v>1473</v>
      </c>
    </row>
    <row r="202" spans="1:12" x14ac:dyDescent="0.4">
      <c r="A202" s="183" t="s">
        <v>1361</v>
      </c>
      <c r="B202" s="183" t="s">
        <v>18</v>
      </c>
      <c r="C202" s="183" t="s">
        <v>530</v>
      </c>
      <c r="D202" s="184" t="s">
        <v>531</v>
      </c>
      <c r="E202" s="183" t="s">
        <v>191</v>
      </c>
      <c r="F202" s="93">
        <v>3</v>
      </c>
      <c r="G202" s="93"/>
      <c r="H202" s="93"/>
      <c r="I202" s="111"/>
      <c r="J202" s="93"/>
      <c r="K202" s="109"/>
      <c r="L202" s="183" t="s">
        <v>1473</v>
      </c>
    </row>
    <row r="203" spans="1:12" x14ac:dyDescent="0.4">
      <c r="A203" s="183" t="s">
        <v>1361</v>
      </c>
      <c r="B203" s="183" t="s">
        <v>18</v>
      </c>
      <c r="C203" s="183" t="s">
        <v>530</v>
      </c>
      <c r="D203" s="184" t="s">
        <v>531</v>
      </c>
      <c r="E203" s="183" t="s">
        <v>277</v>
      </c>
      <c r="F203" s="93">
        <v>3</v>
      </c>
      <c r="G203" s="93"/>
      <c r="H203" s="93"/>
      <c r="I203" s="111"/>
      <c r="J203" s="93"/>
      <c r="K203" s="109"/>
      <c r="L203" s="183" t="s">
        <v>1473</v>
      </c>
    </row>
    <row r="204" spans="1:12" x14ac:dyDescent="0.4">
      <c r="A204" s="183" t="s">
        <v>1361</v>
      </c>
      <c r="B204" s="183" t="s">
        <v>18</v>
      </c>
      <c r="C204" s="183" t="s">
        <v>530</v>
      </c>
      <c r="D204" s="184" t="s">
        <v>531</v>
      </c>
      <c r="E204" s="183" t="s">
        <v>194</v>
      </c>
      <c r="F204" s="93">
        <v>3</v>
      </c>
      <c r="G204" s="93"/>
      <c r="H204" s="93"/>
      <c r="I204" s="111"/>
      <c r="J204" s="93"/>
      <c r="K204" s="109"/>
      <c r="L204" s="183" t="s">
        <v>1473</v>
      </c>
    </row>
    <row r="205" spans="1:12" x14ac:dyDescent="0.4">
      <c r="A205" s="183" t="s">
        <v>1361</v>
      </c>
      <c r="B205" s="183" t="s">
        <v>18</v>
      </c>
      <c r="C205" s="183" t="s">
        <v>530</v>
      </c>
      <c r="D205" s="184" t="s">
        <v>531</v>
      </c>
      <c r="E205" s="183" t="s">
        <v>192</v>
      </c>
      <c r="F205" s="93">
        <v>3</v>
      </c>
      <c r="G205" s="93"/>
      <c r="H205" s="93"/>
      <c r="I205" s="111"/>
      <c r="J205" s="93"/>
      <c r="K205" s="109"/>
      <c r="L205" s="183" t="s">
        <v>1473</v>
      </c>
    </row>
    <row r="206" spans="1:12" x14ac:dyDescent="0.4">
      <c r="A206" s="183" t="s">
        <v>1361</v>
      </c>
      <c r="B206" s="183" t="s">
        <v>18</v>
      </c>
      <c r="C206" s="183" t="s">
        <v>530</v>
      </c>
      <c r="D206" s="184" t="s">
        <v>531</v>
      </c>
      <c r="E206" s="183" t="s">
        <v>505</v>
      </c>
      <c r="F206" s="93"/>
      <c r="G206" s="93"/>
      <c r="H206" s="93"/>
      <c r="I206" s="111"/>
      <c r="J206" s="93"/>
      <c r="K206" s="109"/>
      <c r="L206" s="183" t="s">
        <v>1473</v>
      </c>
    </row>
    <row r="207" spans="1:12" ht="29.15" x14ac:dyDescent="0.4">
      <c r="A207" s="183" t="s">
        <v>1361</v>
      </c>
      <c r="B207" s="183" t="s">
        <v>18</v>
      </c>
      <c r="C207" s="183" t="s">
        <v>535</v>
      </c>
      <c r="D207" s="184" t="s">
        <v>536</v>
      </c>
      <c r="E207" s="183" t="s">
        <v>191</v>
      </c>
      <c r="F207" s="93">
        <v>3</v>
      </c>
      <c r="G207" s="93"/>
      <c r="H207" s="93"/>
      <c r="I207" s="111"/>
      <c r="J207" s="93"/>
      <c r="K207" s="109"/>
      <c r="L207" s="183" t="s">
        <v>1473</v>
      </c>
    </row>
    <row r="208" spans="1:12" ht="29.15" x14ac:dyDescent="0.4">
      <c r="A208" s="183" t="s">
        <v>1361</v>
      </c>
      <c r="B208" s="183" t="s">
        <v>18</v>
      </c>
      <c r="C208" s="183" t="s">
        <v>535</v>
      </c>
      <c r="D208" s="184" t="s">
        <v>536</v>
      </c>
      <c r="E208" s="183" t="s">
        <v>277</v>
      </c>
      <c r="F208" s="93">
        <v>3</v>
      </c>
      <c r="G208" s="93"/>
      <c r="H208" s="93"/>
      <c r="I208" s="111"/>
      <c r="J208" s="93"/>
      <c r="K208" s="109"/>
      <c r="L208" s="183" t="s">
        <v>1473</v>
      </c>
    </row>
    <row r="209" spans="1:12" ht="29.15" x14ac:dyDescent="0.4">
      <c r="A209" s="183" t="s">
        <v>1361</v>
      </c>
      <c r="B209" s="183" t="s">
        <v>18</v>
      </c>
      <c r="C209" s="183" t="s">
        <v>535</v>
      </c>
      <c r="D209" s="184" t="s">
        <v>536</v>
      </c>
      <c r="E209" s="183" t="s">
        <v>194</v>
      </c>
      <c r="F209" s="93">
        <v>3</v>
      </c>
      <c r="G209" s="93"/>
      <c r="H209" s="93"/>
      <c r="I209" s="111"/>
      <c r="J209" s="93"/>
      <c r="K209" s="109"/>
      <c r="L209" s="183" t="s">
        <v>1473</v>
      </c>
    </row>
    <row r="210" spans="1:12" ht="29.15" x14ac:dyDescent="0.4">
      <c r="A210" s="183" t="s">
        <v>1361</v>
      </c>
      <c r="B210" s="183" t="s">
        <v>18</v>
      </c>
      <c r="C210" s="183" t="s">
        <v>535</v>
      </c>
      <c r="D210" s="184" t="s">
        <v>536</v>
      </c>
      <c r="E210" s="183" t="s">
        <v>192</v>
      </c>
      <c r="F210" s="93">
        <v>3</v>
      </c>
      <c r="G210" s="93"/>
      <c r="H210" s="93"/>
      <c r="I210" s="111"/>
      <c r="J210" s="93"/>
      <c r="K210" s="109"/>
      <c r="L210" s="183" t="s">
        <v>1473</v>
      </c>
    </row>
    <row r="211" spans="1:12" ht="29.15" x14ac:dyDescent="0.4">
      <c r="A211" s="183" t="s">
        <v>1361</v>
      </c>
      <c r="B211" s="183" t="s">
        <v>18</v>
      </c>
      <c r="C211" s="183" t="s">
        <v>535</v>
      </c>
      <c r="D211" s="184" t="s">
        <v>536</v>
      </c>
      <c r="E211" s="183" t="s">
        <v>505</v>
      </c>
      <c r="F211" s="93"/>
      <c r="G211" s="93"/>
      <c r="H211" s="93"/>
      <c r="I211" s="111"/>
      <c r="J211" s="93"/>
      <c r="K211" s="109"/>
      <c r="L211" s="183" t="s">
        <v>1473</v>
      </c>
    </row>
    <row r="212" spans="1:12" ht="29.15" x14ac:dyDescent="0.4">
      <c r="A212" s="183" t="s">
        <v>1361</v>
      </c>
      <c r="B212" s="183" t="s">
        <v>18</v>
      </c>
      <c r="C212" s="183" t="s">
        <v>541</v>
      </c>
      <c r="D212" s="184" t="s">
        <v>542</v>
      </c>
      <c r="E212" s="183" t="s">
        <v>191</v>
      </c>
      <c r="F212" s="93">
        <v>4</v>
      </c>
      <c r="G212" s="93"/>
      <c r="H212" s="93"/>
      <c r="I212" s="111"/>
      <c r="J212" s="93"/>
      <c r="K212" s="109"/>
      <c r="L212" s="183" t="s">
        <v>1473</v>
      </c>
    </row>
    <row r="213" spans="1:12" ht="29.15" x14ac:dyDescent="0.4">
      <c r="A213" s="183" t="s">
        <v>1361</v>
      </c>
      <c r="B213" s="183" t="s">
        <v>18</v>
      </c>
      <c r="C213" s="183" t="s">
        <v>541</v>
      </c>
      <c r="D213" s="184" t="s">
        <v>542</v>
      </c>
      <c r="E213" s="183" t="s">
        <v>277</v>
      </c>
      <c r="F213" s="93">
        <v>5</v>
      </c>
      <c r="G213" s="93"/>
      <c r="H213" s="93"/>
      <c r="I213" s="111"/>
      <c r="J213" s="93"/>
      <c r="K213" s="109"/>
      <c r="L213" s="183" t="s">
        <v>1473</v>
      </c>
    </row>
    <row r="214" spans="1:12" ht="29.15" x14ac:dyDescent="0.4">
      <c r="A214" s="183" t="s">
        <v>1361</v>
      </c>
      <c r="B214" s="183" t="s">
        <v>18</v>
      </c>
      <c r="C214" s="183" t="s">
        <v>541</v>
      </c>
      <c r="D214" s="184" t="s">
        <v>542</v>
      </c>
      <c r="E214" s="183" t="s">
        <v>194</v>
      </c>
      <c r="F214" s="93">
        <v>3</v>
      </c>
      <c r="G214" s="93"/>
      <c r="H214" s="93"/>
      <c r="I214" s="111"/>
      <c r="J214" s="93"/>
      <c r="K214" s="109"/>
      <c r="L214" s="183" t="s">
        <v>1473</v>
      </c>
    </row>
    <row r="215" spans="1:12" ht="29.15" x14ac:dyDescent="0.4">
      <c r="A215" s="183" t="s">
        <v>1361</v>
      </c>
      <c r="B215" s="183" t="s">
        <v>18</v>
      </c>
      <c r="C215" s="183" t="s">
        <v>541</v>
      </c>
      <c r="D215" s="184" t="s">
        <v>542</v>
      </c>
      <c r="E215" s="183" t="s">
        <v>192</v>
      </c>
      <c r="F215" s="93">
        <v>3</v>
      </c>
      <c r="G215" s="93"/>
      <c r="H215" s="93"/>
      <c r="I215" s="111"/>
      <c r="J215" s="93"/>
      <c r="K215" s="109"/>
      <c r="L215" s="183" t="s">
        <v>1473</v>
      </c>
    </row>
    <row r="216" spans="1:12" ht="29.15" x14ac:dyDescent="0.4">
      <c r="A216" s="183" t="s">
        <v>1361</v>
      </c>
      <c r="B216" s="183" t="s">
        <v>18</v>
      </c>
      <c r="C216" s="183" t="s">
        <v>541</v>
      </c>
      <c r="D216" s="184" t="s">
        <v>542</v>
      </c>
      <c r="E216" s="183" t="s">
        <v>505</v>
      </c>
      <c r="F216" s="93"/>
      <c r="G216" s="93"/>
      <c r="H216" s="93"/>
      <c r="I216" s="111"/>
      <c r="J216" s="93"/>
      <c r="K216" s="109"/>
      <c r="L216" s="183" t="s">
        <v>1473</v>
      </c>
    </row>
    <row r="217" spans="1:12" x14ac:dyDescent="0.4">
      <c r="A217" s="183" t="s">
        <v>1361</v>
      </c>
      <c r="B217" s="183" t="s">
        <v>18</v>
      </c>
      <c r="C217" s="183" t="s">
        <v>545</v>
      </c>
      <c r="D217" s="184" t="s">
        <v>546</v>
      </c>
      <c r="E217" s="183" t="s">
        <v>191</v>
      </c>
      <c r="F217" s="93">
        <v>3</v>
      </c>
      <c r="G217" s="93"/>
      <c r="H217" s="93"/>
      <c r="I217" s="111"/>
      <c r="J217" s="93"/>
      <c r="K217" s="109"/>
      <c r="L217" s="183" t="s">
        <v>1473</v>
      </c>
    </row>
    <row r="218" spans="1:12" x14ac:dyDescent="0.4">
      <c r="A218" s="183" t="s">
        <v>1361</v>
      </c>
      <c r="B218" s="183" t="s">
        <v>18</v>
      </c>
      <c r="C218" s="183" t="s">
        <v>545</v>
      </c>
      <c r="D218" s="184" t="s">
        <v>546</v>
      </c>
      <c r="E218" s="183" t="s">
        <v>277</v>
      </c>
      <c r="F218" s="93">
        <v>3</v>
      </c>
      <c r="G218" s="93"/>
      <c r="H218" s="93"/>
      <c r="I218" s="111"/>
      <c r="J218" s="93"/>
      <c r="K218" s="109"/>
      <c r="L218" s="183" t="s">
        <v>1473</v>
      </c>
    </row>
    <row r="219" spans="1:12" x14ac:dyDescent="0.4">
      <c r="A219" s="183" t="s">
        <v>1361</v>
      </c>
      <c r="B219" s="183" t="s">
        <v>18</v>
      </c>
      <c r="C219" s="183" t="s">
        <v>545</v>
      </c>
      <c r="D219" s="184" t="s">
        <v>546</v>
      </c>
      <c r="E219" s="183" t="s">
        <v>194</v>
      </c>
      <c r="F219" s="93">
        <v>3</v>
      </c>
      <c r="G219" s="93"/>
      <c r="H219" s="93"/>
      <c r="I219" s="111"/>
      <c r="J219" s="93"/>
      <c r="K219" s="109"/>
      <c r="L219" s="183" t="s">
        <v>1473</v>
      </c>
    </row>
    <row r="220" spans="1:12" x14ac:dyDescent="0.4">
      <c r="A220" s="183" t="s">
        <v>1361</v>
      </c>
      <c r="B220" s="183" t="s">
        <v>18</v>
      </c>
      <c r="C220" s="183" t="s">
        <v>545</v>
      </c>
      <c r="D220" s="184" t="s">
        <v>546</v>
      </c>
      <c r="E220" s="183" t="s">
        <v>192</v>
      </c>
      <c r="F220" s="93">
        <v>2</v>
      </c>
      <c r="G220" s="93"/>
      <c r="H220" s="93"/>
      <c r="I220" s="111"/>
      <c r="J220" s="93"/>
      <c r="K220" s="109"/>
      <c r="L220" s="183" t="s">
        <v>1473</v>
      </c>
    </row>
    <row r="221" spans="1:12" x14ac:dyDescent="0.4">
      <c r="A221" s="183" t="s">
        <v>1361</v>
      </c>
      <c r="B221" s="183" t="s">
        <v>18</v>
      </c>
      <c r="C221" s="183" t="s">
        <v>545</v>
      </c>
      <c r="D221" s="184" t="s">
        <v>546</v>
      </c>
      <c r="E221" s="183" t="s">
        <v>505</v>
      </c>
      <c r="F221" s="93"/>
      <c r="G221" s="93"/>
      <c r="H221" s="93"/>
      <c r="I221" s="111"/>
      <c r="J221" s="93"/>
      <c r="K221" s="109"/>
      <c r="L221" s="183" t="s">
        <v>1473</v>
      </c>
    </row>
    <row r="222" spans="1:12" ht="29.15" x14ac:dyDescent="0.4">
      <c r="A222" s="183" t="s">
        <v>1361</v>
      </c>
      <c r="B222" s="183" t="s">
        <v>18</v>
      </c>
      <c r="C222" s="183" t="s">
        <v>550</v>
      </c>
      <c r="D222" s="184" t="s">
        <v>551</v>
      </c>
      <c r="E222" s="183" t="s">
        <v>191</v>
      </c>
      <c r="F222" s="93">
        <v>4</v>
      </c>
      <c r="G222" s="93"/>
      <c r="H222" s="93"/>
      <c r="I222" s="111"/>
      <c r="J222" s="93"/>
      <c r="K222" s="109"/>
      <c r="L222" s="183" t="s">
        <v>1473</v>
      </c>
    </row>
    <row r="223" spans="1:12" ht="29.15" x14ac:dyDescent="0.4">
      <c r="A223" s="183" t="s">
        <v>1361</v>
      </c>
      <c r="B223" s="183" t="s">
        <v>18</v>
      </c>
      <c r="C223" s="183" t="s">
        <v>550</v>
      </c>
      <c r="D223" s="184" t="s">
        <v>551</v>
      </c>
      <c r="E223" s="183" t="s">
        <v>277</v>
      </c>
      <c r="F223" s="93">
        <v>3</v>
      </c>
      <c r="G223" s="93"/>
      <c r="H223" s="93"/>
      <c r="I223" s="111"/>
      <c r="J223" s="93"/>
      <c r="K223" s="109"/>
      <c r="L223" s="183" t="s">
        <v>1473</v>
      </c>
    </row>
    <row r="224" spans="1:12" ht="29.15" x14ac:dyDescent="0.4">
      <c r="A224" s="183" t="s">
        <v>1361</v>
      </c>
      <c r="B224" s="183" t="s">
        <v>18</v>
      </c>
      <c r="C224" s="183" t="s">
        <v>550</v>
      </c>
      <c r="D224" s="184" t="s">
        <v>551</v>
      </c>
      <c r="E224" s="183" t="s">
        <v>194</v>
      </c>
      <c r="F224" s="93">
        <v>2</v>
      </c>
      <c r="G224" s="93"/>
      <c r="H224" s="93"/>
      <c r="I224" s="111"/>
      <c r="J224" s="93"/>
      <c r="K224" s="109"/>
      <c r="L224" s="183" t="s">
        <v>1473</v>
      </c>
    </row>
    <row r="225" spans="1:12" ht="29.15" x14ac:dyDescent="0.4">
      <c r="A225" s="183" t="s">
        <v>1361</v>
      </c>
      <c r="B225" s="183" t="s">
        <v>18</v>
      </c>
      <c r="C225" s="183" t="s">
        <v>550</v>
      </c>
      <c r="D225" s="184" t="s">
        <v>551</v>
      </c>
      <c r="E225" s="183" t="s">
        <v>192</v>
      </c>
      <c r="F225" s="93">
        <v>2</v>
      </c>
      <c r="G225" s="93"/>
      <c r="H225" s="93"/>
      <c r="I225" s="111"/>
      <c r="J225" s="93"/>
      <c r="K225" s="109"/>
      <c r="L225" s="183" t="s">
        <v>1473</v>
      </c>
    </row>
    <row r="226" spans="1:12" ht="29.15" x14ac:dyDescent="0.4">
      <c r="A226" s="183" t="s">
        <v>1361</v>
      </c>
      <c r="B226" s="183" t="s">
        <v>18</v>
      </c>
      <c r="C226" s="183" t="s">
        <v>550</v>
      </c>
      <c r="D226" s="184" t="s">
        <v>551</v>
      </c>
      <c r="E226" s="183" t="s">
        <v>505</v>
      </c>
      <c r="F226" s="93"/>
      <c r="G226" s="93"/>
      <c r="H226" s="93"/>
      <c r="I226" s="111"/>
      <c r="J226" s="93"/>
      <c r="K226" s="109"/>
      <c r="L226" s="183" t="s">
        <v>1473</v>
      </c>
    </row>
    <row r="227" spans="1:12" ht="29.15" x14ac:dyDescent="0.4">
      <c r="A227" s="183" t="s">
        <v>1361</v>
      </c>
      <c r="B227" s="183" t="s">
        <v>18</v>
      </c>
      <c r="C227" s="183" t="s">
        <v>555</v>
      </c>
      <c r="D227" s="184" t="s">
        <v>556</v>
      </c>
      <c r="E227" s="183" t="s">
        <v>191</v>
      </c>
      <c r="F227" s="93">
        <v>3</v>
      </c>
      <c r="G227" s="93"/>
      <c r="H227" s="93"/>
      <c r="I227" s="111"/>
      <c r="J227" s="93"/>
      <c r="K227" s="109"/>
      <c r="L227" s="183" t="s">
        <v>1473</v>
      </c>
    </row>
    <row r="228" spans="1:12" ht="29.15" x14ac:dyDescent="0.4">
      <c r="A228" s="183" t="s">
        <v>1361</v>
      </c>
      <c r="B228" s="183" t="s">
        <v>18</v>
      </c>
      <c r="C228" s="183" t="s">
        <v>555</v>
      </c>
      <c r="D228" s="184" t="s">
        <v>556</v>
      </c>
      <c r="E228" s="183" t="s">
        <v>277</v>
      </c>
      <c r="F228" s="93"/>
      <c r="G228" s="93"/>
      <c r="H228" s="93"/>
      <c r="I228" s="111"/>
      <c r="J228" s="93"/>
      <c r="K228" s="109"/>
      <c r="L228" s="183" t="s">
        <v>1473</v>
      </c>
    </row>
    <row r="229" spans="1:12" ht="29.15" x14ac:dyDescent="0.4">
      <c r="A229" s="183" t="s">
        <v>1361</v>
      </c>
      <c r="B229" s="183" t="s">
        <v>18</v>
      </c>
      <c r="C229" s="183" t="s">
        <v>555</v>
      </c>
      <c r="D229" s="184" t="s">
        <v>556</v>
      </c>
      <c r="E229" s="183" t="s">
        <v>194</v>
      </c>
      <c r="F229" s="93">
        <v>3</v>
      </c>
      <c r="G229" s="93"/>
      <c r="H229" s="93"/>
      <c r="I229" s="111"/>
      <c r="J229" s="93"/>
      <c r="K229" s="109"/>
      <c r="L229" s="183" t="s">
        <v>1473</v>
      </c>
    </row>
    <row r="230" spans="1:12" ht="29.15" x14ac:dyDescent="0.4">
      <c r="A230" s="183" t="s">
        <v>1361</v>
      </c>
      <c r="B230" s="183" t="s">
        <v>18</v>
      </c>
      <c r="C230" s="183" t="s">
        <v>555</v>
      </c>
      <c r="D230" s="184" t="s">
        <v>556</v>
      </c>
      <c r="E230" s="183" t="s">
        <v>192</v>
      </c>
      <c r="F230" s="93">
        <v>3</v>
      </c>
      <c r="G230" s="93"/>
      <c r="H230" s="93"/>
      <c r="I230" s="111"/>
      <c r="J230" s="93"/>
      <c r="K230" s="109"/>
      <c r="L230" s="183" t="s">
        <v>1473</v>
      </c>
    </row>
    <row r="231" spans="1:12" ht="29.15" x14ac:dyDescent="0.4">
      <c r="A231" s="183" t="s">
        <v>1361</v>
      </c>
      <c r="B231" s="183" t="s">
        <v>18</v>
      </c>
      <c r="C231" s="183" t="s">
        <v>555</v>
      </c>
      <c r="D231" s="184" t="s">
        <v>556</v>
      </c>
      <c r="E231" s="183" t="s">
        <v>505</v>
      </c>
      <c r="F231" s="93"/>
      <c r="G231" s="93"/>
      <c r="H231" s="93"/>
      <c r="I231" s="111"/>
      <c r="J231" s="93"/>
      <c r="K231" s="109"/>
      <c r="L231" s="183" t="s">
        <v>1473</v>
      </c>
    </row>
    <row r="232" spans="1:12" x14ac:dyDescent="0.4">
      <c r="A232" s="183" t="s">
        <v>1361</v>
      </c>
      <c r="B232" s="183" t="s">
        <v>18</v>
      </c>
      <c r="C232" s="183" t="s">
        <v>562</v>
      </c>
      <c r="D232" s="184" t="s">
        <v>563</v>
      </c>
      <c r="E232" s="183" t="s">
        <v>191</v>
      </c>
      <c r="F232" s="93">
        <v>3</v>
      </c>
      <c r="G232" s="93"/>
      <c r="H232" s="93"/>
      <c r="I232" s="111"/>
      <c r="J232" s="93"/>
      <c r="K232" s="109"/>
      <c r="L232" s="183" t="s">
        <v>1473</v>
      </c>
    </row>
    <row r="233" spans="1:12" x14ac:dyDescent="0.4">
      <c r="A233" s="183" t="s">
        <v>1361</v>
      </c>
      <c r="B233" s="183" t="s">
        <v>18</v>
      </c>
      <c r="C233" s="183" t="s">
        <v>562</v>
      </c>
      <c r="D233" s="184" t="s">
        <v>563</v>
      </c>
      <c r="E233" s="183" t="s">
        <v>277</v>
      </c>
      <c r="F233" s="93">
        <v>2</v>
      </c>
      <c r="G233" s="93"/>
      <c r="H233" s="93"/>
      <c r="I233" s="111"/>
      <c r="J233" s="93"/>
      <c r="K233" s="109"/>
      <c r="L233" s="183" t="s">
        <v>1473</v>
      </c>
    </row>
    <row r="234" spans="1:12" x14ac:dyDescent="0.4">
      <c r="A234" s="183" t="s">
        <v>1361</v>
      </c>
      <c r="B234" s="183" t="s">
        <v>18</v>
      </c>
      <c r="C234" s="183" t="s">
        <v>562</v>
      </c>
      <c r="D234" s="184" t="s">
        <v>563</v>
      </c>
      <c r="E234" s="183" t="s">
        <v>194</v>
      </c>
      <c r="F234" s="93">
        <v>3</v>
      </c>
      <c r="G234" s="93"/>
      <c r="H234" s="93"/>
      <c r="I234" s="111"/>
      <c r="J234" s="93"/>
      <c r="K234" s="109"/>
      <c r="L234" s="183" t="s">
        <v>1473</v>
      </c>
    </row>
    <row r="235" spans="1:12" x14ac:dyDescent="0.4">
      <c r="A235" s="183" t="s">
        <v>1361</v>
      </c>
      <c r="B235" s="183" t="s">
        <v>18</v>
      </c>
      <c r="C235" s="183" t="s">
        <v>562</v>
      </c>
      <c r="D235" s="184" t="s">
        <v>563</v>
      </c>
      <c r="E235" s="183" t="s">
        <v>192</v>
      </c>
      <c r="F235" s="93">
        <v>3</v>
      </c>
      <c r="G235" s="93"/>
      <c r="H235" s="93"/>
      <c r="I235" s="111"/>
      <c r="J235" s="93"/>
      <c r="K235" s="109"/>
      <c r="L235" s="183" t="s">
        <v>1473</v>
      </c>
    </row>
    <row r="236" spans="1:12" x14ac:dyDescent="0.4">
      <c r="A236" s="183" t="s">
        <v>1361</v>
      </c>
      <c r="B236" s="183" t="s">
        <v>18</v>
      </c>
      <c r="C236" s="183" t="s">
        <v>562</v>
      </c>
      <c r="D236" s="184" t="s">
        <v>563</v>
      </c>
      <c r="E236" s="183" t="s">
        <v>505</v>
      </c>
      <c r="F236" s="93">
        <v>3</v>
      </c>
      <c r="G236" s="93"/>
      <c r="H236" s="93"/>
      <c r="I236" s="111"/>
      <c r="J236" s="93"/>
      <c r="K236" s="109"/>
      <c r="L236" s="183" t="s">
        <v>1473</v>
      </c>
    </row>
    <row r="237" spans="1:12" x14ac:dyDescent="0.4">
      <c r="A237" s="183" t="s">
        <v>1361</v>
      </c>
      <c r="B237" s="183" t="s">
        <v>18</v>
      </c>
      <c r="C237" s="183" t="s">
        <v>569</v>
      </c>
      <c r="D237" s="184" t="s">
        <v>570</v>
      </c>
      <c r="E237" s="183" t="s">
        <v>191</v>
      </c>
      <c r="F237" s="93">
        <v>3</v>
      </c>
      <c r="G237" s="93"/>
      <c r="H237" s="93"/>
      <c r="I237" s="111"/>
      <c r="J237" s="93"/>
      <c r="K237" s="109"/>
      <c r="L237" s="183" t="s">
        <v>1473</v>
      </c>
    </row>
    <row r="238" spans="1:12" x14ac:dyDescent="0.4">
      <c r="A238" s="183" t="s">
        <v>1361</v>
      </c>
      <c r="B238" s="183" t="s">
        <v>18</v>
      </c>
      <c r="C238" s="183" t="s">
        <v>569</v>
      </c>
      <c r="D238" s="184" t="s">
        <v>570</v>
      </c>
      <c r="E238" s="183" t="s">
        <v>277</v>
      </c>
      <c r="F238" s="93">
        <v>4</v>
      </c>
      <c r="G238" s="93"/>
      <c r="H238" s="93"/>
      <c r="I238" s="111"/>
      <c r="J238" s="93"/>
      <c r="K238" s="109"/>
      <c r="L238" s="183" t="s">
        <v>1473</v>
      </c>
    </row>
    <row r="239" spans="1:12" x14ac:dyDescent="0.4">
      <c r="A239" s="183" t="s">
        <v>1361</v>
      </c>
      <c r="B239" s="183" t="s">
        <v>18</v>
      </c>
      <c r="C239" s="183" t="s">
        <v>569</v>
      </c>
      <c r="D239" s="184" t="s">
        <v>570</v>
      </c>
      <c r="E239" s="183" t="s">
        <v>194</v>
      </c>
      <c r="F239" s="93">
        <v>4</v>
      </c>
      <c r="G239" s="93"/>
      <c r="H239" s="93"/>
      <c r="I239" s="111"/>
      <c r="J239" s="93"/>
      <c r="K239" s="109"/>
      <c r="L239" s="183" t="s">
        <v>1473</v>
      </c>
    </row>
    <row r="240" spans="1:12" x14ac:dyDescent="0.4">
      <c r="A240" s="183" t="s">
        <v>1361</v>
      </c>
      <c r="B240" s="183" t="s">
        <v>18</v>
      </c>
      <c r="C240" s="183" t="s">
        <v>569</v>
      </c>
      <c r="D240" s="184" t="s">
        <v>570</v>
      </c>
      <c r="E240" s="183" t="s">
        <v>192</v>
      </c>
      <c r="F240" s="93">
        <v>4</v>
      </c>
      <c r="G240" s="93"/>
      <c r="H240" s="93"/>
      <c r="I240" s="111"/>
      <c r="J240" s="93"/>
      <c r="K240" s="109"/>
      <c r="L240" s="183" t="s">
        <v>1473</v>
      </c>
    </row>
    <row r="241" spans="1:12" x14ac:dyDescent="0.4">
      <c r="A241" s="183" t="s">
        <v>1361</v>
      </c>
      <c r="B241" s="183" t="s">
        <v>18</v>
      </c>
      <c r="C241" s="183" t="s">
        <v>569</v>
      </c>
      <c r="D241" s="184" t="s">
        <v>570</v>
      </c>
      <c r="E241" s="183" t="s">
        <v>505</v>
      </c>
      <c r="F241" s="93"/>
      <c r="G241" s="93"/>
      <c r="H241" s="93"/>
      <c r="I241" s="111"/>
      <c r="J241" s="93"/>
      <c r="K241" s="109"/>
      <c r="L241" s="183" t="s">
        <v>1473</v>
      </c>
    </row>
    <row r="242" spans="1:12" x14ac:dyDescent="0.4">
      <c r="A242" s="183" t="s">
        <v>1361</v>
      </c>
      <c r="B242" s="183" t="s">
        <v>114</v>
      </c>
      <c r="C242" s="183" t="s">
        <v>410</v>
      </c>
      <c r="D242" s="184" t="s">
        <v>1150</v>
      </c>
      <c r="E242" s="183" t="s">
        <v>745</v>
      </c>
      <c r="F242" s="93">
        <v>5.0999999999999996</v>
      </c>
      <c r="G242" s="93"/>
      <c r="H242" s="93"/>
      <c r="I242" s="111"/>
      <c r="J242" s="93"/>
      <c r="K242" s="109"/>
      <c r="L242" s="183" t="s">
        <v>1473</v>
      </c>
    </row>
    <row r="243" spans="1:12" x14ac:dyDescent="0.4">
      <c r="A243" s="183" t="s">
        <v>1361</v>
      </c>
      <c r="B243" s="183" t="s">
        <v>114</v>
      </c>
      <c r="C243" s="183" t="s">
        <v>410</v>
      </c>
      <c r="D243" s="184" t="s">
        <v>1150</v>
      </c>
      <c r="E243" s="183" t="s">
        <v>739</v>
      </c>
      <c r="F243" s="93">
        <v>3</v>
      </c>
      <c r="G243" s="93"/>
      <c r="H243" s="93"/>
      <c r="I243" s="111"/>
      <c r="J243" s="93"/>
      <c r="K243" s="109"/>
      <c r="L243" s="183" t="s">
        <v>1473</v>
      </c>
    </row>
    <row r="244" spans="1:12" x14ac:dyDescent="0.4">
      <c r="A244" s="183" t="s">
        <v>1361</v>
      </c>
      <c r="B244" s="183" t="s">
        <v>114</v>
      </c>
      <c r="C244" s="183" t="s">
        <v>410</v>
      </c>
      <c r="D244" s="184" t="s">
        <v>1150</v>
      </c>
      <c r="E244" s="183" t="s">
        <v>743</v>
      </c>
      <c r="F244" s="93">
        <v>6</v>
      </c>
      <c r="G244" s="93"/>
      <c r="H244" s="93"/>
      <c r="I244" s="111"/>
      <c r="J244" s="93"/>
      <c r="K244" s="109"/>
      <c r="L244" s="183" t="s">
        <v>1473</v>
      </c>
    </row>
    <row r="245" spans="1:12" ht="29.15" x14ac:dyDescent="0.4">
      <c r="A245" s="183" t="s">
        <v>1361</v>
      </c>
      <c r="B245" s="183" t="s">
        <v>114</v>
      </c>
      <c r="C245" s="183" t="s">
        <v>1152</v>
      </c>
      <c r="D245" s="184" t="s">
        <v>1153</v>
      </c>
      <c r="E245" s="183" t="s">
        <v>745</v>
      </c>
      <c r="F245" s="93">
        <v>3</v>
      </c>
      <c r="G245" s="93"/>
      <c r="H245" s="93"/>
      <c r="I245" s="111"/>
      <c r="J245" s="93"/>
      <c r="K245" s="109"/>
      <c r="L245" s="183" t="s">
        <v>1473</v>
      </c>
    </row>
    <row r="246" spans="1:12" ht="29.15" x14ac:dyDescent="0.4">
      <c r="A246" s="183" t="s">
        <v>1361</v>
      </c>
      <c r="B246" s="183" t="s">
        <v>114</v>
      </c>
      <c r="C246" s="183" t="s">
        <v>1152</v>
      </c>
      <c r="D246" s="184" t="s">
        <v>1153</v>
      </c>
      <c r="E246" s="183" t="s">
        <v>739</v>
      </c>
      <c r="F246" s="93">
        <v>4</v>
      </c>
      <c r="G246" s="93"/>
      <c r="H246" s="93"/>
      <c r="I246" s="111"/>
      <c r="J246" s="93"/>
      <c r="K246" s="109"/>
      <c r="L246" s="183" t="s">
        <v>1473</v>
      </c>
    </row>
    <row r="247" spans="1:12" ht="29.15" x14ac:dyDescent="0.4">
      <c r="A247" s="183" t="s">
        <v>1361</v>
      </c>
      <c r="B247" s="183" t="s">
        <v>114</v>
      </c>
      <c r="C247" s="183" t="s">
        <v>1152</v>
      </c>
      <c r="D247" s="184" t="s">
        <v>1153</v>
      </c>
      <c r="E247" s="183" t="s">
        <v>743</v>
      </c>
      <c r="F247" s="93">
        <v>12</v>
      </c>
      <c r="G247" s="93"/>
      <c r="H247" s="93"/>
      <c r="I247" s="111"/>
      <c r="J247" s="93"/>
      <c r="K247" s="109"/>
      <c r="L247" s="183" t="s">
        <v>1473</v>
      </c>
    </row>
    <row r="248" spans="1:12" x14ac:dyDescent="0.4">
      <c r="A248" s="183" t="s">
        <v>1361</v>
      </c>
      <c r="B248" s="183" t="s">
        <v>114</v>
      </c>
      <c r="C248" s="183" t="s">
        <v>1158</v>
      </c>
      <c r="D248" s="184" t="s">
        <v>1159</v>
      </c>
      <c r="E248" s="183" t="s">
        <v>745</v>
      </c>
      <c r="F248" s="93">
        <v>72</v>
      </c>
      <c r="G248" s="93"/>
      <c r="H248" s="93"/>
      <c r="I248" s="111"/>
      <c r="J248" s="93"/>
      <c r="K248" s="109"/>
      <c r="L248" s="183" t="s">
        <v>1473</v>
      </c>
    </row>
    <row r="249" spans="1:12" x14ac:dyDescent="0.4">
      <c r="A249" s="183" t="s">
        <v>1361</v>
      </c>
      <c r="B249" s="183" t="s">
        <v>114</v>
      </c>
      <c r="C249" s="183" t="s">
        <v>1158</v>
      </c>
      <c r="D249" s="184" t="s">
        <v>1159</v>
      </c>
      <c r="E249" s="183" t="s">
        <v>739</v>
      </c>
      <c r="F249" s="93">
        <v>60</v>
      </c>
      <c r="G249" s="93"/>
      <c r="H249" s="93"/>
      <c r="I249" s="111"/>
      <c r="J249" s="93"/>
      <c r="K249" s="109"/>
      <c r="L249" s="183" t="s">
        <v>1473</v>
      </c>
    </row>
    <row r="250" spans="1:12" x14ac:dyDescent="0.4">
      <c r="A250" s="183" t="s">
        <v>1361</v>
      </c>
      <c r="B250" s="183" t="s">
        <v>114</v>
      </c>
      <c r="C250" s="183" t="s">
        <v>1158</v>
      </c>
      <c r="D250" s="184" t="s">
        <v>1159</v>
      </c>
      <c r="E250" s="183" t="s">
        <v>743</v>
      </c>
      <c r="F250" s="93">
        <v>75</v>
      </c>
      <c r="G250" s="93"/>
      <c r="H250" s="93"/>
      <c r="I250" s="111"/>
      <c r="J250" s="93"/>
      <c r="K250" s="109"/>
      <c r="L250" s="183" t="s">
        <v>1473</v>
      </c>
    </row>
    <row r="251" spans="1:12" ht="29.15" x14ac:dyDescent="0.4">
      <c r="A251" s="183" t="s">
        <v>1361</v>
      </c>
      <c r="B251" s="183" t="s">
        <v>114</v>
      </c>
      <c r="C251" s="183" t="s">
        <v>1163</v>
      </c>
      <c r="D251" s="184" t="s">
        <v>1164</v>
      </c>
      <c r="E251" s="183" t="s">
        <v>745</v>
      </c>
      <c r="F251" s="93">
        <v>0</v>
      </c>
      <c r="G251" s="93"/>
      <c r="H251" s="93"/>
      <c r="I251" s="111"/>
      <c r="J251" s="93"/>
      <c r="K251" s="109"/>
      <c r="L251" s="183" t="s">
        <v>1473</v>
      </c>
    </row>
    <row r="252" spans="1:12" ht="29.15" x14ac:dyDescent="0.4">
      <c r="A252" s="183" t="s">
        <v>1361</v>
      </c>
      <c r="B252" s="183" t="s">
        <v>114</v>
      </c>
      <c r="C252" s="183" t="s">
        <v>1163</v>
      </c>
      <c r="D252" s="184" t="s">
        <v>1164</v>
      </c>
      <c r="E252" s="183" t="s">
        <v>739</v>
      </c>
      <c r="F252" s="93">
        <v>2</v>
      </c>
      <c r="G252" s="93"/>
      <c r="H252" s="93"/>
      <c r="I252" s="111"/>
      <c r="J252" s="93"/>
      <c r="K252" s="109"/>
      <c r="L252" s="183" t="s">
        <v>1473</v>
      </c>
    </row>
    <row r="253" spans="1:12" ht="29.15" x14ac:dyDescent="0.4">
      <c r="A253" s="183" t="s">
        <v>1361</v>
      </c>
      <c r="B253" s="183" t="s">
        <v>114</v>
      </c>
      <c r="C253" s="183" t="s">
        <v>1163</v>
      </c>
      <c r="D253" s="184" t="s">
        <v>1164</v>
      </c>
      <c r="E253" s="183" t="s">
        <v>743</v>
      </c>
      <c r="F253" s="93">
        <v>4</v>
      </c>
      <c r="G253" s="93"/>
      <c r="H253" s="93"/>
      <c r="I253" s="111"/>
      <c r="J253" s="93"/>
      <c r="K253" s="109"/>
      <c r="L253" s="183" t="s">
        <v>1473</v>
      </c>
    </row>
    <row r="254" spans="1:12" x14ac:dyDescent="0.4">
      <c r="A254" s="183" t="s">
        <v>1361</v>
      </c>
      <c r="B254" s="183" t="s">
        <v>114</v>
      </c>
      <c r="C254" s="183" t="s">
        <v>1168</v>
      </c>
      <c r="D254" s="184" t="s">
        <v>1169</v>
      </c>
      <c r="E254" s="183" t="s">
        <v>745</v>
      </c>
      <c r="F254" s="93">
        <v>1.9</v>
      </c>
      <c r="G254" s="93"/>
      <c r="H254" s="93"/>
      <c r="I254" s="111"/>
      <c r="J254" s="93"/>
      <c r="K254" s="109"/>
      <c r="L254" s="183" t="s">
        <v>1473</v>
      </c>
    </row>
    <row r="255" spans="1:12" x14ac:dyDescent="0.4">
      <c r="A255" s="183" t="s">
        <v>1361</v>
      </c>
      <c r="B255" s="183" t="s">
        <v>114</v>
      </c>
      <c r="C255" s="183" t="s">
        <v>1168</v>
      </c>
      <c r="D255" s="184" t="s">
        <v>1169</v>
      </c>
      <c r="E255" s="183" t="s">
        <v>739</v>
      </c>
      <c r="F255" s="93">
        <v>1.5</v>
      </c>
      <c r="G255" s="93"/>
      <c r="H255" s="93"/>
      <c r="I255" s="111"/>
      <c r="J255" s="93"/>
      <c r="K255" s="109"/>
      <c r="L255" s="183" t="s">
        <v>1473</v>
      </c>
    </row>
    <row r="256" spans="1:12" x14ac:dyDescent="0.4">
      <c r="A256" s="183" t="s">
        <v>1361</v>
      </c>
      <c r="B256" s="183" t="s">
        <v>114</v>
      </c>
      <c r="C256" s="183" t="s">
        <v>1168</v>
      </c>
      <c r="D256" s="184" t="s">
        <v>1169</v>
      </c>
      <c r="E256" s="183" t="s">
        <v>743</v>
      </c>
      <c r="F256" s="93">
        <v>3</v>
      </c>
      <c r="G256" s="93"/>
      <c r="H256" s="93"/>
      <c r="I256" s="111"/>
      <c r="J256" s="93"/>
      <c r="K256" s="109"/>
      <c r="L256" s="183" t="s">
        <v>1473</v>
      </c>
    </row>
    <row r="257" spans="1:12" ht="29.15" x14ac:dyDescent="0.4">
      <c r="A257" s="183" t="s">
        <v>1361</v>
      </c>
      <c r="B257" s="183" t="s">
        <v>114</v>
      </c>
      <c r="C257" s="183" t="s">
        <v>1173</v>
      </c>
      <c r="D257" s="184" t="s">
        <v>1174</v>
      </c>
      <c r="E257" s="183" t="s">
        <v>745</v>
      </c>
      <c r="F257" s="93"/>
      <c r="G257" s="93"/>
      <c r="H257" s="93"/>
      <c r="I257" s="111"/>
      <c r="J257" s="93"/>
      <c r="K257" s="109"/>
      <c r="L257" s="183" t="s">
        <v>1473</v>
      </c>
    </row>
    <row r="258" spans="1:12" ht="29.15" x14ac:dyDescent="0.4">
      <c r="A258" s="183" t="s">
        <v>1361</v>
      </c>
      <c r="B258" s="183" t="s">
        <v>114</v>
      </c>
      <c r="C258" s="183" t="s">
        <v>1173</v>
      </c>
      <c r="D258" s="184" t="s">
        <v>1174</v>
      </c>
      <c r="E258" s="183" t="s">
        <v>739</v>
      </c>
      <c r="F258" s="93">
        <v>20</v>
      </c>
      <c r="G258" s="93"/>
      <c r="H258" s="93"/>
      <c r="I258" s="111"/>
      <c r="J258" s="93"/>
      <c r="K258" s="109"/>
      <c r="L258" s="183" t="s">
        <v>1473</v>
      </c>
    </row>
    <row r="259" spans="1:12" ht="29.15" x14ac:dyDescent="0.4">
      <c r="A259" s="183" t="s">
        <v>1361</v>
      </c>
      <c r="B259" s="183" t="s">
        <v>114</v>
      </c>
      <c r="C259" s="183" t="s">
        <v>1173</v>
      </c>
      <c r="D259" s="184" t="s">
        <v>1174</v>
      </c>
      <c r="E259" s="183" t="s">
        <v>743</v>
      </c>
      <c r="F259" s="93">
        <v>40</v>
      </c>
      <c r="G259" s="93"/>
      <c r="H259" s="93"/>
      <c r="I259" s="111"/>
      <c r="J259" s="93"/>
      <c r="K259" s="109"/>
      <c r="L259" s="183" t="s">
        <v>1473</v>
      </c>
    </row>
    <row r="260" spans="1:12" ht="29.15" x14ac:dyDescent="0.4">
      <c r="A260" s="183" t="s">
        <v>1361</v>
      </c>
      <c r="B260" s="183" t="s">
        <v>114</v>
      </c>
      <c r="C260" s="183" t="s">
        <v>1177</v>
      </c>
      <c r="D260" s="184" t="s">
        <v>1178</v>
      </c>
      <c r="E260" s="183" t="s">
        <v>745</v>
      </c>
      <c r="F260" s="93">
        <v>2</v>
      </c>
      <c r="G260" s="93"/>
      <c r="H260" s="93"/>
      <c r="I260" s="111"/>
      <c r="J260" s="93"/>
      <c r="K260" s="109"/>
      <c r="L260" s="183" t="s">
        <v>1473</v>
      </c>
    </row>
    <row r="261" spans="1:12" ht="29.15" x14ac:dyDescent="0.4">
      <c r="A261" s="183" t="s">
        <v>1361</v>
      </c>
      <c r="B261" s="183" t="s">
        <v>114</v>
      </c>
      <c r="C261" s="183" t="s">
        <v>1177</v>
      </c>
      <c r="D261" s="184" t="s">
        <v>1178</v>
      </c>
      <c r="E261" s="183" t="s">
        <v>739</v>
      </c>
      <c r="F261" s="93">
        <v>1</v>
      </c>
      <c r="G261" s="93"/>
      <c r="H261" s="93"/>
      <c r="I261" s="111"/>
      <c r="J261" s="93"/>
      <c r="K261" s="109"/>
      <c r="L261" s="183" t="s">
        <v>1473</v>
      </c>
    </row>
    <row r="262" spans="1:12" ht="29.15" x14ac:dyDescent="0.4">
      <c r="A262" s="183" t="s">
        <v>1361</v>
      </c>
      <c r="B262" s="183" t="s">
        <v>114</v>
      </c>
      <c r="C262" s="183" t="s">
        <v>1177</v>
      </c>
      <c r="D262" s="184" t="s">
        <v>1178</v>
      </c>
      <c r="E262" s="183" t="s">
        <v>743</v>
      </c>
      <c r="F262" s="93">
        <v>3</v>
      </c>
      <c r="G262" s="93"/>
      <c r="H262" s="93"/>
      <c r="I262" s="111"/>
      <c r="J262" s="93"/>
      <c r="K262" s="109"/>
      <c r="L262" s="183" t="s">
        <v>1473</v>
      </c>
    </row>
    <row r="263" spans="1:12" x14ac:dyDescent="0.4">
      <c r="A263" s="183" t="s">
        <v>1361</v>
      </c>
      <c r="B263" s="183" t="s">
        <v>114</v>
      </c>
      <c r="C263" s="183" t="s">
        <v>1181</v>
      </c>
      <c r="D263" s="184" t="s">
        <v>1182</v>
      </c>
      <c r="E263" s="183" t="s">
        <v>745</v>
      </c>
      <c r="F263" s="93">
        <v>0</v>
      </c>
      <c r="G263" s="93"/>
      <c r="H263" s="93"/>
      <c r="I263" s="111"/>
      <c r="J263" s="93"/>
      <c r="K263" s="109"/>
      <c r="L263" s="183" t="s">
        <v>1473</v>
      </c>
    </row>
    <row r="264" spans="1:12" x14ac:dyDescent="0.4">
      <c r="A264" s="183" t="s">
        <v>1361</v>
      </c>
      <c r="B264" s="183" t="s">
        <v>114</v>
      </c>
      <c r="C264" s="183" t="s">
        <v>1181</v>
      </c>
      <c r="D264" s="184" t="s">
        <v>1182</v>
      </c>
      <c r="E264" s="183" t="s">
        <v>739</v>
      </c>
      <c r="F264" s="93">
        <v>2</v>
      </c>
      <c r="G264" s="93"/>
      <c r="H264" s="93"/>
      <c r="I264" s="111"/>
      <c r="J264" s="93"/>
      <c r="K264" s="109"/>
      <c r="L264" s="183" t="s">
        <v>1473</v>
      </c>
    </row>
    <row r="265" spans="1:12" x14ac:dyDescent="0.4">
      <c r="A265" s="183" t="s">
        <v>1361</v>
      </c>
      <c r="B265" s="183" t="s">
        <v>114</v>
      </c>
      <c r="C265" s="183" t="s">
        <v>1181</v>
      </c>
      <c r="D265" s="184" t="s">
        <v>1182</v>
      </c>
      <c r="E265" s="183" t="s">
        <v>743</v>
      </c>
      <c r="F265" s="93">
        <v>5</v>
      </c>
      <c r="G265" s="93"/>
      <c r="H265" s="93"/>
      <c r="I265" s="111"/>
      <c r="J265" s="93"/>
      <c r="K265" s="109"/>
      <c r="L265" s="183" t="s">
        <v>1473</v>
      </c>
    </row>
    <row r="266" spans="1:12" x14ac:dyDescent="0.4">
      <c r="A266" s="183" t="s">
        <v>1361</v>
      </c>
      <c r="B266" s="183" t="s">
        <v>114</v>
      </c>
      <c r="C266" s="183" t="s">
        <v>1186</v>
      </c>
      <c r="D266" s="184" t="s">
        <v>1187</v>
      </c>
      <c r="E266" s="183" t="s">
        <v>745</v>
      </c>
      <c r="F266" s="93">
        <v>4</v>
      </c>
      <c r="G266" s="93"/>
      <c r="H266" s="93"/>
      <c r="I266" s="111"/>
      <c r="J266" s="93"/>
      <c r="K266" s="109"/>
      <c r="L266" s="183" t="s">
        <v>1473</v>
      </c>
    </row>
    <row r="267" spans="1:12" x14ac:dyDescent="0.4">
      <c r="A267" s="183" t="s">
        <v>1361</v>
      </c>
      <c r="B267" s="183" t="s">
        <v>114</v>
      </c>
      <c r="C267" s="183" t="s">
        <v>1186</v>
      </c>
      <c r="D267" s="184" t="s">
        <v>1187</v>
      </c>
      <c r="E267" s="183" t="s">
        <v>739</v>
      </c>
      <c r="F267" s="93">
        <v>3</v>
      </c>
      <c r="G267" s="93"/>
      <c r="H267" s="93"/>
      <c r="I267" s="111"/>
      <c r="J267" s="93"/>
      <c r="K267" s="109"/>
      <c r="L267" s="183" t="s">
        <v>1473</v>
      </c>
    </row>
    <row r="268" spans="1:12" x14ac:dyDescent="0.4">
      <c r="A268" s="183" t="s">
        <v>1361</v>
      </c>
      <c r="B268" s="183" t="s">
        <v>114</v>
      </c>
      <c r="C268" s="183" t="s">
        <v>1186</v>
      </c>
      <c r="D268" s="184" t="s">
        <v>1187</v>
      </c>
      <c r="E268" s="183" t="s">
        <v>743</v>
      </c>
      <c r="F268" s="93">
        <v>6</v>
      </c>
      <c r="G268" s="93"/>
      <c r="H268" s="93"/>
      <c r="I268" s="111"/>
      <c r="J268" s="93"/>
      <c r="K268" s="109"/>
      <c r="L268" s="183" t="s">
        <v>1473</v>
      </c>
    </row>
    <row r="269" spans="1:12" ht="29.15" x14ac:dyDescent="0.4">
      <c r="A269" s="183" t="s">
        <v>1361</v>
      </c>
      <c r="B269" s="183" t="s">
        <v>114</v>
      </c>
      <c r="C269" s="183" t="s">
        <v>1190</v>
      </c>
      <c r="D269" s="184" t="s">
        <v>1191</v>
      </c>
      <c r="E269" s="183" t="s">
        <v>745</v>
      </c>
      <c r="F269" s="93">
        <v>18</v>
      </c>
      <c r="G269" s="93"/>
      <c r="H269" s="93"/>
      <c r="I269" s="111"/>
      <c r="J269" s="93"/>
      <c r="K269" s="109"/>
      <c r="L269" s="183" t="s">
        <v>1473</v>
      </c>
    </row>
    <row r="270" spans="1:12" ht="29.15" x14ac:dyDescent="0.4">
      <c r="A270" s="183" t="s">
        <v>1361</v>
      </c>
      <c r="B270" s="183" t="s">
        <v>114</v>
      </c>
      <c r="C270" s="183" t="s">
        <v>1190</v>
      </c>
      <c r="D270" s="184" t="s">
        <v>1191</v>
      </c>
      <c r="E270" s="183" t="s">
        <v>739</v>
      </c>
      <c r="F270" s="93">
        <v>30</v>
      </c>
      <c r="G270" s="93"/>
      <c r="H270" s="93"/>
      <c r="I270" s="111"/>
      <c r="J270" s="93"/>
      <c r="K270" s="109"/>
      <c r="L270" s="183" t="s">
        <v>1473</v>
      </c>
    </row>
    <row r="271" spans="1:12" ht="29.15" x14ac:dyDescent="0.4">
      <c r="A271" s="183" t="s">
        <v>1361</v>
      </c>
      <c r="B271" s="183" t="s">
        <v>114</v>
      </c>
      <c r="C271" s="183" t="s">
        <v>1190</v>
      </c>
      <c r="D271" s="184" t="s">
        <v>1191</v>
      </c>
      <c r="E271" s="183" t="s">
        <v>743</v>
      </c>
      <c r="F271" s="93">
        <v>60</v>
      </c>
      <c r="G271" s="93"/>
      <c r="H271" s="93"/>
      <c r="I271" s="111"/>
      <c r="J271" s="93"/>
      <c r="K271" s="109"/>
      <c r="L271" s="183" t="s">
        <v>1473</v>
      </c>
    </row>
    <row r="272" spans="1:12" ht="29.15" x14ac:dyDescent="0.4">
      <c r="A272" s="183" t="s">
        <v>1361</v>
      </c>
      <c r="B272" s="183" t="s">
        <v>114</v>
      </c>
      <c r="C272" s="183" t="s">
        <v>1226</v>
      </c>
      <c r="D272" s="184" t="s">
        <v>1227</v>
      </c>
      <c r="E272" s="183" t="s">
        <v>745</v>
      </c>
      <c r="F272" s="93">
        <v>6</v>
      </c>
      <c r="G272" s="93"/>
      <c r="H272" s="93"/>
      <c r="I272" s="111"/>
      <c r="J272" s="93"/>
      <c r="K272" s="109"/>
      <c r="L272" s="183" t="s">
        <v>1473</v>
      </c>
    </row>
    <row r="273" spans="1:12" ht="29.15" x14ac:dyDescent="0.4">
      <c r="A273" s="183" t="s">
        <v>1361</v>
      </c>
      <c r="B273" s="183" t="s">
        <v>114</v>
      </c>
      <c r="C273" s="183" t="s">
        <v>1226</v>
      </c>
      <c r="D273" s="184" t="s">
        <v>1227</v>
      </c>
      <c r="E273" s="183" t="s">
        <v>739</v>
      </c>
      <c r="F273" s="93">
        <v>10</v>
      </c>
      <c r="G273" s="93"/>
      <c r="H273" s="93"/>
      <c r="I273" s="111"/>
      <c r="J273" s="93"/>
      <c r="K273" s="109"/>
      <c r="L273" s="183" t="s">
        <v>1473</v>
      </c>
    </row>
    <row r="274" spans="1:12" ht="29.15" x14ac:dyDescent="0.4">
      <c r="A274" s="183" t="s">
        <v>1361</v>
      </c>
      <c r="B274" s="183" t="s">
        <v>114</v>
      </c>
      <c r="C274" s="183" t="s">
        <v>1226</v>
      </c>
      <c r="D274" s="184" t="s">
        <v>1227</v>
      </c>
      <c r="E274" s="183" t="s">
        <v>743</v>
      </c>
      <c r="F274" s="93">
        <v>30</v>
      </c>
      <c r="G274" s="93"/>
      <c r="H274" s="93"/>
      <c r="I274" s="111"/>
      <c r="J274" s="93"/>
      <c r="K274" s="109"/>
      <c r="L274" s="183" t="s">
        <v>1473</v>
      </c>
    </row>
    <row r="275" spans="1:12" ht="29.15" x14ac:dyDescent="0.4">
      <c r="A275" s="183" t="s">
        <v>1361</v>
      </c>
      <c r="B275" s="183" t="s">
        <v>114</v>
      </c>
      <c r="C275" s="183" t="s">
        <v>1230</v>
      </c>
      <c r="D275" s="184" t="s">
        <v>1231</v>
      </c>
      <c r="E275" s="183" t="s">
        <v>745</v>
      </c>
      <c r="F275" s="93">
        <v>22</v>
      </c>
      <c r="G275" s="93"/>
      <c r="H275" s="93"/>
      <c r="I275" s="111"/>
      <c r="J275" s="93"/>
      <c r="K275" s="109"/>
      <c r="L275" s="183" t="s">
        <v>1473</v>
      </c>
    </row>
    <row r="276" spans="1:12" ht="29.15" x14ac:dyDescent="0.4">
      <c r="A276" s="183" t="s">
        <v>1361</v>
      </c>
      <c r="B276" s="183" t="s">
        <v>114</v>
      </c>
      <c r="C276" s="183" t="s">
        <v>1230</v>
      </c>
      <c r="D276" s="184" t="s">
        <v>1231</v>
      </c>
      <c r="E276" s="183" t="s">
        <v>739</v>
      </c>
      <c r="F276" s="93">
        <v>20</v>
      </c>
      <c r="G276" s="93"/>
      <c r="H276" s="93"/>
      <c r="I276" s="111"/>
      <c r="J276" s="93"/>
      <c r="K276" s="109"/>
      <c r="L276" s="183" t="s">
        <v>1473</v>
      </c>
    </row>
    <row r="277" spans="1:12" ht="29.15" x14ac:dyDescent="0.4">
      <c r="A277" s="183" t="s">
        <v>1361</v>
      </c>
      <c r="B277" s="183" t="s">
        <v>114</v>
      </c>
      <c r="C277" s="183" t="s">
        <v>1230</v>
      </c>
      <c r="D277" s="184" t="s">
        <v>1231</v>
      </c>
      <c r="E277" s="183" t="s">
        <v>743</v>
      </c>
      <c r="F277" s="93">
        <v>40</v>
      </c>
      <c r="G277" s="93"/>
      <c r="H277" s="93"/>
      <c r="I277" s="111"/>
      <c r="J277" s="93"/>
      <c r="K277" s="109"/>
      <c r="L277" s="183" t="s">
        <v>1473</v>
      </c>
    </row>
    <row r="278" spans="1:12" ht="29.15" x14ac:dyDescent="0.4">
      <c r="A278" s="183" t="s">
        <v>1361</v>
      </c>
      <c r="B278" s="183" t="s">
        <v>114</v>
      </c>
      <c r="C278" s="183" t="s">
        <v>1194</v>
      </c>
      <c r="D278" s="184" t="s">
        <v>1195</v>
      </c>
      <c r="E278" s="183" t="s">
        <v>745</v>
      </c>
      <c r="F278" s="93">
        <v>1</v>
      </c>
      <c r="G278" s="93"/>
      <c r="H278" s="93"/>
      <c r="I278" s="111"/>
      <c r="J278" s="93"/>
      <c r="K278" s="109"/>
      <c r="L278" s="183" t="s">
        <v>1473</v>
      </c>
    </row>
    <row r="279" spans="1:12" ht="29.15" x14ac:dyDescent="0.4">
      <c r="A279" s="183" t="s">
        <v>1361</v>
      </c>
      <c r="B279" s="183" t="s">
        <v>114</v>
      </c>
      <c r="C279" s="183" t="s">
        <v>1194</v>
      </c>
      <c r="D279" s="184" t="s">
        <v>1195</v>
      </c>
      <c r="E279" s="183" t="s">
        <v>739</v>
      </c>
      <c r="F279" s="93">
        <v>1</v>
      </c>
      <c r="G279" s="93"/>
      <c r="H279" s="93"/>
      <c r="I279" s="111"/>
      <c r="J279" s="93"/>
      <c r="K279" s="109"/>
      <c r="L279" s="183" t="s">
        <v>1473</v>
      </c>
    </row>
    <row r="280" spans="1:12" ht="29.15" x14ac:dyDescent="0.4">
      <c r="A280" s="183" t="s">
        <v>1361</v>
      </c>
      <c r="B280" s="183" t="s">
        <v>114</v>
      </c>
      <c r="C280" s="183" t="s">
        <v>1194</v>
      </c>
      <c r="D280" s="184" t="s">
        <v>1195</v>
      </c>
      <c r="E280" s="183" t="s">
        <v>743</v>
      </c>
      <c r="F280" s="93">
        <v>2</v>
      </c>
      <c r="G280" s="93"/>
      <c r="H280" s="93"/>
      <c r="I280" s="111"/>
      <c r="J280" s="93"/>
      <c r="K280" s="109"/>
      <c r="L280" s="183" t="s">
        <v>1473</v>
      </c>
    </row>
    <row r="281" spans="1:12" ht="29.15" x14ac:dyDescent="0.4">
      <c r="A281" s="183" t="s">
        <v>1361</v>
      </c>
      <c r="B281" s="183" t="s">
        <v>114</v>
      </c>
      <c r="C281" s="183" t="s">
        <v>1197</v>
      </c>
      <c r="D281" s="184" t="s">
        <v>1198</v>
      </c>
      <c r="E281" s="183" t="s">
        <v>745</v>
      </c>
      <c r="F281" s="93">
        <v>2.5</v>
      </c>
      <c r="G281" s="93"/>
      <c r="H281" s="93"/>
      <c r="I281" s="111"/>
      <c r="J281" s="93"/>
      <c r="K281" s="109"/>
      <c r="L281" s="183" t="s">
        <v>1473</v>
      </c>
    </row>
    <row r="282" spans="1:12" ht="29.15" x14ac:dyDescent="0.4">
      <c r="A282" s="183" t="s">
        <v>1361</v>
      </c>
      <c r="B282" s="183" t="s">
        <v>114</v>
      </c>
      <c r="C282" s="183" t="s">
        <v>1197</v>
      </c>
      <c r="D282" s="184" t="s">
        <v>1198</v>
      </c>
      <c r="E282" s="183" t="s">
        <v>739</v>
      </c>
      <c r="F282" s="93">
        <v>4</v>
      </c>
      <c r="G282" s="93"/>
      <c r="H282" s="93"/>
      <c r="I282" s="111"/>
      <c r="J282" s="93"/>
      <c r="K282" s="109"/>
      <c r="L282" s="183" t="s">
        <v>1473</v>
      </c>
    </row>
    <row r="283" spans="1:12" ht="29.15" x14ac:dyDescent="0.4">
      <c r="A283" s="183" t="s">
        <v>1361</v>
      </c>
      <c r="B283" s="183" t="s">
        <v>114</v>
      </c>
      <c r="C283" s="183" t="s">
        <v>1197</v>
      </c>
      <c r="D283" s="184" t="s">
        <v>1198</v>
      </c>
      <c r="E283" s="183" t="s">
        <v>743</v>
      </c>
      <c r="F283" s="93">
        <v>12</v>
      </c>
      <c r="G283" s="93"/>
      <c r="H283" s="93"/>
      <c r="I283" s="111"/>
      <c r="J283" s="93"/>
      <c r="K283" s="109"/>
      <c r="L283" s="183" t="s">
        <v>1473</v>
      </c>
    </row>
    <row r="284" spans="1:12" x14ac:dyDescent="0.4">
      <c r="A284" s="183" t="s">
        <v>1361</v>
      </c>
      <c r="B284" s="183" t="s">
        <v>114</v>
      </c>
      <c r="C284" s="183" t="s">
        <v>1200</v>
      </c>
      <c r="D284" s="184" t="s">
        <v>1201</v>
      </c>
      <c r="E284" s="183" t="s">
        <v>745</v>
      </c>
      <c r="F284" s="93">
        <v>22</v>
      </c>
      <c r="G284" s="93"/>
      <c r="H284" s="93"/>
      <c r="I284" s="111"/>
      <c r="J284" s="93"/>
      <c r="K284" s="109"/>
      <c r="L284" s="183" t="s">
        <v>1473</v>
      </c>
    </row>
    <row r="285" spans="1:12" x14ac:dyDescent="0.4">
      <c r="A285" s="183" t="s">
        <v>1361</v>
      </c>
      <c r="B285" s="183" t="s">
        <v>114</v>
      </c>
      <c r="C285" s="183" t="s">
        <v>1200</v>
      </c>
      <c r="D285" s="184" t="s">
        <v>1201</v>
      </c>
      <c r="E285" s="183" t="s">
        <v>739</v>
      </c>
      <c r="F285" s="93">
        <v>20</v>
      </c>
      <c r="G285" s="93"/>
      <c r="H285" s="93"/>
      <c r="I285" s="111"/>
      <c r="J285" s="93"/>
      <c r="K285" s="109"/>
      <c r="L285" s="183" t="s">
        <v>1473</v>
      </c>
    </row>
    <row r="286" spans="1:12" x14ac:dyDescent="0.4">
      <c r="A286" s="183" t="s">
        <v>1361</v>
      </c>
      <c r="B286" s="183" t="s">
        <v>114</v>
      </c>
      <c r="C286" s="183" t="s">
        <v>1200</v>
      </c>
      <c r="D286" s="184" t="s">
        <v>1201</v>
      </c>
      <c r="E286" s="183" t="s">
        <v>743</v>
      </c>
      <c r="F286" s="93">
        <v>50</v>
      </c>
      <c r="G286" s="93"/>
      <c r="H286" s="93"/>
      <c r="I286" s="111"/>
      <c r="J286" s="93"/>
      <c r="K286" s="109"/>
      <c r="L286" s="183" t="s">
        <v>1473</v>
      </c>
    </row>
    <row r="287" spans="1:12" x14ac:dyDescent="0.4">
      <c r="A287" s="183" t="s">
        <v>1361</v>
      </c>
      <c r="B287" s="183" t="s">
        <v>114</v>
      </c>
      <c r="C287" s="183" t="s">
        <v>1205</v>
      </c>
      <c r="D287" s="184" t="s">
        <v>1206</v>
      </c>
      <c r="E287" s="183" t="s">
        <v>745</v>
      </c>
      <c r="F287" s="93">
        <v>5</v>
      </c>
      <c r="G287" s="93"/>
      <c r="H287" s="93"/>
      <c r="I287" s="111"/>
      <c r="J287" s="93"/>
      <c r="K287" s="109"/>
      <c r="L287" s="183" t="s">
        <v>1473</v>
      </c>
    </row>
    <row r="288" spans="1:12" x14ac:dyDescent="0.4">
      <c r="A288" s="183" t="s">
        <v>1361</v>
      </c>
      <c r="B288" s="183" t="s">
        <v>114</v>
      </c>
      <c r="C288" s="183" t="s">
        <v>1205</v>
      </c>
      <c r="D288" s="184" t="s">
        <v>1206</v>
      </c>
      <c r="E288" s="183" t="s">
        <v>739</v>
      </c>
      <c r="F288" s="93">
        <v>5</v>
      </c>
      <c r="G288" s="93"/>
      <c r="H288" s="93"/>
      <c r="I288" s="111"/>
      <c r="J288" s="93"/>
      <c r="K288" s="109"/>
      <c r="L288" s="183" t="s">
        <v>1473</v>
      </c>
    </row>
    <row r="289" spans="1:12" x14ac:dyDescent="0.4">
      <c r="A289" s="183" t="s">
        <v>1361</v>
      </c>
      <c r="B289" s="183" t="s">
        <v>114</v>
      </c>
      <c r="C289" s="183" t="s">
        <v>1205</v>
      </c>
      <c r="D289" s="184" t="s">
        <v>1206</v>
      </c>
      <c r="E289" s="183" t="s">
        <v>743</v>
      </c>
      <c r="F289" s="93">
        <v>15</v>
      </c>
      <c r="G289" s="93"/>
      <c r="H289" s="93"/>
      <c r="I289" s="111"/>
      <c r="J289" s="93"/>
      <c r="K289" s="109"/>
      <c r="L289" s="183" t="s">
        <v>1473</v>
      </c>
    </row>
    <row r="290" spans="1:12" ht="29.15" x14ac:dyDescent="0.4">
      <c r="A290" s="183" t="s">
        <v>1361</v>
      </c>
      <c r="B290" s="183" t="s">
        <v>114</v>
      </c>
      <c r="C290" s="183" t="s">
        <v>1234</v>
      </c>
      <c r="D290" s="184" t="s">
        <v>1235</v>
      </c>
      <c r="E290" s="183" t="s">
        <v>745</v>
      </c>
      <c r="F290" s="93">
        <v>4.2</v>
      </c>
      <c r="G290" s="93"/>
      <c r="H290" s="93"/>
      <c r="I290" s="111"/>
      <c r="J290" s="93"/>
      <c r="K290" s="109"/>
      <c r="L290" s="183" t="s">
        <v>1473</v>
      </c>
    </row>
    <row r="291" spans="1:12" ht="29.15" x14ac:dyDescent="0.4">
      <c r="A291" s="183" t="s">
        <v>1361</v>
      </c>
      <c r="B291" s="183" t="s">
        <v>114</v>
      </c>
      <c r="C291" s="183" t="s">
        <v>1234</v>
      </c>
      <c r="D291" s="184" t="s">
        <v>1235</v>
      </c>
      <c r="E291" s="183" t="s">
        <v>739</v>
      </c>
      <c r="F291" s="93">
        <v>2</v>
      </c>
      <c r="G291" s="93"/>
      <c r="H291" s="93"/>
      <c r="I291" s="111"/>
      <c r="J291" s="93"/>
      <c r="K291" s="109"/>
      <c r="L291" s="183" t="s">
        <v>1473</v>
      </c>
    </row>
    <row r="292" spans="1:12" ht="29.15" x14ac:dyDescent="0.4">
      <c r="A292" s="183" t="s">
        <v>1361</v>
      </c>
      <c r="B292" s="183" t="s">
        <v>114</v>
      </c>
      <c r="C292" s="183" t="s">
        <v>1234</v>
      </c>
      <c r="D292" s="184" t="s">
        <v>1235</v>
      </c>
      <c r="E292" s="183" t="s">
        <v>743</v>
      </c>
      <c r="F292" s="93">
        <v>5</v>
      </c>
      <c r="G292" s="93"/>
      <c r="H292" s="93"/>
      <c r="I292" s="111"/>
      <c r="J292" s="93"/>
      <c r="K292" s="109"/>
      <c r="L292" s="183" t="s">
        <v>1473</v>
      </c>
    </row>
    <row r="293" spans="1:12" ht="29.15" x14ac:dyDescent="0.4">
      <c r="A293" s="183" t="s">
        <v>1361</v>
      </c>
      <c r="B293" s="183" t="s">
        <v>114</v>
      </c>
      <c r="C293" s="183" t="s">
        <v>1238</v>
      </c>
      <c r="D293" s="184" t="s">
        <v>1239</v>
      </c>
      <c r="E293" s="183" t="s">
        <v>745</v>
      </c>
      <c r="F293" s="93">
        <v>9</v>
      </c>
      <c r="G293" s="93"/>
      <c r="H293" s="93"/>
      <c r="I293" s="111"/>
      <c r="J293" s="93"/>
      <c r="K293" s="109"/>
      <c r="L293" s="183" t="s">
        <v>1473</v>
      </c>
    </row>
    <row r="294" spans="1:12" ht="29.15" x14ac:dyDescent="0.4">
      <c r="A294" s="183" t="s">
        <v>1361</v>
      </c>
      <c r="B294" s="183" t="s">
        <v>114</v>
      </c>
      <c r="C294" s="183" t="s">
        <v>1238</v>
      </c>
      <c r="D294" s="184" t="s">
        <v>1239</v>
      </c>
      <c r="E294" s="183" t="s">
        <v>739</v>
      </c>
      <c r="F294" s="93">
        <v>5</v>
      </c>
      <c r="G294" s="93"/>
      <c r="H294" s="93"/>
      <c r="I294" s="111"/>
      <c r="J294" s="93"/>
      <c r="K294" s="109"/>
      <c r="L294" s="183" t="s">
        <v>1473</v>
      </c>
    </row>
    <row r="295" spans="1:12" ht="29.15" x14ac:dyDescent="0.4">
      <c r="A295" s="183" t="s">
        <v>1361</v>
      </c>
      <c r="B295" s="183" t="s">
        <v>114</v>
      </c>
      <c r="C295" s="183" t="s">
        <v>1238</v>
      </c>
      <c r="D295" s="184" t="s">
        <v>1239</v>
      </c>
      <c r="E295" s="183" t="s">
        <v>743</v>
      </c>
      <c r="F295" s="93">
        <v>15</v>
      </c>
      <c r="G295" s="93"/>
      <c r="H295" s="93"/>
      <c r="I295" s="111"/>
      <c r="J295" s="93"/>
      <c r="K295" s="109"/>
      <c r="L295" s="183" t="s">
        <v>1473</v>
      </c>
    </row>
    <row r="296" spans="1:12" ht="29.15" x14ac:dyDescent="0.4">
      <c r="A296" s="183" t="s">
        <v>1361</v>
      </c>
      <c r="B296" s="183" t="s">
        <v>114</v>
      </c>
      <c r="C296" s="183" t="s">
        <v>1242</v>
      </c>
      <c r="D296" s="184" t="s">
        <v>1243</v>
      </c>
      <c r="E296" s="183" t="s">
        <v>745</v>
      </c>
      <c r="F296" s="93">
        <v>1.9</v>
      </c>
      <c r="G296" s="93"/>
      <c r="H296" s="93"/>
      <c r="I296" s="111"/>
      <c r="J296" s="93"/>
      <c r="K296" s="109"/>
      <c r="L296" s="183" t="s">
        <v>1473</v>
      </c>
    </row>
    <row r="297" spans="1:12" ht="29.15" x14ac:dyDescent="0.4">
      <c r="A297" s="183" t="s">
        <v>1361</v>
      </c>
      <c r="B297" s="183" t="s">
        <v>114</v>
      </c>
      <c r="C297" s="183" t="s">
        <v>1242</v>
      </c>
      <c r="D297" s="184" t="s">
        <v>1243</v>
      </c>
      <c r="E297" s="183" t="s">
        <v>739</v>
      </c>
      <c r="F297" s="93"/>
      <c r="G297" s="93"/>
      <c r="H297" s="93"/>
      <c r="I297" s="111"/>
      <c r="J297" s="93"/>
      <c r="K297" s="109"/>
      <c r="L297" s="183" t="s">
        <v>1473</v>
      </c>
    </row>
    <row r="298" spans="1:12" ht="29.15" x14ac:dyDescent="0.4">
      <c r="A298" s="183" t="s">
        <v>1361</v>
      </c>
      <c r="B298" s="183" t="s">
        <v>114</v>
      </c>
      <c r="C298" s="183" t="s">
        <v>1242</v>
      </c>
      <c r="D298" s="184" t="s">
        <v>1243</v>
      </c>
      <c r="E298" s="183" t="s">
        <v>743</v>
      </c>
      <c r="F298" s="93"/>
      <c r="G298" s="93"/>
      <c r="H298" s="93"/>
      <c r="I298" s="111"/>
      <c r="J298" s="93"/>
      <c r="K298" s="109"/>
      <c r="L298" s="183" t="s">
        <v>1473</v>
      </c>
    </row>
    <row r="299" spans="1:12" ht="29.15" x14ac:dyDescent="0.4">
      <c r="A299" s="183" t="s">
        <v>1361</v>
      </c>
      <c r="B299" s="183" t="s">
        <v>114</v>
      </c>
      <c r="C299" s="183" t="s">
        <v>1246</v>
      </c>
      <c r="D299" s="184" t="s">
        <v>1247</v>
      </c>
      <c r="E299" s="183" t="s">
        <v>745</v>
      </c>
      <c r="F299" s="93">
        <v>45</v>
      </c>
      <c r="G299" s="93"/>
      <c r="H299" s="93"/>
      <c r="I299" s="111"/>
      <c r="J299" s="93"/>
      <c r="K299" s="109"/>
      <c r="L299" s="183" t="s">
        <v>1473</v>
      </c>
    </row>
    <row r="300" spans="1:12" ht="29.15" x14ac:dyDescent="0.4">
      <c r="A300" s="183" t="s">
        <v>1361</v>
      </c>
      <c r="B300" s="183" t="s">
        <v>114</v>
      </c>
      <c r="C300" s="183" t="s">
        <v>1246</v>
      </c>
      <c r="D300" s="184" t="s">
        <v>1247</v>
      </c>
      <c r="E300" s="183" t="s">
        <v>739</v>
      </c>
      <c r="F300" s="93">
        <v>20</v>
      </c>
      <c r="G300" s="93"/>
      <c r="H300" s="93"/>
      <c r="I300" s="111"/>
      <c r="J300" s="93"/>
      <c r="K300" s="109"/>
      <c r="L300" s="183" t="s">
        <v>1473</v>
      </c>
    </row>
    <row r="301" spans="1:12" ht="29.15" x14ac:dyDescent="0.4">
      <c r="A301" s="183" t="s">
        <v>1361</v>
      </c>
      <c r="B301" s="183" t="s">
        <v>114</v>
      </c>
      <c r="C301" s="183" t="s">
        <v>1246</v>
      </c>
      <c r="D301" s="184" t="s">
        <v>1247</v>
      </c>
      <c r="E301" s="183" t="s">
        <v>743</v>
      </c>
      <c r="F301" s="93">
        <v>50</v>
      </c>
      <c r="G301" s="93"/>
      <c r="H301" s="93"/>
      <c r="I301" s="111"/>
      <c r="J301" s="93"/>
      <c r="K301" s="109"/>
      <c r="L301" s="183" t="s">
        <v>1473</v>
      </c>
    </row>
    <row r="302" spans="1:12" ht="29.15" x14ac:dyDescent="0.4">
      <c r="A302" s="183" t="s">
        <v>1361</v>
      </c>
      <c r="B302" s="183" t="s">
        <v>114</v>
      </c>
      <c r="C302" s="183" t="s">
        <v>1209</v>
      </c>
      <c r="D302" s="184" t="s">
        <v>1210</v>
      </c>
      <c r="E302" s="183" t="s">
        <v>745</v>
      </c>
      <c r="F302" s="93">
        <v>6</v>
      </c>
      <c r="G302" s="93"/>
      <c r="H302" s="93"/>
      <c r="I302" s="111"/>
      <c r="J302" s="93"/>
      <c r="K302" s="109"/>
      <c r="L302" s="183" t="s">
        <v>1473</v>
      </c>
    </row>
    <row r="303" spans="1:12" ht="29.15" x14ac:dyDescent="0.4">
      <c r="A303" s="183" t="s">
        <v>1361</v>
      </c>
      <c r="B303" s="183" t="s">
        <v>114</v>
      </c>
      <c r="C303" s="183" t="s">
        <v>1209</v>
      </c>
      <c r="D303" s="184" t="s">
        <v>1210</v>
      </c>
      <c r="E303" s="183" t="s">
        <v>739</v>
      </c>
      <c r="F303" s="93">
        <v>3</v>
      </c>
      <c r="G303" s="93"/>
      <c r="H303" s="93"/>
      <c r="I303" s="111"/>
      <c r="J303" s="93"/>
      <c r="K303" s="109"/>
      <c r="L303" s="183" t="s">
        <v>1473</v>
      </c>
    </row>
    <row r="304" spans="1:12" ht="29.15" x14ac:dyDescent="0.4">
      <c r="A304" s="183" t="s">
        <v>1361</v>
      </c>
      <c r="B304" s="183" t="s">
        <v>114</v>
      </c>
      <c r="C304" s="183" t="s">
        <v>1209</v>
      </c>
      <c r="D304" s="184" t="s">
        <v>1210</v>
      </c>
      <c r="E304" s="183" t="s">
        <v>743</v>
      </c>
      <c r="F304" s="93">
        <v>8</v>
      </c>
      <c r="G304" s="93"/>
      <c r="H304" s="93"/>
      <c r="I304" s="111"/>
      <c r="J304" s="93"/>
      <c r="K304" s="109"/>
      <c r="L304" s="183" t="s">
        <v>1473</v>
      </c>
    </row>
    <row r="305" spans="1:12" ht="29.15" x14ac:dyDescent="0.4">
      <c r="A305" s="183" t="s">
        <v>1361</v>
      </c>
      <c r="B305" s="183" t="s">
        <v>114</v>
      </c>
      <c r="C305" s="183" t="s">
        <v>1213</v>
      </c>
      <c r="D305" s="184" t="s">
        <v>1214</v>
      </c>
      <c r="E305" s="183" t="s">
        <v>745</v>
      </c>
      <c r="F305" s="93">
        <v>5</v>
      </c>
      <c r="G305" s="93"/>
      <c r="H305" s="93"/>
      <c r="I305" s="111"/>
      <c r="J305" s="93"/>
      <c r="K305" s="109"/>
      <c r="L305" s="183" t="s">
        <v>1473</v>
      </c>
    </row>
    <row r="306" spans="1:12" ht="29.15" x14ac:dyDescent="0.4">
      <c r="A306" s="183" t="s">
        <v>1361</v>
      </c>
      <c r="B306" s="183" t="s">
        <v>114</v>
      </c>
      <c r="C306" s="183" t="s">
        <v>1213</v>
      </c>
      <c r="D306" s="184" t="s">
        <v>1214</v>
      </c>
      <c r="E306" s="183" t="s">
        <v>739</v>
      </c>
      <c r="F306" s="93">
        <v>2</v>
      </c>
      <c r="G306" s="93"/>
      <c r="H306" s="93"/>
      <c r="I306" s="111"/>
      <c r="J306" s="93"/>
      <c r="K306" s="109"/>
      <c r="L306" s="183" t="s">
        <v>1473</v>
      </c>
    </row>
    <row r="307" spans="1:12" ht="29.15" x14ac:dyDescent="0.4">
      <c r="A307" s="183" t="s">
        <v>1361</v>
      </c>
      <c r="B307" s="183" t="s">
        <v>114</v>
      </c>
      <c r="C307" s="183" t="s">
        <v>1213</v>
      </c>
      <c r="D307" s="184" t="s">
        <v>1214</v>
      </c>
      <c r="E307" s="183" t="s">
        <v>743</v>
      </c>
      <c r="F307" s="93">
        <v>6</v>
      </c>
      <c r="G307" s="93"/>
      <c r="H307" s="93"/>
      <c r="I307" s="111"/>
      <c r="J307" s="93"/>
      <c r="K307" s="109"/>
      <c r="L307" s="183" t="s">
        <v>1473</v>
      </c>
    </row>
    <row r="308" spans="1:12" ht="29.15" x14ac:dyDescent="0.4">
      <c r="A308" s="183" t="s">
        <v>1361</v>
      </c>
      <c r="B308" s="183" t="s">
        <v>114</v>
      </c>
      <c r="C308" s="183" t="s">
        <v>1217</v>
      </c>
      <c r="D308" s="184" t="s">
        <v>1218</v>
      </c>
      <c r="E308" s="183" t="s">
        <v>745</v>
      </c>
      <c r="F308" s="93">
        <v>12</v>
      </c>
      <c r="G308" s="93"/>
      <c r="H308" s="93"/>
      <c r="I308" s="111"/>
      <c r="J308" s="93"/>
      <c r="K308" s="109"/>
      <c r="L308" s="183" t="s">
        <v>1473</v>
      </c>
    </row>
    <row r="309" spans="1:12" ht="29.15" x14ac:dyDescent="0.4">
      <c r="A309" s="183" t="s">
        <v>1361</v>
      </c>
      <c r="B309" s="183" t="s">
        <v>114</v>
      </c>
      <c r="C309" s="183" t="s">
        <v>1217</v>
      </c>
      <c r="D309" s="184" t="s">
        <v>1218</v>
      </c>
      <c r="E309" s="183" t="s">
        <v>739</v>
      </c>
      <c r="F309" s="93">
        <v>10</v>
      </c>
      <c r="G309" s="93"/>
      <c r="H309" s="93"/>
      <c r="I309" s="111"/>
      <c r="J309" s="93"/>
      <c r="K309" s="109"/>
      <c r="L309" s="183" t="s">
        <v>1473</v>
      </c>
    </row>
    <row r="310" spans="1:12" ht="29.15" x14ac:dyDescent="0.4">
      <c r="A310" s="183" t="s">
        <v>1361</v>
      </c>
      <c r="B310" s="183" t="s">
        <v>114</v>
      </c>
      <c r="C310" s="183" t="s">
        <v>1217</v>
      </c>
      <c r="D310" s="184" t="s">
        <v>1218</v>
      </c>
      <c r="E310" s="183" t="s">
        <v>743</v>
      </c>
      <c r="F310" s="93">
        <v>30</v>
      </c>
      <c r="G310" s="93"/>
      <c r="H310" s="93"/>
      <c r="I310" s="111"/>
      <c r="J310" s="93"/>
      <c r="K310" s="109"/>
      <c r="L310" s="183" t="s">
        <v>1473</v>
      </c>
    </row>
    <row r="311" spans="1:12" ht="29.15" x14ac:dyDescent="0.4">
      <c r="A311" s="183" t="s">
        <v>1361</v>
      </c>
      <c r="B311" s="183" t="s">
        <v>114</v>
      </c>
      <c r="C311" s="183" t="s">
        <v>1221</v>
      </c>
      <c r="D311" s="184" t="s">
        <v>1222</v>
      </c>
      <c r="E311" s="183" t="s">
        <v>745</v>
      </c>
      <c r="F311" s="93">
        <v>4.5</v>
      </c>
      <c r="G311" s="93"/>
      <c r="H311" s="93"/>
      <c r="I311" s="111"/>
      <c r="J311" s="93"/>
      <c r="K311" s="109"/>
      <c r="L311" s="183" t="s">
        <v>1473</v>
      </c>
    </row>
    <row r="312" spans="1:12" ht="29.15" x14ac:dyDescent="0.4">
      <c r="A312" s="183" t="s">
        <v>1361</v>
      </c>
      <c r="B312" s="183" t="s">
        <v>114</v>
      </c>
      <c r="C312" s="183" t="s">
        <v>1221</v>
      </c>
      <c r="D312" s="184" t="s">
        <v>1222</v>
      </c>
      <c r="E312" s="183" t="s">
        <v>739</v>
      </c>
      <c r="F312" s="93">
        <v>4</v>
      </c>
      <c r="G312" s="93"/>
      <c r="H312" s="93"/>
      <c r="I312" s="111"/>
      <c r="J312" s="93"/>
      <c r="K312" s="109"/>
      <c r="L312" s="183" t="s">
        <v>1473</v>
      </c>
    </row>
    <row r="313" spans="1:12" ht="29.15" x14ac:dyDescent="0.4">
      <c r="A313" s="183" t="s">
        <v>1361</v>
      </c>
      <c r="B313" s="183" t="s">
        <v>114</v>
      </c>
      <c r="C313" s="183" t="s">
        <v>1221</v>
      </c>
      <c r="D313" s="184" t="s">
        <v>1222</v>
      </c>
      <c r="E313" s="183" t="s">
        <v>743</v>
      </c>
      <c r="F313" s="93">
        <v>12</v>
      </c>
      <c r="G313" s="93"/>
      <c r="H313" s="93"/>
      <c r="I313" s="111"/>
      <c r="J313" s="93"/>
      <c r="K313" s="109"/>
      <c r="L313" s="183" t="s">
        <v>1473</v>
      </c>
    </row>
    <row r="314" spans="1:12" ht="29.15" x14ac:dyDescent="0.4">
      <c r="A314" s="183" t="s">
        <v>1361</v>
      </c>
      <c r="B314" s="183" t="s">
        <v>114</v>
      </c>
      <c r="C314" s="183" t="s">
        <v>1394</v>
      </c>
      <c r="D314" s="184" t="s">
        <v>1395</v>
      </c>
      <c r="E314" s="183" t="s">
        <v>745</v>
      </c>
      <c r="F314" s="93"/>
      <c r="G314" s="93"/>
      <c r="H314" s="93"/>
      <c r="I314" s="111"/>
      <c r="J314" s="93"/>
      <c r="K314" s="109"/>
      <c r="L314" s="183" t="s">
        <v>1473</v>
      </c>
    </row>
    <row r="315" spans="1:12" ht="29.15" x14ac:dyDescent="0.4">
      <c r="A315" s="183" t="s">
        <v>1361</v>
      </c>
      <c r="B315" s="183" t="s">
        <v>114</v>
      </c>
      <c r="C315" s="183" t="s">
        <v>1394</v>
      </c>
      <c r="D315" s="184" t="s">
        <v>1395</v>
      </c>
      <c r="E315" s="183" t="s">
        <v>739</v>
      </c>
      <c r="F315" s="93">
        <v>1</v>
      </c>
      <c r="G315" s="93"/>
      <c r="H315" s="93"/>
      <c r="I315" s="111"/>
      <c r="J315" s="93"/>
      <c r="K315" s="109"/>
      <c r="L315" s="183" t="s">
        <v>1473</v>
      </c>
    </row>
    <row r="316" spans="1:12" ht="29.15" x14ac:dyDescent="0.4">
      <c r="A316" s="183" t="s">
        <v>1361</v>
      </c>
      <c r="B316" s="183" t="s">
        <v>114</v>
      </c>
      <c r="C316" s="183" t="s">
        <v>1394</v>
      </c>
      <c r="D316" s="184" t="s">
        <v>1395</v>
      </c>
      <c r="E316" s="183" t="s">
        <v>743</v>
      </c>
      <c r="F316" s="93">
        <v>3</v>
      </c>
      <c r="G316" s="93"/>
      <c r="H316" s="93"/>
      <c r="I316" s="111"/>
      <c r="J316" s="93"/>
      <c r="K316" s="109"/>
      <c r="L316" s="183" t="s">
        <v>1473</v>
      </c>
    </row>
    <row r="317" spans="1:12" ht="29.15" x14ac:dyDescent="0.4">
      <c r="A317" s="183" t="s">
        <v>1361</v>
      </c>
      <c r="B317" s="183" t="s">
        <v>460</v>
      </c>
      <c r="C317" s="183" t="s">
        <v>1423</v>
      </c>
      <c r="D317" s="184" t="s">
        <v>1424</v>
      </c>
      <c r="E317" s="183" t="s">
        <v>169</v>
      </c>
      <c r="F317" s="183" t="s">
        <v>511</v>
      </c>
      <c r="G317" s="93"/>
      <c r="H317" s="93"/>
      <c r="I317" s="111"/>
      <c r="J317" s="93"/>
      <c r="K317" s="109"/>
      <c r="L317" s="183" t="s">
        <v>1473</v>
      </c>
    </row>
    <row r="318" spans="1:12" ht="29.15" x14ac:dyDescent="0.4">
      <c r="A318" s="183" t="s">
        <v>1361</v>
      </c>
      <c r="B318" s="183" t="s">
        <v>460</v>
      </c>
      <c r="C318" s="183" t="s">
        <v>1423</v>
      </c>
      <c r="D318" s="184" t="s">
        <v>1424</v>
      </c>
      <c r="E318" s="183" t="s">
        <v>461</v>
      </c>
      <c r="F318" s="183" t="s">
        <v>1105</v>
      </c>
      <c r="G318" s="93"/>
      <c r="H318" s="93"/>
      <c r="I318" s="111"/>
      <c r="J318" s="93"/>
      <c r="K318" s="109"/>
      <c r="L318" s="183" t="s">
        <v>1473</v>
      </c>
    </row>
    <row r="319" spans="1:12" ht="29.15" x14ac:dyDescent="0.4">
      <c r="A319" s="183" t="s">
        <v>1361</v>
      </c>
      <c r="B319" s="183" t="s">
        <v>460</v>
      </c>
      <c r="C319" s="183" t="s">
        <v>1427</v>
      </c>
      <c r="D319" s="184" t="s">
        <v>1428</v>
      </c>
      <c r="E319" s="183" t="s">
        <v>169</v>
      </c>
      <c r="F319" s="183" t="s">
        <v>1429</v>
      </c>
      <c r="G319" s="93"/>
      <c r="H319" s="93"/>
      <c r="I319" s="111"/>
      <c r="J319" s="93"/>
      <c r="K319" s="109"/>
      <c r="L319" s="183" t="s">
        <v>1473</v>
      </c>
    </row>
    <row r="320" spans="1:12" ht="29.15" x14ac:dyDescent="0.4">
      <c r="A320" s="183" t="s">
        <v>1361</v>
      </c>
      <c r="B320" s="183" t="s">
        <v>460</v>
      </c>
      <c r="C320" s="183" t="s">
        <v>1427</v>
      </c>
      <c r="D320" s="184" t="s">
        <v>1428</v>
      </c>
      <c r="E320" s="183" t="s">
        <v>461</v>
      </c>
      <c r="F320" s="183" t="s">
        <v>708</v>
      </c>
      <c r="G320" s="93"/>
      <c r="H320" s="93"/>
      <c r="I320" s="111"/>
      <c r="J320" s="93"/>
      <c r="K320" s="109"/>
      <c r="L320" s="183" t="s">
        <v>1473</v>
      </c>
    </row>
    <row r="321" spans="1:12" ht="29.15" x14ac:dyDescent="0.4">
      <c r="A321" s="183" t="s">
        <v>1361</v>
      </c>
      <c r="B321" s="183" t="s">
        <v>460</v>
      </c>
      <c r="C321" s="183" t="s">
        <v>1431</v>
      </c>
      <c r="D321" s="184" t="s">
        <v>1432</v>
      </c>
      <c r="E321" s="183" t="s">
        <v>169</v>
      </c>
      <c r="F321" s="183" t="s">
        <v>517</v>
      </c>
      <c r="G321" s="93"/>
      <c r="H321" s="93"/>
      <c r="I321" s="111"/>
      <c r="J321" s="93"/>
      <c r="K321" s="109"/>
      <c r="L321" s="183" t="s">
        <v>1473</v>
      </c>
    </row>
    <row r="322" spans="1:12" ht="29.15" x14ac:dyDescent="0.4">
      <c r="A322" s="183" t="s">
        <v>1361</v>
      </c>
      <c r="B322" s="183" t="s">
        <v>460</v>
      </c>
      <c r="C322" s="183" t="s">
        <v>1431</v>
      </c>
      <c r="D322" s="184" t="s">
        <v>1432</v>
      </c>
      <c r="E322" s="183" t="s">
        <v>461</v>
      </c>
      <c r="F322" s="183" t="s">
        <v>1105</v>
      </c>
      <c r="G322" s="93"/>
      <c r="H322" s="93"/>
      <c r="I322" s="111"/>
      <c r="J322" s="93"/>
      <c r="K322" s="109"/>
      <c r="L322" s="183" t="s">
        <v>1473</v>
      </c>
    </row>
    <row r="323" spans="1:12" ht="29.15" x14ac:dyDescent="0.4">
      <c r="A323" s="183" t="s">
        <v>1361</v>
      </c>
      <c r="B323" s="183" t="s">
        <v>460</v>
      </c>
      <c r="C323" s="183" t="s">
        <v>1434</v>
      </c>
      <c r="D323" s="184" t="s">
        <v>1435</v>
      </c>
      <c r="E323" s="183" t="s">
        <v>169</v>
      </c>
      <c r="F323" s="183" t="s">
        <v>1436</v>
      </c>
      <c r="G323" s="93"/>
      <c r="H323" s="93"/>
      <c r="I323" s="111"/>
      <c r="J323" s="93"/>
      <c r="K323" s="109"/>
      <c r="L323" s="183" t="s">
        <v>1473</v>
      </c>
    </row>
    <row r="324" spans="1:12" ht="29.15" x14ac:dyDescent="0.4">
      <c r="A324" s="183" t="s">
        <v>1361</v>
      </c>
      <c r="B324" s="183" t="s">
        <v>460</v>
      </c>
      <c r="C324" s="183" t="s">
        <v>1434</v>
      </c>
      <c r="D324" s="184" t="s">
        <v>1435</v>
      </c>
      <c r="E324" s="183" t="s">
        <v>461</v>
      </c>
      <c r="F324" s="183" t="s">
        <v>1095</v>
      </c>
      <c r="G324" s="93"/>
      <c r="H324" s="93"/>
      <c r="I324" s="111"/>
      <c r="J324" s="93"/>
      <c r="K324" s="109"/>
      <c r="L324" s="183" t="s">
        <v>1473</v>
      </c>
    </row>
    <row r="325" spans="1:12" ht="29.15" x14ac:dyDescent="0.4">
      <c r="A325" s="183" t="s">
        <v>1361</v>
      </c>
      <c r="B325" s="183" t="s">
        <v>460</v>
      </c>
      <c r="C325" s="183" t="s">
        <v>1438</v>
      </c>
      <c r="D325" s="184" t="s">
        <v>1439</v>
      </c>
      <c r="E325" s="183" t="s">
        <v>169</v>
      </c>
      <c r="F325" s="183" t="s">
        <v>523</v>
      </c>
      <c r="G325" s="93"/>
      <c r="H325" s="93"/>
      <c r="I325" s="111"/>
      <c r="J325" s="93"/>
      <c r="K325" s="109"/>
      <c r="L325" s="183" t="s">
        <v>1473</v>
      </c>
    </row>
    <row r="326" spans="1:12" ht="29.15" x14ac:dyDescent="0.4">
      <c r="A326" s="183" t="s">
        <v>1361</v>
      </c>
      <c r="B326" s="183" t="s">
        <v>460</v>
      </c>
      <c r="C326" s="183" t="s">
        <v>1438</v>
      </c>
      <c r="D326" s="184" t="s">
        <v>1439</v>
      </c>
      <c r="E326" s="183" t="s">
        <v>461</v>
      </c>
      <c r="F326" s="183" t="s">
        <v>1105</v>
      </c>
      <c r="G326" s="93"/>
      <c r="H326" s="93"/>
      <c r="I326" s="111"/>
      <c r="J326" s="93"/>
      <c r="K326" s="109"/>
      <c r="L326" s="183" t="s">
        <v>1473</v>
      </c>
    </row>
    <row r="327" spans="1:12" ht="43.75" x14ac:dyDescent="0.4">
      <c r="A327" s="183" t="s">
        <v>1361</v>
      </c>
      <c r="B327" s="183" t="s">
        <v>460</v>
      </c>
      <c r="C327" s="183" t="s">
        <v>1441</v>
      </c>
      <c r="D327" s="184" t="s">
        <v>1442</v>
      </c>
      <c r="E327" s="183" t="s">
        <v>169</v>
      </c>
      <c r="F327" s="183" t="s">
        <v>529</v>
      </c>
      <c r="G327" s="93"/>
      <c r="H327" s="93"/>
      <c r="I327" s="111"/>
      <c r="J327" s="93"/>
      <c r="K327" s="109"/>
      <c r="L327" s="183" t="s">
        <v>1473</v>
      </c>
    </row>
    <row r="328" spans="1:12" ht="43.75" x14ac:dyDescent="0.4">
      <c r="A328" s="183" t="s">
        <v>1361</v>
      </c>
      <c r="B328" s="183" t="s">
        <v>460</v>
      </c>
      <c r="C328" s="183" t="s">
        <v>1441</v>
      </c>
      <c r="D328" s="184" t="s">
        <v>1442</v>
      </c>
      <c r="E328" s="183" t="s">
        <v>461</v>
      </c>
      <c r="F328" s="183" t="s">
        <v>708</v>
      </c>
      <c r="G328" s="93"/>
      <c r="H328" s="93"/>
      <c r="I328" s="111"/>
      <c r="J328" s="93"/>
      <c r="K328" s="109"/>
      <c r="L328" s="183" t="s">
        <v>1473</v>
      </c>
    </row>
    <row r="329" spans="1:12" ht="29.15" x14ac:dyDescent="0.4">
      <c r="A329" s="183" t="s">
        <v>1361</v>
      </c>
      <c r="B329" s="183" t="s">
        <v>460</v>
      </c>
      <c r="C329" s="183" t="s">
        <v>1444</v>
      </c>
      <c r="D329" s="184" t="s">
        <v>1104</v>
      </c>
      <c r="E329" s="183" t="s">
        <v>169</v>
      </c>
      <c r="F329" s="183" t="s">
        <v>533</v>
      </c>
      <c r="G329" s="93"/>
      <c r="H329" s="93"/>
      <c r="I329" s="111"/>
      <c r="J329" s="93"/>
      <c r="K329" s="109"/>
      <c r="L329" s="183" t="s">
        <v>1473</v>
      </c>
    </row>
    <row r="330" spans="1:12" ht="29.15" x14ac:dyDescent="0.4">
      <c r="A330" s="183" t="s">
        <v>1361</v>
      </c>
      <c r="B330" s="183" t="s">
        <v>460</v>
      </c>
      <c r="C330" s="183" t="s">
        <v>1444</v>
      </c>
      <c r="D330" s="184" t="s">
        <v>1104</v>
      </c>
      <c r="E330" s="183" t="s">
        <v>461</v>
      </c>
      <c r="F330" s="183" t="s">
        <v>1105</v>
      </c>
      <c r="G330" s="93"/>
      <c r="H330" s="93"/>
      <c r="I330" s="111"/>
      <c r="J330" s="93"/>
      <c r="K330" s="109"/>
      <c r="L330" s="183" t="s">
        <v>1473</v>
      </c>
    </row>
    <row r="331" spans="1:12" ht="29.15" x14ac:dyDescent="0.4">
      <c r="A331" s="183" t="s">
        <v>1361</v>
      </c>
      <c r="B331" s="183" t="s">
        <v>460</v>
      </c>
      <c r="C331" s="183" t="s">
        <v>1446</v>
      </c>
      <c r="D331" s="184" t="s">
        <v>1447</v>
      </c>
      <c r="E331" s="183" t="s">
        <v>169</v>
      </c>
      <c r="F331" s="183" t="s">
        <v>1448</v>
      </c>
      <c r="G331" s="93"/>
      <c r="H331" s="93"/>
      <c r="I331" s="111"/>
      <c r="J331" s="93"/>
      <c r="K331" s="109"/>
      <c r="L331" s="183" t="s">
        <v>1473</v>
      </c>
    </row>
    <row r="332" spans="1:12" ht="29.15" x14ac:dyDescent="0.4">
      <c r="A332" s="183" t="s">
        <v>1361</v>
      </c>
      <c r="B332" s="183" t="s">
        <v>460</v>
      </c>
      <c r="C332" s="183" t="s">
        <v>1446</v>
      </c>
      <c r="D332" s="184" t="s">
        <v>1447</v>
      </c>
      <c r="E332" s="183" t="s">
        <v>461</v>
      </c>
      <c r="F332" s="183" t="s">
        <v>708</v>
      </c>
      <c r="G332" s="93"/>
      <c r="H332" s="93"/>
      <c r="I332" s="111"/>
      <c r="J332" s="93"/>
      <c r="K332" s="109"/>
      <c r="L332" s="183" t="s">
        <v>1473</v>
      </c>
    </row>
    <row r="333" spans="1:12" ht="29.15" x14ac:dyDescent="0.4">
      <c r="A333" s="183" t="s">
        <v>1361</v>
      </c>
      <c r="B333" s="183" t="s">
        <v>460</v>
      </c>
      <c r="C333" s="183" t="s">
        <v>1450</v>
      </c>
      <c r="D333" s="184" t="s">
        <v>1451</v>
      </c>
      <c r="E333" s="183" t="s">
        <v>169</v>
      </c>
      <c r="F333" s="183" t="s">
        <v>538</v>
      </c>
      <c r="G333" s="93"/>
      <c r="H333" s="93"/>
      <c r="I333" s="111"/>
      <c r="J333" s="93"/>
      <c r="K333" s="109"/>
      <c r="L333" s="183" t="s">
        <v>1473</v>
      </c>
    </row>
    <row r="334" spans="1:12" ht="29.15" x14ac:dyDescent="0.4">
      <c r="A334" s="183" t="s">
        <v>1361</v>
      </c>
      <c r="B334" s="183" t="s">
        <v>460</v>
      </c>
      <c r="C334" s="183" t="s">
        <v>1450</v>
      </c>
      <c r="D334" s="184" t="s">
        <v>1451</v>
      </c>
      <c r="E334" s="183" t="s">
        <v>461</v>
      </c>
      <c r="F334" s="183" t="s">
        <v>708</v>
      </c>
      <c r="G334" s="93"/>
      <c r="H334" s="93"/>
      <c r="I334" s="111"/>
      <c r="J334" s="93"/>
      <c r="K334" s="109"/>
      <c r="L334" s="183" t="s">
        <v>1473</v>
      </c>
    </row>
    <row r="335" spans="1:12" ht="43.75" x14ac:dyDescent="0.4">
      <c r="A335" s="183" t="s">
        <v>1361</v>
      </c>
      <c r="B335" s="183" t="s">
        <v>460</v>
      </c>
      <c r="C335" s="183" t="s">
        <v>1453</v>
      </c>
      <c r="D335" s="184" t="s">
        <v>1454</v>
      </c>
      <c r="E335" s="183" t="s">
        <v>169</v>
      </c>
      <c r="F335" s="183" t="s">
        <v>517</v>
      </c>
      <c r="G335" s="93"/>
      <c r="H335" s="93"/>
      <c r="I335" s="111"/>
      <c r="J335" s="93"/>
      <c r="K335" s="109"/>
      <c r="L335" s="183" t="s">
        <v>1473</v>
      </c>
    </row>
    <row r="336" spans="1:12" ht="43.75" x14ac:dyDescent="0.4">
      <c r="A336" s="183" t="s">
        <v>1361</v>
      </c>
      <c r="B336" s="183" t="s">
        <v>460</v>
      </c>
      <c r="C336" s="183" t="s">
        <v>1453</v>
      </c>
      <c r="D336" s="184" t="s">
        <v>1454</v>
      </c>
      <c r="E336" s="183" t="s">
        <v>461</v>
      </c>
      <c r="F336" s="183" t="s">
        <v>708</v>
      </c>
      <c r="G336" s="93"/>
      <c r="H336" s="93"/>
      <c r="I336" s="111"/>
      <c r="J336" s="93"/>
      <c r="K336" s="109"/>
      <c r="L336" s="183" t="s">
        <v>1473</v>
      </c>
    </row>
    <row r="337" spans="1:12" ht="43.75" x14ac:dyDescent="0.4">
      <c r="A337" s="183" t="s">
        <v>1361</v>
      </c>
      <c r="B337" s="183" t="s">
        <v>460</v>
      </c>
      <c r="C337" s="183" t="s">
        <v>1456</v>
      </c>
      <c r="D337" s="184" t="s">
        <v>1457</v>
      </c>
      <c r="E337" s="183" t="s">
        <v>169</v>
      </c>
      <c r="F337" s="183" t="s">
        <v>538</v>
      </c>
      <c r="G337" s="93"/>
      <c r="H337" s="93"/>
      <c r="I337" s="111"/>
      <c r="J337" s="93"/>
      <c r="K337" s="109"/>
      <c r="L337" s="183" t="s">
        <v>1473</v>
      </c>
    </row>
    <row r="338" spans="1:12" ht="43.75" x14ac:dyDescent="0.4">
      <c r="A338" s="183" t="s">
        <v>1361</v>
      </c>
      <c r="B338" s="183" t="s">
        <v>460</v>
      </c>
      <c r="C338" s="183" t="s">
        <v>1456</v>
      </c>
      <c r="D338" s="184" t="s">
        <v>1457</v>
      </c>
      <c r="E338" s="183" t="s">
        <v>461</v>
      </c>
      <c r="F338" s="183" t="s">
        <v>1105</v>
      </c>
      <c r="G338" s="93"/>
      <c r="H338" s="93"/>
      <c r="I338" s="111"/>
      <c r="J338" s="93"/>
      <c r="K338" s="109"/>
      <c r="L338" s="183" t="s">
        <v>1473</v>
      </c>
    </row>
    <row r="339" spans="1:12" ht="29.15" x14ac:dyDescent="0.4">
      <c r="A339" s="183" t="s">
        <v>1361</v>
      </c>
      <c r="B339" s="183" t="s">
        <v>460</v>
      </c>
      <c r="C339" s="183" t="s">
        <v>1459</v>
      </c>
      <c r="D339" s="184" t="s">
        <v>1460</v>
      </c>
      <c r="E339" s="183" t="s">
        <v>169</v>
      </c>
      <c r="F339" s="183" t="s">
        <v>523</v>
      </c>
      <c r="G339" s="93"/>
      <c r="H339" s="93"/>
      <c r="I339" s="111"/>
      <c r="J339" s="93"/>
      <c r="K339" s="109"/>
      <c r="L339" s="183" t="s">
        <v>1473</v>
      </c>
    </row>
    <row r="340" spans="1:12" ht="29.15" x14ac:dyDescent="0.4">
      <c r="A340" s="183" t="s">
        <v>1361</v>
      </c>
      <c r="B340" s="183" t="s">
        <v>460</v>
      </c>
      <c r="C340" s="183" t="s">
        <v>1459</v>
      </c>
      <c r="D340" s="184" t="s">
        <v>1460</v>
      </c>
      <c r="E340" s="183" t="s">
        <v>461</v>
      </c>
      <c r="F340" s="183" t="s">
        <v>1095</v>
      </c>
      <c r="G340" s="93"/>
      <c r="H340" s="93"/>
      <c r="I340" s="111"/>
      <c r="J340" s="93"/>
      <c r="K340" s="109"/>
      <c r="L340" s="183" t="s">
        <v>1473</v>
      </c>
    </row>
    <row r="341" spans="1:12" ht="43.75" x14ac:dyDescent="0.4">
      <c r="A341" s="183" t="s">
        <v>1361</v>
      </c>
      <c r="B341" s="183" t="s">
        <v>460</v>
      </c>
      <c r="C341" s="183" t="s">
        <v>1462</v>
      </c>
      <c r="D341" s="184" t="s">
        <v>1463</v>
      </c>
      <c r="E341" s="183" t="s">
        <v>169</v>
      </c>
      <c r="F341" s="183" t="s">
        <v>558</v>
      </c>
      <c r="G341" s="93"/>
      <c r="H341" s="93"/>
      <c r="I341" s="111"/>
      <c r="J341" s="93"/>
      <c r="K341" s="109"/>
      <c r="L341" s="183" t="s">
        <v>1473</v>
      </c>
    </row>
    <row r="342" spans="1:12" ht="43.75" x14ac:dyDescent="0.4">
      <c r="A342" s="183" t="s">
        <v>1361</v>
      </c>
      <c r="B342" s="183" t="s">
        <v>460</v>
      </c>
      <c r="C342" s="183" t="s">
        <v>1462</v>
      </c>
      <c r="D342" s="184" t="s">
        <v>1463</v>
      </c>
      <c r="E342" s="183" t="s">
        <v>461</v>
      </c>
      <c r="F342" s="183" t="s">
        <v>1105</v>
      </c>
      <c r="G342" s="93"/>
      <c r="H342" s="93"/>
      <c r="I342" s="111"/>
      <c r="J342" s="93"/>
      <c r="K342" s="109"/>
      <c r="L342" s="183" t="s">
        <v>1473</v>
      </c>
    </row>
    <row r="343" spans="1:12" ht="43.75" x14ac:dyDescent="0.4">
      <c r="A343" s="183" t="s">
        <v>1361</v>
      </c>
      <c r="B343" s="183" t="s">
        <v>460</v>
      </c>
      <c r="C343" s="183" t="s">
        <v>1465</v>
      </c>
      <c r="D343" s="184" t="s">
        <v>1466</v>
      </c>
      <c r="E343" s="183" t="s">
        <v>169</v>
      </c>
      <c r="F343" s="183" t="s">
        <v>564</v>
      </c>
      <c r="G343" s="93"/>
      <c r="H343" s="93"/>
      <c r="I343" s="111"/>
      <c r="J343" s="93"/>
      <c r="K343" s="109"/>
      <c r="L343" s="183" t="s">
        <v>1473</v>
      </c>
    </row>
    <row r="344" spans="1:12" ht="43.75" x14ac:dyDescent="0.4">
      <c r="A344" s="183" t="s">
        <v>1361</v>
      </c>
      <c r="B344" s="183" t="s">
        <v>460</v>
      </c>
      <c r="C344" s="183" t="s">
        <v>1465</v>
      </c>
      <c r="D344" s="184" t="s">
        <v>1466</v>
      </c>
      <c r="E344" s="183" t="s">
        <v>461</v>
      </c>
      <c r="F344" s="183" t="s">
        <v>1095</v>
      </c>
      <c r="G344" s="93"/>
      <c r="H344" s="93"/>
      <c r="I344" s="111"/>
      <c r="J344" s="93"/>
      <c r="K344" s="109"/>
      <c r="L344" s="183" t="s">
        <v>1473</v>
      </c>
    </row>
    <row r="345" spans="1:12" ht="43.75" x14ac:dyDescent="0.4">
      <c r="A345" s="183" t="s">
        <v>1361</v>
      </c>
      <c r="B345" s="183" t="s">
        <v>460</v>
      </c>
      <c r="C345" s="183" t="s">
        <v>1468</v>
      </c>
      <c r="D345" s="184" t="s">
        <v>1469</v>
      </c>
      <c r="E345" s="183" t="s">
        <v>169</v>
      </c>
      <c r="F345" s="183" t="s">
        <v>533</v>
      </c>
      <c r="G345" s="93"/>
      <c r="H345" s="93"/>
      <c r="I345" s="111"/>
      <c r="J345" s="93"/>
      <c r="K345" s="109"/>
      <c r="L345" s="183" t="s">
        <v>1473</v>
      </c>
    </row>
    <row r="346" spans="1:12" ht="43.75" x14ac:dyDescent="0.4">
      <c r="A346" s="183" t="s">
        <v>1361</v>
      </c>
      <c r="B346" s="183" t="s">
        <v>460</v>
      </c>
      <c r="C346" s="183" t="s">
        <v>1468</v>
      </c>
      <c r="D346" s="184" t="s">
        <v>1469</v>
      </c>
      <c r="E346" s="183" t="s">
        <v>461</v>
      </c>
      <c r="F346" s="183" t="s">
        <v>1105</v>
      </c>
      <c r="G346" s="93"/>
      <c r="H346" s="93"/>
      <c r="I346" s="111"/>
      <c r="J346" s="93"/>
      <c r="K346" s="109"/>
      <c r="L346" s="183" t="s">
        <v>1473</v>
      </c>
    </row>
  </sheetData>
  <mergeCells count="4">
    <mergeCell ref="A3:F3"/>
    <mergeCell ref="G3:L3"/>
    <mergeCell ref="A2:I2"/>
    <mergeCell ref="A1:L1"/>
  </mergeCells>
  <conditionalFormatting sqref="G6:G20165">
    <cfRule type="expression" dxfId="2" priority="2">
      <formula>G6="Rettificato"</formula>
    </cfRule>
    <cfRule type="expression" dxfId="1" priority="3">
      <formula>G6="Respinto"</formula>
    </cfRule>
  </conditionalFormatting>
  <conditionalFormatting sqref="L6:L20165">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22</vt:i4>
      </vt:variant>
      <vt:variant>
        <vt:lpstr>Intervalli denominati</vt:lpstr>
      </vt:variant>
      <vt:variant>
        <vt:i4>238</vt:i4>
      </vt:variant>
    </vt:vector>
  </HeadingPairs>
  <TitlesOfParts>
    <vt:vector size="260" baseType="lpstr">
      <vt:lpstr>Guida</vt:lpstr>
      <vt:lpstr>Quadro</vt:lpstr>
      <vt:lpstr>Classifica</vt:lpstr>
      <vt:lpstr>Radar_Mosca</vt:lpstr>
      <vt:lpstr>Matrice</vt:lpstr>
      <vt:lpstr>Delta</vt:lpstr>
      <vt:lpstr>Metodologia</vt:lpstr>
      <vt:lpstr>Registro</vt:lpstr>
      <vt:lpstr>Storico</vt:lpstr>
      <vt:lpstr>Indicatori</vt:lpstr>
      <vt:lpstr>Notizie</vt:lpstr>
      <vt:lpstr>Piano_azioni</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cicliTrend</vt:lpstr>
      <vt:lpstr>cicloCorrente</vt:lpstr>
      <vt:lpstr>cicloMeno2</vt:lpstr>
      <vt:lpstr>cicloPrecedente</vt:lpstr>
      <vt:lpstr>codiciL1</vt:lpstr>
      <vt:lpstr>coperturaAnagrafica</vt:lpstr>
      <vt:lpstr>coperturaValutati</vt:lpstr>
      <vt:lpstr>decisioniDaPrendere</vt:lpstr>
      <vt:lpstr>deltaMotivi</vt:lpstr>
      <vt:lpstr>etichettaCiclo</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NW_Codice_Fonte</vt:lpstr>
      <vt:lpstr>NW_Data</vt:lpstr>
      <vt:lpstr>NW_Fonte</vt:lpstr>
      <vt:lpstr>NW_ID_Notizia</vt:lpstr>
      <vt:lpstr>NW_Imp_L1_01</vt:lpstr>
      <vt:lpstr>NW_Imp_L1_02</vt:lpstr>
      <vt:lpstr>NW_Imp_L1_03</vt:lpstr>
      <vt:lpstr>NW_Imp_L1_04</vt:lpstr>
      <vt:lpstr>NW_Imp_L1_05</vt:lpstr>
      <vt:lpstr>NW_Imp_L1_06</vt:lpstr>
      <vt:lpstr>NW_Imp_L1_07</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RR_Descrizione</vt:lpstr>
      <vt:lpstr>RR_Driver</vt:lpstr>
      <vt:lpstr>RR_Esito</vt:lpstr>
      <vt:lpstr>RR_Event_Type</vt:lpstr>
      <vt:lpstr>RR_Fonti</vt:lpstr>
      <vt:lpstr>RR_ID_Rischio</vt:lpstr>
      <vt:lpstr>RR_Impatto</vt:lpstr>
      <vt:lpstr>RR_Nome</vt:lpstr>
      <vt:lpstr>RR_Owner</vt:lpstr>
      <vt:lpstr>RR_Probabilita</vt:lpstr>
      <vt:lpstr>RR_Prossimita</vt:lpstr>
      <vt:lpstr>RR_Razionale</vt:lpstr>
      <vt:lpstr>RR_Rilievi</vt:lpstr>
      <vt:lpstr>RR_Score_Composito</vt:lpstr>
      <vt:lpstr>RR_Validazione</vt:lpstr>
      <vt:lpstr>RR_Variazioni</vt:lpstr>
      <vt:lpstr>RR_Velocity</vt:lpstr>
      <vt:lpstr>SE_Data_Scrittura</vt:lpstr>
      <vt:lpstr>SE_Flag_Proposti</vt:lpstr>
      <vt:lpstr>SE_Notizie</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sogliaDelta</vt:lpstr>
      <vt:lpstr>sogliaDirezione</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2026-10-07T06:15:44Z</dcterms:created>
  <dcterms:modified xsi:type="dcterms:W3CDTF">2026-10-07T07:03:03Z</dcterms:modified>
</cp:coreProperties>
</file>