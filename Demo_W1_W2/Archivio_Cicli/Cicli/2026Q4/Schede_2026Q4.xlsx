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NFR-01" sheetId="2" state="visible" r:id="rId2"/>
    <sheet xmlns:r="http://schemas.openxmlformats.org/officeDocument/2006/relationships" name="NFR-07" sheetId="3" state="visible" r:id="rId3"/>
    <sheet xmlns:r="http://schemas.openxmlformats.org/officeDocument/2006/relationships" name="NFR-12" sheetId="4" state="visible" r:id="rId4"/>
    <sheet xmlns:r="http://schemas.openxmlformats.org/officeDocument/2006/relationships" name="NFR-02" sheetId="5" state="visible" r:id="rId5"/>
    <sheet xmlns:r="http://schemas.openxmlformats.org/officeDocument/2006/relationships" name="NFR-03" sheetId="6" state="visible" r:id="rId6"/>
    <sheet xmlns:r="http://schemas.openxmlformats.org/officeDocument/2006/relationships" name="NFR-05" sheetId="7" state="visible" r:id="rId7"/>
    <sheet xmlns:r="http://schemas.openxmlformats.org/officeDocument/2006/relationships" name="NFR-06" sheetId="8" state="visible" r:id="rId8"/>
    <sheet xmlns:r="http://schemas.openxmlformats.org/officeDocument/2006/relationships" name="NFR-10" sheetId="9" state="visible" r:id="rId9"/>
    <sheet xmlns:r="http://schemas.openxmlformats.org/officeDocument/2006/relationships" name="NFR-13" sheetId="10" state="visible" r:id="rId10"/>
    <sheet xmlns:r="http://schemas.openxmlformats.org/officeDocument/2006/relationships" name="NFR-09" sheetId="11" state="visible" r:id="rId11"/>
    <sheet xmlns:r="http://schemas.openxmlformats.org/officeDocument/2006/relationships" name="NFR-04" sheetId="12" state="visible" r:id="rId12"/>
    <sheet xmlns:r="http://schemas.openxmlformats.org/officeDocument/2006/relationships" name="NFR-11" sheetId="13" state="visible" r:id="rId13"/>
    <sheet xmlns:r="http://schemas.openxmlformats.org/officeDocument/2006/relationships" name="NFR-08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b val="1"/>
      <color rgb="00FFFFFF"/>
      <sz val="13"/>
    </font>
    <font>
      <color rgb="00262626"/>
      <sz val="9.5"/>
    </font>
    <font>
      <b val="1"/>
      <color rgb="00FFFFFF"/>
    </font>
    <font>
      <b val="1"/>
      <color rgb="001F3864"/>
    </font>
    <font>
      <b val="1"/>
      <color rgb="002E75B6"/>
      <u val="single"/>
    </font>
    <font>
      <b val="1"/>
    </font>
    <font>
      <b val="1"/>
      <color rgb="00FFFFFF"/>
      <sz val="9"/>
    </font>
    <font>
      <sz val="9"/>
    </font>
    <font>
      <b val="1"/>
      <color rgb="00262626"/>
      <sz val="9"/>
    </font>
    <font>
      <i val="1"/>
      <color rgb="00595959"/>
      <sz val="8"/>
    </font>
    <font>
      <color rgb="00FFFFFF"/>
      <sz val="9"/>
    </font>
    <font>
      <b val="1"/>
      <color rgb="00FFFFFF"/>
      <sz val="14"/>
    </font>
    <font>
      <b val="1"/>
      <color rgb="00FFFFFF"/>
      <sz val="12"/>
    </font>
    <font>
      <color rgb="00595959"/>
      <sz val="9"/>
    </font>
    <font>
      <b val="1"/>
      <color rgb="007F6000"/>
      <sz val="9"/>
    </font>
    <font>
      <b val="1"/>
      <color rgb="001F3864"/>
      <sz val="12"/>
    </font>
    <font>
      <sz val="10"/>
    </font>
    <font>
      <b val="1"/>
      <color rgb="00595959"/>
      <sz val="9"/>
    </font>
    <font>
      <b val="1"/>
      <color rgb="001F3864"/>
      <sz val="10"/>
    </font>
    <font>
      <b val="1"/>
      <color rgb="00262626"/>
      <sz val="14"/>
    </font>
    <font>
      <b val="1"/>
      <color rgb="00262626"/>
    </font>
    <font>
      <b val="1"/>
      <color rgb="002E75B6"/>
      <sz val="10"/>
    </font>
    <font>
      <b val="1"/>
      <sz val="10"/>
    </font>
    <font>
      <b val="1"/>
      <color rgb="00595959"/>
      <sz val="10"/>
    </font>
    <font>
      <b val="1"/>
      <color rgb="00262626"/>
      <sz val="10"/>
    </font>
    <font>
      <sz val="9.5"/>
    </font>
    <font>
      <i val="1"/>
      <color rgb="00595959"/>
      <sz val="9"/>
    </font>
  </fonts>
  <fills count="2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DEBF7"/>
        <bgColor rgb="00DDEBF7"/>
      </patternFill>
    </fill>
    <fill>
      <patternFill patternType="solid">
        <fgColor rgb="00C00000"/>
        <bgColor rgb="00C00000"/>
      </patternFill>
    </fill>
    <fill>
      <patternFill patternType="solid">
        <fgColor rgb="00E06666"/>
        <bgColor rgb="00E06666"/>
      </patternFill>
    </fill>
    <fill>
      <patternFill patternType="solid">
        <fgColor rgb="00FFC000"/>
        <bgColor rgb="00FFC000"/>
      </patternFill>
    </fill>
    <fill>
      <patternFill patternType="solid">
        <fgColor rgb="00F6C342"/>
        <bgColor rgb="00F6C342"/>
      </patternFill>
    </fill>
    <fill>
      <patternFill patternType="solid">
        <fgColor rgb="00D9D9D9"/>
        <bgColor rgb="00D9D9D9"/>
      </patternFill>
    </fill>
    <fill>
      <patternFill patternType="solid">
        <fgColor rgb="0093C47D"/>
        <bgColor rgb="0093C47D"/>
      </patternFill>
    </fill>
    <fill>
      <patternFill patternType="solid">
        <fgColor rgb="002F5597"/>
        <bgColor rgb="002F5597"/>
      </patternFill>
    </fill>
    <fill>
      <patternFill patternType="solid">
        <fgColor rgb="00DEEAF6"/>
        <bgColor rgb="00DEEAF6"/>
      </patternFill>
    </fill>
    <fill>
      <patternFill patternType="solid">
        <fgColor rgb="00FFF2CC"/>
        <bgColor rgb="00FFF2CC"/>
      </patternFill>
    </fill>
    <fill>
      <patternFill patternType="solid">
        <fgColor rgb="00F4B183"/>
        <bgColor rgb="00F4B183"/>
      </patternFill>
    </fill>
    <fill>
      <patternFill patternType="solid">
        <fgColor rgb="00C55A11"/>
        <bgColor rgb="00C55A11"/>
      </patternFill>
    </fill>
    <fill>
      <patternFill patternType="solid">
        <fgColor rgb="00FBE5E5"/>
        <bgColor rgb="00FBE5E5"/>
      </patternFill>
    </fill>
    <fill>
      <patternFill patternType="solid">
        <fgColor rgb="00F8CBAD"/>
        <bgColor rgb="00F8CBAD"/>
      </patternFill>
    </fill>
    <fill>
      <patternFill patternType="solid">
        <fgColor rgb="009DC3E6"/>
        <bgColor rgb="009DC3E6"/>
      </patternFill>
    </fill>
    <fill>
      <patternFill patternType="solid">
        <fgColor rgb="00DEEBF7"/>
        <bgColor rgb="00DEEBF7"/>
      </patternFill>
    </fill>
    <fill>
      <patternFill patternType="solid">
        <fgColor rgb="00F7F9FC"/>
        <bgColor rgb="00F7F9FC"/>
      </patternFill>
    </fill>
    <fill>
      <patternFill patternType="solid">
        <fgColor rgb="0070AD47"/>
        <bgColor rgb="0070AD4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medium">
        <color rgb="001F3864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vertical="center" wrapText="1" indent="1"/>
    </xf>
    <xf numFmtId="0" fontId="2" fillId="3" borderId="0" applyAlignment="1" pivotButton="0" quotePrefix="0" xfId="0">
      <alignment vertical="top" wrapText="1" indent="1"/>
    </xf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2" fontId="6" fillId="0" borderId="1" pivotButton="0" quotePrefix="0" xfId="0"/>
    <xf numFmtId="0" fontId="7" fillId="4" borderId="1" applyAlignment="1" pivotButton="0" quotePrefix="0" xfId="0">
      <alignment horizontal="center" vertical="center" shrinkToFit="1"/>
    </xf>
    <xf numFmtId="0" fontId="7" fillId="5" borderId="1" applyAlignment="1" pivotButton="0" quotePrefix="0" xfId="0">
      <alignment horizontal="center" vertical="center" shrinkToFit="1"/>
    </xf>
    <xf numFmtId="0" fontId="8" fillId="0" borderId="1" pivotButton="0" quotePrefix="0" xfId="0"/>
    <xf numFmtId="0" fontId="9" fillId="6" borderId="1" applyAlignment="1" pivotButton="0" quotePrefix="0" xfId="0">
      <alignment horizontal="center" vertical="center" shrinkToFit="1"/>
    </xf>
    <xf numFmtId="0" fontId="9" fillId="7" borderId="1" applyAlignment="1" pivotButton="0" quotePrefix="0" xfId="0">
      <alignment horizontal="center" vertical="center" shrinkToFit="1"/>
    </xf>
    <xf numFmtId="0" fontId="9" fillId="8" borderId="1" applyAlignment="1" pivotButton="0" quotePrefix="0" xfId="0">
      <alignment horizontal="center" vertical="center" shrinkToFit="1"/>
    </xf>
    <xf numFmtId="0" fontId="9" fillId="9" borderId="1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vertical="top" wrapText="1"/>
    </xf>
    <xf numFmtId="0" fontId="11" fillId="10" borderId="0" applyAlignment="1" pivotButton="0" quotePrefix="0" xfId="0">
      <alignment vertical="center" indent="1"/>
    </xf>
    <xf numFmtId="0" fontId="12" fillId="2" borderId="0" applyAlignment="1" pivotButton="0" quotePrefix="0" xfId="0">
      <alignment vertical="center" wrapText="1" indent="1"/>
    </xf>
    <xf numFmtId="0" fontId="0" fillId="2" borderId="0" pivotButton="0" quotePrefix="0" xfId="0"/>
    <xf numFmtId="0" fontId="13" fillId="2" borderId="0" applyAlignment="1" pivotButton="0" quotePrefix="0" xfId="0">
      <alignment horizontal="right" vertical="center"/>
    </xf>
    <xf numFmtId="0" fontId="14" fillId="11" borderId="0" applyAlignment="1" pivotButton="0" quotePrefix="0" xfId="0">
      <alignment vertical="center" wrapText="1"/>
    </xf>
    <xf numFmtId="0" fontId="0" fillId="11" borderId="0" pivotButton="0" quotePrefix="0" xfId="0"/>
    <xf numFmtId="0" fontId="15" fillId="12" borderId="0" applyAlignment="1" pivotButton="0" quotePrefix="0" xfId="0">
      <alignment vertical="center" wrapText="1"/>
    </xf>
    <xf numFmtId="0" fontId="16" fillId="0" borderId="2" pivotButton="0" quotePrefix="0" xfId="0"/>
    <xf numFmtId="0" fontId="0" fillId="0" borderId="2" pivotButton="0" quotePrefix="0" xfId="0"/>
    <xf numFmtId="0" fontId="17" fillId="0" borderId="0" applyAlignment="1" pivotButton="0" quotePrefix="0" xfId="0">
      <alignment vertical="top" wrapText="1"/>
    </xf>
    <xf numFmtId="0" fontId="18" fillId="0" borderId="0" pivotButton="0" quotePrefix="0" xfId="0"/>
    <xf numFmtId="0" fontId="19" fillId="0" borderId="1" applyAlignment="1" pivotButton="0" quotePrefix="0" xfId="0">
      <alignment vertical="center"/>
    </xf>
    <xf numFmtId="0" fontId="20" fillId="13" borderId="1" applyAlignment="1" pivotButton="0" quotePrefix="0" xfId="0">
      <alignment horizontal="center" vertical="center"/>
    </xf>
    <xf numFmtId="0" fontId="17" fillId="0" borderId="1" applyAlignment="1" pivotButton="0" quotePrefix="0" xfId="0">
      <alignment vertical="center" wrapText="1"/>
    </xf>
    <xf numFmtId="0" fontId="12" fillId="14" borderId="1" applyAlignment="1" pivotButton="0" quotePrefix="0" xfId="0">
      <alignment horizontal="center" vertical="center"/>
    </xf>
    <xf numFmtId="0" fontId="10" fillId="0" borderId="0" pivotButton="0" quotePrefix="0" xfId="0"/>
    <xf numFmtId="0" fontId="17" fillId="15" borderId="0" applyAlignment="1" pivotButton="0" quotePrefix="0" xfId="0">
      <alignment vertical="top" wrapText="1"/>
    </xf>
    <xf numFmtId="0" fontId="18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21" fillId="16" borderId="0" applyAlignment="1" pivotButton="0" quotePrefix="0" xfId="0">
      <alignment horizontal="center"/>
    </xf>
    <xf numFmtId="0" fontId="21" fillId="13" borderId="0" applyAlignment="1" pivotButton="0" quotePrefix="0" xfId="0">
      <alignment horizontal="center"/>
    </xf>
    <xf numFmtId="2" fontId="6" fillId="0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17" fillId="0" borderId="1" applyAlignment="1" pivotButton="0" quotePrefix="0" xfId="0">
      <alignment vertical="top" wrapText="1"/>
    </xf>
    <xf numFmtId="0" fontId="17" fillId="0" borderId="1" applyAlignment="1" pivotButton="0" quotePrefix="0" xfId="0">
      <alignment vertical="top"/>
    </xf>
    <xf numFmtId="0" fontId="22" fillId="0" borderId="1" applyAlignment="1" pivotButton="0" quotePrefix="0" xfId="0">
      <alignment vertical="top"/>
    </xf>
    <xf numFmtId="0" fontId="23" fillId="17" borderId="1" applyAlignment="1" pivotButton="0" quotePrefix="0" xfId="0">
      <alignment horizontal="center" vertical="top"/>
    </xf>
    <xf numFmtId="0" fontId="24" fillId="0" borderId="1" applyAlignment="1" pivotButton="0" quotePrefix="0" xfId="0">
      <alignment vertical="top"/>
    </xf>
    <xf numFmtId="0" fontId="23" fillId="18" borderId="1" applyAlignment="1" pivotButton="0" quotePrefix="0" xfId="0">
      <alignment horizontal="center" vertical="top"/>
    </xf>
    <xf numFmtId="0" fontId="25" fillId="0" borderId="0" applyAlignment="1" pivotButton="0" quotePrefix="0" xfId="0">
      <alignment vertical="top" wrapText="1"/>
    </xf>
    <xf numFmtId="0" fontId="26" fillId="0" borderId="0" applyAlignment="1" pivotButton="0" quotePrefix="0" xfId="0">
      <alignment vertical="top" wrapText="1"/>
    </xf>
    <xf numFmtId="0" fontId="2" fillId="19" borderId="1" applyAlignment="1" pivotButton="0" quotePrefix="0" xfId="0">
      <alignment vertical="top" wrapText="1" indent="1"/>
    </xf>
    <xf numFmtId="0" fontId="0" fillId="19" borderId="1" pivotButton="0" quotePrefix="0" xfId="0"/>
    <xf numFmtId="0" fontId="18" fillId="0" borderId="0" applyAlignment="1" pivotButton="0" quotePrefix="0" xfId="0">
      <alignment wrapText="1"/>
    </xf>
    <xf numFmtId="0" fontId="17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 vertical="center"/>
    </xf>
    <xf numFmtId="0" fontId="20" fillId="16" borderId="1" applyAlignment="1" pivotButton="0" quotePrefix="0" xfId="0">
      <alignment horizontal="center" vertical="center"/>
    </xf>
    <xf numFmtId="0" fontId="17" fillId="12" borderId="0" applyAlignment="1" pivotButton="0" quotePrefix="0" xfId="0">
      <alignment vertical="top" wrapText="1"/>
    </xf>
    <xf numFmtId="0" fontId="21" fillId="6" borderId="0" applyAlignment="1" pivotButton="0" quotePrefix="0" xfId="0">
      <alignment horizontal="center" vertical="center"/>
    </xf>
    <xf numFmtId="0" fontId="20" fillId="21" borderId="1" applyAlignment="1" pivotButton="0" quotePrefix="0" xfId="0">
      <alignment horizontal="center" vertical="center"/>
    </xf>
    <xf numFmtId="0" fontId="17" fillId="22" borderId="0" applyAlignment="1" pivotButton="0" quotePrefix="0" xfId="0">
      <alignment vertical="top" wrapText="1"/>
    </xf>
    <xf numFmtId="0" fontId="21" fillId="21" borderId="0" applyAlignment="1" pivotButton="0" quotePrefix="0" xfId="0">
      <alignment horizontal="center"/>
    </xf>
    <xf numFmtId="0" fontId="21" fillId="23" borderId="0" applyAlignment="1" pivotButton="0" quotePrefix="0" xfId="0">
      <alignment horizontal="center"/>
    </xf>
    <xf numFmtId="0" fontId="27" fillId="0" borderId="0" pivotButton="0" quotePrefix="0" xfId="0"/>
    <xf numFmtId="0" fontId="21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composito per trimestre (scala fissa 1-5)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'NFR-01'!F27</f>
            </strRef>
          </tx>
          <spPr>
            <a:ln xmlns:a="http://schemas.openxmlformats.org/drawingml/2006/main">
              <a:solidFill>
                <a:srgbClr val="1F3864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  <showPercent val="0"/>
          </dLbls>
          <cat>
            <numRef>
              <f>'NFR-01'!$A$28:$A$32</f>
            </numRef>
          </cat>
          <val>
            <numRef>
              <f>'NFR-01'!$F$28:$F$32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1"/>
        </scaling>
        <delete val="0"/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composito per trimestre (scala fissa 1-5)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'NFR-07'!F27</f>
            </strRef>
          </tx>
          <spPr>
            <a:ln xmlns:a="http://schemas.openxmlformats.org/drawingml/2006/main">
              <a:solidFill>
                <a:srgbClr val="1F3864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  <showPercent val="0"/>
          </dLbls>
          <cat>
            <numRef>
              <f>'NFR-07'!$A$28:$A$32</f>
            </numRef>
          </cat>
          <val>
            <numRef>
              <f>'NFR-07'!$F$28:$F$32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1"/>
        </scaling>
        <delete val="0"/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composito per trimestre (scala fissa 1-5)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'NFR-12'!F27</f>
            </strRef>
          </tx>
          <spPr>
            <a:ln xmlns:a="http://schemas.openxmlformats.org/drawingml/2006/main">
              <a:solidFill>
                <a:srgbClr val="1F3864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  <showPercent val="0"/>
          </dLbls>
          <cat>
            <numRef>
              <f>'NFR-12'!$A$28:$A$32</f>
            </numRef>
          </cat>
          <val>
            <numRef>
              <f>'NFR-12'!$F$28:$F$32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1"/>
        </scaling>
        <delete val="0"/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composito per trimestre (scala fissa 1-5)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'NFR-02'!F27</f>
            </strRef>
          </tx>
          <spPr>
            <a:ln xmlns:a="http://schemas.openxmlformats.org/drawingml/2006/main">
              <a:solidFill>
                <a:srgbClr val="1F3864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  <showPercent val="0"/>
          </dLbls>
          <cat>
            <numRef>
              <f>'NFR-02'!$A$28:$A$32</f>
            </numRef>
          </cat>
          <val>
            <numRef>
              <f>'NFR-02'!$F$28:$F$32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1"/>
        </scaling>
        <delete val="0"/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composito per trimestre (scala fissa 1-5)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'NFR-03'!F27</f>
            </strRef>
          </tx>
          <spPr>
            <a:ln xmlns:a="http://schemas.openxmlformats.org/drawingml/2006/main">
              <a:solidFill>
                <a:srgbClr val="1F3864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  <showPercent val="0"/>
          </dLbls>
          <cat>
            <numRef>
              <f>'NFR-03'!$A$28:$A$32</f>
            </numRef>
          </cat>
          <val>
            <numRef>
              <f>'NFR-03'!$F$28:$F$32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1"/>
        </scaling>
        <delete val="0"/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composito per trimestre (scala fissa 1-5)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'NFR-05'!F27</f>
            </strRef>
          </tx>
          <spPr>
            <a:ln xmlns:a="http://schemas.openxmlformats.org/drawingml/2006/main">
              <a:solidFill>
                <a:srgbClr val="1F3864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  <showPercent val="0"/>
          </dLbls>
          <cat>
            <numRef>
              <f>'NFR-05'!$A$28:$A$32</f>
            </numRef>
          </cat>
          <val>
            <numRef>
              <f>'NFR-05'!$F$28:$F$32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1"/>
        </scaling>
        <delete val="0"/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composito per trimestre (scala fissa 1-5)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'NFR-06'!F27</f>
            </strRef>
          </tx>
          <spPr>
            <a:ln xmlns:a="http://schemas.openxmlformats.org/drawingml/2006/main">
              <a:solidFill>
                <a:srgbClr val="1F3864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  <showPercent val="0"/>
          </dLbls>
          <cat>
            <numRef>
              <f>'NFR-06'!$A$28:$A$31</f>
            </numRef>
          </cat>
          <val>
            <numRef>
              <f>'NFR-06'!$F$28:$F$31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1"/>
        </scaling>
        <delete val="0"/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composito per trimestre (scala fissa 1-5)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'NFR-10'!F27</f>
            </strRef>
          </tx>
          <spPr>
            <a:ln xmlns:a="http://schemas.openxmlformats.org/drawingml/2006/main">
              <a:solidFill>
                <a:srgbClr val="1F3864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  <showPercent val="0"/>
          </dLbls>
          <cat>
            <numRef>
              <f>'NFR-10'!$A$28:$A$31</f>
            </numRef>
          </cat>
          <val>
            <numRef>
              <f>'NFR-10'!$F$28:$F$31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1"/>
        </scaling>
        <delete val="0"/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composito per trimestre (scala fissa 1-5)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'NFR-09'!F27</f>
            </strRef>
          </tx>
          <spPr>
            <a:ln xmlns:a="http://schemas.openxmlformats.org/drawingml/2006/main">
              <a:solidFill>
                <a:srgbClr val="1F3864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  <showPercent val="0"/>
          </dLbls>
          <cat>
            <numRef>
              <f>'NFR-09'!$A$28:$A$31</f>
            </numRef>
          </cat>
          <val>
            <numRef>
              <f>'NFR-09'!$F$28:$F$31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1"/>
        </scaling>
        <delete val="0"/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composito per trimestre (scala fissa 1-5)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'NFR-04'!F27</f>
            </strRef>
          </tx>
          <spPr>
            <a:ln xmlns:a="http://schemas.openxmlformats.org/drawingml/2006/main">
              <a:solidFill>
                <a:srgbClr val="1F3864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  <showPercent val="0"/>
          </dLbls>
          <cat>
            <numRef>
              <f>'NFR-04'!$A$28:$A$32</f>
            </numRef>
          </cat>
          <val>
            <numRef>
              <f>'NFR-04'!$F$28:$F$32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1"/>
        </scaling>
        <delete val="0"/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composito per trimestre (scala fissa 1-5)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'NFR-11'!F27</f>
            </strRef>
          </tx>
          <spPr>
            <a:ln xmlns:a="http://schemas.openxmlformats.org/drawingml/2006/main">
              <a:solidFill>
                <a:srgbClr val="1F3864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  <showPercent val="0"/>
          </dLbls>
          <cat>
            <numRef>
              <f>'NFR-11'!$A$28:$A$32</f>
            </numRef>
          </cat>
          <val>
            <numRef>
              <f>'NFR-11'!$F$28:$F$32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1"/>
        </scaling>
        <delete val="0"/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composito per trimestre (scala fissa 1-5)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'NFR-08'!F27</f>
            </strRef>
          </tx>
          <spPr>
            <a:ln xmlns:a="http://schemas.openxmlformats.org/drawingml/2006/main">
              <a:solidFill>
                <a:srgbClr val="1F3864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  <showPercent val="0"/>
          </dLbls>
          <cat>
            <numRef>
              <f>'NFR-08'!$A$28:$A$32</f>
            </numRef>
          </cat>
          <val>
            <numRef>
              <f>'NFR-08'!$F$28:$F$32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1"/>
        </scaling>
        <delete val="0"/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396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33</row>
      <rowOff>0</rowOff>
    </from>
    <ext cx="396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33</row>
      <rowOff>0</rowOff>
    </from>
    <ext cx="396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33</row>
      <rowOff>0</rowOff>
    </from>
    <ext cx="396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33</row>
      <rowOff>0</rowOff>
    </from>
    <ext cx="396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33</row>
      <rowOff>0</rowOff>
    </from>
    <ext cx="396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32</row>
      <rowOff>0</rowOff>
    </from>
    <ext cx="396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32</row>
      <rowOff>0</rowOff>
    </from>
    <ext cx="396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32</row>
      <rowOff>0</rowOff>
    </from>
    <ext cx="396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33</row>
      <rowOff>0</rowOff>
    </from>
    <ext cx="396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33</row>
      <rowOff>0</rowOff>
    </from>
    <ext cx="396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33</row>
      <rowOff>0</rowOff>
    </from>
    <ext cx="396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NFR-01'!A1" TargetMode="External" Id="rId1"/><Relationship Type="http://schemas.openxmlformats.org/officeDocument/2006/relationships/hyperlink" Target="#'NFR-07'!A1" TargetMode="External" Id="rId2"/><Relationship Type="http://schemas.openxmlformats.org/officeDocument/2006/relationships/hyperlink" Target="#'NFR-12'!A1" TargetMode="External" Id="rId3"/><Relationship Type="http://schemas.openxmlformats.org/officeDocument/2006/relationships/hyperlink" Target="#'NFR-02'!A1" TargetMode="External" Id="rId4"/><Relationship Type="http://schemas.openxmlformats.org/officeDocument/2006/relationships/hyperlink" Target="#'NFR-03'!A1" TargetMode="External" Id="rId5"/><Relationship Type="http://schemas.openxmlformats.org/officeDocument/2006/relationships/hyperlink" Target="#'NFR-05'!A1" TargetMode="External" Id="rId6"/><Relationship Type="http://schemas.openxmlformats.org/officeDocument/2006/relationships/hyperlink" Target="#'NFR-06'!A1" TargetMode="External" Id="rId7"/><Relationship Type="http://schemas.openxmlformats.org/officeDocument/2006/relationships/hyperlink" Target="#'NFR-10'!A1" TargetMode="External" Id="rId8"/><Relationship Type="http://schemas.openxmlformats.org/officeDocument/2006/relationships/hyperlink" Target="#'NFR-13'!A1" TargetMode="External" Id="rId9"/><Relationship Type="http://schemas.openxmlformats.org/officeDocument/2006/relationships/hyperlink" Target="#'NFR-09'!A1" TargetMode="External" Id="rId10"/><Relationship Type="http://schemas.openxmlformats.org/officeDocument/2006/relationships/hyperlink" Target="#'NFR-04'!A1" TargetMode="External" Id="rId11"/><Relationship Type="http://schemas.openxmlformats.org/officeDocument/2006/relationships/hyperlink" Target="#'NFR-11'!A1" TargetMode="External" Id="rId12"/><Relationship Type="http://schemas.openxmlformats.org/officeDocument/2006/relationships/hyperlink" Target="#'NFR-08'!A1" TargetMode="External" Id="rId13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6" customWidth="1" min="3" max="3"/>
    <col width="9" customWidth="1" min="4" max="4"/>
    <col width="15" customWidth="1" min="5" max="5"/>
    <col width="14" customWidth="1" min="6" max="6"/>
    <col width="13" customWidth="1" min="7" max="7"/>
    <col width="30" customWidth="1" min="8" max="8"/>
  </cols>
  <sheetData>
    <row r="1" ht="36" customHeight="1">
      <c r="A1" s="1" t="inlineStr">
        <is>
          <t>Horizon Scan NFR — schede dei rischi · ciclo 2026Q4 · dati al 31/12/2026 · validato · Uso interno</t>
        </is>
      </c>
    </row>
    <row r="2" ht="42" customHeight="1">
      <c r="A2" s="2" t="inlineStr">
        <is>
          <t>Una scheda per rischio, nell'ordine della classifica (score composito), con i valori VALIDATI del registro. Testi: testi di A1 dal registro (senza A6); numeri, fonti e urgenza vengono dal registro e non li cambia nessun agente. Clic sull'ID per aprire la scheda. Prodotto dal comando  python esegui_ciclo_locale.py schede.</t>
        </is>
      </c>
    </row>
    <row r="4">
      <c r="A4" s="3" t="inlineStr">
        <is>
          <t>#</t>
        </is>
      </c>
      <c r="B4" s="3" t="inlineStr">
        <is>
          <t>ID</t>
        </is>
      </c>
      <c r="C4" s="3" t="inlineStr">
        <is>
          <t>Rischio</t>
        </is>
      </c>
      <c r="D4" s="3" t="inlineStr">
        <is>
          <t>Score</t>
        </is>
      </c>
      <c r="E4" s="3" t="inlineStr">
        <is>
          <t>Urgenza</t>
        </is>
      </c>
      <c r="F4" s="3" t="inlineStr">
        <is>
          <t>Livello</t>
        </is>
      </c>
      <c r="G4" s="3" t="inlineStr">
        <is>
          <t>Esito</t>
        </is>
      </c>
      <c r="H4" s="3" t="inlineStr">
        <is>
          <t>Owner</t>
        </is>
      </c>
    </row>
    <row r="5" ht="20" customHeight="1">
      <c r="A5" s="4" t="n">
        <v>1</v>
      </c>
      <c r="B5" s="5" t="inlineStr">
        <is>
          <t>NFR-01</t>
        </is>
      </c>
      <c r="C5" s="6" t="inlineStr">
        <is>
          <t>Frodi su pagamenti istantanei abilitate da AI generativa  ◆</t>
        </is>
      </c>
      <c r="D5" s="7" t="n">
        <v>4.4</v>
      </c>
      <c r="E5" s="8" t="inlineStr">
        <is>
          <t>AGIRE ORA</t>
        </is>
      </c>
      <c r="F5" s="9" t="inlineStr">
        <is>
          <t>Attivazione</t>
        </is>
      </c>
      <c r="G5" s="6" t="inlineStr">
        <is>
          <t>Variato</t>
        </is>
      </c>
      <c r="H5" s="10" t="inlineStr">
        <is>
          <t>Funzione Antifrode</t>
        </is>
      </c>
    </row>
    <row r="6" ht="20" customHeight="1">
      <c r="A6" s="4" t="n">
        <v>2</v>
      </c>
      <c r="B6" s="5" t="inlineStr">
        <is>
          <t>NFR-07</t>
        </is>
      </c>
      <c r="C6" s="6" t="inlineStr">
        <is>
          <t>Ransomware presso un fornitore di servizi di pagamento  ◆</t>
        </is>
      </c>
      <c r="D6" s="7" t="n">
        <v>3.75</v>
      </c>
      <c r="E6" s="11" t="inlineStr">
        <is>
          <t>Entro l'anno</t>
        </is>
      </c>
      <c r="F6" s="12" t="inlineStr">
        <is>
          <t>Attenzione</t>
        </is>
      </c>
      <c r="G6" s="6" t="inlineStr">
        <is>
          <t>Confermato</t>
        </is>
      </c>
      <c r="H6" s="10" t="inlineStr">
        <is>
          <t>Funzione ICT &amp; Security Risk</t>
        </is>
      </c>
    </row>
    <row r="7" ht="20" customHeight="1">
      <c r="A7" s="4" t="n">
        <v>3</v>
      </c>
      <c r="B7" s="5" t="inlineStr">
        <is>
          <t>NFR-12</t>
        </is>
      </c>
      <c r="C7" s="6" t="inlineStr">
        <is>
          <t>Errori operativi nei pagamenti istantanei obbligatori</t>
        </is>
      </c>
      <c r="D7" s="7" t="n">
        <v>3.65</v>
      </c>
      <c r="E7" s="11" t="inlineStr">
        <is>
          <t>Entro l'anno</t>
        </is>
      </c>
      <c r="F7" s="12" t="inlineStr">
        <is>
          <t>Attenzione</t>
        </is>
      </c>
      <c r="G7" s="6" t="inlineStr">
        <is>
          <t>Confermato</t>
        </is>
      </c>
      <c r="H7" s="10" t="inlineStr">
        <is>
          <t>Funzione Operations</t>
        </is>
      </c>
    </row>
    <row r="8" ht="20" customHeight="1">
      <c r="A8" s="4" t="n">
        <v>4</v>
      </c>
      <c r="B8" s="5" t="inlineStr">
        <is>
          <t>NFR-02</t>
        </is>
      </c>
      <c r="C8" s="6" t="inlineStr">
        <is>
          <t>Concentrazione su un fornitore cloud critico  ◆</t>
        </is>
      </c>
      <c r="D8" s="7" t="n">
        <v>3.3</v>
      </c>
      <c r="E8" s="13" t="inlineStr">
        <is>
          <t>Margine 1 anno</t>
        </is>
      </c>
      <c r="F8" s="14" t="inlineStr">
        <is>
          <t>Monitoraggio</t>
        </is>
      </c>
      <c r="G8" s="6" t="inlineStr">
        <is>
          <t>Confermato</t>
        </is>
      </c>
      <c r="H8" s="10" t="inlineStr">
        <is>
          <t>Funzione ICT &amp; Security Risk</t>
        </is>
      </c>
    </row>
    <row r="9" ht="20" customHeight="1">
      <c r="A9" s="4" t="n">
        <v>5</v>
      </c>
      <c r="B9" s="5" t="inlineStr">
        <is>
          <t>NFR-03</t>
        </is>
      </c>
      <c r="C9" s="6" t="inlineStr">
        <is>
          <t>Greenwashing nella commercializzazione di prodotti ESG</t>
        </is>
      </c>
      <c r="D9" s="7" t="n">
        <v>3</v>
      </c>
      <c r="E9" s="11" t="inlineStr">
        <is>
          <t>Entro l'anno</t>
        </is>
      </c>
      <c r="F9" s="12" t="inlineStr">
        <is>
          <t>Attenzione</t>
        </is>
      </c>
      <c r="G9" s="6" t="inlineStr">
        <is>
          <t>Confermato</t>
        </is>
      </c>
      <c r="H9" s="10" t="inlineStr">
        <is>
          <t>Funzione Compliance</t>
        </is>
      </c>
    </row>
    <row r="10" ht="20" customHeight="1">
      <c r="A10" s="4" t="n">
        <v>6</v>
      </c>
      <c r="B10" s="5" t="inlineStr">
        <is>
          <t>NFR-05</t>
        </is>
      </c>
      <c r="C10" s="6" t="inlineStr">
        <is>
          <t>Errori di processo nella migrazione del core banking</t>
        </is>
      </c>
      <c r="D10" s="7" t="n">
        <v>3</v>
      </c>
      <c r="E10" s="13" t="inlineStr">
        <is>
          <t>Margine 1 anno</t>
        </is>
      </c>
      <c r="F10" s="14" t="inlineStr">
        <is>
          <t>Monitoraggio</t>
        </is>
      </c>
      <c r="G10" s="6" t="inlineStr">
        <is>
          <t>Confermato</t>
        </is>
      </c>
      <c r="H10" s="10" t="inlineStr">
        <is>
          <t>Funzione Operations</t>
        </is>
      </c>
    </row>
    <row r="11" ht="20" customHeight="1">
      <c r="A11" s="4" t="n">
        <v>7</v>
      </c>
      <c r="B11" s="5" t="inlineStr">
        <is>
          <t>NFR-06</t>
        </is>
      </c>
      <c r="C11" s="6" t="inlineStr">
        <is>
          <t>Esfiltrazione di dati tramite strumenti di AI non autorizzati</t>
        </is>
      </c>
      <c r="D11" s="7" t="n">
        <v>3</v>
      </c>
      <c r="E11" s="11" t="inlineStr">
        <is>
          <t>Entro l'anno</t>
        </is>
      </c>
      <c r="F11" s="12" t="inlineStr">
        <is>
          <t>Attenzione</t>
        </is>
      </c>
      <c r="G11" s="6" t="inlineStr">
        <is>
          <t>Confermato</t>
        </is>
      </c>
      <c r="H11" s="10" t="inlineStr">
        <is>
          <t>Funzione Sicurezza delle Informazioni</t>
        </is>
      </c>
    </row>
    <row r="12" ht="20" customHeight="1">
      <c r="A12" s="4" t="n">
        <v>8</v>
      </c>
      <c r="B12" s="5" t="inlineStr">
        <is>
          <t>NFR-10</t>
        </is>
      </c>
      <c r="C12" s="6" t="inlineStr">
        <is>
          <t>Informazioni errate ai clienti da assistenti di AI generativa</t>
        </is>
      </c>
      <c r="D12" s="7" t="n">
        <v>3</v>
      </c>
      <c r="E12" s="13" t="inlineStr">
        <is>
          <t>Margine 1 anno</t>
        </is>
      </c>
      <c r="F12" s="14" t="inlineStr">
        <is>
          <t>Monitoraggio</t>
        </is>
      </c>
      <c r="G12" s="6" t="inlineStr">
        <is>
          <t>Confermato</t>
        </is>
      </c>
      <c r="H12" s="10" t="inlineStr">
        <is>
          <t>Funzione Customer Experience</t>
        </is>
      </c>
    </row>
    <row r="13" ht="20" customHeight="1">
      <c r="A13" s="4" t="n">
        <v>9</v>
      </c>
      <c r="B13" s="5" t="inlineStr">
        <is>
          <t>NFR-13</t>
        </is>
      </c>
      <c r="C13" s="6" t="inlineStr">
        <is>
          <t>Vertenze e carenza di competenze in funzioni IT critiche</t>
        </is>
      </c>
      <c r="D13" s="7" t="n">
        <v>3</v>
      </c>
      <c r="E13" s="11" t="inlineStr">
        <is>
          <t>Entro l'anno</t>
        </is>
      </c>
      <c r="F13" s="14" t="inlineStr">
        <is>
          <t>Monitoraggio</t>
        </is>
      </c>
      <c r="G13" s="6" t="inlineStr">
        <is>
          <t>Nuovo</t>
        </is>
      </c>
      <c r="H13" s="10" t="inlineStr">
        <is>
          <t>Da assegnare</t>
        </is>
      </c>
    </row>
    <row r="14" ht="20" customHeight="1">
      <c r="A14" s="4" t="n">
        <v>10</v>
      </c>
      <c r="B14" s="5" t="inlineStr">
        <is>
          <t>NFR-09</t>
        </is>
      </c>
      <c r="C14" s="6" t="inlineStr">
        <is>
          <t>Violazione di sanzioni internazionali tramite triangolazioni  ◆</t>
        </is>
      </c>
      <c r="D14" s="7" t="n">
        <v>2.9</v>
      </c>
      <c r="E14" s="13" t="inlineStr">
        <is>
          <t>Margine 1,3 anni</t>
        </is>
      </c>
      <c r="F14" s="14" t="inlineStr">
        <is>
          <t>Monitoraggio</t>
        </is>
      </c>
      <c r="G14" s="6" t="inlineStr">
        <is>
          <t>Confermato</t>
        </is>
      </c>
      <c r="H14" s="10" t="inlineStr">
        <is>
          <t>Funzione Compliance</t>
        </is>
      </c>
    </row>
    <row r="15" ht="20" customHeight="1">
      <c r="A15" s="4" t="n">
        <v>11</v>
      </c>
      <c r="B15" s="5" t="inlineStr">
        <is>
          <t>NFR-04</t>
        </is>
      </c>
      <c r="C15" s="6" t="inlineStr">
        <is>
          <t>Eventi climatici estremi su sedi e data center</t>
        </is>
      </c>
      <c r="D15" s="7" t="n">
        <v>2.8</v>
      </c>
      <c r="E15" s="11" t="inlineStr">
        <is>
          <t>Entro l'anno</t>
        </is>
      </c>
      <c r="F15" s="12" t="inlineStr">
        <is>
          <t>Attenzione</t>
        </is>
      </c>
      <c r="G15" s="6" t="inlineStr">
        <is>
          <t>Confermato</t>
        </is>
      </c>
      <c r="H15" s="10" t="inlineStr">
        <is>
          <t>Funzione Business Continuity</t>
        </is>
      </c>
    </row>
    <row r="16" ht="20" customHeight="1">
      <c r="A16" s="4" t="n">
        <v>12</v>
      </c>
      <c r="B16" s="5" t="inlineStr">
        <is>
          <t>NFR-11</t>
        </is>
      </c>
      <c r="C16" s="6" t="inlineStr">
        <is>
          <t>Fine del supporto dei sistemi di pagamento legacy</t>
        </is>
      </c>
      <c r="D16" s="7" t="n">
        <v>2.8</v>
      </c>
      <c r="E16" s="8" t="inlineStr">
        <is>
          <t>AGIRE ORA</t>
        </is>
      </c>
      <c r="F16" s="9" t="inlineStr">
        <is>
          <t>Attivazione</t>
        </is>
      </c>
      <c r="G16" s="6" t="inlineStr">
        <is>
          <t>Confermato</t>
        </is>
      </c>
      <c r="H16" s="10" t="inlineStr">
        <is>
          <t>Funzione IT Operations</t>
        </is>
      </c>
    </row>
    <row r="17" ht="20" customHeight="1">
      <c r="A17" s="4" t="n">
        <v>13</v>
      </c>
      <c r="B17" s="5" t="inlineStr">
        <is>
          <t>NFR-08</t>
        </is>
      </c>
      <c r="C17" s="6" t="inlineStr">
        <is>
          <t>Accessi impropri di dipendenti ai dati dei clienti</t>
        </is>
      </c>
      <c r="D17" s="7" t="n">
        <v>2.75</v>
      </c>
      <c r="E17" s="13" t="inlineStr">
        <is>
          <t>Margine 1 anno</t>
        </is>
      </c>
      <c r="F17" s="14" t="inlineStr">
        <is>
          <t>Monitoraggio</t>
        </is>
      </c>
      <c r="G17" s="6" t="inlineStr">
        <is>
          <t>Confermato</t>
        </is>
      </c>
      <c r="H17" s="10" t="inlineStr">
        <is>
          <t>Funzione Sicurezza delle Informazioni</t>
        </is>
      </c>
    </row>
    <row r="19" ht="50" customHeight="1">
      <c r="A19" s="15" t="inlineStr">
        <is>
          <t>Legenda — Imp = Impatto, Prob = Probabilita, Pross = Prossimita, Vel = Velocity (1-5, 5 = peggiore; n.v. = non valutata, nessuna fonte ne documenta i tempi). Rilevanza di una fonte per la previsione: Alta = fonte primaria o caso documentato, Media = fonte specializzata, Bassa = generalista. Presidio = giudizio della Banca sui controlli, fuori dallo score. X = anni per decidere e avviare la mitigazione; Y = anni per mitigare (azioni o adeguamento strutturale); Z = anni prima che il rischio possa manifestarsi; AGIRE ORA = X + Y &gt; Z. Livello di allerta (calcolato dal registro): Attivazione = almeno due fra AGIRE ORA, KRI in rosso, notizie in peggioramento; Attenzione = uno di questi, o margine sotto l'anno con P x I alto, presidio assente o KRI in ambra; Monitoraggio = gli altri. KRI = indicatore di rischio, di esposizione (quanto la Banca e' esposta) o di evoluzione (quanto cresce il fenomeno). ◆ = tema all'attenzione del supervisore.</t>
        </is>
      </c>
    </row>
  </sheetData>
  <mergeCells count="3">
    <mergeCell ref="A19:H19"/>
    <mergeCell ref="A2:H2"/>
    <mergeCell ref="A1:H1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</hyperlinks>
  <pageMargins left="0.4" right="0.4" top="1" bottom="1" header="0.5" footer="0.5"/>
  <pageSetup orientation="landscape" paperSize="9" fitToHeight="0" fitToWidth="1"/>
  <headerFooter>
    <oddHeader>&amp;CUso interno&amp;RHorizon Scan NFR</oddHeader>
    <oddFooter>&amp;L&amp;F · &amp;A&amp;RPagina &amp;P di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7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4" customWidth="1" min="8" max="8"/>
  </cols>
  <sheetData>
    <row r="1">
      <c r="A1" s="16" t="inlineStr">
        <is>
          <t>Horizon Scan NFR — schede dei rischi · ciclo 2026Q4 · dati al 31/12/2026 · validato · Uso interno</t>
        </is>
      </c>
    </row>
    <row r="2" ht="34" customHeight="1">
      <c r="A2" s="17" t="inlineStr">
        <is>
          <t>1 · NFR-01 · Frodi su pagamenti istantanei abilitate da AI generativa</t>
        </is>
      </c>
      <c r="B2" s="18" t="n"/>
      <c r="C2" s="18" t="n"/>
      <c r="D2" s="18" t="n"/>
      <c r="E2" s="18" t="n"/>
      <c r="F2" s="18" t="n"/>
      <c r="G2" s="19" t="inlineStr">
        <is>
          <t>score 4,40   ▲ +0,20   ·   AGIRE ORA   ·   Attivazione</t>
        </is>
      </c>
      <c r="H2" s="18" t="n"/>
    </row>
    <row r="3" ht="28" customHeight="1">
      <c r="A3" s="20" t="inlineStr">
        <is>
          <t>L1-02 · Frode esterna</t>
        </is>
      </c>
      <c r="B3" s="21" t="n"/>
      <c r="C3" s="20" t="inlineStr">
        <is>
          <t>Driver: DRV-AI, DRV-CYB</t>
        </is>
      </c>
      <c r="D3" s="21" t="n"/>
      <c r="E3" s="20" t="inlineStr">
        <is>
          <t>Owner: Funzione Antifrode · Presidio: Parziale</t>
        </is>
      </c>
      <c r="F3" s="21" t="n"/>
      <c r="G3" s="22" t="inlineStr">
        <is>
          <t>◆ Attenzione del supervisore</t>
        </is>
      </c>
      <c r="H3" s="20" t="inlineStr">
        <is>
          <t>Esito: Variato · validato</t>
        </is>
      </c>
    </row>
    <row r="5">
      <c r="A5" s="23" t="inlineStr">
        <is>
          <t>Il rischio</t>
        </is>
      </c>
      <c r="B5" s="24" t="n"/>
      <c r="C5" s="24" t="n"/>
      <c r="D5" s="24" t="n"/>
      <c r="E5" s="24" t="n"/>
      <c r="F5" s="24" t="n"/>
      <c r="G5" s="24" t="n"/>
      <c r="H5" s="24" t="n"/>
    </row>
    <row r="6" ht="19.5" customHeight="1">
      <c r="A6" s="25" t="inlineStr">
        <is>
          <t>Frodi a danno dei clienti tramite voci o video sintetici che inducono bonifici istantanei irrevocabili verso conti di terzi.</t>
        </is>
      </c>
    </row>
    <row r="8">
      <c r="A8" s="23" t="inlineStr">
        <is>
          <t>Razionale: il fenomeno in termini di rischio</t>
        </is>
      </c>
      <c r="B8" s="24" t="n"/>
      <c r="C8" s="24" t="n"/>
      <c r="D8" s="24" t="n"/>
      <c r="E8" s="24" t="n"/>
      <c r="F8" s="24" t="n"/>
      <c r="G8" s="24" t="n"/>
      <c r="H8" s="24" t="n"/>
    </row>
    <row r="9" ht="33" customHeight="1">
      <c r="A9" s="25" t="inlineStr">
        <is>
          <t>L'AI generativa rende facile imitare la voce o il volto di un dirigente o di un familiare (causa); il cliente, convinto, ordina un bonifico istantaneo verso un conto di terzi (evento); il pagamento e' irrevocabile in pochi secondi e, con l'obbligo di rimborso dal 2027, la perdita passa dal cliente alla Banca, insieme al danno reputazionale (danno).</t>
        </is>
      </c>
    </row>
    <row r="11">
      <c r="A11" s="23" t="inlineStr">
        <is>
          <t>Valutazione, dimensione per dimensione (valori validati)</t>
        </is>
      </c>
      <c r="B11" s="24" t="n"/>
      <c r="C11" s="24" t="n"/>
      <c r="D11" s="24" t="n"/>
      <c r="E11" s="24" t="n"/>
      <c r="F11" s="24" t="n"/>
      <c r="G11" s="24" t="n"/>
      <c r="H11" s="24" t="n"/>
    </row>
    <row r="12">
      <c r="A12" s="26" t="inlineStr">
        <is>
          <t>Dimensione</t>
        </is>
      </c>
      <c r="B12" s="26" t="inlineStr">
        <is>
          <t>Valore</t>
        </is>
      </c>
      <c r="C12" s="26" t="inlineStr">
        <is>
          <t>Perche' questo valore: informazioni e documenti</t>
        </is>
      </c>
    </row>
    <row r="13" ht="33" customHeight="1">
      <c r="A13" s="27" t="inlineStr">
        <is>
          <t>Impatto</t>
        </is>
      </c>
      <c r="B13" s="28" t="n">
        <v>4</v>
      </c>
      <c r="C13" s="29" t="inlineStr">
        <is>
          <t>Grave. La Relazione annuale sui pagamenti al dettaglio dell'autorita' di vigilanza annuncia l'obbligo di rimborso delle frodi APP dal 2027: la perdita attesa cresce, con sanzioni probabili e danno reputazionale nazionale, ma la continuita' della Banca non e' toccata.</t>
        </is>
      </c>
      <c r="D13" s="6" t="n"/>
      <c r="E13" s="6" t="n"/>
      <c r="F13" s="6" t="n"/>
      <c r="G13" s="6" t="n"/>
      <c r="H13" s="6" t="n"/>
    </row>
    <row r="14" ht="33" customHeight="1">
      <c r="A14" s="27" t="inlineStr">
        <is>
          <t>Probabilita</t>
        </is>
      </c>
      <c r="B14" s="28" t="n">
        <v>4</v>
      </c>
      <c r="C14" s="29" t="inlineStr">
        <is>
          <t>Probabile. La Threat intelligence sulle campagne di frode con voce sintetica documenta casi ripetuti verso banche UE e i Report trimestrali frodi della Funzione Antifrode mostrano tentativi in crescita; la Banca e' esposta perche' offre i bonifici istantanei a tutta la clientela.</t>
        </is>
      </c>
      <c r="D14" s="6" t="n"/>
      <c r="E14" s="6" t="n"/>
      <c r="F14" s="6" t="n"/>
      <c r="G14" s="6" t="n"/>
      <c r="H14" s="6" t="n"/>
    </row>
    <row r="15" ht="26" customHeight="1">
      <c r="A15" s="27" t="inlineStr">
        <is>
          <t>Prossimita</t>
        </is>
      </c>
      <c r="B15" s="30" t="n">
        <v>5</v>
      </c>
      <c r="C15" s="29" t="inlineStr">
        <is>
          <t>In corso presso la Banca. L'Incident report del 20/11/2026 documenta due frodi con voce sintetica su clienti corporate, con bonifici gia' eseguiti.</t>
        </is>
      </c>
      <c r="D15" s="6" t="n"/>
      <c r="E15" s="6" t="n"/>
      <c r="F15" s="6" t="n"/>
      <c r="G15" s="6" t="n"/>
      <c r="H15" s="6" t="n"/>
    </row>
    <row r="16" ht="26" customHeight="1">
      <c r="A16" s="27" t="inlineStr">
        <is>
          <t>Velocity</t>
        </is>
      </c>
      <c r="B16" s="30" t="n">
        <v>5</v>
      </c>
      <c r="C16" s="29" t="inlineStr">
        <is>
          <t>Entro un mese. Dal contatto fraudolento al bonifico passano minuti e il denaro esce subito (Report trimestrale frodi Q3).</t>
        </is>
      </c>
      <c r="D16" s="6" t="n"/>
      <c r="E16" s="6" t="n"/>
      <c r="F16" s="6" t="n"/>
      <c r="G16" s="6" t="n"/>
      <c r="H16" s="6" t="n"/>
    </row>
    <row r="17">
      <c r="A17" s="31" t="inlineStr">
        <is>
          <t>Score composito 4,40 = (0,35 x 4 + 0,25 x 4 + 0,20 x 5 + 0,20 x 5) / 1,00. La rilevanza delle fonti e' nella tabella Fonti.</t>
        </is>
      </c>
    </row>
    <row r="19">
      <c r="A19" s="23" t="inlineStr">
        <is>
          <t>Urgenza (disuguaglianza di Mosca) e livello di allerta</t>
        </is>
      </c>
      <c r="B19" s="24" t="n"/>
      <c r="C19" s="24" t="n"/>
      <c r="D19" s="24" t="n"/>
      <c r="E19" s="24" t="n"/>
      <c r="F19" s="24" t="n"/>
      <c r="G19" s="24" t="n"/>
      <c r="H19" s="24" t="n"/>
    </row>
    <row r="20" ht="19.5" customHeight="1">
      <c r="A20" s="32" t="inlineStr">
        <is>
          <t>Livello di allerta: Attivazione — AGIRE ORA; KRI in rosso; notizie in peggioramento.</t>
        </is>
      </c>
    </row>
    <row r="21" ht="19.5" customHeight="1">
      <c r="A21" s="32" t="inlineStr">
        <is>
          <t>AGIRE ORA: X+Y &gt; Z. Tempo necessario X + Y = 0,25 + 0,25 = 0,50 anni; tempo disponibile Z = 0,0 anni (Prossimita 5). Margine Z - (X + Y) = -0,50.</t>
        </is>
      </c>
    </row>
    <row r="23">
      <c r="A23" s="23" t="inlineStr">
        <is>
          <t>Cosa e' cambiato nel ciclo</t>
        </is>
      </c>
      <c r="B23" s="24" t="n"/>
      <c r="C23" s="24" t="n"/>
      <c r="D23" s="24" t="n"/>
      <c r="E23" s="24" t="n"/>
      <c r="F23" s="24" t="n"/>
      <c r="G23" s="24" t="n"/>
      <c r="H23" s="24" t="n"/>
    </row>
    <row r="24" ht="19.5" customHeight="1">
      <c r="A24" s="25" t="inlineStr">
        <is>
          <t>• Prossimita 4 → 5: L'incident report del 20 novembre 2026 documenta due frodi con voce sintetica su clienti corporate della Banca, per bonifici istantanei gia' eseguiti. (20/11/2026)</t>
        </is>
      </c>
    </row>
    <row r="26">
      <c r="A26" s="23" t="inlineStr">
        <is>
          <t>Andamento negli ultimi trimestri</t>
        </is>
      </c>
      <c r="B26" s="24" t="n"/>
      <c r="C26" s="24" t="n"/>
      <c r="D26" s="24" t="n"/>
      <c r="E26" s="24" t="n"/>
      <c r="F26" s="24" t="n"/>
      <c r="G26" s="24" t="n"/>
      <c r="H26" s="24" t="n"/>
    </row>
    <row r="27">
      <c r="A27" s="33" t="inlineStr">
        <is>
          <t>Ciclo</t>
        </is>
      </c>
      <c r="B27" s="33" t="inlineStr">
        <is>
          <t>Imp</t>
        </is>
      </c>
      <c r="C27" s="33" t="inlineStr">
        <is>
          <t>Prob</t>
        </is>
      </c>
      <c r="D27" s="33" t="inlineStr">
        <is>
          <t>Pross</t>
        </is>
      </c>
      <c r="E27" s="33" t="inlineStr">
        <is>
          <t>Vel</t>
        </is>
      </c>
      <c r="F27" s="33" t="inlineStr">
        <is>
          <t>Score</t>
        </is>
      </c>
    </row>
    <row r="28">
      <c r="A28" s="34" t="inlineStr">
        <is>
          <t>2025Q4</t>
        </is>
      </c>
      <c r="B28" s="35" t="n">
        <v>3</v>
      </c>
      <c r="C28" s="36" t="n">
        <v>4</v>
      </c>
      <c r="D28" s="35" t="n">
        <v>3</v>
      </c>
      <c r="E28" s="36" t="n">
        <v>4</v>
      </c>
      <c r="F28" s="37" t="n">
        <v>3.45</v>
      </c>
    </row>
    <row r="29">
      <c r="A29" s="34" t="inlineStr">
        <is>
          <t>2026Q1</t>
        </is>
      </c>
      <c r="B29" s="35" t="n">
        <v>3</v>
      </c>
      <c r="C29" s="36" t="n">
        <v>4</v>
      </c>
      <c r="D29" s="36" t="n">
        <v>4</v>
      </c>
      <c r="E29" s="36" t="n">
        <v>4</v>
      </c>
      <c r="F29" s="37" t="n">
        <v>3.65</v>
      </c>
    </row>
    <row r="30">
      <c r="A30" s="34" t="inlineStr">
        <is>
          <t>2026Q2</t>
        </is>
      </c>
      <c r="B30" s="36" t="n">
        <v>4</v>
      </c>
      <c r="C30" s="36" t="n">
        <v>4</v>
      </c>
      <c r="D30" s="36" t="n">
        <v>4</v>
      </c>
      <c r="E30" s="38" t="n">
        <v>5</v>
      </c>
      <c r="F30" s="37" t="n">
        <v>4.2</v>
      </c>
    </row>
    <row r="31">
      <c r="A31" s="34" t="inlineStr">
        <is>
          <t>2026Q3</t>
        </is>
      </c>
      <c r="B31" s="36" t="n">
        <v>4</v>
      </c>
      <c r="C31" s="36" t="n">
        <v>4</v>
      </c>
      <c r="D31" s="36" t="n">
        <v>4</v>
      </c>
      <c r="E31" s="38" t="n">
        <v>5</v>
      </c>
      <c r="F31" s="37" t="n">
        <v>4.2</v>
      </c>
    </row>
    <row r="32">
      <c r="A32" s="34" t="inlineStr">
        <is>
          <t>2026Q4</t>
        </is>
      </c>
      <c r="B32" s="36" t="n">
        <v>4</v>
      </c>
      <c r="C32" s="36" t="n">
        <v>4</v>
      </c>
      <c r="D32" s="38" t="n">
        <v>5</v>
      </c>
      <c r="E32" s="38" t="n">
        <v>5</v>
      </c>
      <c r="F32" s="37" t="n">
        <v>4.4</v>
      </c>
    </row>
    <row r="47">
      <c r="A47" s="23" t="inlineStr">
        <is>
          <t>Fonti</t>
        </is>
      </c>
      <c r="B47" s="24" t="n"/>
      <c r="C47" s="24" t="n"/>
      <c r="D47" s="24" t="n"/>
      <c r="E47" s="24" t="n"/>
      <c r="F47" s="24" t="n"/>
      <c r="G47" s="24" t="n"/>
      <c r="H47" s="24" t="n"/>
    </row>
    <row r="48">
      <c r="A48" s="26" t="inlineStr">
        <is>
          <t>Fonte</t>
        </is>
      </c>
      <c r="D48" s="26" t="inlineStr">
        <is>
          <t>Data</t>
        </is>
      </c>
      <c r="E48" s="26" t="inlineStr">
        <is>
          <t>Tipo</t>
        </is>
      </c>
      <c r="F48" s="26" t="inlineStr">
        <is>
          <t>Rilevanza</t>
        </is>
      </c>
      <c r="G48" s="26" t="n"/>
    </row>
    <row r="49" ht="18.5" customHeight="1">
      <c r="A49" s="39" t="inlineStr">
        <is>
          <t>Analisi interna sulle frodi da ingegneria sociale</t>
        </is>
      </c>
      <c r="B49" s="6" t="n"/>
      <c r="C49" s="6" t="n"/>
      <c r="D49" s="40" t="inlineStr">
        <is>
          <t>20/10/2025</t>
        </is>
      </c>
      <c r="E49" s="41" t="inlineStr">
        <is>
          <t>Interna</t>
        </is>
      </c>
      <c r="F49" s="42" t="inlineStr">
        <is>
          <t>Alta</t>
        </is>
      </c>
      <c r="G49" s="39" t="n"/>
      <c r="H49" s="6" t="n"/>
    </row>
    <row r="50" ht="32" customHeight="1">
      <c r="A50" s="39" t="inlineStr">
        <is>
          <t>Threat intelligence: campagne di frode con voce sintetica verso banche UE</t>
        </is>
      </c>
      <c r="B50" s="6" t="n"/>
      <c r="C50" s="6" t="n"/>
      <c r="D50" s="40" t="inlineStr">
        <is>
          <t>15/04/2026</t>
        </is>
      </c>
      <c r="E50" s="43" t="inlineStr">
        <is>
          <t>Esterna</t>
        </is>
      </c>
      <c r="F50" s="44" t="inlineStr">
        <is>
          <t>Media</t>
        </is>
      </c>
      <c r="G50" s="39" t="n"/>
      <c r="H50" s="6" t="n"/>
    </row>
    <row r="51" ht="18.5" customHeight="1">
      <c r="A51" s="39" t="inlineStr">
        <is>
          <t>Report trimestrale frodi — Funzione Antifrode</t>
        </is>
      </c>
      <c r="B51" s="6" t="n"/>
      <c r="C51" s="6" t="n"/>
      <c r="D51" s="40" t="inlineStr">
        <is>
          <t>10/06/2026</t>
        </is>
      </c>
      <c r="E51" s="41" t="inlineStr">
        <is>
          <t>Interna</t>
        </is>
      </c>
      <c r="F51" s="42" t="inlineStr">
        <is>
          <t>Alta</t>
        </is>
      </c>
      <c r="G51" s="39" t="n"/>
      <c r="H51" s="6" t="n"/>
    </row>
    <row r="52" ht="32" customHeight="1">
      <c r="A52" s="39" t="inlineStr">
        <is>
          <t>Relazione annuale sui pagamenti al dettaglio dell'autorita' di vigilanza</t>
        </is>
      </c>
      <c r="B52" s="6" t="n"/>
      <c r="C52" s="6" t="n"/>
      <c r="D52" s="40" t="inlineStr">
        <is>
          <t>28/05/2026</t>
        </is>
      </c>
      <c r="E52" s="43" t="inlineStr">
        <is>
          <t>Esterna</t>
        </is>
      </c>
      <c r="F52" s="42" t="inlineStr">
        <is>
          <t>Alta</t>
        </is>
      </c>
      <c r="G52" s="39" t="n"/>
      <c r="H52" s="6" t="n"/>
    </row>
    <row r="53" ht="18.5" customHeight="1">
      <c r="A53" s="39" t="inlineStr">
        <is>
          <t>Report trimestrale frodi Q3 — Funzione Antifrode</t>
        </is>
      </c>
      <c r="B53" s="6" t="n"/>
      <c r="C53" s="6" t="n"/>
      <c r="D53" s="40" t="inlineStr">
        <is>
          <t>12/09/2026</t>
        </is>
      </c>
      <c r="E53" s="41" t="inlineStr">
        <is>
          <t>Interna</t>
        </is>
      </c>
      <c r="F53" s="42" t="inlineStr">
        <is>
          <t>Alta</t>
        </is>
      </c>
      <c r="G53" s="39" t="n"/>
      <c r="H53" s="6" t="n"/>
    </row>
    <row r="54" ht="32" customHeight="1">
      <c r="A54" s="39" t="inlineStr">
        <is>
          <t>Incident report: frodi con voce sintetica su clienti corporate</t>
        </is>
      </c>
      <c r="B54" s="6" t="n"/>
      <c r="C54" s="6" t="n"/>
      <c r="D54" s="40" t="inlineStr">
        <is>
          <t>20/11/2026</t>
        </is>
      </c>
      <c r="E54" s="41" t="inlineStr">
        <is>
          <t>Interna</t>
        </is>
      </c>
      <c r="F54" s="42" t="inlineStr">
        <is>
          <t>Alta</t>
        </is>
      </c>
      <c r="G54" s="39" t="n"/>
      <c r="H54" s="6" t="n"/>
    </row>
    <row r="56">
      <c r="A56" s="23" t="inlineStr">
        <is>
          <t>Azioni</t>
        </is>
      </c>
      <c r="B56" s="24" t="n"/>
      <c r="C56" s="24" t="n"/>
      <c r="D56" s="24" t="n"/>
      <c r="E56" s="24" t="n"/>
      <c r="F56" s="24" t="n"/>
      <c r="G56" s="24" t="n"/>
      <c r="H56" s="24" t="n"/>
    </row>
    <row r="57">
      <c r="A57" s="26" t="inlineStr">
        <is>
          <t>Azione</t>
        </is>
      </c>
      <c r="F57" s="26" t="inlineStr">
        <is>
          <t>Owner</t>
        </is>
      </c>
      <c r="H57" s="26" t="inlineStr">
        <is>
          <t>Orizzonte · stato</t>
        </is>
      </c>
    </row>
    <row r="58" ht="18.5" customHeight="1">
      <c r="A58" s="45" t="inlineStr">
        <is>
          <t>• Introdurre la verifica fuori banda per bonifici istantanei sopra soglia verso beneficiari nuovi.</t>
        </is>
      </c>
      <c r="F58" s="46" t="inlineStr">
        <is>
          <t>Funzione Antifrode</t>
        </is>
      </c>
      <c r="H58" s="46" t="inlineStr">
        <is>
          <t>6 mesi · Approvata (ciclo 2026Q2)</t>
        </is>
      </c>
    </row>
    <row r="59" ht="32" customHeight="1">
      <c r="A59" s="47" t="inlineStr">
        <is>
          <t>Perche': Oggi la verifica fuori banda esclude i bonifici istantanei: e' il punto debole che l'azione chiude.</t>
        </is>
      </c>
      <c r="B59" s="48" t="n"/>
      <c r="C59" s="48" t="n"/>
      <c r="D59" s="48" t="n"/>
      <c r="E59" s="47" t="inlineStr">
        <is>
          <t>Effetto atteso: non indicato nel razionale di A1.</t>
        </is>
      </c>
      <c r="F59" s="48" t="n"/>
      <c r="G59" s="48" t="n"/>
      <c r="H59" s="48" t="n"/>
    </row>
    <row r="60" ht="18.5" customHeight="1">
      <c r="A60" s="45" t="inlineStr">
        <is>
          <t>• Attivare la verifica fuori banda per bonifici istantanei sopra soglia verso beneficiari nuovi.</t>
        </is>
      </c>
      <c r="F60" s="46" t="inlineStr">
        <is>
          <t>Funzione Antifrode</t>
        </is>
      </c>
      <c r="H60" s="46" t="inlineStr">
        <is>
          <t>3 mesi · Approvata (ciclo 2026Q3)</t>
        </is>
      </c>
    </row>
    <row r="61" ht="32" customHeight="1">
      <c r="A61" s="47" t="inlineStr">
        <is>
          <t>Perche': Chiude il lacuna di controllo principale: la verifica approvata non e' ancora in produzione.</t>
        </is>
      </c>
      <c r="B61" s="48" t="n"/>
      <c r="C61" s="48" t="n"/>
      <c r="D61" s="48" t="n"/>
      <c r="E61" s="47" t="inlineStr">
        <is>
          <t>Effetto atteso: non indicato nel razionale di A1.</t>
        </is>
      </c>
      <c r="F61" s="48" t="n"/>
      <c r="G61" s="48" t="n"/>
      <c r="H61" s="48" t="n"/>
    </row>
    <row r="62" ht="18.5" customHeight="1">
      <c r="A62" s="45" t="inlineStr">
        <is>
          <t>• Campagna di sensibilizzazione dei clienti corporate sulle frodi con voce clonata.</t>
        </is>
      </c>
      <c r="F62" s="46" t="inlineStr">
        <is>
          <t>Direzione Marketing e Comunicazione</t>
        </is>
      </c>
      <c r="H62" s="46" t="inlineStr">
        <is>
          <t>6 mesi · Approvata (ciclo 2026Q3)</t>
        </is>
      </c>
    </row>
    <row r="63" ht="32" customHeight="1">
      <c r="A63" s="47" t="inlineStr">
        <is>
          <t>Perche': Riduce la severity attesa limitando gli importi disposti su richiesta telefonica.</t>
        </is>
      </c>
      <c r="B63" s="48" t="n"/>
      <c r="C63" s="48" t="n"/>
      <c r="D63" s="48" t="n"/>
      <c r="E63" s="47" t="inlineStr">
        <is>
          <t>Effetto atteso: non indicato nel razionale di A1.</t>
        </is>
      </c>
      <c r="F63" s="48" t="n"/>
      <c r="G63" s="48" t="n"/>
      <c r="H63" s="48" t="n"/>
    </row>
    <row r="64" ht="18.5" customHeight="1">
      <c r="A64" s="45" t="inlineStr">
        <is>
          <t>• Anticipare al primo trimestre 2027 l'attivazione della verifica fuori banda sui bonifici istantanei.</t>
        </is>
      </c>
      <c r="F64" s="46" t="inlineStr">
        <is>
          <t>Funzione Antifrode</t>
        </is>
      </c>
      <c r="H64" s="46" t="inlineStr">
        <is>
          <t>3 mesi · Approvata (ciclo 2026Q4)</t>
        </is>
      </c>
    </row>
    <row r="65" ht="45" customHeight="1">
      <c r="A65" s="47" t="inlineStr">
        <is>
          <t>Perche': Con due casi gia' avvenuti presso la Banca la verifica fuori banda, prevista piu' avanti, va anticipata: interrompe la frode nel momento in cui il cliente sta per pagare.</t>
        </is>
      </c>
      <c r="B65" s="48" t="n"/>
      <c r="C65" s="48" t="n"/>
      <c r="D65" s="48" t="n"/>
      <c r="E65" s="47" t="inlineStr">
        <is>
          <t>Effetto atteso: Meno bonifici fraudolenti eseguiti e perdite piu' basse a parita' di tentativi; il tempo di blocco dei beneficiari fraudolenti (NFR-01-K3) deve scendere, mentre la Prossimita' resta alta finche' le campagne continuano.</t>
        </is>
      </c>
      <c r="F65" s="48" t="n"/>
      <c r="G65" s="48" t="n"/>
      <c r="H65" s="48" t="n"/>
    </row>
    <row r="67">
      <c r="A67" s="23" t="inlineStr">
        <is>
          <t>KRI in vigore</t>
        </is>
      </c>
      <c r="B67" s="24" t="n"/>
      <c r="C67" s="24" t="n"/>
      <c r="D67" s="24" t="n"/>
      <c r="E67" s="24" t="n"/>
      <c r="F67" s="24" t="n"/>
      <c r="G67" s="24" t="n"/>
      <c r="H67" s="24" t="n"/>
    </row>
    <row r="68">
      <c r="A68" s="49" t="inlineStr">
        <is>
          <t>Indicatore</t>
        </is>
      </c>
      <c r="E68" s="49" t="inlineStr">
        <is>
          <t>Valore</t>
        </is>
      </c>
      <c r="F68" s="49" t="inlineStr">
        <is>
          <t>Soglie (attenzione / allerta)</t>
        </is>
      </c>
      <c r="G68" s="49" t="inlineStr">
        <is>
          <t>Ciclo prima</t>
        </is>
      </c>
      <c r="H68" s="49" t="inlineStr">
        <is>
          <t>Stato</t>
        </is>
      </c>
    </row>
    <row r="69" ht="20" customHeight="1">
      <c r="A69" s="50" t="inlineStr">
        <is>
          <t>[Evoluzione] Tentativi di frode APP per 10.000 bonifici istantanei (n/10k)</t>
        </is>
      </c>
      <c r="E69" s="51" t="n">
        <v>6.4</v>
      </c>
      <c r="F69" s="52" t="inlineStr">
        <is>
          <t>3,0 / 6,0</t>
        </is>
      </c>
      <c r="G69" s="52" t="n">
        <v>5.3</v>
      </c>
      <c r="H69" s="53" t="inlineStr">
        <is>
          <t>Rosso</t>
        </is>
      </c>
    </row>
    <row r="70" ht="32" customHeight="1">
      <c r="A70" s="47" t="inlineStr">
        <is>
          <t>Perche' lo misuriamo: Misura quanto cresce il fenomeno sul canale piu' esposto: e' il primo segnale di nuove campagne contro i clienti della Banca.</t>
        </is>
      </c>
      <c r="B70" s="48" t="n"/>
      <c r="C70" s="48" t="n"/>
      <c r="D70" s="48" t="n"/>
      <c r="E70" s="47" t="inlineStr">
        <is>
          <t>Effetto atteso: Con la verifica fuori banda i tentativi non calano subito, perche' dipendono dai truffatori, ma devono smettere di crescere; oltre la soglia di allerta il rischio e' in corso su larga scala.</t>
        </is>
      </c>
      <c r="F70" s="48" t="n"/>
      <c r="G70" s="48" t="n"/>
      <c r="H70" s="48" t="n"/>
    </row>
    <row r="71" ht="20" customHeight="1">
      <c r="A71" s="50" t="inlineStr">
        <is>
          <t>[Esposizione] Tempo medio di blocco di un beneficiario fraudolento (ore)</t>
        </is>
      </c>
      <c r="E71" s="51" t="n">
        <v>3.5</v>
      </c>
      <c r="F71" s="52" t="inlineStr">
        <is>
          <t>4,0 / 12,0</t>
        </is>
      </c>
      <c r="G71" s="52" t="n">
        <v>3</v>
      </c>
      <c r="H71" s="54" t="inlineStr">
        <is>
          <t>Verde</t>
        </is>
      </c>
    </row>
    <row r="72" ht="32" customHeight="1">
      <c r="A72" s="47" t="inlineStr">
        <is>
          <t>Perche' lo misuriamo: Misura quanto la Banca e' esposta: piu' a lungo resta attivo un beneficiario fraudolento, piu' bonifici possono raggiungerlo.</t>
        </is>
      </c>
      <c r="B72" s="48" t="n"/>
      <c r="C72" s="48" t="n"/>
      <c r="D72" s="48" t="n"/>
      <c r="E72" s="47" t="inlineStr">
        <is>
          <t>Effetto atteso: Con la verifica fuori banda il tempo di blocco deve scendere sotto la soglia di attenzione; se sale, i controlli non tengono il passo delle frodi.</t>
        </is>
      </c>
      <c r="F72" s="48" t="n"/>
      <c r="G72" s="48" t="n"/>
      <c r="H72" s="48" t="n"/>
    </row>
    <row r="74" ht="61" customHeight="1">
      <c r="A74" s="15" t="inlineStr">
        <is>
          <t>Legenda — Imp = Impatto, Prob = Probabilita, Pross = Prossimita, Vel = Velocity (1-5, 5 = peggiore; n.v. = non valutata, nessuna fonte ne documenta i tempi). Rilevanza di una fonte per la previsione: Alta = fonte primaria o caso documentato, Media = fonte specializzata, Bassa = generalista. Presidio = giudizio della Banca sui controlli, fuori dallo score. X = anni per decidere e avviare la mitigazione; Y = anni per mitigare (azioni o adeguamento strutturale); Z = anni prima che il rischio possa manifestarsi; AGIRE ORA = X + Y &gt; Z. Livello di allerta (calcolato dal registro): Attivazione = almeno due fra AGIRE ORA, KRI in rosso, notizie in peggioramento; Attenzione = uno di questi, o margine sotto l'anno con P x I alto, presidio assente o KRI in ambra; Monitoraggio = gli altri. KRI = indicatore di rischio, di esposizione (quanto la Banca e' esposta) o di evoluzione (quanto cresce il fenomeno). ◆ = tema all'attenzione del supervisore.</t>
        </is>
      </c>
    </row>
  </sheetData>
  <mergeCells count="63">
    <mergeCell ref="A9:H9"/>
    <mergeCell ref="A67:H67"/>
    <mergeCell ref="C16:H16"/>
    <mergeCell ref="E70:H70"/>
    <mergeCell ref="G52:H52"/>
    <mergeCell ref="E61:H61"/>
    <mergeCell ref="G2:H2"/>
    <mergeCell ref="A64:E64"/>
    <mergeCell ref="A24:H24"/>
    <mergeCell ref="A60:E60"/>
    <mergeCell ref="A72:D72"/>
    <mergeCell ref="A11:H11"/>
    <mergeCell ref="E72:H72"/>
    <mergeCell ref="A1:H1"/>
    <mergeCell ref="C12:H12"/>
    <mergeCell ref="A50:C50"/>
    <mergeCell ref="A63:D63"/>
    <mergeCell ref="G48:H48"/>
    <mergeCell ref="A6:H6"/>
    <mergeCell ref="A54:C54"/>
    <mergeCell ref="A2:F2"/>
    <mergeCell ref="A59:D59"/>
    <mergeCell ref="G53:H53"/>
    <mergeCell ref="A53:C53"/>
    <mergeCell ref="A3:B3"/>
    <mergeCell ref="A74:H74"/>
    <mergeCell ref="A52:C52"/>
    <mergeCell ref="G49:H49"/>
    <mergeCell ref="A56:H56"/>
    <mergeCell ref="A26:H26"/>
    <mergeCell ref="A21:H21"/>
    <mergeCell ref="A70:D70"/>
    <mergeCell ref="A61:D61"/>
    <mergeCell ref="F62:G62"/>
    <mergeCell ref="A69:D69"/>
    <mergeCell ref="C13:H13"/>
    <mergeCell ref="A65:D65"/>
    <mergeCell ref="A47:H47"/>
    <mergeCell ref="A5:H5"/>
    <mergeCell ref="A23:H23"/>
    <mergeCell ref="E63:H63"/>
    <mergeCell ref="A48:C48"/>
    <mergeCell ref="A8:H8"/>
    <mergeCell ref="F58:G58"/>
    <mergeCell ref="F64:G64"/>
    <mergeCell ref="A51:C51"/>
    <mergeCell ref="A17:H17"/>
    <mergeCell ref="C15:H15"/>
    <mergeCell ref="G51:H51"/>
    <mergeCell ref="A49:C49"/>
    <mergeCell ref="A62:E62"/>
    <mergeCell ref="C14:H14"/>
    <mergeCell ref="G54:H54"/>
    <mergeCell ref="A20:H20"/>
    <mergeCell ref="E65:H65"/>
    <mergeCell ref="F60:G60"/>
    <mergeCell ref="A19:H19"/>
    <mergeCell ref="G50:H50"/>
    <mergeCell ref="E59:H59"/>
    <mergeCell ref="A71:D71"/>
    <mergeCell ref="A58:E58"/>
    <mergeCell ref="C3:D3"/>
    <mergeCell ref="E3:F3"/>
  </mergeCells>
  <pageMargins left="0.4" right="0.4" top="1" bottom="1" header="0.5" footer="0.5"/>
  <pageSetup orientation="portrait" paperSize="9" fitToHeight="0" fitToWidth="1"/>
  <headerFooter>
    <oddHeader>&amp;CUso interno&amp;RHorizon Scan NFR</oddHeader>
    <oddFooter>&amp;L&amp;F · &amp;A&amp;RPagina &amp;P di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4" customWidth="1" min="8" max="8"/>
  </cols>
  <sheetData>
    <row r="1">
      <c r="A1" s="16" t="inlineStr">
        <is>
          <t>Horizon Scan NFR — schede dei rischi · ciclo 2026Q4 · dati al 31/12/2026 · validato · Uso interno</t>
        </is>
      </c>
    </row>
    <row r="2" ht="34" customHeight="1">
      <c r="A2" s="17" t="inlineStr">
        <is>
          <t>2 · NFR-07 · Ransomware presso un fornitore di servizi di pagamento</t>
        </is>
      </c>
      <c r="B2" s="18" t="n"/>
      <c r="C2" s="18" t="n"/>
      <c r="D2" s="18" t="n"/>
      <c r="E2" s="18" t="n"/>
      <c r="F2" s="18" t="n"/>
      <c r="G2" s="19" t="inlineStr">
        <is>
          <t>score 3,75   ● 0,00   ·   Entro l'anno   ·   Attenzione</t>
        </is>
      </c>
      <c r="H2" s="18" t="n"/>
    </row>
    <row r="3" ht="28" customHeight="1">
      <c r="A3" s="20" t="inlineStr">
        <is>
          <t>L1-06 · Interruzione dell'operativita' e disfunzione dei sistemi</t>
        </is>
      </c>
      <c r="B3" s="21" t="n"/>
      <c r="C3" s="20" t="inlineStr">
        <is>
          <t>Driver: DRV-CYB, DRV-TPR</t>
        </is>
      </c>
      <c r="D3" s="21" t="n"/>
      <c r="E3" s="20" t="inlineStr">
        <is>
          <t>Owner: Funzione ICT &amp; Security Risk · Presidio: Parziale</t>
        </is>
      </c>
      <c r="F3" s="21" t="n"/>
      <c r="G3" s="22" t="inlineStr">
        <is>
          <t>◆ Attenzione del supervisore</t>
        </is>
      </c>
      <c r="H3" s="20" t="inlineStr">
        <is>
          <t>Esito: Confermato · validato</t>
        </is>
      </c>
    </row>
    <row r="5">
      <c r="A5" s="23" t="inlineStr">
        <is>
          <t>Il rischio</t>
        </is>
      </c>
      <c r="B5" s="24" t="n"/>
      <c r="C5" s="24" t="n"/>
      <c r="D5" s="24" t="n"/>
      <c r="E5" s="24" t="n"/>
      <c r="F5" s="24" t="n"/>
      <c r="G5" s="24" t="n"/>
      <c r="H5" s="24" t="n"/>
    </row>
    <row r="6" ht="19.5" customHeight="1">
      <c r="A6" s="25" t="inlineStr">
        <is>
          <t>Blocco prolungato dei pagamenti per un attacco ransomware al fornitore esterno che gestisce il gateway di pagamento della Banca.</t>
        </is>
      </c>
    </row>
    <row r="8">
      <c r="A8" s="23" t="inlineStr">
        <is>
          <t>Razionale: il fenomeno in termini di rischio</t>
        </is>
      </c>
      <c r="B8" s="24" t="n"/>
      <c r="C8" s="24" t="n"/>
      <c r="D8" s="24" t="n"/>
      <c r="E8" s="24" t="n"/>
      <c r="F8" s="24" t="n"/>
      <c r="G8" s="24" t="n"/>
      <c r="H8" s="24" t="n"/>
    </row>
    <row r="9" ht="33" customHeight="1">
      <c r="A9" s="25" t="inlineStr">
        <is>
          <t>I gruppi ransomware colpiscono sempre piu' i fornitori che servono molte banche (causa); un attacco al fornitore del gateway di pagamento (evento) blocca i pagamenti della Banca finche' il fornitore non ripristina i sistemi, con danno ai clienti, sanzioni e reputazione (danno). Nessuna evidenza nuova nel trimestre: valori confermati.</t>
        </is>
      </c>
    </row>
    <row r="11">
      <c r="A11" s="23" t="inlineStr">
        <is>
          <t>Valutazione, dimensione per dimensione (valori validati)</t>
        </is>
      </c>
      <c r="B11" s="24" t="n"/>
      <c r="C11" s="24" t="n"/>
      <c r="D11" s="24" t="n"/>
      <c r="E11" s="24" t="n"/>
      <c r="F11" s="24" t="n"/>
      <c r="G11" s="24" t="n"/>
      <c r="H11" s="24" t="n"/>
    </row>
    <row r="12">
      <c r="A12" s="26" t="inlineStr">
        <is>
          <t>Dimensione</t>
        </is>
      </c>
      <c r="B12" s="26" t="inlineStr">
        <is>
          <t>Valore</t>
        </is>
      </c>
      <c r="C12" s="26" t="inlineStr">
        <is>
          <t>Perche' questo valore: informazioni e documenti</t>
        </is>
      </c>
    </row>
    <row r="13" ht="26" customHeight="1">
      <c r="A13" s="27" t="inlineStr">
        <is>
          <t>Impatto</t>
        </is>
      </c>
      <c r="B13" s="28" t="n">
        <v>4</v>
      </c>
      <c r="C13" s="29" t="inlineStr">
        <is>
          <t>Grave. Il Registro DORA classifica critico il fornitore del gateway: il blocco interrompe una funzione essenziale.</t>
        </is>
      </c>
      <c r="D13" s="6" t="n"/>
      <c r="E13" s="6" t="n"/>
      <c r="F13" s="6" t="n"/>
      <c r="G13" s="6" t="n"/>
      <c r="H13" s="6" t="n"/>
    </row>
    <row r="14" ht="26" customHeight="1">
      <c r="A14" s="27" t="inlineStr">
        <is>
          <t>Probabilita</t>
        </is>
      </c>
      <c r="B14" s="55" t="n">
        <v>3</v>
      </c>
      <c r="C14" s="29" t="inlineStr">
        <is>
          <t>Possibile. L'attacco ransomware a un processore di pagamenti europeo e' un caso nel settore; la Banca e' esposta perche' dipende da un solo gateway.</t>
        </is>
      </c>
      <c r="D14" s="6" t="n"/>
      <c r="E14" s="6" t="n"/>
      <c r="F14" s="6" t="n"/>
      <c r="G14" s="6" t="n"/>
      <c r="H14" s="6" t="n"/>
    </row>
    <row r="15" ht="26" customHeight="1">
      <c r="A15" s="27" t="inlineStr">
        <is>
          <t>Prossimita</t>
        </is>
      </c>
      <c r="B15" s="55" t="n">
        <v>3</v>
      </c>
      <c r="C15" s="29" t="inlineStr">
        <is>
          <t>Da uno a due anni. Nessun attacco o segnale specifico sul fornitore della Banca.</t>
        </is>
      </c>
      <c r="D15" s="6" t="n"/>
      <c r="E15" s="6" t="n"/>
      <c r="F15" s="6" t="n"/>
      <c r="G15" s="6" t="n"/>
      <c r="H15" s="6" t="n"/>
    </row>
    <row r="16" ht="26" customHeight="1">
      <c r="A16" s="27" t="inlineStr">
        <is>
          <t>Velocity</t>
        </is>
      </c>
      <c r="B16" s="30" t="n">
        <v>5</v>
      </c>
      <c r="C16" s="29" t="inlineStr">
        <is>
          <t>Entro un mese. Nell'attacco al processore di pagamenti europeo i pagamenti si sono fermati il giorno stesso.</t>
        </is>
      </c>
      <c r="D16" s="6" t="n"/>
      <c r="E16" s="6" t="n"/>
      <c r="F16" s="6" t="n"/>
      <c r="G16" s="6" t="n"/>
      <c r="H16" s="6" t="n"/>
    </row>
    <row r="17">
      <c r="A17" s="31" t="inlineStr">
        <is>
          <t>Score composito 3,75 = (0,35 x 4 + 0,25 x 3 + 0,20 x 3 + 0,20 x 5) / 1,00. La rilevanza delle fonti e' nella tabella Fonti.</t>
        </is>
      </c>
    </row>
    <row r="19">
      <c r="A19" s="23" t="inlineStr">
        <is>
          <t>Urgenza (disuguaglianza di Mosca) e livello di allerta</t>
        </is>
      </c>
      <c r="B19" s="24" t="n"/>
      <c r="C19" s="24" t="n"/>
      <c r="D19" s="24" t="n"/>
      <c r="E19" s="24" t="n"/>
      <c r="F19" s="24" t="n"/>
      <c r="G19" s="24" t="n"/>
      <c r="H19" s="24" t="n"/>
    </row>
    <row r="20" ht="19.5" customHeight="1">
      <c r="A20" s="56" t="inlineStr">
        <is>
          <t>Livello di allerta: Attenzione — margine sotto l'anno con P x I alta, KRI in ambra o rosso.</t>
        </is>
      </c>
    </row>
    <row r="21" ht="19.5" customHeight="1">
      <c r="A21" s="25" t="inlineStr">
        <is>
          <t>Agire entro l'anno. Tempo necessario X + Y = 0,25 + 0,50 = 0,75 anni; tempo disponibile Z = 1,5 anni (Prossimita 3). Margine Z - (X + Y) = 0,75.</t>
        </is>
      </c>
    </row>
    <row r="23">
      <c r="A23" s="23" t="inlineStr">
        <is>
          <t>Cosa e' cambiato nel ciclo</t>
        </is>
      </c>
      <c r="B23" s="24" t="n"/>
      <c r="C23" s="24" t="n"/>
      <c r="D23" s="24" t="n"/>
      <c r="E23" s="24" t="n"/>
      <c r="F23" s="24" t="n"/>
      <c r="G23" s="24" t="n"/>
      <c r="H23" s="24" t="n"/>
    </row>
    <row r="24" ht="19.5" customHeight="1">
      <c r="A24" s="25" t="inlineStr">
        <is>
          <t>Nessun valore cambiato: confermato sulle fonti del ciclo precedente.</t>
        </is>
      </c>
    </row>
    <row r="26">
      <c r="A26" s="23" t="inlineStr">
        <is>
          <t>Andamento negli ultimi trimestri</t>
        </is>
      </c>
      <c r="B26" s="24" t="n"/>
      <c r="C26" s="24" t="n"/>
      <c r="D26" s="24" t="n"/>
      <c r="E26" s="24" t="n"/>
      <c r="F26" s="24" t="n"/>
      <c r="G26" s="24" t="n"/>
      <c r="H26" s="24" t="n"/>
    </row>
    <row r="27">
      <c r="A27" s="33" t="inlineStr">
        <is>
          <t>Ciclo</t>
        </is>
      </c>
      <c r="B27" s="33" t="inlineStr">
        <is>
          <t>Imp</t>
        </is>
      </c>
      <c r="C27" s="33" t="inlineStr">
        <is>
          <t>Prob</t>
        </is>
      </c>
      <c r="D27" s="33" t="inlineStr">
        <is>
          <t>Pross</t>
        </is>
      </c>
      <c r="E27" s="33" t="inlineStr">
        <is>
          <t>Vel</t>
        </is>
      </c>
      <c r="F27" s="33" t="inlineStr">
        <is>
          <t>Score</t>
        </is>
      </c>
    </row>
    <row r="28">
      <c r="A28" s="34" t="inlineStr">
        <is>
          <t>2025Q4</t>
        </is>
      </c>
      <c r="B28" s="36" t="n">
        <v>4</v>
      </c>
      <c r="C28" s="35" t="n">
        <v>3</v>
      </c>
      <c r="D28" s="35" t="n">
        <v>3</v>
      </c>
      <c r="E28" s="38" t="n">
        <v>5</v>
      </c>
      <c r="F28" s="37" t="n">
        <v>3.75</v>
      </c>
    </row>
    <row r="29">
      <c r="A29" s="34" t="inlineStr">
        <is>
          <t>2026Q1</t>
        </is>
      </c>
      <c r="B29" s="36" t="n">
        <v>4</v>
      </c>
      <c r="C29" s="35" t="n">
        <v>3</v>
      </c>
      <c r="D29" s="35" t="n">
        <v>3</v>
      </c>
      <c r="E29" s="38" t="n">
        <v>5</v>
      </c>
      <c r="F29" s="37" t="n">
        <v>3.75</v>
      </c>
    </row>
    <row r="30">
      <c r="A30" s="34" t="inlineStr">
        <is>
          <t>2026Q2</t>
        </is>
      </c>
      <c r="B30" s="36" t="n">
        <v>4</v>
      </c>
      <c r="C30" s="35" t="n">
        <v>3</v>
      </c>
      <c r="D30" s="35" t="n">
        <v>3</v>
      </c>
      <c r="E30" s="38" t="n">
        <v>5</v>
      </c>
      <c r="F30" s="37" t="n">
        <v>3.75</v>
      </c>
    </row>
    <row r="31">
      <c r="A31" s="34" t="inlineStr">
        <is>
          <t>2026Q3</t>
        </is>
      </c>
      <c r="B31" s="36" t="n">
        <v>4</v>
      </c>
      <c r="C31" s="35" t="n">
        <v>3</v>
      </c>
      <c r="D31" s="35" t="n">
        <v>3</v>
      </c>
      <c r="E31" s="38" t="n">
        <v>5</v>
      </c>
      <c r="F31" s="37" t="n">
        <v>3.75</v>
      </c>
    </row>
    <row r="32">
      <c r="A32" s="34" t="inlineStr">
        <is>
          <t>2026Q4</t>
        </is>
      </c>
      <c r="B32" s="36" t="n">
        <v>4</v>
      </c>
      <c r="C32" s="35" t="n">
        <v>3</v>
      </c>
      <c r="D32" s="35" t="n">
        <v>3</v>
      </c>
      <c r="E32" s="38" t="n">
        <v>5</v>
      </c>
      <c r="F32" s="37" t="n">
        <v>3.75</v>
      </c>
    </row>
    <row r="47">
      <c r="A47" s="23" t="inlineStr">
        <is>
          <t>Fonti</t>
        </is>
      </c>
      <c r="B47" s="24" t="n"/>
      <c r="C47" s="24" t="n"/>
      <c r="D47" s="24" t="n"/>
      <c r="E47" s="24" t="n"/>
      <c r="F47" s="24" t="n"/>
      <c r="G47" s="24" t="n"/>
      <c r="H47" s="24" t="n"/>
    </row>
    <row r="48">
      <c r="A48" s="26" t="inlineStr">
        <is>
          <t>Fonte</t>
        </is>
      </c>
      <c r="D48" s="26" t="inlineStr">
        <is>
          <t>Data</t>
        </is>
      </c>
      <c r="E48" s="26" t="inlineStr">
        <is>
          <t>Tipo</t>
        </is>
      </c>
      <c r="F48" s="26" t="inlineStr">
        <is>
          <t>Rilevanza</t>
        </is>
      </c>
      <c r="G48" s="26" t="n"/>
    </row>
    <row r="49" ht="32" customHeight="1">
      <c r="A49" s="39" t="inlineStr">
        <is>
          <t>Registro DORA: fornitore del gateway di pagamento classificato critico</t>
        </is>
      </c>
      <c r="B49" s="6" t="n"/>
      <c r="C49" s="6" t="n"/>
      <c r="D49" s="40" t="inlineStr">
        <is>
          <t>15/10/2025</t>
        </is>
      </c>
      <c r="E49" s="41" t="inlineStr">
        <is>
          <t>Interna</t>
        </is>
      </c>
      <c r="F49" s="42" t="inlineStr">
        <is>
          <t>Alta</t>
        </is>
      </c>
      <c r="G49" s="39" t="n"/>
      <c r="H49" s="6" t="n"/>
    </row>
    <row r="50" ht="18.5" customHeight="1">
      <c r="A50" s="39" t="inlineStr">
        <is>
          <t>Attacco ransomware a un processore di pagamenti europeo</t>
        </is>
      </c>
      <c r="B50" s="6" t="n"/>
      <c r="C50" s="6" t="n"/>
      <c r="D50" s="40" t="inlineStr">
        <is>
          <t>20/02/2026</t>
        </is>
      </c>
      <c r="E50" s="43" t="inlineStr">
        <is>
          <t>Esterna</t>
        </is>
      </c>
      <c r="F50" s="42" t="inlineStr">
        <is>
          <t>Alta</t>
        </is>
      </c>
      <c r="G50" s="39" t="n"/>
      <c r="H50" s="6" t="n"/>
    </row>
    <row r="52">
      <c r="A52" s="23" t="inlineStr">
        <is>
          <t>Azioni</t>
        </is>
      </c>
      <c r="B52" s="24" t="n"/>
      <c r="C52" s="24" t="n"/>
      <c r="D52" s="24" t="n"/>
      <c r="E52" s="24" t="n"/>
      <c r="F52" s="24" t="n"/>
      <c r="G52" s="24" t="n"/>
      <c r="H52" s="24" t="n"/>
    </row>
    <row r="53">
      <c r="A53" s="26" t="inlineStr">
        <is>
          <t>Azione</t>
        </is>
      </c>
      <c r="F53" s="26" t="inlineStr">
        <is>
          <t>Owner</t>
        </is>
      </c>
      <c r="H53" s="26" t="inlineStr">
        <is>
          <t>Orizzonte · stato</t>
        </is>
      </c>
    </row>
    <row r="54" ht="18.5" customHeight="1">
      <c r="A54" s="45" t="inlineStr">
        <is>
          <t>• Test congiunto di ripristino da ransomware con il fornitore del gateway di pagamento.</t>
        </is>
      </c>
      <c r="F54" s="46" t="inlineStr">
        <is>
          <t>Funzione ICT &amp; Security Risk</t>
        </is>
      </c>
      <c r="H54" s="46" t="inlineStr">
        <is>
          <t>6 mesi · Approvata (ciclo 2026Q2)</t>
        </is>
      </c>
    </row>
    <row r="55" ht="19" customHeight="1">
      <c r="A55" s="47" t="inlineStr">
        <is>
          <t>Perche': Il ripristino da ransomware non e' mai stato testato con il fornitore.</t>
        </is>
      </c>
      <c r="B55" s="48" t="n"/>
      <c r="C55" s="48" t="n"/>
      <c r="D55" s="48" t="n"/>
      <c r="E55" s="47" t="inlineStr">
        <is>
          <t>Effetto atteso: non indicato nel razionale di A1.</t>
        </is>
      </c>
      <c r="F55" s="48" t="n"/>
      <c r="G55" s="48" t="n"/>
      <c r="H55" s="48" t="n"/>
    </row>
    <row r="56" ht="32" customHeight="1">
      <c r="A56" s="45" t="inlineStr">
        <is>
          <t>• Inserire nel contratto con il fornitore del gateway di pagamento tempi di ripristino garantiti dopo un attacco ransomware, con penali.</t>
        </is>
      </c>
      <c r="F56" s="46" t="inlineStr">
        <is>
          <t>Funzione ICT &amp; Security Risk</t>
        </is>
      </c>
      <c r="H56" s="46" t="inlineStr">
        <is>
          <t>6 mesi · Approvata (ciclo 2026Q3)</t>
        </is>
      </c>
    </row>
    <row r="57" ht="32" customHeight="1">
      <c r="A57" s="47" t="inlineStr">
        <is>
          <t>Perche': Il test congiunto di ripristino (2026Q2-NFR-07-A1) misura i tempi; il contratto li rende vincolanti per il fornitore.</t>
        </is>
      </c>
      <c r="B57" s="48" t="n"/>
      <c r="C57" s="48" t="n"/>
      <c r="D57" s="48" t="n"/>
      <c r="E57" s="47" t="inlineStr">
        <is>
          <t>Effetto atteso: non indicato nel razionale di A1.</t>
        </is>
      </c>
      <c r="F57" s="48" t="n"/>
      <c r="G57" s="48" t="n"/>
      <c r="H57" s="48" t="n"/>
    </row>
    <row r="58" ht="32" customHeight="1">
      <c r="A58" s="45" t="inlineStr">
        <is>
          <t>• Prevedere un canale di pagamento alternativo, attivabile entro 24 ore, se il gateway del fornitore resta bloccato da un attacco.</t>
        </is>
      </c>
      <c r="F58" s="46" t="inlineStr">
        <is>
          <t>Funzione ICT &amp; Security Risk</t>
        </is>
      </c>
      <c r="H58" s="46" t="inlineStr">
        <is>
          <t>6 mesi · Approvata (ciclo 2026Q4)</t>
        </is>
      </c>
    </row>
    <row r="59" ht="32" customHeight="1">
      <c r="A59" s="47" t="inlineStr">
        <is>
          <t>Perche': Il test di ripristino (2026Q2-NFR-07-A1) e i tempi contrattuali (2026Q3-NFR-07-A1) non coprono un blocco lungo del fornitore: serve un'alternativa.</t>
        </is>
      </c>
      <c r="B59" s="48" t="n"/>
      <c r="C59" s="48" t="n"/>
      <c r="D59" s="48" t="n"/>
      <c r="E59" s="47" t="inlineStr">
        <is>
          <t>Effetto atteso: Un blocco del fornitore non ferma i pagamenti per piu' di un giorno, quindi un danno contenuto anche nel caso peggiore.</t>
        </is>
      </c>
      <c r="F59" s="48" t="n"/>
      <c r="G59" s="48" t="n"/>
      <c r="H59" s="48" t="n"/>
    </row>
    <row r="61">
      <c r="A61" s="23" t="inlineStr">
        <is>
          <t>KRI in vigore</t>
        </is>
      </c>
      <c r="B61" s="24" t="n"/>
      <c r="C61" s="24" t="n"/>
      <c r="D61" s="24" t="n"/>
      <c r="E61" s="24" t="n"/>
      <c r="F61" s="24" t="n"/>
      <c r="G61" s="24" t="n"/>
      <c r="H61" s="24" t="n"/>
    </row>
    <row r="62">
      <c r="A62" s="49" t="inlineStr">
        <is>
          <t>Indicatore</t>
        </is>
      </c>
      <c r="E62" s="49" t="inlineStr">
        <is>
          <t>Valore</t>
        </is>
      </c>
      <c r="F62" s="49" t="inlineStr">
        <is>
          <t>Soglie (attenzione / allerta)</t>
        </is>
      </c>
      <c r="G62" s="49" t="inlineStr">
        <is>
          <t>Ciclo prima</t>
        </is>
      </c>
      <c r="H62" s="49" t="inlineStr">
        <is>
          <t>Stato</t>
        </is>
      </c>
    </row>
    <row r="63" ht="20" customHeight="1">
      <c r="A63" s="50" t="inlineStr">
        <is>
          <t>[Esposizione] Fornitori di pagamento critici senza test di ripristino da ransomware (n)</t>
        </is>
      </c>
      <c r="E63" s="51" t="n">
        <v>1</v>
      </c>
      <c r="F63" s="52" t="inlineStr">
        <is>
          <t>1,0 / 2,0</t>
        </is>
      </c>
      <c r="G63" s="52" t="n">
        <v>1</v>
      </c>
      <c r="H63" s="57" t="inlineStr">
        <is>
          <t>Ambra</t>
        </is>
      </c>
    </row>
    <row r="64" ht="32" customHeight="1">
      <c r="A64" s="47" t="inlineStr">
        <is>
          <t>Perche' lo misuriamo: Misura quanto la Banca e' esposta: un fornitore critico mai provato nel ripristino e' un blocco di durata sconosciuta.</t>
        </is>
      </c>
      <c r="B64" s="48" t="n"/>
      <c r="C64" s="48" t="n"/>
      <c r="D64" s="48" t="n"/>
      <c r="E64" s="47" t="inlineStr">
        <is>
          <t>Effetto atteso: Atteso a zero dopo il test congiunto; ogni nuovo fornitore critico senza test lo riporta in ambra.</t>
        </is>
      </c>
      <c r="F64" s="48" t="n"/>
      <c r="G64" s="48" t="n"/>
      <c r="H64" s="48" t="n"/>
    </row>
    <row r="65" ht="20" customHeight="1">
      <c r="A65" s="50" t="inlineStr">
        <is>
          <t>[Evoluzione] Ore di indisponibilita' del gateway di pagamento nel trimestre (ore)</t>
        </is>
      </c>
      <c r="E65" s="51" t="n">
        <v>0.5</v>
      </c>
      <c r="F65" s="52" t="inlineStr">
        <is>
          <t>4,0 / 12,0</t>
        </is>
      </c>
      <c r="G65" s="52" t="n">
        <v>2.5</v>
      </c>
      <c r="H65" s="54" t="inlineStr">
        <is>
          <t>Verde</t>
        </is>
      </c>
    </row>
    <row r="66" ht="32" customHeight="1">
      <c r="A66" s="47" t="inlineStr">
        <is>
          <t>Perche' lo misuriamo: Misura le interruzioni reali del gateway, il canale attraverso cui il rischio colpisce.</t>
        </is>
      </c>
      <c r="B66" s="48" t="n"/>
      <c r="C66" s="48" t="n"/>
      <c r="D66" s="48" t="n"/>
      <c r="E66" s="47" t="inlineStr">
        <is>
          <t>Effetto atteso: Poche ore e stabili; oltre la soglia di allerta il fornitore ha problemi di continuita' e la Prossimita' va rivista.</t>
        </is>
      </c>
      <c r="F66" s="48" t="n"/>
      <c r="G66" s="48" t="n"/>
      <c r="H66" s="48" t="n"/>
    </row>
    <row r="68" ht="61" customHeight="1">
      <c r="A68" s="15" t="inlineStr">
        <is>
          <t>Legenda — Imp = Impatto, Prob = Probabilita, Pross = Prossimita, Vel = Velocity (1-5, 5 = peggiore; n.v. = non valutata, nessuna fonte ne documenta i tempi). Rilevanza di una fonte per la previsione: Alta = fonte primaria o caso documentato, Media = fonte specializzata, Bassa = generalista. Presidio = giudizio della Banca sui controlli, fuori dallo score. X = anni per decidere e avviare la mitigazione; Y = anni per mitigare (azioni o adeguamento strutturale); Z = anni prima che il rischio possa manifestarsi; AGIRE ORA = X + Y &gt; Z. Livello di allerta (calcolato dal registro): Attivazione = almeno due fra AGIRE ORA, KRI in rosso, notizie in peggioramento; Attenzione = uno di questi, o margine sotto l'anno con P x I alto, presidio assente o KRI in ambra; Monitoraggio = gli altri. KRI = indicatore di rischio, di esposizione (quanto la Banca e' esposta) o di evoluzione (quanto cresce il fenomeno). ◆ = tema all'attenzione del supervisore.</t>
        </is>
      </c>
    </row>
  </sheetData>
  <mergeCells count="51">
    <mergeCell ref="A9:H9"/>
    <mergeCell ref="C16:H16"/>
    <mergeCell ref="G2:H2"/>
    <mergeCell ref="F54:G54"/>
    <mergeCell ref="A24:H24"/>
    <mergeCell ref="E57:H57"/>
    <mergeCell ref="A11:H11"/>
    <mergeCell ref="A1:H1"/>
    <mergeCell ref="C12:H12"/>
    <mergeCell ref="A50:C50"/>
    <mergeCell ref="A63:D63"/>
    <mergeCell ref="G48:H48"/>
    <mergeCell ref="A61:H61"/>
    <mergeCell ref="A6:H6"/>
    <mergeCell ref="E66:H66"/>
    <mergeCell ref="A2:F2"/>
    <mergeCell ref="A54:E54"/>
    <mergeCell ref="A64:D64"/>
    <mergeCell ref="A59:D59"/>
    <mergeCell ref="E55:H55"/>
    <mergeCell ref="A3:B3"/>
    <mergeCell ref="A56:E56"/>
    <mergeCell ref="G49:H49"/>
    <mergeCell ref="A26:H26"/>
    <mergeCell ref="A21:H21"/>
    <mergeCell ref="E64:H64"/>
    <mergeCell ref="C13:H13"/>
    <mergeCell ref="A65:D65"/>
    <mergeCell ref="A47:H47"/>
    <mergeCell ref="A5:H5"/>
    <mergeCell ref="A23:H23"/>
    <mergeCell ref="A48:C48"/>
    <mergeCell ref="A8:H8"/>
    <mergeCell ref="F56:G56"/>
    <mergeCell ref="F58:G58"/>
    <mergeCell ref="A66:D66"/>
    <mergeCell ref="A17:H17"/>
    <mergeCell ref="C15:H15"/>
    <mergeCell ref="A49:C49"/>
    <mergeCell ref="C14:H14"/>
    <mergeCell ref="A20:H20"/>
    <mergeCell ref="A52:H52"/>
    <mergeCell ref="A55:D55"/>
    <mergeCell ref="A19:H19"/>
    <mergeCell ref="G50:H50"/>
    <mergeCell ref="A57:D57"/>
    <mergeCell ref="E59:H59"/>
    <mergeCell ref="A68:H68"/>
    <mergeCell ref="A58:E58"/>
    <mergeCell ref="C3:D3"/>
    <mergeCell ref="E3:F3"/>
  </mergeCells>
  <pageMargins left="0.4" right="0.4" top="1" bottom="1" header="0.5" footer="0.5"/>
  <pageSetup orientation="portrait" paperSize="9" fitToHeight="0" fitToWidth="1"/>
  <headerFooter>
    <oddHeader>&amp;CUso interno&amp;RHorizon Scan NFR</oddHeader>
    <oddFooter>&amp;L&amp;F · &amp;A&amp;RPagina &amp;P di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6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4" customWidth="1" min="8" max="8"/>
  </cols>
  <sheetData>
    <row r="1">
      <c r="A1" s="16" t="inlineStr">
        <is>
          <t>Horizon Scan NFR — schede dei rischi · ciclo 2026Q4 · dati al 31/12/2026 · validato · Uso interno</t>
        </is>
      </c>
    </row>
    <row r="2" ht="34" customHeight="1">
      <c r="A2" s="17" t="inlineStr">
        <is>
          <t>3 · NFR-12 · Errori operativi nei pagamenti istantanei obbligatori</t>
        </is>
      </c>
      <c r="B2" s="18" t="n"/>
      <c r="C2" s="18" t="n"/>
      <c r="D2" s="18" t="n"/>
      <c r="E2" s="18" t="n"/>
      <c r="F2" s="18" t="n"/>
      <c r="G2" s="19" t="inlineStr">
        <is>
          <t>score 3,65   ● 0,00   ·   Entro l'anno   ·   Attenzione</t>
        </is>
      </c>
      <c r="H2" s="18" t="n"/>
    </row>
    <row r="3" ht="28" customHeight="1">
      <c r="A3" s="20" t="inlineStr">
        <is>
          <t>L1-07 · Esecuzione, consegna e gestione dei processi</t>
        </is>
      </c>
      <c r="B3" s="21" t="n"/>
      <c r="C3" s="20" t="inlineStr">
        <is>
          <t>Driver: DRV-TEC</t>
        </is>
      </c>
      <c r="D3" s="21" t="n"/>
      <c r="E3" s="20" t="inlineStr">
        <is>
          <t>Owner: Funzione Operations · Presidio: Parziale</t>
        </is>
      </c>
      <c r="F3" s="21" t="n"/>
      <c r="G3" s="20" t="n"/>
      <c r="H3" s="20" t="inlineStr">
        <is>
          <t>Esito: Confermato · validato</t>
        </is>
      </c>
    </row>
    <row r="5">
      <c r="A5" s="23" t="inlineStr">
        <is>
          <t>Il rischio</t>
        </is>
      </c>
      <c r="B5" s="24" t="n"/>
      <c r="C5" s="24" t="n"/>
      <c r="D5" s="24" t="n"/>
      <c r="E5" s="24" t="n"/>
      <c r="F5" s="24" t="n"/>
      <c r="G5" s="24" t="n"/>
      <c r="H5" s="24" t="n"/>
    </row>
    <row r="6" ht="19.5" customHeight="1">
      <c r="A6" s="25" t="inlineStr">
        <is>
          <t>Errori di riconciliazione e rimborsi indebiti dopo l'obbligo di offrire i bonifici istantanei a tutta la clientela.</t>
        </is>
      </c>
    </row>
    <row r="8">
      <c r="A8" s="23" t="inlineStr">
        <is>
          <t>Razionale: il fenomeno in termini di rischio</t>
        </is>
      </c>
      <c r="B8" s="24" t="n"/>
      <c r="C8" s="24" t="n"/>
      <c r="D8" s="24" t="n"/>
      <c r="E8" s="24" t="n"/>
      <c r="F8" s="24" t="n"/>
      <c r="G8" s="24" t="n"/>
      <c r="H8" s="24" t="n"/>
    </row>
    <row r="9" ht="33" customHeight="1">
      <c r="A9" s="25" t="inlineStr">
        <is>
          <t>L'obbligo di offrire i bonifici istantanei a tutta la clientela moltiplica i volumi da riconciliare in tempo reale (causa); differenze di riconciliazione non risolte ed eccezioni portano a rimborsi indebiti o pagamenti errati (evento); la Banca subisce perdite operative e reclami (danno). Nessuna evidenza nuova nel trimestre: valori confermati.</t>
        </is>
      </c>
    </row>
    <row r="11">
      <c r="A11" s="23" t="inlineStr">
        <is>
          <t>Valutazione, dimensione per dimensione (valori validati)</t>
        </is>
      </c>
      <c r="B11" s="24" t="n"/>
      <c r="C11" s="24" t="n"/>
      <c r="D11" s="24" t="n"/>
      <c r="E11" s="24" t="n"/>
      <c r="F11" s="24" t="n"/>
      <c r="G11" s="24" t="n"/>
      <c r="H11" s="24" t="n"/>
    </row>
    <row r="12">
      <c r="A12" s="26" t="inlineStr">
        <is>
          <t>Dimensione</t>
        </is>
      </c>
      <c r="B12" s="26" t="inlineStr">
        <is>
          <t>Valore</t>
        </is>
      </c>
      <c r="C12" s="26" t="inlineStr">
        <is>
          <t>Perche' questo valore: informazioni e documenti</t>
        </is>
      </c>
    </row>
    <row r="13" ht="33" customHeight="1">
      <c r="A13" s="27" t="inlineStr">
        <is>
          <t>Impatto</t>
        </is>
      </c>
      <c r="B13" s="55" t="n">
        <v>3</v>
      </c>
      <c r="C13" s="29" t="inlineStr">
        <is>
          <t>Rilevante. Il Piano di adeguamento al regolamento sui bonifici istantanei estende il servizio a tutta la clientela: un errore tocca una clientela ampia.</t>
        </is>
      </c>
      <c r="D13" s="6" t="n"/>
      <c r="E13" s="6" t="n"/>
      <c r="F13" s="6" t="n"/>
      <c r="G13" s="6" t="n"/>
      <c r="H13" s="6" t="n"/>
    </row>
    <row r="14" ht="26" customHeight="1">
      <c r="A14" s="27" t="inlineStr">
        <is>
          <t>Probabilita</t>
        </is>
      </c>
      <c r="B14" s="28" t="n">
        <v>4</v>
      </c>
      <c r="C14" s="29" t="inlineStr">
        <is>
          <t>Probabile. Il Report operativo dei pagamenti istantanei di maggio documenta differenze di riconciliazione in crescita presso la Banca.</t>
        </is>
      </c>
      <c r="D14" s="6" t="n"/>
      <c r="E14" s="6" t="n"/>
      <c r="F14" s="6" t="n"/>
      <c r="G14" s="6" t="n"/>
      <c r="H14" s="6" t="n"/>
    </row>
    <row r="15" ht="26" customHeight="1">
      <c r="A15" s="27" t="inlineStr">
        <is>
          <t>Prossimita</t>
        </is>
      </c>
      <c r="B15" s="28" t="n">
        <v>4</v>
      </c>
      <c r="C15" s="29" t="inlineStr">
        <is>
          <t>Entro dodici mesi. Le differenze aperte del Report operativo sono quasi-incidenti gia' documentati presso la Banca.</t>
        </is>
      </c>
      <c r="D15" s="6" t="n"/>
      <c r="E15" s="6" t="n"/>
      <c r="F15" s="6" t="n"/>
      <c r="G15" s="6" t="n"/>
      <c r="H15" s="6" t="n"/>
    </row>
    <row r="16" ht="26" customHeight="1">
      <c r="A16" s="27" t="inlineStr">
        <is>
          <t>Velocity</t>
        </is>
      </c>
      <c r="B16" s="28" t="n">
        <v>4</v>
      </c>
      <c r="C16" s="29" t="inlineStr">
        <is>
          <t>Da uno a tre mesi. Con la riconciliazione settimanale le differenze si accumulano in poche settimane (Report operativo).</t>
        </is>
      </c>
      <c r="D16" s="6" t="n"/>
      <c r="E16" s="6" t="n"/>
      <c r="F16" s="6" t="n"/>
      <c r="G16" s="6" t="n"/>
      <c r="H16" s="6" t="n"/>
    </row>
    <row r="17">
      <c r="A17" s="31" t="inlineStr">
        <is>
          <t>Score composito 3,65 = (0,35 x 3 + 0,25 x 4 + 0,20 x 4 + 0,20 x 4) / 1,00. La rilevanza delle fonti e' nella tabella Fonti.</t>
        </is>
      </c>
    </row>
    <row r="19">
      <c r="A19" s="23" t="inlineStr">
        <is>
          <t>Urgenza (disuguaglianza di Mosca) e livello di allerta</t>
        </is>
      </c>
      <c r="B19" s="24" t="n"/>
      <c r="C19" s="24" t="n"/>
      <c r="D19" s="24" t="n"/>
      <c r="E19" s="24" t="n"/>
      <c r="F19" s="24" t="n"/>
      <c r="G19" s="24" t="n"/>
      <c r="H19" s="24" t="n"/>
    </row>
    <row r="20" ht="19.5" customHeight="1">
      <c r="A20" s="56" t="inlineStr">
        <is>
          <t>Livello di allerta: Attenzione — margine sotto l'anno con P x I alta, KRI in ambra o rosso.</t>
        </is>
      </c>
    </row>
    <row r="21" ht="19.5" customHeight="1">
      <c r="A21" s="25" t="inlineStr">
        <is>
          <t>Agire entro l'anno. Tempo necessario X + Y = 0,25 + 0,25 = 0,50 anni; tempo disponibile Z = 0,5 anni (Prossimita 4). Margine Z - (X + Y) = 0,00.</t>
        </is>
      </c>
    </row>
    <row r="23">
      <c r="A23" s="23" t="inlineStr">
        <is>
          <t>Cosa e' cambiato nel ciclo</t>
        </is>
      </c>
      <c r="B23" s="24" t="n"/>
      <c r="C23" s="24" t="n"/>
      <c r="D23" s="24" t="n"/>
      <c r="E23" s="24" t="n"/>
      <c r="F23" s="24" t="n"/>
      <c r="G23" s="24" t="n"/>
      <c r="H23" s="24" t="n"/>
    </row>
    <row r="24" ht="19.5" customHeight="1">
      <c r="A24" s="25" t="inlineStr">
        <is>
          <t>Nessun valore cambiato: confermato sulle fonti del ciclo precedente.</t>
        </is>
      </c>
    </row>
    <row r="26">
      <c r="A26" s="23" t="inlineStr">
        <is>
          <t>Andamento negli ultimi trimestri</t>
        </is>
      </c>
      <c r="B26" s="24" t="n"/>
      <c r="C26" s="24" t="n"/>
      <c r="D26" s="24" t="n"/>
      <c r="E26" s="24" t="n"/>
      <c r="F26" s="24" t="n"/>
      <c r="G26" s="24" t="n"/>
      <c r="H26" s="24" t="n"/>
    </row>
    <row r="27">
      <c r="A27" s="33" t="inlineStr">
        <is>
          <t>Ciclo</t>
        </is>
      </c>
      <c r="B27" s="33" t="inlineStr">
        <is>
          <t>Imp</t>
        </is>
      </c>
      <c r="C27" s="33" t="inlineStr">
        <is>
          <t>Prob</t>
        </is>
      </c>
      <c r="D27" s="33" t="inlineStr">
        <is>
          <t>Pross</t>
        </is>
      </c>
      <c r="E27" s="33" t="inlineStr">
        <is>
          <t>Vel</t>
        </is>
      </c>
      <c r="F27" s="33" t="inlineStr">
        <is>
          <t>Score</t>
        </is>
      </c>
    </row>
    <row r="28">
      <c r="A28" s="34" t="inlineStr">
        <is>
          <t>2025Q4</t>
        </is>
      </c>
      <c r="B28" s="35" t="n">
        <v>3</v>
      </c>
      <c r="C28" s="36" t="n">
        <v>4</v>
      </c>
      <c r="D28" s="35" t="n">
        <v>3</v>
      </c>
      <c r="E28" s="36" t="n">
        <v>4</v>
      </c>
      <c r="F28" s="37" t="n">
        <v>3.45</v>
      </c>
    </row>
    <row r="29">
      <c r="A29" s="34" t="inlineStr">
        <is>
          <t>2026Q1</t>
        </is>
      </c>
      <c r="B29" s="35" t="n">
        <v>3</v>
      </c>
      <c r="C29" s="36" t="n">
        <v>4</v>
      </c>
      <c r="D29" s="35" t="n">
        <v>3</v>
      </c>
      <c r="E29" s="36" t="n">
        <v>4</v>
      </c>
      <c r="F29" s="37" t="n">
        <v>3.45</v>
      </c>
    </row>
    <row r="30">
      <c r="A30" s="34" t="inlineStr">
        <is>
          <t>2026Q2</t>
        </is>
      </c>
      <c r="B30" s="35" t="n">
        <v>3</v>
      </c>
      <c r="C30" s="36" t="n">
        <v>4</v>
      </c>
      <c r="D30" s="36" t="n">
        <v>4</v>
      </c>
      <c r="E30" s="36" t="n">
        <v>4</v>
      </c>
      <c r="F30" s="37" t="n">
        <v>3.65</v>
      </c>
    </row>
    <row r="31">
      <c r="A31" s="34" t="inlineStr">
        <is>
          <t>2026Q3</t>
        </is>
      </c>
      <c r="B31" s="35" t="n">
        <v>3</v>
      </c>
      <c r="C31" s="36" t="n">
        <v>4</v>
      </c>
      <c r="D31" s="36" t="n">
        <v>4</v>
      </c>
      <c r="E31" s="36" t="n">
        <v>4</v>
      </c>
      <c r="F31" s="37" t="n">
        <v>3.65</v>
      </c>
    </row>
    <row r="32">
      <c r="A32" s="34" t="inlineStr">
        <is>
          <t>2026Q4</t>
        </is>
      </c>
      <c r="B32" s="35" t="n">
        <v>3</v>
      </c>
      <c r="C32" s="36" t="n">
        <v>4</v>
      </c>
      <c r="D32" s="36" t="n">
        <v>4</v>
      </c>
      <c r="E32" s="36" t="n">
        <v>4</v>
      </c>
      <c r="F32" s="37" t="n">
        <v>3.65</v>
      </c>
    </row>
    <row r="47">
      <c r="A47" s="23" t="inlineStr">
        <is>
          <t>Fonti</t>
        </is>
      </c>
      <c r="B47" s="24" t="n"/>
      <c r="C47" s="24" t="n"/>
      <c r="D47" s="24" t="n"/>
      <c r="E47" s="24" t="n"/>
      <c r="F47" s="24" t="n"/>
      <c r="G47" s="24" t="n"/>
      <c r="H47" s="24" t="n"/>
    </row>
    <row r="48">
      <c r="A48" s="26" t="inlineStr">
        <is>
          <t>Fonte</t>
        </is>
      </c>
      <c r="D48" s="26" t="inlineStr">
        <is>
          <t>Data</t>
        </is>
      </c>
      <c r="E48" s="26" t="inlineStr">
        <is>
          <t>Tipo</t>
        </is>
      </c>
      <c r="F48" s="26" t="inlineStr">
        <is>
          <t>Rilevanza</t>
        </is>
      </c>
      <c r="G48" s="26" t="n"/>
    </row>
    <row r="49" ht="32" customHeight="1">
      <c r="A49" s="39" t="inlineStr">
        <is>
          <t>Piano di adeguamento al regolamento sui bonifici istantanei</t>
        </is>
      </c>
      <c r="B49" s="6" t="n"/>
      <c r="C49" s="6" t="n"/>
      <c r="D49" s="40" t="inlineStr">
        <is>
          <t>01/10/2025</t>
        </is>
      </c>
      <c r="E49" s="41" t="inlineStr">
        <is>
          <t>Interna</t>
        </is>
      </c>
      <c r="F49" s="42" t="inlineStr">
        <is>
          <t>Alta</t>
        </is>
      </c>
      <c r="G49" s="39" t="n"/>
      <c r="H49" s="6" t="n"/>
    </row>
    <row r="50" ht="18.5" customHeight="1">
      <c r="A50" s="39" t="inlineStr">
        <is>
          <t>Report operativo dei pagamenti istantanei — maggio</t>
        </is>
      </c>
      <c r="B50" s="6" t="n"/>
      <c r="C50" s="6" t="n"/>
      <c r="D50" s="40" t="inlineStr">
        <is>
          <t>15/05/2026</t>
        </is>
      </c>
      <c r="E50" s="41" t="inlineStr">
        <is>
          <t>Interna</t>
        </is>
      </c>
      <c r="F50" s="42" t="inlineStr">
        <is>
          <t>Alta</t>
        </is>
      </c>
      <c r="G50" s="39" t="n"/>
      <c r="H50" s="6" t="n"/>
    </row>
    <row r="52">
      <c r="A52" s="23" t="inlineStr">
        <is>
          <t>Azioni</t>
        </is>
      </c>
      <c r="B52" s="24" t="n"/>
      <c r="C52" s="24" t="n"/>
      <c r="D52" s="24" t="n"/>
      <c r="E52" s="24" t="n"/>
      <c r="F52" s="24" t="n"/>
      <c r="G52" s="24" t="n"/>
      <c r="H52" s="24" t="n"/>
    </row>
    <row r="53">
      <c r="A53" s="26" t="inlineStr">
        <is>
          <t>Azione</t>
        </is>
      </c>
      <c r="F53" s="26" t="inlineStr">
        <is>
          <t>Owner</t>
        </is>
      </c>
      <c r="H53" s="26" t="inlineStr">
        <is>
          <t>Orizzonte · stato</t>
        </is>
      </c>
    </row>
    <row r="54" ht="18.5" customHeight="1">
      <c r="A54" s="45" t="inlineStr">
        <is>
          <t>• Controllo giornaliero automatico delle differenze di riconciliazione sui bonifici istantanei.</t>
        </is>
      </c>
      <c r="F54" s="46" t="inlineStr">
        <is>
          <t>Funzione Operations</t>
        </is>
      </c>
      <c r="H54" s="46" t="inlineStr">
        <is>
          <t>3 mesi · Approvata (ciclo 2026Q2)</t>
        </is>
      </c>
    </row>
    <row r="55" ht="19" customHeight="1">
      <c r="A55" s="47" t="inlineStr">
        <is>
          <t>Perche': La riconciliazione oggi e' settimanale: gli errori emergono troppo tardi.</t>
        </is>
      </c>
      <c r="B55" s="48" t="n"/>
      <c r="C55" s="48" t="n"/>
      <c r="D55" s="48" t="n"/>
      <c r="E55" s="47" t="inlineStr">
        <is>
          <t>Effetto atteso: non indicato nel razionale di A1.</t>
        </is>
      </c>
      <c r="F55" s="48" t="n"/>
      <c r="G55" s="48" t="n"/>
      <c r="H55" s="48" t="n"/>
    </row>
    <row r="56" ht="32" customHeight="1">
      <c r="A56" s="45" t="inlineStr">
        <is>
          <t>• Avvisare in automatico il responsabile delle operazioni di ogni differenza di riconciliazione sui bonifici istantanei aperta a fine giornata.</t>
        </is>
      </c>
      <c r="F56" s="46" t="inlineStr">
        <is>
          <t>Funzione Operations</t>
        </is>
      </c>
      <c r="H56" s="46" t="inlineStr">
        <is>
          <t>3 mesi · Approvata (ciclo 2026Q3)</t>
        </is>
      </c>
    </row>
    <row r="57" ht="32" customHeight="1">
      <c r="A57" s="47" t="inlineStr">
        <is>
          <t>Perche': Il controllo giornaliero (2026Q2-NFR-12-A1) trova le differenze; l'avviso porta a chi decide quelle non chiuse in giornata.</t>
        </is>
      </c>
      <c r="B57" s="48" t="n"/>
      <c r="C57" s="48" t="n"/>
      <c r="D57" s="48" t="n"/>
      <c r="E57" s="47" t="inlineStr">
        <is>
          <t>Effetto atteso: non indicato nel razionale di A1.</t>
        </is>
      </c>
      <c r="F57" s="48" t="n"/>
      <c r="G57" s="48" t="n"/>
      <c r="H57" s="48" t="n"/>
    </row>
    <row r="58" ht="32" customHeight="1">
      <c r="A58" s="45" t="inlineStr">
        <is>
          <t>• Introdurre un test di riconciliazione su dati anonimizzati prima di ogni rilascio del motore dei bonifici istantanei.</t>
        </is>
      </c>
      <c r="F58" s="46" t="inlineStr">
        <is>
          <t>Funzione Operations</t>
        </is>
      </c>
      <c r="H58" s="46" t="inlineStr">
        <is>
          <t>3 mesi · Approvata (ciclo 2026Q4)</t>
        </is>
      </c>
    </row>
    <row r="59" ht="45" customHeight="1">
      <c r="A59" s="47" t="inlineStr">
        <is>
          <t>Perche': Il controllo giornaliero (2026Q2-NFR-12-A1) e l'avviso (2026Q3-NFR-12-A1) trovano le differenze dopo; molte nascono dalle modifiche al software, che il test ferma prima.</t>
        </is>
      </c>
      <c r="B59" s="48" t="n"/>
      <c r="C59" s="48" t="n"/>
      <c r="D59" s="48" t="n"/>
      <c r="E59" s="47" t="inlineStr">
        <is>
          <t>Effetto atteso: Meno differenze dopo i rilasci; quelle aperte oltre un giorno (NFR-12-K1) scendono sotto la soglia di attenzione.</t>
        </is>
      </c>
      <c r="F59" s="48" t="n"/>
      <c r="G59" s="48" t="n"/>
      <c r="H59" s="48" t="n"/>
    </row>
    <row r="61">
      <c r="A61" s="23" t="inlineStr">
        <is>
          <t>KRI in vigore</t>
        </is>
      </c>
      <c r="B61" s="24" t="n"/>
      <c r="C61" s="24" t="n"/>
      <c r="D61" s="24" t="n"/>
      <c r="E61" s="24" t="n"/>
      <c r="F61" s="24" t="n"/>
      <c r="G61" s="24" t="n"/>
      <c r="H61" s="24" t="n"/>
    </row>
    <row r="62">
      <c r="A62" s="49" t="inlineStr">
        <is>
          <t>Indicatore</t>
        </is>
      </c>
      <c r="E62" s="49" t="inlineStr">
        <is>
          <t>Valore</t>
        </is>
      </c>
      <c r="F62" s="49" t="inlineStr">
        <is>
          <t>Soglie (attenzione / allerta)</t>
        </is>
      </c>
      <c r="G62" s="49" t="inlineStr">
        <is>
          <t>Ciclo prima</t>
        </is>
      </c>
      <c r="H62" s="49" t="inlineStr">
        <is>
          <t>Stato</t>
        </is>
      </c>
    </row>
    <row r="63" ht="20" customHeight="1">
      <c r="A63" s="50" t="inlineStr">
        <is>
          <t>[Evoluzione] Differenze di riconciliazione sui bonifici istantanei aperte oltre 1 giorno (n)</t>
        </is>
      </c>
      <c r="E63" s="51" t="n">
        <v>9</v>
      </c>
      <c r="F63" s="52" t="inlineStr">
        <is>
          <t>10,0 / 30,0</t>
        </is>
      </c>
      <c r="G63" s="52" t="n">
        <v>12</v>
      </c>
      <c r="H63" s="54" t="inlineStr">
        <is>
          <t>Verde</t>
        </is>
      </c>
    </row>
    <row r="64" ht="32" customHeight="1">
      <c r="A64" s="47" t="inlineStr">
        <is>
          <t>Perche' lo misuriamo: Misura il fenomeno nel punto in cui produce perdite: le differenze che non si chiudono in giornata.</t>
        </is>
      </c>
      <c r="B64" s="48" t="n"/>
      <c r="C64" s="48" t="n"/>
      <c r="D64" s="48" t="n"/>
      <c r="E64" s="47" t="inlineStr">
        <is>
          <t>Effetto atteso: In calo con il controllo giornaliero; oltre la soglia di allerta la riconciliazione non regge i volumi.</t>
        </is>
      </c>
      <c r="F64" s="48" t="n"/>
      <c r="G64" s="48" t="n"/>
      <c r="H64" s="48" t="n"/>
    </row>
    <row r="65" ht="20" customHeight="1">
      <c r="A65" s="50" t="inlineStr">
        <is>
          <t>[Esposizione] Tempo medio di risoluzione delle eccezioni sui pagamenti istantanei (ore)</t>
        </is>
      </c>
      <c r="E65" s="51" t="n">
        <v>4</v>
      </c>
      <c r="F65" s="52" t="inlineStr">
        <is>
          <t>4,0 / 12,0</t>
        </is>
      </c>
      <c r="G65" s="52" t="n">
        <v>4.5</v>
      </c>
      <c r="H65" s="57" t="inlineStr">
        <is>
          <t>Ambra</t>
        </is>
      </c>
    </row>
    <row r="66" ht="32" customHeight="1">
      <c r="A66" s="47" t="inlineStr">
        <is>
          <t>Perche' lo misuriamo: Misura quanto a lungo la Banca resta esposta a un'eccezione aperta.</t>
        </is>
      </c>
      <c r="B66" s="48" t="n"/>
      <c r="C66" s="48" t="n"/>
      <c r="D66" s="48" t="n"/>
      <c r="E66" s="47" t="inlineStr">
        <is>
          <t>Effetto atteso: Sotto la soglia di attenzione quando il controllo giornaliero e' a regime.</t>
        </is>
      </c>
      <c r="F66" s="48" t="n"/>
      <c r="G66" s="48" t="n"/>
      <c r="H66" s="48" t="n"/>
    </row>
    <row r="68" ht="61" customHeight="1">
      <c r="A68" s="15" t="inlineStr">
        <is>
          <t>Legenda — Imp = Impatto, Prob = Probabilita, Pross = Prossimita, Vel = Velocity (1-5, 5 = peggiore; n.v. = non valutata, nessuna fonte ne documenta i tempi). Rilevanza di una fonte per la previsione: Alta = fonte primaria o caso documentato, Media = fonte specializzata, Bassa = generalista. Presidio = giudizio della Banca sui controlli, fuori dallo score. X = anni per decidere e avviare la mitigazione; Y = anni per mitigare (azioni o adeguamento strutturale); Z = anni prima che il rischio possa manifestarsi; AGIRE ORA = X + Y &gt; Z. Livello di allerta (calcolato dal registro): Attivazione = almeno due fra AGIRE ORA, KRI in rosso, notizie in peggioramento; Attenzione = uno di questi, o margine sotto l'anno con P x I alto, presidio assente o KRI in ambra; Monitoraggio = gli altri. KRI = indicatore di rischio, di esposizione (quanto la Banca e' esposta) o di evoluzione (quanto cresce il fenomeno). ◆ = tema all'attenzione del supervisore.</t>
        </is>
      </c>
    </row>
  </sheetData>
  <mergeCells count="51">
    <mergeCell ref="A9:H9"/>
    <mergeCell ref="C16:H16"/>
    <mergeCell ref="G2:H2"/>
    <mergeCell ref="F54:G54"/>
    <mergeCell ref="A24:H24"/>
    <mergeCell ref="E57:H57"/>
    <mergeCell ref="A11:H11"/>
    <mergeCell ref="A1:H1"/>
    <mergeCell ref="C12:H12"/>
    <mergeCell ref="A50:C50"/>
    <mergeCell ref="A63:D63"/>
    <mergeCell ref="G48:H48"/>
    <mergeCell ref="A61:H61"/>
    <mergeCell ref="A6:H6"/>
    <mergeCell ref="E66:H66"/>
    <mergeCell ref="A2:F2"/>
    <mergeCell ref="A54:E54"/>
    <mergeCell ref="A64:D64"/>
    <mergeCell ref="A59:D59"/>
    <mergeCell ref="E55:H55"/>
    <mergeCell ref="A3:B3"/>
    <mergeCell ref="A56:E56"/>
    <mergeCell ref="G49:H49"/>
    <mergeCell ref="A26:H26"/>
    <mergeCell ref="A21:H21"/>
    <mergeCell ref="E64:H64"/>
    <mergeCell ref="C13:H13"/>
    <mergeCell ref="A65:D65"/>
    <mergeCell ref="A47:H47"/>
    <mergeCell ref="A5:H5"/>
    <mergeCell ref="A23:H23"/>
    <mergeCell ref="A48:C48"/>
    <mergeCell ref="A8:H8"/>
    <mergeCell ref="F56:G56"/>
    <mergeCell ref="F58:G58"/>
    <mergeCell ref="A66:D66"/>
    <mergeCell ref="A17:H17"/>
    <mergeCell ref="C15:H15"/>
    <mergeCell ref="A49:C49"/>
    <mergeCell ref="C14:H14"/>
    <mergeCell ref="A20:H20"/>
    <mergeCell ref="A52:H52"/>
    <mergeCell ref="A55:D55"/>
    <mergeCell ref="A19:H19"/>
    <mergeCell ref="G50:H50"/>
    <mergeCell ref="A57:D57"/>
    <mergeCell ref="E59:H59"/>
    <mergeCell ref="A68:H68"/>
    <mergeCell ref="A58:E58"/>
    <mergeCell ref="C3:D3"/>
    <mergeCell ref="E3:F3"/>
  </mergeCells>
  <pageMargins left="0.4" right="0.4" top="1" bottom="1" header="0.5" footer="0.5"/>
  <pageSetup orientation="portrait" paperSize="9" fitToHeight="0" fitToWidth="1"/>
  <headerFooter>
    <oddHeader>&amp;CUso interno&amp;RHorizon Scan NFR</oddHeader>
    <oddFooter>&amp;L&amp;F · &amp;A&amp;RPagina &amp;P di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7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4" customWidth="1" min="8" max="8"/>
  </cols>
  <sheetData>
    <row r="1">
      <c r="A1" s="16" t="inlineStr">
        <is>
          <t>Horizon Scan NFR — schede dei rischi · ciclo 2026Q4 · dati al 31/12/2026 · validato · Uso interno</t>
        </is>
      </c>
    </row>
    <row r="2" ht="34" customHeight="1">
      <c r="A2" s="17" t="inlineStr">
        <is>
          <t>4 · NFR-02 · Concentrazione su un fornitore cloud critico</t>
        </is>
      </c>
      <c r="B2" s="18" t="n"/>
      <c r="C2" s="18" t="n"/>
      <c r="D2" s="18" t="n"/>
      <c r="E2" s="18" t="n"/>
      <c r="F2" s="18" t="n"/>
      <c r="G2" s="19" t="inlineStr">
        <is>
          <t>score 3,30   ● 0,00   ·   Margine 1 anno   ·   Monitoraggio</t>
        </is>
      </c>
      <c r="H2" s="18" t="n"/>
    </row>
    <row r="3" ht="28" customHeight="1">
      <c r="A3" s="20" t="inlineStr">
        <is>
          <t>L1-06 · Interruzione dell'operativita' e disfunzione dei sistemi</t>
        </is>
      </c>
      <c r="B3" s="21" t="n"/>
      <c r="C3" s="20" t="inlineStr">
        <is>
          <t>Driver: DRV-TPR, DRV-CYB</t>
        </is>
      </c>
      <c r="D3" s="21" t="n"/>
      <c r="E3" s="20" t="inlineStr">
        <is>
          <t>Owner: Funzione ICT &amp; Security Risk · Presidio: Non verificato</t>
        </is>
      </c>
      <c r="F3" s="21" t="n"/>
      <c r="G3" s="22" t="inlineStr">
        <is>
          <t>◆ Attenzione del supervisore</t>
        </is>
      </c>
      <c r="H3" s="20" t="inlineStr">
        <is>
          <t>Esito: Confermato · validato</t>
        </is>
      </c>
    </row>
    <row r="5">
      <c r="A5" s="23" t="inlineStr">
        <is>
          <t>Il rischio</t>
        </is>
      </c>
      <c r="B5" s="24" t="n"/>
      <c r="C5" s="24" t="n"/>
      <c r="D5" s="24" t="n"/>
      <c r="E5" s="24" t="n"/>
      <c r="F5" s="24" t="n"/>
      <c r="G5" s="24" t="n"/>
      <c r="H5" s="24" t="n"/>
    </row>
    <row r="6" ht="19.5" customHeight="1">
      <c r="A6" s="25" t="inlineStr">
        <is>
          <t>Indisponibilita' prolungata del fornitore cloud che ospita servizi critici, senza alternativa attivabile nei tempi di ripristino.</t>
        </is>
      </c>
    </row>
    <row r="8">
      <c r="A8" s="23" t="inlineStr">
        <is>
          <t>Razionale: il fenomeno in termini di rischio</t>
        </is>
      </c>
      <c r="B8" s="24" t="n"/>
      <c r="C8" s="24" t="n"/>
      <c r="D8" s="24" t="n"/>
      <c r="E8" s="24" t="n"/>
      <c r="F8" s="24" t="n"/>
      <c r="G8" s="24" t="n"/>
      <c r="H8" s="24" t="n"/>
    </row>
    <row r="9" ht="46.5" customHeight="1">
      <c r="A9" s="25" t="inlineStr">
        <is>
          <t>Molti servizi critici della Banca girano presso un solo fornitore cloud (causa); un'interruzione prolungata del fornitore li rende indisponibili insieme (evento); senza un'alternativa attivabile nei tempi di ripristino la Banca non eroga funzioni essenziali, con danno ai clienti e sanzioni (danno). Nel trimestre nessun incidente e nessun nuovo test: valori confermati con le fonti del ciclo precedente.</t>
        </is>
      </c>
    </row>
    <row r="11">
      <c r="A11" s="23" t="inlineStr">
        <is>
          <t>Valutazione, dimensione per dimensione (valori validati)</t>
        </is>
      </c>
      <c r="B11" s="24" t="n"/>
      <c r="C11" s="24" t="n"/>
      <c r="D11" s="24" t="n"/>
      <c r="E11" s="24" t="n"/>
      <c r="F11" s="24" t="n"/>
      <c r="G11" s="24" t="n"/>
      <c r="H11" s="24" t="n"/>
    </row>
    <row r="12">
      <c r="A12" s="26" t="inlineStr">
        <is>
          <t>Dimensione</t>
        </is>
      </c>
      <c r="B12" s="26" t="inlineStr">
        <is>
          <t>Valore</t>
        </is>
      </c>
      <c r="C12" s="26" t="inlineStr">
        <is>
          <t>Perche' questo valore: informazioni e documenti</t>
        </is>
      </c>
    </row>
    <row r="13" ht="26" customHeight="1">
      <c r="A13" s="27" t="inlineStr">
        <is>
          <t>Impatto</t>
        </is>
      </c>
      <c r="B13" s="28" t="n">
        <v>4</v>
      </c>
      <c r="C13" s="29" t="inlineStr">
        <is>
          <t>Grave. Il Registro delle informazioni DORA classifica critici i servizi ospitati dal fornitore: un'interruzione ferma una funzione essenziale.</t>
        </is>
      </c>
      <c r="D13" s="6" t="n"/>
      <c r="E13" s="6" t="n"/>
      <c r="F13" s="6" t="n"/>
      <c r="G13" s="6" t="n"/>
      <c r="H13" s="6" t="n"/>
    </row>
    <row r="14" ht="33" customHeight="1">
      <c r="A14" s="27" t="inlineStr">
        <is>
          <t>Probabilita</t>
        </is>
      </c>
      <c r="B14" s="58" t="n">
        <v>2</v>
      </c>
      <c r="C14" s="29" t="inlineStr">
        <is>
          <t>Improbabile. Nessuna interruzione grave del fornitore e' documentata e il Report del test completo di exit strategy mostra un'uscita praticabile, con soli rilievi minori.</t>
        </is>
      </c>
      <c r="D14" s="6" t="n"/>
      <c r="E14" s="6" t="n"/>
      <c r="F14" s="6" t="n"/>
      <c r="G14" s="6" t="n"/>
      <c r="H14" s="6" t="n"/>
    </row>
    <row r="15" ht="26" customHeight="1">
      <c r="A15" s="27" t="inlineStr">
        <is>
          <t>Prossimita</t>
        </is>
      </c>
      <c r="B15" s="55" t="n">
        <v>3</v>
      </c>
      <c r="C15" s="29" t="inlineStr">
        <is>
          <t>Da uno a due anni. Nessun segnale di degrado del fornitore nelle fonti; il Contratto e piano di uscita resta valido.</t>
        </is>
      </c>
      <c r="D15" s="6" t="n"/>
      <c r="E15" s="6" t="n"/>
      <c r="F15" s="6" t="n"/>
      <c r="G15" s="6" t="n"/>
      <c r="H15" s="6" t="n"/>
    </row>
    <row r="16" ht="33" customHeight="1">
      <c r="A16" s="27" t="inlineStr">
        <is>
          <t>Velocity</t>
        </is>
      </c>
      <c r="B16" s="28" t="n">
        <v>4</v>
      </c>
      <c r="C16" s="29" t="inlineStr">
        <is>
          <t>Da uno a tre mesi. E' il tempo che l'Esito del test di exit strategy stima per riattivare i servizi critici su un'alternativa: in quel periodo il danno cresce fino al pieno impatto.</t>
        </is>
      </c>
      <c r="D16" s="6" t="n"/>
      <c r="E16" s="6" t="n"/>
      <c r="F16" s="6" t="n"/>
      <c r="G16" s="6" t="n"/>
      <c r="H16" s="6" t="n"/>
    </row>
    <row r="17">
      <c r="A17" s="31" t="inlineStr">
        <is>
          <t>Score composito 3,30 = (0,35 x 4 + 0,25 x 2 + 0,20 x 3 + 0,20 x 4) / 1,00. La rilevanza delle fonti e' nella tabella Fonti.</t>
        </is>
      </c>
    </row>
    <row r="19">
      <c r="A19" s="23" t="inlineStr">
        <is>
          <t>Urgenza (disuguaglianza di Mosca) e livello di allerta</t>
        </is>
      </c>
      <c r="B19" s="24" t="n"/>
      <c r="C19" s="24" t="n"/>
      <c r="D19" s="24" t="n"/>
      <c r="E19" s="24" t="n"/>
      <c r="F19" s="24" t="n"/>
      <c r="G19" s="24" t="n"/>
      <c r="H19" s="24" t="n"/>
    </row>
    <row r="20" ht="19.5" customHeight="1">
      <c r="A20" s="59" t="inlineStr">
        <is>
          <t>Livello di allerta: Monitoraggio — nessun segnale forte.</t>
        </is>
      </c>
    </row>
    <row r="21" ht="19.5" customHeight="1">
      <c r="A21" s="25" t="inlineStr">
        <is>
          <t>Margine 1 anno. Tempo necessario X + Y = 0,25 + 0,25 = 0,50 anni; tempo disponibile Z = 1,5 anni (Prossimita 3). Margine Z - (X + Y) = 1,00.</t>
        </is>
      </c>
    </row>
    <row r="23">
      <c r="A23" s="23" t="inlineStr">
        <is>
          <t>Cosa e' cambiato nel ciclo</t>
        </is>
      </c>
      <c r="B23" s="24" t="n"/>
      <c r="C23" s="24" t="n"/>
      <c r="D23" s="24" t="n"/>
      <c r="E23" s="24" t="n"/>
      <c r="F23" s="24" t="n"/>
      <c r="G23" s="24" t="n"/>
      <c r="H23" s="24" t="n"/>
    </row>
    <row r="24" ht="19.5" customHeight="1">
      <c r="A24" s="25" t="inlineStr">
        <is>
          <t>Nessun valore cambiato: confermato sulle fonti del ciclo precedente.</t>
        </is>
      </c>
    </row>
    <row r="26">
      <c r="A26" s="23" t="inlineStr">
        <is>
          <t>Andamento negli ultimi trimestri</t>
        </is>
      </c>
      <c r="B26" s="24" t="n"/>
      <c r="C26" s="24" t="n"/>
      <c r="D26" s="24" t="n"/>
      <c r="E26" s="24" t="n"/>
      <c r="F26" s="24" t="n"/>
      <c r="G26" s="24" t="n"/>
      <c r="H26" s="24" t="n"/>
    </row>
    <row r="27">
      <c r="A27" s="33" t="inlineStr">
        <is>
          <t>Ciclo</t>
        </is>
      </c>
      <c r="B27" s="33" t="inlineStr">
        <is>
          <t>Imp</t>
        </is>
      </c>
      <c r="C27" s="33" t="inlineStr">
        <is>
          <t>Prob</t>
        </is>
      </c>
      <c r="D27" s="33" t="inlineStr">
        <is>
          <t>Pross</t>
        </is>
      </c>
      <c r="E27" s="33" t="inlineStr">
        <is>
          <t>Vel</t>
        </is>
      </c>
      <c r="F27" s="33" t="inlineStr">
        <is>
          <t>Score</t>
        </is>
      </c>
    </row>
    <row r="28">
      <c r="A28" s="34" t="inlineStr">
        <is>
          <t>2025Q4</t>
        </is>
      </c>
      <c r="B28" s="36" t="n">
        <v>4</v>
      </c>
      <c r="C28" s="60" t="n">
        <v>2</v>
      </c>
      <c r="D28" s="35" t="n">
        <v>3</v>
      </c>
      <c r="E28" s="36" t="n">
        <v>4</v>
      </c>
      <c r="F28" s="37" t="n">
        <v>3.3</v>
      </c>
    </row>
    <row r="29">
      <c r="A29" s="34" t="inlineStr">
        <is>
          <t>2026Q1</t>
        </is>
      </c>
      <c r="B29" s="36" t="n">
        <v>4</v>
      </c>
      <c r="C29" s="60" t="n">
        <v>2</v>
      </c>
      <c r="D29" s="35" t="n">
        <v>3</v>
      </c>
      <c r="E29" s="36" t="n">
        <v>4</v>
      </c>
      <c r="F29" s="37" t="n">
        <v>3.3</v>
      </c>
    </row>
    <row r="30">
      <c r="A30" s="34" t="inlineStr">
        <is>
          <t>2026Q2</t>
        </is>
      </c>
      <c r="B30" s="36" t="n">
        <v>4</v>
      </c>
      <c r="C30" s="60" t="n">
        <v>2</v>
      </c>
      <c r="D30" s="35" t="n">
        <v>3</v>
      </c>
      <c r="E30" s="36" t="n">
        <v>4</v>
      </c>
      <c r="F30" s="37" t="n">
        <v>3.3</v>
      </c>
    </row>
    <row r="31">
      <c r="A31" s="34" t="inlineStr">
        <is>
          <t>2026Q3</t>
        </is>
      </c>
      <c r="B31" s="36" t="n">
        <v>4</v>
      </c>
      <c r="C31" s="60" t="n">
        <v>2</v>
      </c>
      <c r="D31" s="35" t="n">
        <v>3</v>
      </c>
      <c r="E31" s="36" t="n">
        <v>4</v>
      </c>
      <c r="F31" s="37" t="n">
        <v>3.3</v>
      </c>
    </row>
    <row r="32">
      <c r="A32" s="34" t="inlineStr">
        <is>
          <t>2026Q4</t>
        </is>
      </c>
      <c r="B32" s="36" t="n">
        <v>4</v>
      </c>
      <c r="C32" s="60" t="n">
        <v>2</v>
      </c>
      <c r="D32" s="35" t="n">
        <v>3</v>
      </c>
      <c r="E32" s="36" t="n">
        <v>4</v>
      </c>
      <c r="F32" s="37" t="n">
        <v>3.3</v>
      </c>
    </row>
    <row r="47">
      <c r="A47" s="23" t="inlineStr">
        <is>
          <t>Fonti</t>
        </is>
      </c>
      <c r="B47" s="24" t="n"/>
      <c r="C47" s="24" t="n"/>
      <c r="D47" s="24" t="n"/>
      <c r="E47" s="24" t="n"/>
      <c r="F47" s="24" t="n"/>
      <c r="G47" s="24" t="n"/>
      <c r="H47" s="24" t="n"/>
    </row>
    <row r="48">
      <c r="A48" s="26" t="inlineStr">
        <is>
          <t>Fonte</t>
        </is>
      </c>
      <c r="D48" s="26" t="inlineStr">
        <is>
          <t>Data</t>
        </is>
      </c>
      <c r="E48" s="26" t="inlineStr">
        <is>
          <t>Tipo</t>
        </is>
      </c>
      <c r="F48" s="26" t="inlineStr">
        <is>
          <t>Rilevanza</t>
        </is>
      </c>
      <c r="G48" s="26" t="n"/>
    </row>
    <row r="49" ht="18.5" customHeight="1">
      <c r="A49" s="39" t="inlineStr">
        <is>
          <t>Contratto e piano di uscita del fornitore cloud</t>
        </is>
      </c>
      <c r="B49" s="6" t="n"/>
      <c r="C49" s="6" t="n"/>
      <c r="D49" s="40" t="inlineStr">
        <is>
          <t>30/09/2025</t>
        </is>
      </c>
      <c r="E49" s="41" t="inlineStr">
        <is>
          <t>Interna</t>
        </is>
      </c>
      <c r="F49" s="42" t="inlineStr">
        <is>
          <t>Alta</t>
        </is>
      </c>
      <c r="G49" s="39" t="n"/>
      <c r="H49" s="6" t="n"/>
    </row>
    <row r="50" ht="18.5" customHeight="1">
      <c r="A50" s="39" t="inlineStr">
        <is>
          <t>Registro delle informazioni DORA — servizi ICT critici</t>
        </is>
      </c>
      <c r="B50" s="6" t="n"/>
      <c r="C50" s="6" t="n"/>
      <c r="D50" s="40" t="inlineStr">
        <is>
          <t>20/03/2026</t>
        </is>
      </c>
      <c r="E50" s="41" t="inlineStr">
        <is>
          <t>Interna</t>
        </is>
      </c>
      <c r="F50" s="42" t="inlineStr">
        <is>
          <t>Alta</t>
        </is>
      </c>
      <c r="G50" s="39" t="n"/>
      <c r="H50" s="6" t="n"/>
    </row>
    <row r="51" ht="18.5" customHeight="1">
      <c r="A51" s="39" t="inlineStr">
        <is>
          <t>Esito del test di exit strategy sul fornitore cloud</t>
        </is>
      </c>
      <c r="B51" s="6" t="n"/>
      <c r="C51" s="6" t="n"/>
      <c r="D51" s="40" t="inlineStr">
        <is>
          <t>12/05/2026</t>
        </is>
      </c>
      <c r="E51" s="41" t="inlineStr">
        <is>
          <t>Interna</t>
        </is>
      </c>
      <c r="F51" s="42" t="inlineStr">
        <is>
          <t>Alta</t>
        </is>
      </c>
      <c r="G51" s="39" t="n"/>
      <c r="H51" s="6" t="n"/>
    </row>
    <row r="52" ht="32" customHeight="1">
      <c r="A52" s="39" t="inlineStr">
        <is>
          <t>Report del test completo di exit strategy sui servizi critici</t>
        </is>
      </c>
      <c r="B52" s="6" t="n"/>
      <c r="C52" s="6" t="n"/>
      <c r="D52" s="40" t="inlineStr">
        <is>
          <t>28/08/2026</t>
        </is>
      </c>
      <c r="E52" s="41" t="inlineStr">
        <is>
          <t>Interna</t>
        </is>
      </c>
      <c r="F52" s="42" t="inlineStr">
        <is>
          <t>Alta</t>
        </is>
      </c>
      <c r="G52" s="39" t="n"/>
      <c r="H52" s="6" t="n"/>
    </row>
    <row r="54">
      <c r="A54" s="23" t="inlineStr">
        <is>
          <t>Azioni</t>
        </is>
      </c>
      <c r="B54" s="24" t="n"/>
      <c r="C54" s="24" t="n"/>
      <c r="D54" s="24" t="n"/>
      <c r="E54" s="24" t="n"/>
      <c r="F54" s="24" t="n"/>
      <c r="G54" s="24" t="n"/>
      <c r="H54" s="24" t="n"/>
    </row>
    <row r="55">
      <c r="A55" s="26" t="inlineStr">
        <is>
          <t>Azione</t>
        </is>
      </c>
      <c r="F55" s="26" t="inlineStr">
        <is>
          <t>Owner</t>
        </is>
      </c>
      <c r="H55" s="26" t="inlineStr">
        <is>
          <t>Orizzonte · stato</t>
        </is>
      </c>
    </row>
    <row r="56" ht="18.5" customHeight="1">
      <c r="A56" s="45" t="inlineStr">
        <is>
          <t>• Eseguire il test completo di exit strategy sui due servizi critici non ancora coperti.</t>
        </is>
      </c>
      <c r="F56" s="46" t="inlineStr">
        <is>
          <t>Funzione ICT &amp; Security Risk</t>
        </is>
      </c>
      <c r="H56" s="46" t="inlineStr">
        <is>
          <t>12 mesi · Approvata (ciclo 2026Q2)</t>
        </is>
      </c>
    </row>
    <row r="57" ht="32" customHeight="1">
      <c r="A57" s="47" t="inlineStr">
        <is>
          <t>Perche': Finche' la exit strategy non e' testata su tutti i servizi critici, un guasto del fornitore non ha alternativa.</t>
        </is>
      </c>
      <c r="B57" s="48" t="n"/>
      <c r="C57" s="48" t="n"/>
      <c r="D57" s="48" t="n"/>
      <c r="E57" s="47" t="inlineStr">
        <is>
          <t>Effetto atteso: non indicato nel razionale di A1.</t>
        </is>
      </c>
      <c r="F57" s="48" t="n"/>
      <c r="G57" s="48" t="n"/>
      <c r="H57" s="48" t="n"/>
    </row>
    <row r="58" ht="18.5" customHeight="1">
      <c r="A58" s="45" t="inlineStr">
        <is>
          <t>• Chiudere i rilievi minori emersi dal test di exit strategy entro il prossimo trimestre.</t>
        </is>
      </c>
      <c r="F58" s="46" t="inlineStr">
        <is>
          <t>Funzione ICT &amp; Security Risk</t>
        </is>
      </c>
      <c r="H58" s="46" t="inlineStr">
        <is>
          <t>3 mesi · Approvata (ciclo 2026Q3)</t>
        </is>
      </c>
    </row>
    <row r="59" ht="19" customHeight="1">
      <c r="A59" s="47" t="inlineStr">
        <is>
          <t>Perche': Porta il lacuna di controllo verso il descrittore 2.</t>
        </is>
      </c>
      <c r="B59" s="48" t="n"/>
      <c r="C59" s="48" t="n"/>
      <c r="D59" s="48" t="n"/>
      <c r="E59" s="47" t="inlineStr">
        <is>
          <t>Effetto atteso: non indicato nel razionale di A1.</t>
        </is>
      </c>
      <c r="F59" s="48" t="n"/>
      <c r="G59" s="48" t="n"/>
      <c r="H59" s="48" t="n"/>
    </row>
    <row r="60" ht="18.5" customHeight="1">
      <c r="A60" s="45" t="inlineStr">
        <is>
          <t>• Valutare lo spostamento di un servizio critico sulla nuova region nazionale del fornitore.</t>
        </is>
      </c>
      <c r="F60" s="46" t="inlineStr">
        <is>
          <t>Direzione Sistemi Informativi</t>
        </is>
      </c>
      <c r="H60" s="46" t="inlineStr">
        <is>
          <t>12 mesi · Approvata (ciclo 2026Q3)</t>
        </is>
      </c>
    </row>
    <row r="61" ht="19" customHeight="1">
      <c r="A61" s="47" t="inlineStr">
        <is>
          <t>Perche': Riduce la severity di un'interruzione di una singola region.</t>
        </is>
      </c>
      <c r="B61" s="48" t="n"/>
      <c r="C61" s="48" t="n"/>
      <c r="D61" s="48" t="n"/>
      <c r="E61" s="47" t="inlineStr">
        <is>
          <t>Effetto atteso: non indicato nel razionale di A1.</t>
        </is>
      </c>
      <c r="F61" s="48" t="n"/>
      <c r="G61" s="48" t="n"/>
      <c r="H61" s="48" t="n"/>
    </row>
    <row r="62" ht="18.5" customHeight="1">
      <c r="A62" s="45" t="inlineStr">
        <is>
          <t>• Chiudere i rilievi minori emersi dal test di exit strategy.</t>
        </is>
      </c>
      <c r="F62" s="46" t="inlineStr">
        <is>
          <t>Funzione ICT &amp; Security Risk</t>
        </is>
      </c>
      <c r="H62" s="46" t="inlineStr">
        <is>
          <t>3 mesi · Approvata (ciclo 2026Q4)</t>
        </is>
      </c>
    </row>
    <row r="63" ht="45" customHeight="1">
      <c r="A63" s="47" t="inlineStr">
        <is>
          <t>Perche': I rilievi minori del Report del test completo di exit strategy sono l'ultimo ostacolo a un'uscita nei tempi di ripristino.</t>
        </is>
      </c>
      <c r="B63" s="48" t="n"/>
      <c r="C63" s="48" t="n"/>
      <c r="D63" s="48" t="n"/>
      <c r="E63" s="47" t="inlineStr">
        <is>
          <t>Effetto atteso: Un piano di uscita senza rilievi aperti, che mantiene bassa la Probabilita' di un'interruzione senza alternativa; la quota di servizi sul fornitore (NFR-02-K1) non cambia, cambia la capacita' di spostarli.</t>
        </is>
      </c>
      <c r="F63" s="48" t="n"/>
      <c r="G63" s="48" t="n"/>
      <c r="H63" s="48" t="n"/>
    </row>
    <row r="65">
      <c r="A65" s="23" t="inlineStr">
        <is>
          <t>KRI in vigore</t>
        </is>
      </c>
      <c r="B65" s="24" t="n"/>
      <c r="C65" s="24" t="n"/>
      <c r="D65" s="24" t="n"/>
      <c r="E65" s="24" t="n"/>
      <c r="F65" s="24" t="n"/>
      <c r="G65" s="24" t="n"/>
      <c r="H65" s="24" t="n"/>
    </row>
    <row r="66">
      <c r="A66" s="49" t="inlineStr">
        <is>
          <t>Indicatore</t>
        </is>
      </c>
      <c r="E66" s="49" t="inlineStr">
        <is>
          <t>Valore</t>
        </is>
      </c>
      <c r="F66" s="49" t="inlineStr">
        <is>
          <t>Soglie (attenzione / allerta)</t>
        </is>
      </c>
      <c r="G66" s="49" t="inlineStr">
        <is>
          <t>Ciclo prima</t>
        </is>
      </c>
      <c r="H66" s="49" t="inlineStr">
        <is>
          <t>Stato</t>
        </is>
      </c>
    </row>
    <row r="67" ht="20" customHeight="1">
      <c r="A67" s="50" t="inlineStr">
        <is>
          <t>[Esposizione] Quota di servizi critici sul fornitore cloud principale (%)</t>
        </is>
      </c>
      <c r="E67" s="51" t="n">
        <v>70</v>
      </c>
      <c r="F67" s="52" t="inlineStr">
        <is>
          <t>60,0 / 75,0</t>
        </is>
      </c>
      <c r="G67" s="52" t="n">
        <v>72</v>
      </c>
      <c r="H67" s="57" t="inlineStr">
        <is>
          <t>Ambra</t>
        </is>
      </c>
    </row>
    <row r="68" ht="32" customHeight="1">
      <c r="A68" s="47" t="inlineStr">
        <is>
          <t>Perche' lo misuriamo: Misura la concentrazione, cioe' quanta parte della Banca dipende dal fornitore: piu' la quota e' alta, piu' grave sarebbe un'interruzione.</t>
        </is>
      </c>
      <c r="B68" s="48" t="n"/>
      <c r="C68" s="48" t="n"/>
      <c r="D68" s="48" t="n"/>
      <c r="E68" s="47" t="inlineStr">
        <is>
          <t>Effetto atteso: Deve restare sotto la soglia di allerta; un aumento senza un piano di uscita aggiornato riapre la valutazione dell'Impatto.</t>
        </is>
      </c>
      <c r="F68" s="48" t="n"/>
      <c r="G68" s="48" t="n"/>
      <c r="H68" s="48" t="n"/>
    </row>
    <row r="69" ht="32" customHeight="1">
      <c r="A69" s="50" t="inlineStr">
        <is>
          <t>[Evoluzione] Interruzioni di servizi critici presso il fornitore cloud principale nel trimestre (n)</t>
        </is>
      </c>
      <c r="E69" s="51" t="n">
        <v>0</v>
      </c>
      <c r="F69" s="52" t="inlineStr">
        <is>
          <t>1,0 / 3,0</t>
        </is>
      </c>
      <c r="G69" s="52" t="inlineStr">
        <is>
          <t>—</t>
        </is>
      </c>
      <c r="H69" s="54" t="inlineStr">
        <is>
          <t>Verde</t>
        </is>
      </c>
    </row>
    <row r="70" ht="32" customHeight="1">
      <c r="A70" s="47" t="inlineStr">
        <is>
          <t>Perche' lo misuriamo: Conta le interruzioni dei servizi critici presso il fornitore principale, che sono il meccanismo di perdita del rischio.</t>
        </is>
      </c>
      <c r="B70" s="48" t="n"/>
      <c r="C70" s="48" t="n"/>
      <c r="D70" s="48" t="n"/>
      <c r="E70" s="47" t="inlineStr">
        <is>
          <t>Effetto atteso: Atteso a zero; una sola interruzione porta il KRI in ambra e chiede di rivedere Probabilita' e Prossimita' al ciclo successivo.</t>
        </is>
      </c>
      <c r="F70" s="48" t="n"/>
      <c r="G70" s="48" t="n"/>
      <c r="H70" s="48" t="n"/>
    </row>
    <row r="72" ht="61" customHeight="1">
      <c r="A72" s="15" t="inlineStr">
        <is>
          <t>Legenda — Imp = Impatto, Prob = Probabilita, Pross = Prossimita, Vel = Velocity (1-5, 5 = peggiore; n.v. = non valutata, nessuna fonte ne documenta i tempi). Rilevanza di una fonte per la previsione: Alta = fonte primaria o caso documentato, Media = fonte specializzata, Bassa = generalista. Presidio = giudizio della Banca sui controlli, fuori dallo score. X = anni per decidere e avviare la mitigazione; Y = anni per mitigare (azioni o adeguamento strutturale); Z = anni prima che il rischio possa manifestarsi; AGIRE ORA = X + Y &gt; Z. Livello di allerta (calcolato dal registro): Attivazione = almeno due fra AGIRE ORA, KRI in rosso, notizie in peggioramento; Attenzione = uno di questi, o margine sotto l'anno con P x I alto, presidio assente o KRI in ambra; Monitoraggio = gli altri. KRI = indicatore di rischio, di esposizione (quanto la Banca e' esposta) o di evoluzione (quanto cresce il fenomeno). ◆ = tema all'attenzione del supervisore.</t>
        </is>
      </c>
    </row>
  </sheetData>
  <mergeCells count="59">
    <mergeCell ref="A9:H9"/>
    <mergeCell ref="C16:H16"/>
    <mergeCell ref="E70:H70"/>
    <mergeCell ref="G52:H52"/>
    <mergeCell ref="E61:H61"/>
    <mergeCell ref="G2:H2"/>
    <mergeCell ref="A24:H24"/>
    <mergeCell ref="E57:H57"/>
    <mergeCell ref="A60:E60"/>
    <mergeCell ref="A11:H11"/>
    <mergeCell ref="A1:H1"/>
    <mergeCell ref="C12:H12"/>
    <mergeCell ref="A50:C50"/>
    <mergeCell ref="A63:D63"/>
    <mergeCell ref="G48:H48"/>
    <mergeCell ref="A6:H6"/>
    <mergeCell ref="A68:D68"/>
    <mergeCell ref="A2:F2"/>
    <mergeCell ref="A67:D67"/>
    <mergeCell ref="A65:H65"/>
    <mergeCell ref="A54:H54"/>
    <mergeCell ref="A59:D59"/>
    <mergeCell ref="E68:H68"/>
    <mergeCell ref="A3:B3"/>
    <mergeCell ref="A56:E56"/>
    <mergeCell ref="A52:C52"/>
    <mergeCell ref="G49:H49"/>
    <mergeCell ref="A26:H26"/>
    <mergeCell ref="A21:H21"/>
    <mergeCell ref="A70:D70"/>
    <mergeCell ref="A61:D61"/>
    <mergeCell ref="F62:G62"/>
    <mergeCell ref="A69:D69"/>
    <mergeCell ref="C13:H13"/>
    <mergeCell ref="A47:H47"/>
    <mergeCell ref="A5:H5"/>
    <mergeCell ref="A23:H23"/>
    <mergeCell ref="E63:H63"/>
    <mergeCell ref="A48:C48"/>
    <mergeCell ref="A8:H8"/>
    <mergeCell ref="F56:G56"/>
    <mergeCell ref="F58:G58"/>
    <mergeCell ref="A51:C51"/>
    <mergeCell ref="A17:H17"/>
    <mergeCell ref="C15:H15"/>
    <mergeCell ref="G51:H51"/>
    <mergeCell ref="A49:C49"/>
    <mergeCell ref="A62:E62"/>
    <mergeCell ref="C14:H14"/>
    <mergeCell ref="A20:H20"/>
    <mergeCell ref="A72:H72"/>
    <mergeCell ref="F60:G60"/>
    <mergeCell ref="A19:H19"/>
    <mergeCell ref="G50:H50"/>
    <mergeCell ref="A57:D57"/>
    <mergeCell ref="E59:H59"/>
    <mergeCell ref="A58:E58"/>
    <mergeCell ref="C3:D3"/>
    <mergeCell ref="E3:F3"/>
  </mergeCells>
  <pageMargins left="0.4" right="0.4" top="1" bottom="1" header="0.5" footer="0.5"/>
  <pageSetup orientation="portrait" paperSize="9" fitToHeight="0" fitToWidth="1"/>
  <headerFooter>
    <oddHeader>&amp;CUso interno&amp;RHorizon Scan NFR</oddHeader>
    <oddFooter>&amp;L&amp;F · &amp;A&amp;RPagina &amp;P di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6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4" customWidth="1" min="8" max="8"/>
  </cols>
  <sheetData>
    <row r="1">
      <c r="A1" s="16" t="inlineStr">
        <is>
          <t>Horizon Scan NFR — schede dei rischi · ciclo 2026Q4 · dati al 31/12/2026 · validato · Uso interno</t>
        </is>
      </c>
    </row>
    <row r="2" ht="34" customHeight="1">
      <c r="A2" s="17" t="inlineStr">
        <is>
          <t>5 · NFR-03 · Greenwashing nella commercializzazione di prodotti ESG</t>
        </is>
      </c>
      <c r="B2" s="18" t="n"/>
      <c r="C2" s="18" t="n"/>
      <c r="D2" s="18" t="n"/>
      <c r="E2" s="18" t="n"/>
      <c r="F2" s="18" t="n"/>
      <c r="G2" s="19" t="inlineStr">
        <is>
          <t>score 3,00   ● 0,00   ·   Entro l'anno   ·   Attenzione</t>
        </is>
      </c>
      <c r="H2" s="18" t="n"/>
    </row>
    <row r="3" ht="28" customHeight="1">
      <c r="A3" s="20" t="inlineStr">
        <is>
          <t>L1-04 · Clientela, prodotti e prassi professionali</t>
        </is>
      </c>
      <c r="B3" s="21" t="n"/>
      <c r="C3" s="20" t="inlineStr">
        <is>
          <t>Driver: DRV-CON, DRV-CLI</t>
        </is>
      </c>
      <c r="D3" s="21" t="n"/>
      <c r="E3" s="20" t="inlineStr">
        <is>
          <t>Owner: Funzione Compliance · Presidio: Non verificato</t>
        </is>
      </c>
      <c r="F3" s="21" t="n"/>
      <c r="G3" s="20" t="n"/>
      <c r="H3" s="20" t="inlineStr">
        <is>
          <t>Esito: Confermato · validato</t>
        </is>
      </c>
    </row>
    <row r="5">
      <c r="A5" s="23" t="inlineStr">
        <is>
          <t>Il rischio</t>
        </is>
      </c>
      <c r="B5" s="24" t="n"/>
      <c r="C5" s="24" t="n"/>
      <c r="D5" s="24" t="n"/>
      <c r="E5" s="24" t="n"/>
      <c r="F5" s="24" t="n"/>
      <c r="G5" s="24" t="n"/>
      <c r="H5" s="24" t="n"/>
    </row>
    <row r="6" ht="19.5" customHeight="1">
      <c r="A6" s="25" t="inlineStr">
        <is>
          <t>Claim ambientali non sostanziati nella documentazione di prodotti di investimento ESG, con rischio di sanzioni e rimborsi.</t>
        </is>
      </c>
    </row>
    <row r="8">
      <c r="A8" s="23" t="inlineStr">
        <is>
          <t>Razionale: il fenomeno in termini di rischio</t>
        </is>
      </c>
      <c r="B8" s="24" t="n"/>
      <c r="C8" s="24" t="n"/>
      <c r="D8" s="24" t="n"/>
      <c r="E8" s="24" t="n"/>
      <c r="F8" s="24" t="n"/>
      <c r="G8" s="24" t="n"/>
      <c r="H8" s="24" t="n"/>
    </row>
    <row r="9" ht="33" customHeight="1">
      <c r="A9" s="25" t="inlineStr">
        <is>
          <t>La domanda di prodotti sostenibili spinge a presentare i prodotti ESG con claim ambientali (causa); se un claim non e' sostanziato e un'autorita' o un cliente lo contestano (evento), la Banca rischia sanzioni, rimborsi e danno reputazionale (danno). Nessun fatto nuovo nel trimestre: valori confermati.</t>
        </is>
      </c>
    </row>
    <row r="11">
      <c r="A11" s="23" t="inlineStr">
        <is>
          <t>Valutazione, dimensione per dimensione (valori validati)</t>
        </is>
      </c>
      <c r="B11" s="24" t="n"/>
      <c r="C11" s="24" t="n"/>
      <c r="D11" s="24" t="n"/>
      <c r="E11" s="24" t="n"/>
      <c r="F11" s="24" t="n"/>
      <c r="G11" s="24" t="n"/>
      <c r="H11" s="24" t="n"/>
    </row>
    <row r="12">
      <c r="A12" s="26" t="inlineStr">
        <is>
          <t>Dimensione</t>
        </is>
      </c>
      <c r="B12" s="26" t="inlineStr">
        <is>
          <t>Valore</t>
        </is>
      </c>
      <c r="C12" s="26" t="inlineStr">
        <is>
          <t>Perche' questo valore: informazioni e documenti</t>
        </is>
      </c>
    </row>
    <row r="13" ht="33" customHeight="1">
      <c r="A13" s="27" t="inlineStr">
        <is>
          <t>Impatto</t>
        </is>
      </c>
      <c r="B13" s="55" t="n">
        <v>3</v>
      </c>
      <c r="C13" s="29" t="inlineStr">
        <is>
          <t>Rilevante. Clientela ampia dei prodotti ESG e segnalazione all'autorita' possibile, come prevedono gli Orientamenti dell'autorita' europea sui nomi dei fondi ESG.</t>
        </is>
      </c>
      <c r="D13" s="6" t="n"/>
      <c r="E13" s="6" t="n"/>
      <c r="F13" s="6" t="n"/>
      <c r="G13" s="6" t="n"/>
      <c r="H13" s="6" t="n"/>
    </row>
    <row r="14" ht="26" customHeight="1">
      <c r="A14" s="27" t="inlineStr">
        <is>
          <t>Probabilita</t>
        </is>
      </c>
      <c r="B14" s="55" t="n">
        <v>3</v>
      </c>
      <c r="C14" s="29" t="inlineStr">
        <is>
          <t>Possibile. La Verifica interna dei claim ambientali della Compliance ha lasciato prodotti ancora da rivedere: la Banca e' esposta.</t>
        </is>
      </c>
      <c r="D14" s="6" t="n"/>
      <c r="E14" s="6" t="n"/>
      <c r="F14" s="6" t="n"/>
      <c r="G14" s="6" t="n"/>
      <c r="H14" s="6" t="n"/>
    </row>
    <row r="15" ht="26" customHeight="1">
      <c r="A15" s="27" t="inlineStr">
        <is>
          <t>Prossimita</t>
        </is>
      </c>
      <c r="B15" s="28" t="n">
        <v>4</v>
      </c>
      <c r="C15" s="29" t="inlineStr">
        <is>
          <t>Entro dodici mesi. Il Provvedimento sanzionatorio su claim ESG di una banca comparabile e' un caso documentato.</t>
        </is>
      </c>
      <c r="D15" s="6" t="n"/>
      <c r="E15" s="6" t="n"/>
      <c r="F15" s="6" t="n"/>
      <c r="G15" s="6" t="n"/>
      <c r="H15" s="6" t="n"/>
    </row>
    <row r="16" ht="26" customHeight="1">
      <c r="A16" s="27" t="inlineStr">
        <is>
          <t>Velocity</t>
        </is>
      </c>
      <c r="B16" s="58" t="n">
        <v>2</v>
      </c>
      <c r="C16" s="29" t="inlineStr">
        <is>
          <t>Da sei a dodici mesi. Un'istruttoria dell'autorita' richiede mesi prima della sanzione, come nel Provvedimento sanzionatorio.</t>
        </is>
      </c>
      <c r="D16" s="6" t="n"/>
      <c r="E16" s="6" t="n"/>
      <c r="F16" s="6" t="n"/>
      <c r="G16" s="6" t="n"/>
      <c r="H16" s="6" t="n"/>
    </row>
    <row r="17">
      <c r="A17" s="31" t="inlineStr">
        <is>
          <t>Score composito 3,00 = (0,35 x 3 + 0,25 x 3 + 0,20 x 4 + 0,20 x 2) / 1,00. La rilevanza delle fonti e' nella tabella Fonti.</t>
        </is>
      </c>
    </row>
    <row r="19">
      <c r="A19" s="23" t="inlineStr">
        <is>
          <t>Urgenza (disuguaglianza di Mosca) e livello di allerta</t>
        </is>
      </c>
      <c r="B19" s="24" t="n"/>
      <c r="C19" s="24" t="n"/>
      <c r="D19" s="24" t="n"/>
      <c r="E19" s="24" t="n"/>
      <c r="F19" s="24" t="n"/>
      <c r="G19" s="24" t="n"/>
      <c r="H19" s="24" t="n"/>
    </row>
    <row r="20" ht="19.5" customHeight="1">
      <c r="A20" s="56" t="inlineStr">
        <is>
          <t>Livello di allerta: Attenzione — margine sotto l'anno con KRI in ambra o rosso.</t>
        </is>
      </c>
    </row>
    <row r="21" ht="19.5" customHeight="1">
      <c r="A21" s="25" t="inlineStr">
        <is>
          <t>Agire entro l'anno. Tempo necessario X + Y = 0,25 + 0,25 = 0,50 anni; tempo disponibile Z = 0,5 anni (Prossimita 4). Margine Z - (X + Y) = 0,00.</t>
        </is>
      </c>
    </row>
    <row r="23">
      <c r="A23" s="23" t="inlineStr">
        <is>
          <t>Cosa e' cambiato nel ciclo</t>
        </is>
      </c>
      <c r="B23" s="24" t="n"/>
      <c r="C23" s="24" t="n"/>
      <c r="D23" s="24" t="n"/>
      <c r="E23" s="24" t="n"/>
      <c r="F23" s="24" t="n"/>
      <c r="G23" s="24" t="n"/>
      <c r="H23" s="24" t="n"/>
    </row>
    <row r="24" ht="19.5" customHeight="1">
      <c r="A24" s="25" t="inlineStr">
        <is>
          <t>Nessun valore cambiato: confermato sulle fonti del ciclo precedente.</t>
        </is>
      </c>
    </row>
    <row r="26">
      <c r="A26" s="23" t="inlineStr">
        <is>
          <t>Andamento negli ultimi trimestri</t>
        </is>
      </c>
      <c r="B26" s="24" t="n"/>
      <c r="C26" s="24" t="n"/>
      <c r="D26" s="24" t="n"/>
      <c r="E26" s="24" t="n"/>
      <c r="F26" s="24" t="n"/>
      <c r="G26" s="24" t="n"/>
      <c r="H26" s="24" t="n"/>
    </row>
    <row r="27">
      <c r="A27" s="33" t="inlineStr">
        <is>
          <t>Ciclo</t>
        </is>
      </c>
      <c r="B27" s="33" t="inlineStr">
        <is>
          <t>Imp</t>
        </is>
      </c>
      <c r="C27" s="33" t="inlineStr">
        <is>
          <t>Prob</t>
        </is>
      </c>
      <c r="D27" s="33" t="inlineStr">
        <is>
          <t>Pross</t>
        </is>
      </c>
      <c r="E27" s="33" t="inlineStr">
        <is>
          <t>Vel</t>
        </is>
      </c>
      <c r="F27" s="33" t="inlineStr">
        <is>
          <t>Score</t>
        </is>
      </c>
    </row>
    <row r="28">
      <c r="A28" s="34" t="inlineStr">
        <is>
          <t>2025Q4</t>
        </is>
      </c>
      <c r="B28" s="35" t="n">
        <v>3</v>
      </c>
      <c r="C28" s="35" t="n">
        <v>3</v>
      </c>
      <c r="D28" s="35" t="n">
        <v>3</v>
      </c>
      <c r="E28" s="60" t="n">
        <v>2</v>
      </c>
      <c r="F28" s="37" t="n">
        <v>2.8</v>
      </c>
    </row>
    <row r="29">
      <c r="A29" s="34" t="inlineStr">
        <is>
          <t>2026Q1</t>
        </is>
      </c>
      <c r="B29" s="35" t="n">
        <v>3</v>
      </c>
      <c r="C29" s="35" t="n">
        <v>3</v>
      </c>
      <c r="D29" s="35" t="n">
        <v>3</v>
      </c>
      <c r="E29" s="60" t="n">
        <v>2</v>
      </c>
      <c r="F29" s="37" t="n">
        <v>2.8</v>
      </c>
    </row>
    <row r="30">
      <c r="A30" s="34" t="inlineStr">
        <is>
          <t>2026Q2</t>
        </is>
      </c>
      <c r="B30" s="35" t="n">
        <v>3</v>
      </c>
      <c r="C30" s="35" t="n">
        <v>3</v>
      </c>
      <c r="D30" s="35" t="n">
        <v>3</v>
      </c>
      <c r="E30" s="60" t="n">
        <v>2</v>
      </c>
      <c r="F30" s="37" t="n">
        <v>2.8</v>
      </c>
    </row>
    <row r="31">
      <c r="A31" s="34" t="inlineStr">
        <is>
          <t>2026Q3</t>
        </is>
      </c>
      <c r="B31" s="35" t="n">
        <v>3</v>
      </c>
      <c r="C31" s="35" t="n">
        <v>3</v>
      </c>
      <c r="D31" s="36" t="n">
        <v>4</v>
      </c>
      <c r="E31" s="60" t="n">
        <v>2</v>
      </c>
      <c r="F31" s="37" t="n">
        <v>3</v>
      </c>
    </row>
    <row r="32">
      <c r="A32" s="34" t="inlineStr">
        <is>
          <t>2026Q4</t>
        </is>
      </c>
      <c r="B32" s="35" t="n">
        <v>3</v>
      </c>
      <c r="C32" s="35" t="n">
        <v>3</v>
      </c>
      <c r="D32" s="36" t="n">
        <v>4</v>
      </c>
      <c r="E32" s="60" t="n">
        <v>2</v>
      </c>
      <c r="F32" s="37" t="n">
        <v>3</v>
      </c>
    </row>
    <row r="47">
      <c r="A47" s="23" t="inlineStr">
        <is>
          <t>Fonti</t>
        </is>
      </c>
      <c r="B47" s="24" t="n"/>
      <c r="C47" s="24" t="n"/>
      <c r="D47" s="24" t="n"/>
      <c r="E47" s="24" t="n"/>
      <c r="F47" s="24" t="n"/>
      <c r="G47" s="24" t="n"/>
      <c r="H47" s="24" t="n"/>
    </row>
    <row r="48">
      <c r="A48" s="26" t="inlineStr">
        <is>
          <t>Fonte</t>
        </is>
      </c>
      <c r="D48" s="26" t="inlineStr">
        <is>
          <t>Data</t>
        </is>
      </c>
      <c r="E48" s="26" t="inlineStr">
        <is>
          <t>Tipo</t>
        </is>
      </c>
      <c r="F48" s="26" t="inlineStr">
        <is>
          <t>Rilevanza</t>
        </is>
      </c>
      <c r="G48" s="26" t="n"/>
    </row>
    <row r="49" ht="32" customHeight="1">
      <c r="A49" s="39" t="inlineStr">
        <is>
          <t>Orientamenti dell'autorita' europea sui nomi dei fondi ESG</t>
        </is>
      </c>
      <c r="B49" s="6" t="n"/>
      <c r="C49" s="6" t="n"/>
      <c r="D49" s="40" t="inlineStr">
        <is>
          <t>14/11/2025</t>
        </is>
      </c>
      <c r="E49" s="43" t="inlineStr">
        <is>
          <t>Esterna</t>
        </is>
      </c>
      <c r="F49" s="42" t="inlineStr">
        <is>
          <t>Alta</t>
        </is>
      </c>
      <c r="G49" s="39" t="n"/>
      <c r="H49" s="6" t="n"/>
    </row>
    <row r="50" ht="18.5" customHeight="1">
      <c r="A50" s="39" t="inlineStr">
        <is>
          <t>Verifica interna dei claim ambientali — Compliance</t>
        </is>
      </c>
      <c r="B50" s="6" t="n"/>
      <c r="C50" s="6" t="n"/>
      <c r="D50" s="40" t="inlineStr">
        <is>
          <t>18/02/2026</t>
        </is>
      </c>
      <c r="E50" s="41" t="inlineStr">
        <is>
          <t>Interna</t>
        </is>
      </c>
      <c r="F50" s="42" t="inlineStr">
        <is>
          <t>Alta</t>
        </is>
      </c>
      <c r="G50" s="39" t="n"/>
      <c r="H50" s="6" t="n"/>
    </row>
    <row r="51" ht="32" customHeight="1">
      <c r="A51" s="39" t="inlineStr">
        <is>
          <t>Provvedimento sanzionatorio su claim ESG di una banca comparabile</t>
        </is>
      </c>
      <c r="B51" s="6" t="n"/>
      <c r="C51" s="6" t="n"/>
      <c r="D51" s="40" t="inlineStr">
        <is>
          <t>22/07/2026</t>
        </is>
      </c>
      <c r="E51" s="43" t="inlineStr">
        <is>
          <t>Esterna</t>
        </is>
      </c>
      <c r="F51" s="42" t="inlineStr">
        <is>
          <t>Alta</t>
        </is>
      </c>
      <c r="G51" s="39" t="n"/>
      <c r="H51" s="6" t="n"/>
    </row>
    <row r="53">
      <c r="A53" s="23" t="inlineStr">
        <is>
          <t>Azioni</t>
        </is>
      </c>
      <c r="B53" s="24" t="n"/>
      <c r="C53" s="24" t="n"/>
      <c r="D53" s="24" t="n"/>
      <c r="E53" s="24" t="n"/>
      <c r="F53" s="24" t="n"/>
      <c r="G53" s="24" t="n"/>
      <c r="H53" s="24" t="n"/>
    </row>
    <row r="54">
      <c r="A54" s="26" t="inlineStr">
        <is>
          <t>Azione</t>
        </is>
      </c>
      <c r="F54" s="26" t="inlineStr">
        <is>
          <t>Owner</t>
        </is>
      </c>
      <c r="H54" s="26" t="inlineStr">
        <is>
          <t>Orizzonte · stato</t>
        </is>
      </c>
    </row>
    <row r="55" ht="18.5" customHeight="1">
      <c r="A55" s="45" t="inlineStr">
        <is>
          <t>• Revisione indipendente dei claim ambientali di tutti i prodotti ESG in catalogo.</t>
        </is>
      </c>
      <c r="F55" s="46" t="inlineStr">
        <is>
          <t>Funzione Compliance</t>
        </is>
      </c>
      <c r="H55" s="46" t="inlineStr">
        <is>
          <t>6 mesi · Approvata (ciclo 2026Q2)</t>
        </is>
      </c>
    </row>
    <row r="56" ht="19" customHeight="1">
      <c r="A56" s="47" t="inlineStr">
        <is>
          <t>Perche': Sostanzia i claim prima che un'ispezione o un reclamo li contesti.</t>
        </is>
      </c>
      <c r="B56" s="48" t="n"/>
      <c r="C56" s="48" t="n"/>
      <c r="D56" s="48" t="n"/>
      <c r="E56" s="47" t="inlineStr">
        <is>
          <t>Effetto atteso: non indicato nel razionale di A1.</t>
        </is>
      </c>
      <c r="F56" s="48" t="n"/>
      <c r="G56" s="48" t="n"/>
      <c r="H56" s="48" t="n"/>
    </row>
    <row r="57" ht="18.5" customHeight="1">
      <c r="A57" s="45" t="inlineStr">
        <is>
          <t>• Completare la revisione indipendente dei claim ambientali di tutti i prodotti ESG in catalogo.</t>
        </is>
      </c>
      <c r="F57" s="46" t="inlineStr">
        <is>
          <t>Funzione Compliance</t>
        </is>
      </c>
      <c r="H57" s="46" t="inlineStr">
        <is>
          <t>3 mesi · Approvata (ciclo 2026Q3)</t>
        </is>
      </c>
    </row>
    <row r="58" ht="32" customHeight="1">
      <c r="A58" s="47" t="inlineStr">
        <is>
          <t>Perche': Chiude il lacuna di controllo sulla sostanziazione dei claim, reso piu' urgente dalla prossimita' in aumento.</t>
        </is>
      </c>
      <c r="B58" s="48" t="n"/>
      <c r="C58" s="48" t="n"/>
      <c r="D58" s="48" t="n"/>
      <c r="E58" s="47" t="inlineStr">
        <is>
          <t>Effetto atteso: non indicato nel razionale di A1.</t>
        </is>
      </c>
      <c r="F58" s="48" t="n"/>
      <c r="G58" s="48" t="n"/>
      <c r="H58" s="48" t="n"/>
    </row>
    <row r="59" ht="18.5" customHeight="1">
      <c r="A59" s="45" t="inlineStr">
        <is>
          <t>• Completare la revisione indipendente dei claim ambientali dei prodotti ESG residui.</t>
        </is>
      </c>
      <c r="F59" s="46" t="inlineStr">
        <is>
          <t>Funzione Compliance</t>
        </is>
      </c>
      <c r="H59" s="46" t="inlineStr">
        <is>
          <t>3 mesi · Approvata (ciclo 2026Q4)</t>
        </is>
      </c>
    </row>
    <row r="60" ht="32" customHeight="1">
      <c r="A60" s="47" t="inlineStr">
        <is>
          <t>Perche': La Verifica interna della Compliance ha lasciato una parte dei prodotti senza revisione: e' la lacuna da chiudere prima di un'istruttoria.</t>
        </is>
      </c>
      <c r="B60" s="48" t="n"/>
      <c r="C60" s="48" t="n"/>
      <c r="D60" s="48" t="n"/>
      <c r="E60" s="47" t="inlineStr">
        <is>
          <t>Effetto atteso: Tutti i claim sostanziati; la quota di prodotti senza revisione (NFR-03-K2) deve scendere fino a zero e, con essa, la Probabilita' al ciclo successivo.</t>
        </is>
      </c>
      <c r="F60" s="48" t="n"/>
      <c r="G60" s="48" t="n"/>
      <c r="H60" s="48" t="n"/>
    </row>
    <row r="62">
      <c r="A62" s="23" t="inlineStr">
        <is>
          <t>KRI in vigore</t>
        </is>
      </c>
      <c r="B62" s="24" t="n"/>
      <c r="C62" s="24" t="n"/>
      <c r="D62" s="24" t="n"/>
      <c r="E62" s="24" t="n"/>
      <c r="F62" s="24" t="n"/>
      <c r="G62" s="24" t="n"/>
      <c r="H62" s="24" t="n"/>
    </row>
    <row r="63">
      <c r="A63" s="49" t="inlineStr">
        <is>
          <t>Indicatore</t>
        </is>
      </c>
      <c r="E63" s="49" t="inlineStr">
        <is>
          <t>Valore</t>
        </is>
      </c>
      <c r="F63" s="49" t="inlineStr">
        <is>
          <t>Soglie (attenzione / allerta)</t>
        </is>
      </c>
      <c r="G63" s="49" t="inlineStr">
        <is>
          <t>Ciclo prima</t>
        </is>
      </c>
      <c r="H63" s="49" t="inlineStr">
        <is>
          <t>Stato</t>
        </is>
      </c>
    </row>
    <row r="64" ht="20" customHeight="1">
      <c r="A64" s="50" t="inlineStr">
        <is>
          <t>[Evoluzione] Reclami su prodotti ESG ogni 1.000 contratti (n/1000)</t>
        </is>
      </c>
      <c r="E64" s="51" t="n">
        <v>1.7</v>
      </c>
      <c r="F64" s="52" t="inlineStr">
        <is>
          <t>1,5 / 3,0</t>
        </is>
      </c>
      <c r="G64" s="52" t="n">
        <v>1.9</v>
      </c>
      <c r="H64" s="57" t="inlineStr">
        <is>
          <t>Ambra</t>
        </is>
      </c>
    </row>
    <row r="65" ht="32" customHeight="1">
      <c r="A65" s="47" t="inlineStr">
        <is>
          <t>Perche' lo misuriamo: Segnale anticipato: i reclami dei clienti di solito precedono le contestazioni dell'autorita'.</t>
        </is>
      </c>
      <c r="B65" s="48" t="n"/>
      <c r="C65" s="48" t="n"/>
      <c r="D65" s="48" t="n"/>
      <c r="E65" s="47" t="inlineStr">
        <is>
          <t>Effetto atteso: Stabili o in calo con la revisione dei claim; le soglie le fissa la Banca.</t>
        </is>
      </c>
      <c r="F65" s="48" t="n"/>
      <c r="G65" s="48" t="n"/>
      <c r="H65" s="48" t="n"/>
    </row>
    <row r="66" ht="20" customHeight="1">
      <c r="A66" s="50" t="inlineStr">
        <is>
          <t>[Esposizione] Quota di prodotti ESG senza revisione dei claim nell'anno (%)</t>
        </is>
      </c>
      <c r="E66" s="51" t="n">
        <v>35</v>
      </c>
      <c r="F66" s="52" t="inlineStr">
        <is>
          <t>20,0 / 40,0</t>
        </is>
      </c>
      <c r="G66" s="52" t="inlineStr">
        <is>
          <t>—</t>
        </is>
      </c>
      <c r="H66" s="57" t="inlineStr">
        <is>
          <t>Ambra</t>
        </is>
      </c>
    </row>
    <row r="67" ht="32" customHeight="1">
      <c r="A67" s="47" t="inlineStr">
        <is>
          <t>Perche' lo misuriamo: Misura quanto la Banca e' esposta: ogni prodotto non rivisto e' un claim che potrebbe non reggere a una verifica.</t>
        </is>
      </c>
      <c r="B67" s="48" t="n"/>
      <c r="C67" s="48" t="n"/>
      <c r="D67" s="48" t="n"/>
      <c r="E67" s="47" t="inlineStr">
        <is>
          <t>Effetto atteso: In calo fino a zero con la revisione indipendente; sopra la soglia di allerta il presidio dei claim e' insufficiente.</t>
        </is>
      </c>
      <c r="F67" s="48" t="n"/>
      <c r="G67" s="48" t="n"/>
      <c r="H67" s="48" t="n"/>
    </row>
    <row r="69" ht="61" customHeight="1">
      <c r="A69" s="15" t="inlineStr">
        <is>
          <t>Legenda — Imp = Impatto, Prob = Probabilita, Pross = Prossimita, Vel = Velocity (1-5, 5 = peggiore; n.v. = non valutata, nessuna fonte ne documenta i tempi). Rilevanza di una fonte per la previsione: Alta = fonte primaria o caso documentato, Media = fonte specializzata, Bassa = generalista. Presidio = giudizio della Banca sui controlli, fuori dallo score. X = anni per decidere e avviare la mitigazione; Y = anni per mitigare (azioni o adeguamento strutturale); Z = anni prima che il rischio possa manifestarsi; AGIRE ORA = X + Y &gt; Z. Livello di allerta (calcolato dal registro): Attivazione = almeno due fra AGIRE ORA, KRI in rosso, notizie in peggioramento; Attenzione = uno di questi, o margine sotto l'anno con P x I alto, presidio assente o KRI in ambra; Monitoraggio = gli altri. KRI = indicatore di rischio, di esposizione (quanto la Banca e' esposta) o di evoluzione (quanto cresce il fenomeno). ◆ = tema all'attenzione del supervisore.</t>
        </is>
      </c>
    </row>
  </sheetData>
  <mergeCells count="53">
    <mergeCell ref="A9:H9"/>
    <mergeCell ref="C16:H16"/>
    <mergeCell ref="A59:E59"/>
    <mergeCell ref="G2:H2"/>
    <mergeCell ref="A24:H24"/>
    <mergeCell ref="A11:H11"/>
    <mergeCell ref="A1:H1"/>
    <mergeCell ref="C12:H12"/>
    <mergeCell ref="A50:C50"/>
    <mergeCell ref="G48:H48"/>
    <mergeCell ref="A6:H6"/>
    <mergeCell ref="A2:F2"/>
    <mergeCell ref="F59:G59"/>
    <mergeCell ref="F55:G55"/>
    <mergeCell ref="A67:D67"/>
    <mergeCell ref="E56:H56"/>
    <mergeCell ref="A69:H69"/>
    <mergeCell ref="A58:D58"/>
    <mergeCell ref="E58:H58"/>
    <mergeCell ref="A64:D64"/>
    <mergeCell ref="E67:H67"/>
    <mergeCell ref="A3:B3"/>
    <mergeCell ref="A60:D60"/>
    <mergeCell ref="G49:H49"/>
    <mergeCell ref="A55:E55"/>
    <mergeCell ref="A26:H26"/>
    <mergeCell ref="A21:H21"/>
    <mergeCell ref="A57:E57"/>
    <mergeCell ref="C13:H13"/>
    <mergeCell ref="A65:D65"/>
    <mergeCell ref="A47:H47"/>
    <mergeCell ref="A5:H5"/>
    <mergeCell ref="A23:H23"/>
    <mergeCell ref="A48:C48"/>
    <mergeCell ref="A8:H8"/>
    <mergeCell ref="A51:C51"/>
    <mergeCell ref="A17:H17"/>
    <mergeCell ref="C15:H15"/>
    <mergeCell ref="A66:D66"/>
    <mergeCell ref="G51:H51"/>
    <mergeCell ref="A56:D56"/>
    <mergeCell ref="E60:H60"/>
    <mergeCell ref="A49:C49"/>
    <mergeCell ref="A53:H53"/>
    <mergeCell ref="A62:H62"/>
    <mergeCell ref="C14:H14"/>
    <mergeCell ref="E65:H65"/>
    <mergeCell ref="A20:H20"/>
    <mergeCell ref="A19:H19"/>
    <mergeCell ref="G50:H50"/>
    <mergeCell ref="C3:D3"/>
    <mergeCell ref="F57:G57"/>
    <mergeCell ref="E3:F3"/>
  </mergeCells>
  <pageMargins left="0.4" right="0.4" top="1" bottom="1" header="0.5" footer="0.5"/>
  <pageSetup orientation="portrait" paperSize="9" fitToHeight="0" fitToWidth="1"/>
  <headerFooter>
    <oddHeader>&amp;CUso interno&amp;RHorizon Scan NFR</oddHeader>
    <oddFooter>&amp;L&amp;F · &amp;A&amp;RPagina &amp;P di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6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4" customWidth="1" min="8" max="8"/>
  </cols>
  <sheetData>
    <row r="1">
      <c r="A1" s="16" t="inlineStr">
        <is>
          <t>Horizon Scan NFR — schede dei rischi · ciclo 2026Q4 · dati al 31/12/2026 · validato · Uso interno</t>
        </is>
      </c>
    </row>
    <row r="2" ht="34" customHeight="1">
      <c r="A2" s="17" t="inlineStr">
        <is>
          <t>6 · NFR-05 · Errori di processo nella migrazione del core banking</t>
        </is>
      </c>
      <c r="B2" s="18" t="n"/>
      <c r="C2" s="18" t="n"/>
      <c r="D2" s="18" t="n"/>
      <c r="E2" s="18" t="n"/>
      <c r="F2" s="18" t="n"/>
      <c r="G2" s="19" t="inlineStr">
        <is>
          <t>score 3,00   ● 0,00   ·   Margine 1 anno   ·   Monitoraggio</t>
        </is>
      </c>
      <c r="H2" s="18" t="n"/>
    </row>
    <row r="3" ht="28" customHeight="1">
      <c r="A3" s="20" t="inlineStr">
        <is>
          <t>L1-07 · Esecuzione, consegna e gestione dei processi</t>
        </is>
      </c>
      <c r="B3" s="21" t="n"/>
      <c r="C3" s="20" t="inlineStr">
        <is>
          <t>Driver: DRV-TEC</t>
        </is>
      </c>
      <c r="D3" s="21" t="n"/>
      <c r="E3" s="20" t="inlineStr">
        <is>
          <t>Owner: Funzione Operations · Presidio: Adeguato</t>
        </is>
      </c>
      <c r="F3" s="21" t="n"/>
      <c r="G3" s="20" t="n"/>
      <c r="H3" s="20" t="inlineStr">
        <is>
          <t>Esito: Confermato · validato</t>
        </is>
      </c>
    </row>
    <row r="5">
      <c r="A5" s="23" t="inlineStr">
        <is>
          <t>Il rischio</t>
        </is>
      </c>
      <c r="B5" s="24" t="n"/>
      <c r="C5" s="24" t="n"/>
      <c r="D5" s="24" t="n"/>
      <c r="E5" s="24" t="n"/>
      <c r="F5" s="24" t="n"/>
      <c r="G5" s="24" t="n"/>
      <c r="H5" s="24" t="n"/>
    </row>
    <row r="6" ht="19.5" customHeight="1">
      <c r="A6" s="25" t="inlineStr">
        <is>
          <t>Errori di conversione dati e controlli di processo non ridisegnati durante la migrazione a ondate del sistema core.</t>
        </is>
      </c>
    </row>
    <row r="8">
      <c r="A8" s="23" t="inlineStr">
        <is>
          <t>Razionale: il fenomeno in termini di rischio</t>
        </is>
      </c>
      <c r="B8" s="24" t="n"/>
      <c r="C8" s="24" t="n"/>
      <c r="D8" s="24" t="n"/>
      <c r="E8" s="24" t="n"/>
      <c r="F8" s="24" t="n"/>
      <c r="G8" s="24" t="n"/>
      <c r="H8" s="24" t="n"/>
    </row>
    <row r="9" ht="33" customHeight="1">
      <c r="A9" s="25" t="inlineStr">
        <is>
          <t>La migrazione a ondate del sistema core (causa) puo' introdurre errori di conversione dei dati e lasciare controlli di processo non ridisegnati (evento); ne derivano operazioni errate, rettifiche ai clienti e interruzioni dei processi (danno). Wave 2 confermata nel 2027 e controlli di riconciliazione stabili: valori confermati.</t>
        </is>
      </c>
    </row>
    <row r="11">
      <c r="A11" s="23" t="inlineStr">
        <is>
          <t>Valutazione, dimensione per dimensione (valori validati)</t>
        </is>
      </c>
      <c r="B11" s="24" t="n"/>
      <c r="C11" s="24" t="n"/>
      <c r="D11" s="24" t="n"/>
      <c r="E11" s="24" t="n"/>
      <c r="F11" s="24" t="n"/>
      <c r="G11" s="24" t="n"/>
      <c r="H11" s="24" t="n"/>
    </row>
    <row r="12">
      <c r="A12" s="26" t="inlineStr">
        <is>
          <t>Dimensione</t>
        </is>
      </c>
      <c r="B12" s="26" t="inlineStr">
        <is>
          <t>Valore</t>
        </is>
      </c>
      <c r="C12" s="26" t="inlineStr">
        <is>
          <t>Perche' questo valore: informazioni e documenti</t>
        </is>
      </c>
    </row>
    <row r="13" ht="26" customHeight="1">
      <c r="A13" s="27" t="inlineStr">
        <is>
          <t>Impatto</t>
        </is>
      </c>
      <c r="B13" s="55" t="n">
        <v>3</v>
      </c>
      <c r="C13" s="29" t="inlineStr">
        <is>
          <t>Rilevante. Errori sul core degradano processi critici per una clientela ampia (Piano di migrazione del core banking, PMO).</t>
        </is>
      </c>
      <c r="D13" s="6" t="n"/>
      <c r="E13" s="6" t="n"/>
      <c r="F13" s="6" t="n"/>
      <c r="G13" s="6" t="n"/>
      <c r="H13" s="6" t="n"/>
    </row>
    <row r="14" ht="26" customHeight="1">
      <c r="A14" s="27" t="inlineStr">
        <is>
          <t>Probabilita</t>
        </is>
      </c>
      <c r="B14" s="55" t="n">
        <v>3</v>
      </c>
      <c r="C14" s="29" t="inlineStr">
        <is>
          <t>Possibile. La Chiusura della wave 1 ha registrato incidenti di produzione legati alla migrazione: il meccanismo e' gia' noto presso la Banca.</t>
        </is>
      </c>
      <c r="D14" s="6" t="n"/>
      <c r="E14" s="6" t="n"/>
      <c r="F14" s="6" t="n"/>
      <c r="G14" s="6" t="n"/>
      <c r="H14" s="6" t="n"/>
    </row>
    <row r="15" ht="26" customHeight="1">
      <c r="A15" s="27" t="inlineStr">
        <is>
          <t>Prossimita</t>
        </is>
      </c>
      <c r="B15" s="55" t="n">
        <v>3</v>
      </c>
      <c r="C15" s="29" t="inlineStr">
        <is>
          <t>Da uno a due anni. Il momento critico e' la wave 2, prevista nel 2027 dal Piano di migrazione.</t>
        </is>
      </c>
      <c r="D15" s="6" t="n"/>
      <c r="E15" s="6" t="n"/>
      <c r="F15" s="6" t="n"/>
      <c r="G15" s="6" t="n"/>
      <c r="H15" s="6" t="n"/>
    </row>
    <row r="16" ht="33" customHeight="1">
      <c r="A16" s="27" t="inlineStr">
        <is>
          <t>Velocity</t>
        </is>
      </c>
      <c r="B16" s="55" t="n">
        <v>3</v>
      </c>
      <c r="C16" s="29" t="inlineStr">
        <is>
          <t>Da tre a sei mesi. La Relazione di audit sui controlli di riconciliazione mostra che gli errori si accumulano nei mesi dopo un'ondata prima di essere tutti intercettati.</t>
        </is>
      </c>
      <c r="D16" s="6" t="n"/>
      <c r="E16" s="6" t="n"/>
      <c r="F16" s="6" t="n"/>
      <c r="G16" s="6" t="n"/>
      <c r="H16" s="6" t="n"/>
    </row>
    <row r="17">
      <c r="A17" s="31" t="inlineStr">
        <is>
          <t>Score composito 3,00 = (0,35 x 3 + 0,25 x 3 + 0,20 x 3 + 0,20 x 3) / 1,00. La rilevanza delle fonti e' nella tabella Fonti.</t>
        </is>
      </c>
    </row>
    <row r="19">
      <c r="A19" s="23" t="inlineStr">
        <is>
          <t>Urgenza (disuguaglianza di Mosca) e livello di allerta</t>
        </is>
      </c>
      <c r="B19" s="24" t="n"/>
      <c r="C19" s="24" t="n"/>
      <c r="D19" s="24" t="n"/>
      <c r="E19" s="24" t="n"/>
      <c r="F19" s="24" t="n"/>
      <c r="G19" s="24" t="n"/>
      <c r="H19" s="24" t="n"/>
    </row>
    <row r="20" ht="19.5" customHeight="1">
      <c r="A20" s="59" t="inlineStr">
        <is>
          <t>Livello di allerta: Monitoraggio — nessun segnale forte.</t>
        </is>
      </c>
    </row>
    <row r="21" ht="19.5" customHeight="1">
      <c r="A21" s="25" t="inlineStr">
        <is>
          <t>Margine 1 anno. Tempo necessario X + Y = 0,25 + 0,25 = 0,50 anni; tempo disponibile Z = 1,5 anni (Prossimita 3). Margine Z - (X + Y) = 1,00.</t>
        </is>
      </c>
    </row>
    <row r="23">
      <c r="A23" s="23" t="inlineStr">
        <is>
          <t>Cosa e' cambiato nel ciclo</t>
        </is>
      </c>
      <c r="B23" s="24" t="n"/>
      <c r="C23" s="24" t="n"/>
      <c r="D23" s="24" t="n"/>
      <c r="E23" s="24" t="n"/>
      <c r="F23" s="24" t="n"/>
      <c r="G23" s="24" t="n"/>
      <c r="H23" s="24" t="n"/>
    </row>
    <row r="24" ht="19.5" customHeight="1">
      <c r="A24" s="25" t="inlineStr">
        <is>
          <t>Nessun valore cambiato: confermato sulle fonti del ciclo precedente.</t>
        </is>
      </c>
    </row>
    <row r="26">
      <c r="A26" s="23" t="inlineStr">
        <is>
          <t>Andamento negli ultimi trimestri</t>
        </is>
      </c>
      <c r="B26" s="24" t="n"/>
      <c r="C26" s="24" t="n"/>
      <c r="D26" s="24" t="n"/>
      <c r="E26" s="24" t="n"/>
      <c r="F26" s="24" t="n"/>
      <c r="G26" s="24" t="n"/>
      <c r="H26" s="24" t="n"/>
    </row>
    <row r="27">
      <c r="A27" s="33" t="inlineStr">
        <is>
          <t>Ciclo</t>
        </is>
      </c>
      <c r="B27" s="33" t="inlineStr">
        <is>
          <t>Imp</t>
        </is>
      </c>
      <c r="C27" s="33" t="inlineStr">
        <is>
          <t>Prob</t>
        </is>
      </c>
      <c r="D27" s="33" t="inlineStr">
        <is>
          <t>Pross</t>
        </is>
      </c>
      <c r="E27" s="33" t="inlineStr">
        <is>
          <t>Vel</t>
        </is>
      </c>
      <c r="F27" s="33" t="inlineStr">
        <is>
          <t>Score</t>
        </is>
      </c>
    </row>
    <row r="28">
      <c r="A28" s="34" t="inlineStr">
        <is>
          <t>2025Q4</t>
        </is>
      </c>
      <c r="B28" s="35" t="n">
        <v>3</v>
      </c>
      <c r="C28" s="35" t="n">
        <v>3</v>
      </c>
      <c r="D28" s="36" t="n">
        <v>4</v>
      </c>
      <c r="E28" s="35" t="n">
        <v>3</v>
      </c>
      <c r="F28" s="37" t="n">
        <v>3.2</v>
      </c>
    </row>
    <row r="29">
      <c r="A29" s="34" t="inlineStr">
        <is>
          <t>2026Q1</t>
        </is>
      </c>
      <c r="B29" s="35" t="n">
        <v>3</v>
      </c>
      <c r="C29" s="35" t="n">
        <v>3</v>
      </c>
      <c r="D29" s="36" t="n">
        <v>4</v>
      </c>
      <c r="E29" s="35" t="n">
        <v>3</v>
      </c>
      <c r="F29" s="37" t="n">
        <v>3.2</v>
      </c>
    </row>
    <row r="30">
      <c r="A30" s="34" t="inlineStr">
        <is>
          <t>2026Q2</t>
        </is>
      </c>
      <c r="B30" s="35" t="n">
        <v>3</v>
      </c>
      <c r="C30" s="35" t="n">
        <v>3</v>
      </c>
      <c r="D30" s="35" t="n">
        <v>3</v>
      </c>
      <c r="E30" s="35" t="n">
        <v>3</v>
      </c>
      <c r="F30" s="37" t="n">
        <v>3</v>
      </c>
    </row>
    <row r="31">
      <c r="A31" s="34" t="inlineStr">
        <is>
          <t>2026Q3</t>
        </is>
      </c>
      <c r="B31" s="35" t="n">
        <v>3</v>
      </c>
      <c r="C31" s="35" t="n">
        <v>3</v>
      </c>
      <c r="D31" s="35" t="n">
        <v>3</v>
      </c>
      <c r="E31" s="35" t="n">
        <v>3</v>
      </c>
      <c r="F31" s="37" t="n">
        <v>3</v>
      </c>
    </row>
    <row r="32">
      <c r="A32" s="34" t="inlineStr">
        <is>
          <t>2026Q4</t>
        </is>
      </c>
      <c r="B32" s="35" t="n">
        <v>3</v>
      </c>
      <c r="C32" s="35" t="n">
        <v>3</v>
      </c>
      <c r="D32" s="35" t="n">
        <v>3</v>
      </c>
      <c r="E32" s="35" t="n">
        <v>3</v>
      </c>
      <c r="F32" s="37" t="n">
        <v>3</v>
      </c>
    </row>
    <row r="47">
      <c r="A47" s="23" t="inlineStr">
        <is>
          <t>Fonti</t>
        </is>
      </c>
      <c r="B47" s="24" t="n"/>
      <c r="C47" s="24" t="n"/>
      <c r="D47" s="24" t="n"/>
      <c r="E47" s="24" t="n"/>
      <c r="F47" s="24" t="n"/>
      <c r="G47" s="24" t="n"/>
      <c r="H47" s="24" t="n"/>
    </row>
    <row r="48">
      <c r="A48" s="26" t="inlineStr">
        <is>
          <t>Fonte</t>
        </is>
      </c>
      <c r="D48" s="26" t="inlineStr">
        <is>
          <t>Data</t>
        </is>
      </c>
      <c r="E48" s="26" t="inlineStr">
        <is>
          <t>Tipo</t>
        </is>
      </c>
      <c r="F48" s="26" t="inlineStr">
        <is>
          <t>Rilevanza</t>
        </is>
      </c>
      <c r="G48" s="26" t="n"/>
    </row>
    <row r="49" ht="18.5" customHeight="1">
      <c r="A49" s="39" t="inlineStr">
        <is>
          <t>Piano di migrazione del core banking — PMO</t>
        </is>
      </c>
      <c r="B49" s="6" t="n"/>
      <c r="C49" s="6" t="n"/>
      <c r="D49" s="40" t="inlineStr">
        <is>
          <t>15/09/2025</t>
        </is>
      </c>
      <c r="E49" s="41" t="inlineStr">
        <is>
          <t>Interna</t>
        </is>
      </c>
      <c r="F49" s="42" t="inlineStr">
        <is>
          <t>Alta</t>
        </is>
      </c>
      <c r="G49" s="39" t="n"/>
      <c r="H49" s="6" t="n"/>
    </row>
    <row r="50" ht="18.5" customHeight="1">
      <c r="A50" s="39" t="inlineStr">
        <is>
          <t>Chiusura della wave 1 di migrazione — PMO</t>
        </is>
      </c>
      <c r="B50" s="6" t="n"/>
      <c r="C50" s="6" t="n"/>
      <c r="D50" s="40" t="inlineStr">
        <is>
          <t>04/05/2026</t>
        </is>
      </c>
      <c r="E50" s="41" t="inlineStr">
        <is>
          <t>Interna</t>
        </is>
      </c>
      <c r="F50" s="42" t="inlineStr">
        <is>
          <t>Alta</t>
        </is>
      </c>
      <c r="G50" s="39" t="n"/>
      <c r="H50" s="6" t="n"/>
    </row>
    <row r="51" ht="32" customHeight="1">
      <c r="A51" s="39" t="inlineStr">
        <is>
          <t>Relazione di audit sui controlli di riconciliazione post-migrazione</t>
        </is>
      </c>
      <c r="B51" s="6" t="n"/>
      <c r="C51" s="6" t="n"/>
      <c r="D51" s="40" t="inlineStr">
        <is>
          <t>20/05/2026</t>
        </is>
      </c>
      <c r="E51" s="41" t="inlineStr">
        <is>
          <t>Interna</t>
        </is>
      </c>
      <c r="F51" s="42" t="inlineStr">
        <is>
          <t>Alta</t>
        </is>
      </c>
      <c r="G51" s="39" t="n"/>
      <c r="H51" s="6" t="n"/>
    </row>
    <row r="53">
      <c r="A53" s="23" t="inlineStr">
        <is>
          <t>Azioni</t>
        </is>
      </c>
      <c r="B53" s="24" t="n"/>
      <c r="C53" s="24" t="n"/>
      <c r="D53" s="24" t="n"/>
      <c r="E53" s="24" t="n"/>
      <c r="F53" s="24" t="n"/>
      <c r="G53" s="24" t="n"/>
      <c r="H53" s="24" t="n"/>
    </row>
    <row r="54">
      <c r="A54" s="26" t="inlineStr">
        <is>
          <t>Azione</t>
        </is>
      </c>
      <c r="F54" s="26" t="inlineStr">
        <is>
          <t>Owner</t>
        </is>
      </c>
      <c r="H54" s="26" t="inlineStr">
        <is>
          <t>Orizzonte · stato</t>
        </is>
      </c>
    </row>
    <row r="55" ht="18.5" customHeight="1">
      <c r="A55" s="45" t="inlineStr">
        <is>
          <t>• Monitoraggio giornaliero degli incidenti post-migrazione con escalation entro 4 ore.</t>
        </is>
      </c>
      <c r="F55" s="46" t="inlineStr">
        <is>
          <t>Funzione Operations</t>
        </is>
      </c>
      <c r="H55" s="46" t="inlineStr">
        <is>
          <t>3 mesi · Approvata (ciclo 2026Q3)</t>
        </is>
      </c>
    </row>
    <row r="56" ht="32" customHeight="1">
      <c r="A56" s="47" t="inlineStr">
        <is>
          <t>Perche': Riduce l'effetto della velocity intercettando gli errori prima che si propaghino.</t>
        </is>
      </c>
      <c r="B56" s="48" t="n"/>
      <c r="C56" s="48" t="n"/>
      <c r="D56" s="48" t="n"/>
      <c r="E56" s="47" t="inlineStr">
        <is>
          <t>Effetto atteso: non indicato nel razionale di A1.</t>
        </is>
      </c>
      <c r="F56" s="48" t="n"/>
      <c r="G56" s="48" t="n"/>
      <c r="H56" s="48" t="n"/>
    </row>
    <row r="57" ht="32" customHeight="1">
      <c r="A57" s="45" t="inlineStr">
        <is>
          <t>• Aggiungere a ogni ondata di migrazione una riconciliazione dei saldi prima e dopo la conversione, firmata dal responsabile.</t>
        </is>
      </c>
      <c r="F57" s="46" t="inlineStr">
        <is>
          <t>Funzione Operations</t>
        </is>
      </c>
      <c r="H57" s="46" t="inlineStr">
        <is>
          <t>3 mesi · Approvata (ciclo 2026Q4)</t>
        </is>
      </c>
    </row>
    <row r="58" ht="32" customHeight="1">
      <c r="A58" s="47" t="inlineStr">
        <is>
          <t>Perche': Il monitoraggio degli incidenti (2026Q3-NFR-05-A1) intercetta gli errori dopo il passaggio in produzione; la riconciliazione li ferma prima.</t>
        </is>
      </c>
      <c r="B58" s="48" t="n"/>
      <c r="C58" s="48" t="n"/>
      <c r="D58" s="48" t="n"/>
      <c r="E58" s="47" t="inlineStr">
        <is>
          <t>Effetto atteso: Meno errori di conversione che arrivano ai clienti; gli incidenti di produzione (NFR-05-K2) restano sotto la soglia di attenzione dopo ogni ondata.</t>
        </is>
      </c>
      <c r="F58" s="48" t="n"/>
      <c r="G58" s="48" t="n"/>
      <c r="H58" s="48" t="n"/>
    </row>
    <row r="60">
      <c r="A60" s="23" t="inlineStr">
        <is>
          <t>KRI in vigore</t>
        </is>
      </c>
      <c r="B60" s="24" t="n"/>
      <c r="C60" s="24" t="n"/>
      <c r="D60" s="24" t="n"/>
      <c r="E60" s="24" t="n"/>
      <c r="F60" s="24" t="n"/>
      <c r="G60" s="24" t="n"/>
      <c r="H60" s="24" t="n"/>
    </row>
    <row r="61">
      <c r="A61" s="49" t="inlineStr">
        <is>
          <t>Indicatore</t>
        </is>
      </c>
      <c r="E61" s="49" t="inlineStr">
        <is>
          <t>Valore</t>
        </is>
      </c>
      <c r="F61" s="49" t="inlineStr">
        <is>
          <t>Soglie (attenzione / allerta)</t>
        </is>
      </c>
      <c r="G61" s="49" t="inlineStr">
        <is>
          <t>Ciclo prima</t>
        </is>
      </c>
      <c r="H61" s="49" t="inlineStr">
        <is>
          <t>Stato</t>
        </is>
      </c>
    </row>
    <row r="62" ht="20" customHeight="1">
      <c r="A62" s="50" t="inlineStr">
        <is>
          <t>[Evoluzione] Incidenti di produzione legati alla migrazione (n)</t>
        </is>
      </c>
      <c r="E62" s="51" t="n">
        <v>2</v>
      </c>
      <c r="F62" s="52" t="inlineStr">
        <is>
          <t>3,0 / 6,0</t>
        </is>
      </c>
      <c r="G62" s="52" t="n">
        <v>4</v>
      </c>
      <c r="H62" s="54" t="inlineStr">
        <is>
          <t>Verde</t>
        </is>
      </c>
    </row>
    <row r="63" ht="32" customHeight="1">
      <c r="A63" s="47" t="inlineStr">
        <is>
          <t>Perche' lo misuriamo: Misura il fenomeno nel momento piu' delicato: gli incidenti di produzione dopo ogni ondata.</t>
        </is>
      </c>
      <c r="B63" s="48" t="n"/>
      <c r="C63" s="48" t="n"/>
      <c r="D63" s="48" t="n"/>
      <c r="E63" s="47" t="inlineStr">
        <is>
          <t>Effetto atteso: Un picco dopo la wave 2 e poi un calo; se resta oltre la soglia di allerta i controlli di riconciliazione non bastano.</t>
        </is>
      </c>
      <c r="F63" s="48" t="n"/>
      <c r="G63" s="48" t="n"/>
      <c r="H63" s="48" t="n"/>
    </row>
    <row r="64" ht="20" customHeight="1">
      <c r="A64" s="50" t="inlineStr">
        <is>
          <t>[Esposizione] Quota di controlli di processo non ridisegnati sul nuovo core (%)</t>
        </is>
      </c>
      <c r="E64" s="51" t="n">
        <v>12</v>
      </c>
      <c r="F64" s="52" t="inlineStr">
        <is>
          <t>30,0 / 60,0</t>
        </is>
      </c>
      <c r="G64" s="52" t="n">
        <v>18</v>
      </c>
      <c r="H64" s="54" t="inlineStr">
        <is>
          <t>Verde</t>
        </is>
      </c>
    </row>
    <row r="65" ht="32" customHeight="1">
      <c r="A65" s="47" t="inlineStr">
        <is>
          <t>Perche' lo misuriamo: Misura quanto la Banca arriva esposta alla wave 2: ogni controllo non ridisegnato e' un punto in cui un errore passa inosservato.</t>
        </is>
      </c>
      <c r="B65" s="48" t="n"/>
      <c r="C65" s="48" t="n"/>
      <c r="D65" s="48" t="n"/>
      <c r="E65" s="47" t="inlineStr">
        <is>
          <t>Effetto atteso: In calo fino a zero prima della wave 2; sopra la soglia di attenzione l'ondata va riprogrammata.</t>
        </is>
      </c>
      <c r="F65" s="48" t="n"/>
      <c r="G65" s="48" t="n"/>
      <c r="H65" s="48" t="n"/>
    </row>
    <row r="67" ht="61" customHeight="1">
      <c r="A67" s="15" t="inlineStr">
        <is>
          <t>Legenda — Imp = Impatto, Prob = Probabilita, Pross = Prossimita, Vel = Velocity (1-5, 5 = peggiore; n.v. = non valutata, nessuna fonte ne documenta i tempi). Rilevanza di una fonte per la previsione: Alta = fonte primaria o caso documentato, Media = fonte specializzata, Bassa = generalista. Presidio = giudizio della Banca sui controlli, fuori dallo score. X = anni per decidere e avviare la mitigazione; Y = anni per mitigare (azioni o adeguamento strutturale); Z = anni prima che il rischio possa manifestarsi; AGIRE ORA = X + Y &gt; Z. Livello di allerta (calcolato dal registro): Attivazione = almeno due fra AGIRE ORA, KRI in rosso, notizie in peggioramento; Attenzione = uno di questi, o margine sotto l'anno con P x I alto, presidio assente o KRI in ambra; Monitoraggio = gli altri. KRI = indicatore di rischio, di esposizione (quanto la Banca e' esposta) o di evoluzione (quanto cresce il fenomeno). ◆ = tema all'attenzione del supervisore.</t>
        </is>
      </c>
    </row>
  </sheetData>
  <mergeCells count="49">
    <mergeCell ref="A9:H9"/>
    <mergeCell ref="A67:H67"/>
    <mergeCell ref="C16:H16"/>
    <mergeCell ref="G2:H2"/>
    <mergeCell ref="A24:H24"/>
    <mergeCell ref="A62:D62"/>
    <mergeCell ref="A60:H60"/>
    <mergeCell ref="A11:H11"/>
    <mergeCell ref="A1:H1"/>
    <mergeCell ref="C12:H12"/>
    <mergeCell ref="A50:C50"/>
    <mergeCell ref="A63:D63"/>
    <mergeCell ref="G48:H48"/>
    <mergeCell ref="A6:H6"/>
    <mergeCell ref="A2:F2"/>
    <mergeCell ref="F55:G55"/>
    <mergeCell ref="E56:H56"/>
    <mergeCell ref="A58:D58"/>
    <mergeCell ref="E58:H58"/>
    <mergeCell ref="A64:D64"/>
    <mergeCell ref="A3:B3"/>
    <mergeCell ref="G49:H49"/>
    <mergeCell ref="A55:E55"/>
    <mergeCell ref="A26:H26"/>
    <mergeCell ref="A21:H21"/>
    <mergeCell ref="A57:E57"/>
    <mergeCell ref="C13:H13"/>
    <mergeCell ref="A65:D65"/>
    <mergeCell ref="A47:H47"/>
    <mergeCell ref="A5:H5"/>
    <mergeCell ref="A23:H23"/>
    <mergeCell ref="E63:H63"/>
    <mergeCell ref="A48:C48"/>
    <mergeCell ref="A8:H8"/>
    <mergeCell ref="A51:C51"/>
    <mergeCell ref="A17:H17"/>
    <mergeCell ref="C15:H15"/>
    <mergeCell ref="G51:H51"/>
    <mergeCell ref="A56:D56"/>
    <mergeCell ref="A49:C49"/>
    <mergeCell ref="A53:H53"/>
    <mergeCell ref="C14:H14"/>
    <mergeCell ref="E65:H65"/>
    <mergeCell ref="A20:H20"/>
    <mergeCell ref="A19:H19"/>
    <mergeCell ref="G50:H50"/>
    <mergeCell ref="C3:D3"/>
    <mergeCell ref="F57:G57"/>
    <mergeCell ref="E3:F3"/>
  </mergeCells>
  <pageMargins left="0.4" right="0.4" top="1" bottom="1" header="0.5" footer="0.5"/>
  <pageSetup orientation="portrait" paperSize="9" fitToHeight="0" fitToWidth="1"/>
  <headerFooter>
    <oddHeader>&amp;CUso interno&amp;RHorizon Scan NFR</oddHeader>
    <oddFooter>&amp;L&amp;F · &amp;A&amp;RPagina &amp;P di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7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4" customWidth="1" min="8" max="8"/>
  </cols>
  <sheetData>
    <row r="1">
      <c r="A1" s="16" t="inlineStr">
        <is>
          <t>Horizon Scan NFR — schede dei rischi · ciclo 2026Q4 · dati al 31/12/2026 · validato · Uso interno</t>
        </is>
      </c>
    </row>
    <row r="2" ht="34" customHeight="1">
      <c r="A2" s="17" t="inlineStr">
        <is>
          <t>7 · NFR-06 · Esfiltrazione di dati tramite strumenti di AI non autorizzati</t>
        </is>
      </c>
      <c r="B2" s="18" t="n"/>
      <c r="C2" s="18" t="n"/>
      <c r="D2" s="18" t="n"/>
      <c r="E2" s="18" t="n"/>
      <c r="F2" s="18" t="n"/>
      <c r="G2" s="19" t="inlineStr">
        <is>
          <t>score 3,00   ● 0,00   ·   Entro l'anno   ·   Attenzione</t>
        </is>
      </c>
      <c r="H2" s="18" t="n"/>
    </row>
    <row r="3" ht="28" customHeight="1">
      <c r="A3" s="20" t="inlineStr">
        <is>
          <t>L1-01 · Frode interna</t>
        </is>
      </c>
      <c r="B3" s="21" t="n"/>
      <c r="C3" s="20" t="inlineStr">
        <is>
          <t>Driver: DRV-AI, DRV-HUM</t>
        </is>
      </c>
      <c r="D3" s="21" t="n"/>
      <c r="E3" s="20" t="inlineStr">
        <is>
          <t>Owner: Funzione Sicurezza delle Informazioni · Presidio: Assente</t>
        </is>
      </c>
      <c r="F3" s="21" t="n"/>
      <c r="G3" s="20" t="n"/>
      <c r="H3" s="20" t="inlineStr">
        <is>
          <t>Esito: Confermato · validato</t>
        </is>
      </c>
    </row>
    <row r="5">
      <c r="A5" s="23" t="inlineStr">
        <is>
          <t>Il rischio</t>
        </is>
      </c>
      <c r="B5" s="24" t="n"/>
      <c r="C5" s="24" t="n"/>
      <c r="D5" s="24" t="n"/>
      <c r="E5" s="24" t="n"/>
      <c r="F5" s="24" t="n"/>
      <c r="G5" s="24" t="n"/>
      <c r="H5" s="24" t="n"/>
    </row>
    <row r="6" ht="19.5" customHeight="1">
      <c r="A6" s="25" t="inlineStr">
        <is>
          <t>Dipendenti che trasferiscono intenzionalmente dati riservati su servizi di AI generativa esterni per uso personale o a favore di terzi.</t>
        </is>
      </c>
    </row>
    <row r="8">
      <c r="A8" s="23" t="inlineStr">
        <is>
          <t>Razionale: il fenomeno in termini di rischio</t>
        </is>
      </c>
      <c r="B8" s="24" t="n"/>
      <c r="C8" s="24" t="n"/>
      <c r="D8" s="24" t="n"/>
      <c r="E8" s="24" t="n"/>
      <c r="F8" s="24" t="n"/>
      <c r="G8" s="24" t="n"/>
      <c r="H8" s="24" t="n"/>
    </row>
    <row r="9" ht="46.5" customHeight="1">
      <c r="A9" s="25" t="inlineStr">
        <is>
          <t>Strumenti di AI generativa esterni, facili da usare e non autorizzati (causa), vengono usati da dipendenti per trasferire dati riservati, per comodita' o a favore di terzi (evento); i dati escono dal perimetro della Banca, con violazioni di privacy e segreto e possibili sanzioni (danno). Nessun fatto nuovo nel trimestre: valori confermati; la verifica dell'audit sull'estensione del DLP e' pianificata per febbraio 2027.</t>
        </is>
      </c>
    </row>
    <row r="11">
      <c r="A11" s="23" t="inlineStr">
        <is>
          <t>Valutazione, dimensione per dimensione (valori validati)</t>
        </is>
      </c>
      <c r="B11" s="24" t="n"/>
      <c r="C11" s="24" t="n"/>
      <c r="D11" s="24" t="n"/>
      <c r="E11" s="24" t="n"/>
      <c r="F11" s="24" t="n"/>
      <c r="G11" s="24" t="n"/>
      <c r="H11" s="24" t="n"/>
    </row>
    <row r="12">
      <c r="A12" s="26" t="inlineStr">
        <is>
          <t>Dimensione</t>
        </is>
      </c>
      <c r="B12" s="26" t="inlineStr">
        <is>
          <t>Valore</t>
        </is>
      </c>
      <c r="C12" s="26" t="inlineStr">
        <is>
          <t>Perche' questo valore: informazioni e documenti</t>
        </is>
      </c>
    </row>
    <row r="13" ht="26" customHeight="1">
      <c r="A13" s="27" t="inlineStr">
        <is>
          <t>Impatto</t>
        </is>
      </c>
      <c r="B13" s="55" t="n">
        <v>3</v>
      </c>
      <c r="C13" s="29" t="inlineStr">
        <is>
          <t>Rilevante. I Log DLP mostrano tentativi di caricamento di dati riservati di clienti: segnalazione all'autorita' possibile.</t>
        </is>
      </c>
      <c r="D13" s="6" t="n"/>
      <c r="E13" s="6" t="n"/>
      <c r="F13" s="6" t="n"/>
      <c r="G13" s="6" t="n"/>
      <c r="H13" s="6" t="n"/>
    </row>
    <row r="14" ht="26" customHeight="1">
      <c r="A14" s="27" t="inlineStr">
        <is>
          <t>Probabilita</t>
        </is>
      </c>
      <c r="B14" s="55" t="n">
        <v>3</v>
      </c>
      <c r="C14" s="29" t="inlineStr">
        <is>
          <t>Possibile. La Survey interna sull'uso di strumenti di AI generativa indica un uso diffuso fra il personale: la Banca e' esposta.</t>
        </is>
      </c>
      <c r="D14" s="6" t="n"/>
      <c r="E14" s="6" t="n"/>
      <c r="F14" s="6" t="n"/>
      <c r="G14" s="6" t="n"/>
      <c r="H14" s="6" t="n"/>
    </row>
    <row r="15" ht="26" customHeight="1">
      <c r="A15" s="27" t="inlineStr">
        <is>
          <t>Prossimita</t>
        </is>
      </c>
      <c r="B15" s="55" t="n">
        <v>3</v>
      </c>
      <c r="C15" s="29" t="inlineStr">
        <is>
          <t>Da uno a due anni. Il Verbale del test di blocco DLP mostra che il blocco funziona sui servizi noti, non ancora su tutti.</t>
        </is>
      </c>
      <c r="D15" s="6" t="n"/>
      <c r="E15" s="6" t="n"/>
      <c r="F15" s="6" t="n"/>
      <c r="G15" s="6" t="n"/>
      <c r="H15" s="6" t="n"/>
    </row>
    <row r="16" ht="26" customHeight="1">
      <c r="A16" s="27" t="inlineStr">
        <is>
          <t>Velocity</t>
        </is>
      </c>
      <c r="B16" s="55" t="n">
        <v>3</v>
      </c>
      <c r="C16" s="29" t="inlineStr">
        <is>
          <t>Da tre a sei mesi. Fra un caricamento e la sua scoperta passano settimane o mesi (Log DLP).</t>
        </is>
      </c>
      <c r="D16" s="6" t="n"/>
      <c r="E16" s="6" t="n"/>
      <c r="F16" s="6" t="n"/>
      <c r="G16" s="6" t="n"/>
      <c r="H16" s="6" t="n"/>
    </row>
    <row r="17">
      <c r="A17" s="31" t="inlineStr">
        <is>
          <t>Score composito 3,00 = (0,35 x 3 + 0,25 x 3 + 0,20 x 3 + 0,20 x 3) / 1,00. La rilevanza delle fonti e' nella tabella Fonti.</t>
        </is>
      </c>
    </row>
    <row r="19">
      <c r="A19" s="23" t="inlineStr">
        <is>
          <t>Urgenza (disuguaglianza di Mosca) e livello di allerta</t>
        </is>
      </c>
      <c r="B19" s="24" t="n"/>
      <c r="C19" s="24" t="n"/>
      <c r="D19" s="24" t="n"/>
      <c r="E19" s="24" t="n"/>
      <c r="F19" s="24" t="n"/>
      <c r="G19" s="24" t="n"/>
      <c r="H19" s="24" t="n"/>
    </row>
    <row r="20" ht="19.5" customHeight="1">
      <c r="A20" s="56" t="inlineStr">
        <is>
          <t>Livello di allerta: Attenzione — margine sotto l'anno con presidio dei controlli assente.</t>
        </is>
      </c>
    </row>
    <row r="21" ht="33" customHeight="1">
      <c r="A21" s="25" t="inlineStr">
        <is>
          <t>Agire entro l'anno. Tempo necessario X + Y = 0,25 + 1,00 (con 1,0 anni di adeguamento strutturale, stimati da A1 e validati) = 1,25 anni; tempo disponibile Z = 1,5 anni (Prossimita 3). Margine Z - (X + Y) = 0,25.</t>
        </is>
      </c>
    </row>
    <row r="23">
      <c r="A23" s="23" t="inlineStr">
        <is>
          <t>Cosa e' cambiato nel ciclo</t>
        </is>
      </c>
      <c r="B23" s="24" t="n"/>
      <c r="C23" s="24" t="n"/>
      <c r="D23" s="24" t="n"/>
      <c r="E23" s="24" t="n"/>
      <c r="F23" s="24" t="n"/>
      <c r="G23" s="24" t="n"/>
      <c r="H23" s="24" t="n"/>
    </row>
    <row r="24" ht="19.5" customHeight="1">
      <c r="A24" s="25" t="inlineStr">
        <is>
          <t>Nessun valore cambiato: confermato sulle fonti del ciclo precedente.</t>
        </is>
      </c>
    </row>
    <row r="26">
      <c r="A26" s="23" t="inlineStr">
        <is>
          <t>Andamento negli ultimi trimestri</t>
        </is>
      </c>
      <c r="B26" s="24" t="n"/>
      <c r="C26" s="24" t="n"/>
      <c r="D26" s="24" t="n"/>
      <c r="E26" s="24" t="n"/>
      <c r="F26" s="24" t="n"/>
      <c r="G26" s="24" t="n"/>
      <c r="H26" s="24" t="n"/>
    </row>
    <row r="27">
      <c r="A27" s="33" t="inlineStr">
        <is>
          <t>Ciclo</t>
        </is>
      </c>
      <c r="B27" s="33" t="inlineStr">
        <is>
          <t>Imp</t>
        </is>
      </c>
      <c r="C27" s="33" t="inlineStr">
        <is>
          <t>Prob</t>
        </is>
      </c>
      <c r="D27" s="33" t="inlineStr">
        <is>
          <t>Pross</t>
        </is>
      </c>
      <c r="E27" s="33" t="inlineStr">
        <is>
          <t>Vel</t>
        </is>
      </c>
      <c r="F27" s="33" t="inlineStr">
        <is>
          <t>Score</t>
        </is>
      </c>
    </row>
    <row r="28">
      <c r="A28" s="34" t="inlineStr">
        <is>
          <t>2026Q1</t>
        </is>
      </c>
      <c r="B28" s="35" t="n">
        <v>3</v>
      </c>
      <c r="C28" s="35" t="n">
        <v>3</v>
      </c>
      <c r="D28" s="35" t="n">
        <v>3</v>
      </c>
      <c r="E28" s="35" t="n">
        <v>3</v>
      </c>
      <c r="F28" s="37" t="n">
        <v>3</v>
      </c>
    </row>
    <row r="29">
      <c r="A29" s="34" t="inlineStr">
        <is>
          <t>2026Q2</t>
        </is>
      </c>
      <c r="B29" s="35" t="n">
        <v>3</v>
      </c>
      <c r="C29" s="35" t="n">
        <v>3</v>
      </c>
      <c r="D29" s="35" t="n">
        <v>3</v>
      </c>
      <c r="E29" s="35" t="n">
        <v>3</v>
      </c>
      <c r="F29" s="37" t="n">
        <v>3</v>
      </c>
    </row>
    <row r="30">
      <c r="A30" s="34" t="inlineStr">
        <is>
          <t>2026Q3</t>
        </is>
      </c>
      <c r="B30" s="35" t="n">
        <v>3</v>
      </c>
      <c r="C30" s="35" t="n">
        <v>3</v>
      </c>
      <c r="D30" s="35" t="n">
        <v>3</v>
      </c>
      <c r="E30" s="35" t="n">
        <v>3</v>
      </c>
      <c r="F30" s="37" t="n">
        <v>3</v>
      </c>
    </row>
    <row r="31">
      <c r="A31" s="34" t="inlineStr">
        <is>
          <t>2026Q4</t>
        </is>
      </c>
      <c r="B31" s="35" t="n">
        <v>3</v>
      </c>
      <c r="C31" s="35" t="n">
        <v>3</v>
      </c>
      <c r="D31" s="35" t="n">
        <v>3</v>
      </c>
      <c r="E31" s="35" t="n">
        <v>3</v>
      </c>
      <c r="F31" s="37" t="n">
        <v>3</v>
      </c>
    </row>
    <row r="46">
      <c r="A46" s="23" t="inlineStr">
        <is>
          <t>Fonti</t>
        </is>
      </c>
      <c r="B46" s="24" t="n"/>
      <c r="C46" s="24" t="n"/>
      <c r="D46" s="24" t="n"/>
      <c r="E46" s="24" t="n"/>
      <c r="F46" s="24" t="n"/>
      <c r="G46" s="24" t="n"/>
      <c r="H46" s="24" t="n"/>
    </row>
    <row r="47">
      <c r="A47" s="26" t="inlineStr">
        <is>
          <t>Fonte</t>
        </is>
      </c>
      <c r="D47" s="26" t="inlineStr">
        <is>
          <t>Data</t>
        </is>
      </c>
      <c r="E47" s="26" t="inlineStr">
        <is>
          <t>Tipo</t>
        </is>
      </c>
      <c r="F47" s="26" t="inlineStr">
        <is>
          <t>Rilevanza</t>
        </is>
      </c>
      <c r="G47" s="26" t="n"/>
    </row>
    <row r="48" ht="32" customHeight="1">
      <c r="A48" s="39" t="inlineStr">
        <is>
          <t>Log DLP: tentativi di caricamento verso servizi AI esterni</t>
        </is>
      </c>
      <c r="B48" s="6" t="n"/>
      <c r="C48" s="6" t="n"/>
      <c r="D48" s="40" t="inlineStr">
        <is>
          <t>15/03/2026</t>
        </is>
      </c>
      <c r="E48" s="41" t="inlineStr">
        <is>
          <t>Interna</t>
        </is>
      </c>
      <c r="F48" s="42" t="inlineStr">
        <is>
          <t>Alta</t>
        </is>
      </c>
      <c r="G48" s="39" t="n"/>
      <c r="H48" s="6" t="n"/>
    </row>
    <row r="49" ht="18.5" customHeight="1">
      <c r="A49" s="39" t="inlineStr">
        <is>
          <t>Survey interna sull'uso di strumenti di AI generativa</t>
        </is>
      </c>
      <c r="B49" s="6" t="n"/>
      <c r="C49" s="6" t="n"/>
      <c r="D49" s="40" t="inlineStr">
        <is>
          <t>10/02/2026</t>
        </is>
      </c>
      <c r="E49" s="41" t="inlineStr">
        <is>
          <t>Interna</t>
        </is>
      </c>
      <c r="F49" s="42" t="inlineStr">
        <is>
          <t>Alta</t>
        </is>
      </c>
      <c r="G49" s="39" t="n"/>
      <c r="H49" s="6" t="n"/>
    </row>
    <row r="50" ht="32" customHeight="1">
      <c r="A50" s="39" t="inlineStr">
        <is>
          <t>Verbale del test di blocco DLP sui servizi di AI generativa</t>
        </is>
      </c>
      <c r="B50" s="6" t="n"/>
      <c r="C50" s="6" t="n"/>
      <c r="D50" s="40" t="inlineStr">
        <is>
          <t>05/09/2026</t>
        </is>
      </c>
      <c r="E50" s="41" t="inlineStr">
        <is>
          <t>Interna</t>
        </is>
      </c>
      <c r="F50" s="42" t="inlineStr">
        <is>
          <t>Alta</t>
        </is>
      </c>
      <c r="G50" s="39" t="n"/>
      <c r="H50" s="6" t="n"/>
    </row>
    <row r="52">
      <c r="A52" s="23" t="inlineStr">
        <is>
          <t>Azioni</t>
        </is>
      </c>
      <c r="B52" s="24" t="n"/>
      <c r="C52" s="24" t="n"/>
      <c r="D52" s="24" t="n"/>
      <c r="E52" s="24" t="n"/>
      <c r="F52" s="24" t="n"/>
      <c r="G52" s="24" t="n"/>
      <c r="H52" s="24" t="n"/>
    </row>
    <row r="53">
      <c r="A53" s="26" t="inlineStr">
        <is>
          <t>Azione</t>
        </is>
      </c>
      <c r="F53" s="26" t="inlineStr">
        <is>
          <t>Owner</t>
        </is>
      </c>
      <c r="H53" s="26" t="inlineStr">
        <is>
          <t>Orizzonte · stato</t>
        </is>
      </c>
    </row>
    <row r="54" ht="18.5" customHeight="1">
      <c r="A54" s="45" t="inlineStr">
        <is>
          <t>• Estendere il DLP a tutti i servizi di AI generativa e bloccare quelli non autorizzati.</t>
        </is>
      </c>
      <c r="F54" s="46" t="inlineStr">
        <is>
          <t>Funzione Sicurezza delle Informazioni</t>
        </is>
      </c>
      <c r="H54" s="46" t="inlineStr">
        <is>
          <t>3 mesi · Approvata (ciclo 2026Q2)</t>
        </is>
      </c>
    </row>
    <row r="55" ht="32" customHeight="1">
      <c r="A55" s="47" t="inlineStr">
        <is>
          <t>Perche': Il DLP copre solo parte dei servizi di AI generativa: l'azione estende il presidio.</t>
        </is>
      </c>
      <c r="B55" s="48" t="n"/>
      <c r="C55" s="48" t="n"/>
      <c r="D55" s="48" t="n"/>
      <c r="E55" s="47" t="inlineStr">
        <is>
          <t>Effetto atteso: non indicato nel razionale di A1.</t>
        </is>
      </c>
      <c r="F55" s="48" t="n"/>
      <c r="G55" s="48" t="n"/>
      <c r="H55" s="48" t="n"/>
    </row>
    <row r="56" ht="18.5" customHeight="1">
      <c r="A56" s="45" t="inlineStr">
        <is>
          <t>• Completare la formazione obbligatoria sull'uso dell'AI per tutto il personale.</t>
        </is>
      </c>
      <c r="F56" s="46" t="inlineStr">
        <is>
          <t>Direzione Risorse Umane</t>
        </is>
      </c>
      <c r="H56" s="46" t="inlineStr">
        <is>
          <t>6 mesi · Approvata (ciclo 2026Q3)</t>
        </is>
      </c>
    </row>
    <row r="57" ht="19" customHeight="1">
      <c r="A57" s="47" t="inlineStr">
        <is>
          <t>Perche': Riduce la prossimita': meno comportamenti a rischio per inconsapevolezza.</t>
        </is>
      </c>
      <c r="B57" s="48" t="n"/>
      <c r="C57" s="48" t="n"/>
      <c r="D57" s="48" t="n"/>
      <c r="E57" s="47" t="inlineStr">
        <is>
          <t>Effetto atteso: non indicato nel razionale di A1.</t>
        </is>
      </c>
      <c r="F57" s="48" t="n"/>
      <c r="G57" s="48" t="n"/>
      <c r="H57" s="48" t="n"/>
    </row>
    <row r="58" ht="18.5" customHeight="1">
      <c r="A58" s="45" t="inlineStr">
        <is>
          <t>• Chiedere all'audit interno la verifica dell'estensione del DLP.</t>
        </is>
      </c>
      <c r="F58" s="46" t="inlineStr">
        <is>
          <t>Funzione Sicurezza delle Informazioni</t>
        </is>
      </c>
      <c r="H58" s="46" t="inlineStr">
        <is>
          <t>6 mesi · Approvata (ciclo 2026Q3)</t>
        </is>
      </c>
    </row>
    <row r="59" ht="32" customHeight="1">
      <c r="A59" s="47" t="inlineStr">
        <is>
          <t>Perche': Serve un test indipendente per portare il lacuna di controllo al descrittore 2.</t>
        </is>
      </c>
      <c r="B59" s="48" t="n"/>
      <c r="C59" s="48" t="n"/>
      <c r="D59" s="48" t="n"/>
      <c r="E59" s="47" t="inlineStr">
        <is>
          <t>Effetto atteso: non indicato nel razionale di A1.</t>
        </is>
      </c>
      <c r="F59" s="48" t="n"/>
      <c r="G59" s="48" t="n"/>
      <c r="H59" s="48" t="n"/>
    </row>
    <row r="60" ht="32" customHeight="1">
      <c r="A60" s="45" t="inlineStr">
        <is>
          <t>• Inserire nel codice di comportamento gli strumenti di AI ammessi e i dati che non si possono caricare, con le conseguenze disciplinari.</t>
        </is>
      </c>
      <c r="F60" s="46" t="inlineStr">
        <is>
          <t>Direzione Risorse Umane</t>
        </is>
      </c>
      <c r="H60" s="46" t="inlineStr">
        <is>
          <t>6 mesi · Approvata (ciclo 2026Q4)</t>
        </is>
      </c>
    </row>
    <row r="61" ht="32" customHeight="1">
      <c r="A61" s="47" t="inlineStr">
        <is>
          <t>Perche': La formazione (2026Q3-NFR-06-A1) spiega le regole; il codice di comportamento le rende vincolanti.</t>
        </is>
      </c>
      <c r="B61" s="48" t="n"/>
      <c r="C61" s="48" t="n"/>
      <c r="D61" s="48" t="n"/>
      <c r="E61" s="47" t="inlineStr">
        <is>
          <t>Effetto atteso: Meno tentativi di caricamento di dati riservati (NFR-06-K1); al ciclo successivo puo' sostenere una Probabilita' piu' bassa.</t>
        </is>
      </c>
      <c r="F61" s="48" t="n"/>
      <c r="G61" s="48" t="n"/>
      <c r="H61" s="48" t="n"/>
    </row>
    <row r="63">
      <c r="A63" s="23" t="inlineStr">
        <is>
          <t>KRI in vigore</t>
        </is>
      </c>
      <c r="B63" s="24" t="n"/>
      <c r="C63" s="24" t="n"/>
      <c r="D63" s="24" t="n"/>
      <c r="E63" s="24" t="n"/>
      <c r="F63" s="24" t="n"/>
      <c r="G63" s="24" t="n"/>
      <c r="H63" s="24" t="n"/>
    </row>
    <row r="64">
      <c r="A64" s="49" t="inlineStr">
        <is>
          <t>Indicatore</t>
        </is>
      </c>
      <c r="E64" s="49" t="inlineStr">
        <is>
          <t>Valore</t>
        </is>
      </c>
      <c r="F64" s="49" t="inlineStr">
        <is>
          <t>Soglie (attenzione / allerta)</t>
        </is>
      </c>
      <c r="G64" s="49" t="inlineStr">
        <is>
          <t>Ciclo prima</t>
        </is>
      </c>
      <c r="H64" s="49" t="inlineStr">
        <is>
          <t>Stato</t>
        </is>
      </c>
    </row>
    <row r="65" ht="20" customHeight="1">
      <c r="A65" s="50" t="inlineStr">
        <is>
          <t>[Evoluzione] Tentativi di caricamento di dati riservati su servizi AI non autorizzati (n/mese)</t>
        </is>
      </c>
      <c r="E65" s="51" t="n">
        <v>5</v>
      </c>
      <c r="F65" s="52" t="inlineStr">
        <is>
          <t>10,0 / 30,0</t>
        </is>
      </c>
      <c r="G65" s="52" t="n">
        <v>6</v>
      </c>
      <c r="H65" s="54" t="inlineStr">
        <is>
          <t>Verde</t>
        </is>
      </c>
    </row>
    <row r="66" ht="32" customHeight="1">
      <c r="A66" s="47" t="inlineStr">
        <is>
          <t>Perche' lo misuriamo: Misura il comportamento a rischio come lo vede il DLP: ogni tentativo e' un'esfiltrazione fermata o mancata di poco.</t>
        </is>
      </c>
      <c r="B66" s="48" t="n"/>
      <c r="C66" s="48" t="n"/>
      <c r="D66" s="48" t="n"/>
      <c r="E66" s="47" t="inlineStr">
        <is>
          <t>Effetto atteso: In calo con la formazione; un aumento oltre la soglia di allerta indica strumenti nuovi non ancora bloccati.</t>
        </is>
      </c>
      <c r="F66" s="48" t="n"/>
      <c r="G66" s="48" t="n"/>
      <c r="H66" s="48" t="n"/>
    </row>
    <row r="67" ht="20" customHeight="1">
      <c r="A67" s="50" t="inlineStr">
        <is>
          <t>[Esposizione] Quota di dipendenti senza formazione sull'uso dell'AI (%)</t>
        </is>
      </c>
      <c r="E67" s="51" t="n">
        <v>12</v>
      </c>
      <c r="F67" s="52" t="inlineStr">
        <is>
          <t>20,0 / 40,0</t>
        </is>
      </c>
      <c r="G67" s="52" t="n">
        <v>22</v>
      </c>
      <c r="H67" s="54" t="inlineStr">
        <is>
          <t>Verde</t>
        </is>
      </c>
    </row>
    <row r="68" ht="32" customHeight="1">
      <c r="A68" s="47" t="inlineStr">
        <is>
          <t>Perche' lo misuriamo: Misura quanta parte del personale e' esposta all'errore per inconsapevolezza.</t>
        </is>
      </c>
      <c r="B68" s="48" t="n"/>
      <c r="C68" s="48" t="n"/>
      <c r="D68" s="48" t="n"/>
      <c r="E68" s="47" t="inlineStr">
        <is>
          <t>Effetto atteso: Sotto la soglia di attenzione alla fine della formazione obbligatoria.</t>
        </is>
      </c>
      <c r="F68" s="48" t="n"/>
      <c r="G68" s="48" t="n"/>
      <c r="H68" s="48" t="n"/>
    </row>
    <row r="70" ht="61" customHeight="1">
      <c r="A70" s="15" t="inlineStr">
        <is>
          <t>Legenda — Imp = Impatto, Prob = Probabilita, Pross = Prossimita, Vel = Velocity (1-5, 5 = peggiore; n.v. = non valutata, nessuna fonte ne documenta i tempi). Rilevanza di una fonte per la previsione: Alta = fonte primaria o caso documentato, Media = fonte specializzata, Bassa = generalista. Presidio = giudizio della Banca sui controlli, fuori dallo score. X = anni per decidere e avviare la mitigazione; Y = anni per mitigare (azioni o adeguamento strutturale); Z = anni prima che il rischio possa manifestarsi; AGIRE ORA = X + Y &gt; Z. Livello di allerta (calcolato dal registro): Attivazione = almeno due fra AGIRE ORA, KRI in rosso, notizie in peggioramento; Attenzione = uno di questi, o margine sotto l'anno con P x I alto, presidio assente o KRI in ambra; Monitoraggio = gli altri. KRI = indicatore di rischio, di esposizione (quanto la Banca e' esposta) o di evoluzione (quanto cresce il fenomeno). ◆ = tema all'attenzione del supervisore.</t>
        </is>
      </c>
    </row>
  </sheetData>
  <mergeCells count="57">
    <mergeCell ref="A9:H9"/>
    <mergeCell ref="C16:H16"/>
    <mergeCell ref="E61:H61"/>
    <mergeCell ref="G2:H2"/>
    <mergeCell ref="F54:G54"/>
    <mergeCell ref="A24:H24"/>
    <mergeCell ref="E57:H57"/>
    <mergeCell ref="A60:E60"/>
    <mergeCell ref="A11:H11"/>
    <mergeCell ref="A1:H1"/>
    <mergeCell ref="C12:H12"/>
    <mergeCell ref="A50:C50"/>
    <mergeCell ref="G48:H48"/>
    <mergeCell ref="A6:H6"/>
    <mergeCell ref="A68:D68"/>
    <mergeCell ref="E66:H66"/>
    <mergeCell ref="A2:F2"/>
    <mergeCell ref="A70:H70"/>
    <mergeCell ref="A67:D67"/>
    <mergeCell ref="A47:C47"/>
    <mergeCell ref="A54:E54"/>
    <mergeCell ref="A59:D59"/>
    <mergeCell ref="E68:H68"/>
    <mergeCell ref="A46:H46"/>
    <mergeCell ref="E55:H55"/>
    <mergeCell ref="A3:B3"/>
    <mergeCell ref="A56:E56"/>
    <mergeCell ref="G49:H49"/>
    <mergeCell ref="A26:H26"/>
    <mergeCell ref="A21:H21"/>
    <mergeCell ref="A61:D61"/>
    <mergeCell ref="C13:H13"/>
    <mergeCell ref="A65:D65"/>
    <mergeCell ref="A5:H5"/>
    <mergeCell ref="A23:H23"/>
    <mergeCell ref="A48:C48"/>
    <mergeCell ref="A8:H8"/>
    <mergeCell ref="F56:G56"/>
    <mergeCell ref="F58:G58"/>
    <mergeCell ref="A66:D66"/>
    <mergeCell ref="A17:H17"/>
    <mergeCell ref="C15:H15"/>
    <mergeCell ref="A49:C49"/>
    <mergeCell ref="C14:H14"/>
    <mergeCell ref="G47:H47"/>
    <mergeCell ref="A20:H20"/>
    <mergeCell ref="A63:H63"/>
    <mergeCell ref="A52:H52"/>
    <mergeCell ref="F60:G60"/>
    <mergeCell ref="A55:D55"/>
    <mergeCell ref="A19:H19"/>
    <mergeCell ref="G50:H50"/>
    <mergeCell ref="A57:D57"/>
    <mergeCell ref="E59:H59"/>
    <mergeCell ref="A58:E58"/>
    <mergeCell ref="C3:D3"/>
    <mergeCell ref="E3:F3"/>
  </mergeCells>
  <pageMargins left="0.4" right="0.4" top="1" bottom="1" header="0.5" footer="0.5"/>
  <pageSetup orientation="portrait" paperSize="9" fitToHeight="0" fitToWidth="1"/>
  <headerFooter>
    <oddHeader>&amp;CUso interno&amp;RHorizon Scan NFR</oddHeader>
    <oddFooter>&amp;L&amp;F · &amp;A&amp;RPagina &amp;P di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6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4" customWidth="1" min="8" max="8"/>
  </cols>
  <sheetData>
    <row r="1">
      <c r="A1" s="16" t="inlineStr">
        <is>
          <t>Horizon Scan NFR — schede dei rischi · ciclo 2026Q4 · dati al 31/12/2026 · validato · Uso interno</t>
        </is>
      </c>
    </row>
    <row r="2" ht="34" customHeight="1">
      <c r="A2" s="17" t="inlineStr">
        <is>
          <t>8 · NFR-10 · Informazioni errate ai clienti da assistenti di AI generativa</t>
        </is>
      </c>
      <c r="B2" s="18" t="n"/>
      <c r="C2" s="18" t="n"/>
      <c r="D2" s="18" t="n"/>
      <c r="E2" s="18" t="n"/>
      <c r="F2" s="18" t="n"/>
      <c r="G2" s="19" t="inlineStr">
        <is>
          <t>score 3,00   ● 0,00   ·   Margine 1 anno   ·   Monitoraggio</t>
        </is>
      </c>
      <c r="H2" s="18" t="n"/>
    </row>
    <row r="3" ht="28" customHeight="1">
      <c r="A3" s="20" t="inlineStr">
        <is>
          <t>L1-04 · Clientela, prodotti e prassi professionali</t>
        </is>
      </c>
      <c r="B3" s="21" t="n"/>
      <c r="C3" s="20" t="inlineStr">
        <is>
          <t>Driver: DRV-AI, DRV-CON</t>
        </is>
      </c>
      <c r="D3" s="21" t="n"/>
      <c r="E3" s="20" t="inlineStr">
        <is>
          <t>Owner: Funzione Customer Experience · Presidio: Non verificato</t>
        </is>
      </c>
      <c r="F3" s="21" t="n"/>
      <c r="G3" s="20" t="n"/>
      <c r="H3" s="20" t="inlineStr">
        <is>
          <t>Esito: Confermato · validato</t>
        </is>
      </c>
    </row>
    <row r="5">
      <c r="A5" s="23" t="inlineStr">
        <is>
          <t>Il rischio</t>
        </is>
      </c>
      <c r="B5" s="24" t="n"/>
      <c r="C5" s="24" t="n"/>
      <c r="D5" s="24" t="n"/>
      <c r="E5" s="24" t="n"/>
      <c r="F5" s="24" t="n"/>
      <c r="G5" s="24" t="n"/>
      <c r="H5" s="24" t="n"/>
    </row>
    <row r="6" ht="19.5" customHeight="1">
      <c r="A6" s="25" t="inlineStr">
        <is>
          <t>Chatbot di assistenza basati su AI generativa che danno ai clienti informazioni errate su condizioni, costi o diritti, con reclami e rimborsi.</t>
        </is>
      </c>
    </row>
    <row r="8">
      <c r="A8" s="23" t="inlineStr">
        <is>
          <t>Razionale: il fenomeno in termini di rischio</t>
        </is>
      </c>
      <c r="B8" s="24" t="n"/>
      <c r="C8" s="24" t="n"/>
      <c r="D8" s="24" t="n"/>
      <c r="E8" s="24" t="n"/>
      <c r="F8" s="24" t="n"/>
      <c r="G8" s="24" t="n"/>
      <c r="H8" s="24" t="n"/>
    </row>
    <row r="9" ht="33" customHeight="1">
      <c r="A9" s="25" t="inlineStr">
        <is>
          <t>I chatbot di assistenza con AI generativa possono inventare risposte plausibili (causa); un cliente riceve informazioni errate su costi, condizioni o diritti e decide in base a quelle (evento); la Banca deve rimborsare, gestire reclami e rischia sanzioni per informativa scorretta (danno). Nessuna evidenza nuova nel trimestre: valori confermati.</t>
        </is>
      </c>
    </row>
    <row r="11">
      <c r="A11" s="23" t="inlineStr">
        <is>
          <t>Valutazione, dimensione per dimensione (valori validati)</t>
        </is>
      </c>
      <c r="B11" s="24" t="n"/>
      <c r="C11" s="24" t="n"/>
      <c r="D11" s="24" t="n"/>
      <c r="E11" s="24" t="n"/>
      <c r="F11" s="24" t="n"/>
      <c r="G11" s="24" t="n"/>
      <c r="H11" s="24" t="n"/>
    </row>
    <row r="12">
      <c r="A12" s="26" t="inlineStr">
        <is>
          <t>Dimensione</t>
        </is>
      </c>
      <c r="B12" s="26" t="inlineStr">
        <is>
          <t>Valore</t>
        </is>
      </c>
      <c r="C12" s="26" t="inlineStr">
        <is>
          <t>Perche' questo valore: informazioni e documenti</t>
        </is>
      </c>
    </row>
    <row r="13" ht="26" customHeight="1">
      <c r="A13" s="27" t="inlineStr">
        <is>
          <t>Impatto</t>
        </is>
      </c>
      <c r="B13" s="55" t="n">
        <v>3</v>
      </c>
      <c r="C13" s="29" t="inlineStr">
        <is>
          <t>Rilevante. Il Piano di rilascio del chatbot prevede l'uso su tutta la clientela retail: un errore sistematico tocca una clientela ampia.</t>
        </is>
      </c>
      <c r="D13" s="6" t="n"/>
      <c r="E13" s="6" t="n"/>
      <c r="F13" s="6" t="n"/>
      <c r="G13" s="6" t="n"/>
      <c r="H13" s="6" t="n"/>
    </row>
    <row r="14" ht="33" customHeight="1">
      <c r="A14" s="27" t="inlineStr">
        <is>
          <t>Probabilita</t>
        </is>
      </c>
      <c r="B14" s="55" t="n">
        <v>3</v>
      </c>
      <c r="C14" s="29" t="inlineStr">
        <is>
          <t>Possibile. La sanzione a una compagnia aerea per le risposte errate del proprio chatbot e' un caso in un altro settore; la Banca e' esposta perche' usa lo stesso tipo di strumento.</t>
        </is>
      </c>
      <c r="D14" s="6" t="n"/>
      <c r="E14" s="6" t="n"/>
      <c r="F14" s="6" t="n"/>
      <c r="G14" s="6" t="n"/>
      <c r="H14" s="6" t="n"/>
    </row>
    <row r="15" ht="26" customHeight="1">
      <c r="A15" s="27" t="inlineStr">
        <is>
          <t>Prossimita</t>
        </is>
      </c>
      <c r="B15" s="55" t="n">
        <v>3</v>
      </c>
      <c r="C15" s="29" t="inlineStr">
        <is>
          <t>Da uno a due anni. Nessun caso presso banche.</t>
        </is>
      </c>
      <c r="D15" s="6" t="n"/>
      <c r="E15" s="6" t="n"/>
      <c r="F15" s="6" t="n"/>
      <c r="G15" s="6" t="n"/>
      <c r="H15" s="6" t="n"/>
    </row>
    <row r="16" ht="33" customHeight="1">
      <c r="A16" s="27" t="inlineStr">
        <is>
          <t>Velocity</t>
        </is>
      </c>
      <c r="B16" s="55" t="n">
        <v>3</v>
      </c>
      <c r="C16" s="29" t="inlineStr">
        <is>
          <t>Da tre a sei mesi. Valore fissato in validazione nel 2026Q3 sul registro reclami: le risposte errate arrivano ai clienti in giorni, i reclami si accumulano in mesi.</t>
        </is>
      </c>
      <c r="D16" s="6" t="n"/>
      <c r="E16" s="6" t="n"/>
      <c r="F16" s="6" t="n"/>
      <c r="G16" s="6" t="n"/>
      <c r="H16" s="6" t="n"/>
    </row>
    <row r="17">
      <c r="A17" s="31" t="inlineStr">
        <is>
          <t>Score composito 3,00 = (0,35 x 3 + 0,25 x 3 + 0,20 x 3 + 0,20 x 3) / 1,00. La rilevanza delle fonti e' nella tabella Fonti.</t>
        </is>
      </c>
    </row>
    <row r="19">
      <c r="A19" s="23" t="inlineStr">
        <is>
          <t>Urgenza (disuguaglianza di Mosca) e livello di allerta</t>
        </is>
      </c>
      <c r="B19" s="24" t="n"/>
      <c r="C19" s="24" t="n"/>
      <c r="D19" s="24" t="n"/>
      <c r="E19" s="24" t="n"/>
      <c r="F19" s="24" t="n"/>
      <c r="G19" s="24" t="n"/>
      <c r="H19" s="24" t="n"/>
    </row>
    <row r="20" ht="19.5" customHeight="1">
      <c r="A20" s="59" t="inlineStr">
        <is>
          <t>Livello di allerta: Monitoraggio — nessun segnale forte.</t>
        </is>
      </c>
    </row>
    <row r="21" ht="19.5" customHeight="1">
      <c r="A21" s="25" t="inlineStr">
        <is>
          <t>Margine 1 anno. Tempo necessario X + Y = 0,25 + 0,25 = 0,50 anni; tempo disponibile Z = 1,5 anni (Prossimita 3). Margine Z - (X + Y) = 1,00.</t>
        </is>
      </c>
    </row>
    <row r="23">
      <c r="A23" s="23" t="inlineStr">
        <is>
          <t>Cosa e' cambiato nel ciclo</t>
        </is>
      </c>
      <c r="B23" s="24" t="n"/>
      <c r="C23" s="24" t="n"/>
      <c r="D23" s="24" t="n"/>
      <c r="E23" s="24" t="n"/>
      <c r="F23" s="24" t="n"/>
      <c r="G23" s="24" t="n"/>
      <c r="H23" s="24" t="n"/>
    </row>
    <row r="24" ht="19.5" customHeight="1">
      <c r="A24" s="25" t="inlineStr">
        <is>
          <t>Nessun valore cambiato: confermato sulle fonti del ciclo precedente.</t>
        </is>
      </c>
    </row>
    <row r="26">
      <c r="A26" s="23" t="inlineStr">
        <is>
          <t>Andamento negli ultimi trimestri</t>
        </is>
      </c>
      <c r="B26" s="24" t="n"/>
      <c r="C26" s="24" t="n"/>
      <c r="D26" s="24" t="n"/>
      <c r="E26" s="24" t="n"/>
      <c r="F26" s="24" t="n"/>
      <c r="G26" s="24" t="n"/>
      <c r="H26" s="24" t="n"/>
    </row>
    <row r="27">
      <c r="A27" s="33" t="inlineStr">
        <is>
          <t>Ciclo</t>
        </is>
      </c>
      <c r="B27" s="33" t="inlineStr">
        <is>
          <t>Imp</t>
        </is>
      </c>
      <c r="C27" s="33" t="inlineStr">
        <is>
          <t>Prob</t>
        </is>
      </c>
      <c r="D27" s="33" t="inlineStr">
        <is>
          <t>Pross</t>
        </is>
      </c>
      <c r="E27" s="33" t="inlineStr">
        <is>
          <t>Vel</t>
        </is>
      </c>
      <c r="F27" s="33" t="inlineStr">
        <is>
          <t>Score</t>
        </is>
      </c>
    </row>
    <row r="28">
      <c r="A28" s="34" t="inlineStr">
        <is>
          <t>2026Q1</t>
        </is>
      </c>
      <c r="B28" s="35" t="n">
        <v>3</v>
      </c>
      <c r="C28" s="35" t="n">
        <v>3</v>
      </c>
      <c r="D28" s="35" t="n">
        <v>3</v>
      </c>
      <c r="E28" s="61" t="inlineStr">
        <is>
          <t>n.v.</t>
        </is>
      </c>
      <c r="F28" s="37" t="n">
        <v>3</v>
      </c>
    </row>
    <row r="29">
      <c r="A29" s="34" t="inlineStr">
        <is>
          <t>2026Q2</t>
        </is>
      </c>
      <c r="B29" s="35" t="n">
        <v>3</v>
      </c>
      <c r="C29" s="35" t="n">
        <v>3</v>
      </c>
      <c r="D29" s="35" t="n">
        <v>3</v>
      </c>
      <c r="E29" s="61" t="inlineStr">
        <is>
          <t>n.v.</t>
        </is>
      </c>
      <c r="F29" s="37" t="n">
        <v>3</v>
      </c>
    </row>
    <row r="30">
      <c r="A30" s="34" t="inlineStr">
        <is>
          <t>2026Q3</t>
        </is>
      </c>
      <c r="B30" s="35" t="n">
        <v>3</v>
      </c>
      <c r="C30" s="35" t="n">
        <v>3</v>
      </c>
      <c r="D30" s="35" t="n">
        <v>3</v>
      </c>
      <c r="E30" s="35" t="n">
        <v>3</v>
      </c>
      <c r="F30" s="37" t="n">
        <v>3</v>
      </c>
    </row>
    <row r="31">
      <c r="A31" s="34" t="inlineStr">
        <is>
          <t>2026Q4</t>
        </is>
      </c>
      <c r="B31" s="35" t="n">
        <v>3</v>
      </c>
      <c r="C31" s="35" t="n">
        <v>3</v>
      </c>
      <c r="D31" s="35" t="n">
        <v>3</v>
      </c>
      <c r="E31" s="35" t="n">
        <v>3</v>
      </c>
      <c r="F31" s="37" t="n">
        <v>3</v>
      </c>
    </row>
    <row r="46">
      <c r="A46" s="23" t="inlineStr">
        <is>
          <t>Fonti</t>
        </is>
      </c>
      <c r="B46" s="24" t="n"/>
      <c r="C46" s="24" t="n"/>
      <c r="D46" s="24" t="n"/>
      <c r="E46" s="24" t="n"/>
      <c r="F46" s="24" t="n"/>
      <c r="G46" s="24" t="n"/>
      <c r="H46" s="24" t="n"/>
    </row>
    <row r="47">
      <c r="A47" s="26" t="inlineStr">
        <is>
          <t>Fonte</t>
        </is>
      </c>
      <c r="D47" s="26" t="inlineStr">
        <is>
          <t>Data</t>
        </is>
      </c>
      <c r="E47" s="26" t="inlineStr">
        <is>
          <t>Tipo</t>
        </is>
      </c>
      <c r="F47" s="26" t="inlineStr">
        <is>
          <t>Rilevanza</t>
        </is>
      </c>
      <c r="G47" s="26" t="n"/>
    </row>
    <row r="48" ht="32" customHeight="1">
      <c r="A48" s="39" t="inlineStr">
        <is>
          <t>Piano di rilascio del chatbot di assistenza con AI generativa</t>
        </is>
      </c>
      <c r="B48" s="6" t="n"/>
      <c r="C48" s="6" t="n"/>
      <c r="D48" s="40" t="inlineStr">
        <is>
          <t>20/01/2026</t>
        </is>
      </c>
      <c r="E48" s="41" t="inlineStr">
        <is>
          <t>Interna</t>
        </is>
      </c>
      <c r="F48" s="42" t="inlineStr">
        <is>
          <t>Alta</t>
        </is>
      </c>
      <c r="G48" s="39" t="n"/>
      <c r="H48" s="6" t="n"/>
    </row>
    <row r="49" ht="32" customHeight="1">
      <c r="A49" s="39" t="inlineStr">
        <is>
          <t>Sanzione a una compagnia aerea per risposte errate del proprio chatbot</t>
        </is>
      </c>
      <c r="B49" s="6" t="n"/>
      <c r="C49" s="6" t="n"/>
      <c r="D49" s="40" t="inlineStr">
        <is>
          <t>15/02/2026</t>
        </is>
      </c>
      <c r="E49" s="43" t="inlineStr">
        <is>
          <t>Esterna</t>
        </is>
      </c>
      <c r="F49" s="42" t="inlineStr">
        <is>
          <t>Alta</t>
        </is>
      </c>
      <c r="G49" s="39" t="n"/>
      <c r="H49" s="6" t="n"/>
    </row>
    <row r="51">
      <c r="A51" s="23" t="inlineStr">
        <is>
          <t>Azioni</t>
        </is>
      </c>
      <c r="B51" s="24" t="n"/>
      <c r="C51" s="24" t="n"/>
      <c r="D51" s="24" t="n"/>
      <c r="E51" s="24" t="n"/>
      <c r="F51" s="24" t="n"/>
      <c r="G51" s="24" t="n"/>
      <c r="H51" s="24" t="n"/>
    </row>
    <row r="52">
      <c r="A52" s="26" t="inlineStr">
        <is>
          <t>Azione</t>
        </is>
      </c>
      <c r="F52" s="26" t="inlineStr">
        <is>
          <t>Owner</t>
        </is>
      </c>
      <c r="H52" s="26" t="inlineStr">
        <is>
          <t>Orizzonte · stato</t>
        </is>
      </c>
    </row>
    <row r="53" ht="18.5" customHeight="1">
      <c r="A53" s="45" t="inlineStr">
        <is>
          <t>• Campionamento settimanale delle risposte del chatbot con verifica umana.</t>
        </is>
      </c>
      <c r="F53" s="46" t="inlineStr">
        <is>
          <t>Funzione Customer Experience</t>
        </is>
      </c>
      <c r="H53" s="46" t="inlineStr">
        <is>
          <t>3 mesi · Approvata (ciclo 2026Q2)</t>
        </is>
      </c>
    </row>
    <row r="54" ht="19" customHeight="1">
      <c r="A54" s="47" t="inlineStr">
        <is>
          <t>Perche': Riduce la probabilita' che informazioni errate raggiungano molti clienti.</t>
        </is>
      </c>
      <c r="B54" s="48" t="n"/>
      <c r="C54" s="48" t="n"/>
      <c r="D54" s="48" t="n"/>
      <c r="E54" s="47" t="inlineStr">
        <is>
          <t>Effetto atteso: non indicato nel razionale di A1.</t>
        </is>
      </c>
      <c r="F54" s="48" t="n"/>
      <c r="G54" s="48" t="n"/>
      <c r="H54" s="48" t="n"/>
    </row>
    <row r="55" ht="32" customHeight="1">
      <c r="A55" s="45" t="inlineStr">
        <is>
          <t>• Definire i temi su cui il chatbot non risponde e passa la conversazione a un operatore (reclami, condizioni contrattuali, tassi).</t>
        </is>
      </c>
      <c r="F55" s="46" t="inlineStr">
        <is>
          <t>Funzione Customer Experience</t>
        </is>
      </c>
      <c r="H55" s="46" t="inlineStr">
        <is>
          <t>3 mesi · Approvata (ciclo 2026Q3)</t>
        </is>
      </c>
    </row>
    <row r="56" ht="32" customHeight="1">
      <c r="A56" s="47" t="inlineStr">
        <is>
          <t>Perche': Il campionamento (2026Q2-NFR-10-A1) trova gli errori dopo; i temi esclusi evitano le risposte errate dove il danno e' maggiore.</t>
        </is>
      </c>
      <c r="B56" s="48" t="n"/>
      <c r="C56" s="48" t="n"/>
      <c r="D56" s="48" t="n"/>
      <c r="E56" s="47" t="inlineStr">
        <is>
          <t>Effetto atteso: non indicato nel razionale di A1.</t>
        </is>
      </c>
      <c r="F56" s="48" t="n"/>
      <c r="G56" s="48" t="n"/>
      <c r="H56" s="48" t="n"/>
    </row>
    <row r="57" ht="32" customHeight="1">
      <c r="A57" s="45" t="inlineStr">
        <is>
          <t>• Mostrare nel chatbot l'avviso che le risposte su condizioni e tassi vanno verificate sul documento di sintesi, con il collegamento.</t>
        </is>
      </c>
      <c r="F57" s="46" t="inlineStr">
        <is>
          <t>Funzione Customer Experience</t>
        </is>
      </c>
      <c r="H57" s="46" t="inlineStr">
        <is>
          <t>3 mesi · Approvata (ciclo 2026Q4)</t>
        </is>
      </c>
    </row>
    <row r="58" ht="45" customHeight="1">
      <c r="A58" s="47" t="inlineStr">
        <is>
          <t>Perche': I temi esclusi (2026Q3-NFR-10-A1) e il campionamento (2026Q2-NFR-10-A1) riducono le risposte errate ma non le azzerano: l'avviso limita il danno quando capitano.</t>
        </is>
      </c>
      <c r="B58" s="48" t="n"/>
      <c r="C58" s="48" t="n"/>
      <c r="D58" s="48" t="n"/>
      <c r="E58" s="47" t="inlineStr">
        <is>
          <t>Effetto atteso: Meno contestazioni per risposte errate (NFR-10-K1), quindi un Impatto contenuto.</t>
        </is>
      </c>
      <c r="F58" s="48" t="n"/>
      <c r="G58" s="48" t="n"/>
      <c r="H58" s="48" t="n"/>
    </row>
    <row r="60">
      <c r="A60" s="23" t="inlineStr">
        <is>
          <t>KRI in vigore</t>
        </is>
      </c>
      <c r="B60" s="24" t="n"/>
      <c r="C60" s="24" t="n"/>
      <c r="D60" s="24" t="n"/>
      <c r="E60" s="24" t="n"/>
      <c r="F60" s="24" t="n"/>
      <c r="G60" s="24" t="n"/>
      <c r="H60" s="24" t="n"/>
    </row>
    <row r="61">
      <c r="A61" s="49" t="inlineStr">
        <is>
          <t>Indicatore</t>
        </is>
      </c>
      <c r="E61" s="49" t="inlineStr">
        <is>
          <t>Valore</t>
        </is>
      </c>
      <c r="F61" s="49" t="inlineStr">
        <is>
          <t>Soglie (attenzione / allerta)</t>
        </is>
      </c>
      <c r="G61" s="49" t="inlineStr">
        <is>
          <t>Ciclo prima</t>
        </is>
      </c>
      <c r="H61" s="49" t="inlineStr">
        <is>
          <t>Stato</t>
        </is>
      </c>
    </row>
    <row r="62" ht="20" customHeight="1">
      <c r="A62" s="50" t="inlineStr">
        <is>
          <t>[Evoluzione] Risposte del chatbot contestate ogni 1.000 conversazioni (n/1000)</t>
        </is>
      </c>
      <c r="E62" s="51" t="n">
        <v>2.3</v>
      </c>
      <c r="F62" s="52" t="inlineStr">
        <is>
          <t>2,0 / 5,0</t>
        </is>
      </c>
      <c r="G62" s="52" t="n">
        <v>1.9</v>
      </c>
      <c r="H62" s="57" t="inlineStr">
        <is>
          <t>Ambra</t>
        </is>
      </c>
    </row>
    <row r="63" ht="32" customHeight="1">
      <c r="A63" s="47" t="inlineStr">
        <is>
          <t>Perche' lo misuriamo: Misura gli errori del chatbot come li vivono i clienti.</t>
        </is>
      </c>
      <c r="B63" s="48" t="n"/>
      <c r="C63" s="48" t="n"/>
      <c r="D63" s="48" t="n"/>
      <c r="E63" s="47" t="inlineStr">
        <is>
          <t>Effetto atteso: Stabile o in calo con il campionamento; oltre la soglia di allerta l'errore e' diventato sistematico.</t>
        </is>
      </c>
      <c r="F63" s="48" t="n"/>
      <c r="G63" s="48" t="n"/>
      <c r="H63" s="48" t="n"/>
    </row>
    <row r="64" ht="20" customHeight="1">
      <c r="A64" s="50" t="inlineStr">
        <is>
          <t>[Esposizione] Quota di risposte del chatbot non campionate dal controllo qualita' (%)</t>
        </is>
      </c>
      <c r="E64" s="51" t="n">
        <v>40</v>
      </c>
      <c r="F64" s="52" t="inlineStr">
        <is>
          <t>20,0 / 50,0</t>
        </is>
      </c>
      <c r="G64" s="52" t="n">
        <v>45</v>
      </c>
      <c r="H64" s="57" t="inlineStr">
        <is>
          <t>Ambra</t>
        </is>
      </c>
    </row>
    <row r="65" ht="32" customHeight="1">
      <c r="A65" s="47" t="inlineStr">
        <is>
          <t>Perche' lo misuriamo: Misura quanta parte delle risposte arriva ai clienti senza alcuna verifica: e' l'esposizione della Banca.</t>
        </is>
      </c>
      <c r="B65" s="48" t="n"/>
      <c r="C65" s="48" t="n"/>
      <c r="D65" s="48" t="n"/>
      <c r="E65" s="47" t="inlineStr">
        <is>
          <t>Effetto atteso: Sotto la soglia di attenzione con il campionamento settimanale.</t>
        </is>
      </c>
      <c r="F65" s="48" t="n"/>
      <c r="G65" s="48" t="n"/>
      <c r="H65" s="48" t="n"/>
    </row>
    <row r="67" ht="61" customHeight="1">
      <c r="A67" s="15" t="inlineStr">
        <is>
          <t>Legenda — Imp = Impatto, Prob = Probabilita, Pross = Prossimita, Vel = Velocity (1-5, 5 = peggiore; n.v. = non valutata, nessuna fonte ne documenta i tempi). Rilevanza di una fonte per la previsione: Alta = fonte primaria o caso documentato, Media = fonte specializzata, Bassa = generalista. Presidio = giudizio della Banca sui controlli, fuori dallo score. X = anni per decidere e avviare la mitigazione; Y = anni per mitigare (azioni o adeguamento strutturale); Z = anni prima che il rischio possa manifestarsi; AGIRE ORA = X + Y &gt; Z. Livello di allerta (calcolato dal registro): Attivazione = almeno due fra AGIRE ORA, KRI in rosso, notizie in peggioramento; Attenzione = uno di questi, o margine sotto l'anno con P x I alto, presidio assente o KRI in ambra; Monitoraggio = gli altri. KRI = indicatore di rischio, di esposizione (quanto la Banca e' esposta) o di evoluzione (quanto cresce il fenomeno). ◆ = tema all'attenzione del supervisore.</t>
        </is>
      </c>
    </row>
  </sheetData>
  <mergeCells count="51">
    <mergeCell ref="A9:H9"/>
    <mergeCell ref="A67:H67"/>
    <mergeCell ref="C16:H16"/>
    <mergeCell ref="G2:H2"/>
    <mergeCell ref="A24:H24"/>
    <mergeCell ref="A62:D62"/>
    <mergeCell ref="A51:H51"/>
    <mergeCell ref="E54:H54"/>
    <mergeCell ref="A60:H60"/>
    <mergeCell ref="A11:H11"/>
    <mergeCell ref="A1:H1"/>
    <mergeCell ref="C12:H12"/>
    <mergeCell ref="A63:D63"/>
    <mergeCell ref="G48:H48"/>
    <mergeCell ref="A6:H6"/>
    <mergeCell ref="A2:F2"/>
    <mergeCell ref="F55:G55"/>
    <mergeCell ref="E56:H56"/>
    <mergeCell ref="A47:C47"/>
    <mergeCell ref="A58:D58"/>
    <mergeCell ref="E58:H58"/>
    <mergeCell ref="A64:D64"/>
    <mergeCell ref="A46:H46"/>
    <mergeCell ref="A3:B3"/>
    <mergeCell ref="G49:H49"/>
    <mergeCell ref="A55:E55"/>
    <mergeCell ref="A26:H26"/>
    <mergeCell ref="A21:H21"/>
    <mergeCell ref="A57:E57"/>
    <mergeCell ref="C13:H13"/>
    <mergeCell ref="A54:D54"/>
    <mergeCell ref="A65:D65"/>
    <mergeCell ref="A5:H5"/>
    <mergeCell ref="A23:H23"/>
    <mergeCell ref="E63:H63"/>
    <mergeCell ref="A48:C48"/>
    <mergeCell ref="A8:H8"/>
    <mergeCell ref="A17:H17"/>
    <mergeCell ref="C15:H15"/>
    <mergeCell ref="A53:E53"/>
    <mergeCell ref="A56:D56"/>
    <mergeCell ref="A49:C49"/>
    <mergeCell ref="C14:H14"/>
    <mergeCell ref="G47:H47"/>
    <mergeCell ref="A20:H20"/>
    <mergeCell ref="E65:H65"/>
    <mergeCell ref="A19:H19"/>
    <mergeCell ref="C3:D3"/>
    <mergeCell ref="F57:G57"/>
    <mergeCell ref="E3:F3"/>
    <mergeCell ref="F53:G53"/>
  </mergeCells>
  <pageMargins left="0.4" right="0.4" top="1" bottom="1" header="0.5" footer="0.5"/>
  <pageSetup orientation="portrait" paperSize="9" fitToHeight="0" fitToWidth="1"/>
  <headerFooter>
    <oddHeader>&amp;CUso interno&amp;RHorizon Scan NFR</oddHeader>
    <oddFooter>&amp;L&amp;F · &amp;A&amp;RPagina &amp;P di &amp;N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4" customWidth="1" min="8" max="8"/>
  </cols>
  <sheetData>
    <row r="1">
      <c r="A1" s="16" t="inlineStr">
        <is>
          <t>Horizon Scan NFR — schede dei rischi · ciclo 2026Q4 · dati al 31/12/2026 · validato · Uso interno</t>
        </is>
      </c>
    </row>
    <row r="2" ht="34" customHeight="1">
      <c r="A2" s="17" t="inlineStr">
        <is>
          <t>9 · NFR-13 · Vertenze e carenza di competenze in funzioni IT critiche</t>
        </is>
      </c>
      <c r="B2" s="18" t="n"/>
      <c r="C2" s="18" t="n"/>
      <c r="D2" s="18" t="n"/>
      <c r="E2" s="18" t="n"/>
      <c r="F2" s="18" t="n"/>
      <c r="G2" s="19" t="inlineStr">
        <is>
          <t>score 3,00   nuovo   ·   Entro l'anno   ·   Monitoraggio</t>
        </is>
      </c>
      <c r="H2" s="18" t="n"/>
    </row>
    <row r="3" ht="28" customHeight="1">
      <c r="A3" s="20" t="inlineStr">
        <is>
          <t>L1-03 · Rapporti di impiego e sicurezza sul lavoro</t>
        </is>
      </c>
      <c r="B3" s="21" t="n"/>
      <c r="C3" s="20" t="inlineStr">
        <is>
          <t>Driver: DRV-HUM</t>
        </is>
      </c>
      <c r="D3" s="21" t="n"/>
      <c r="E3" s="20" t="inlineStr">
        <is>
          <t>Owner: Da assegnare · Presidio: Non verificato</t>
        </is>
      </c>
      <c r="F3" s="21" t="n"/>
      <c r="G3" s="20" t="n"/>
      <c r="H3" s="20" t="inlineStr">
        <is>
          <t>Esito: Nuovo · validato</t>
        </is>
      </c>
    </row>
    <row r="5">
      <c r="A5" s="23" t="inlineStr">
        <is>
          <t>Il rischio</t>
        </is>
      </c>
      <c r="B5" s="24" t="n"/>
      <c r="C5" s="24" t="n"/>
      <c r="D5" s="24" t="n"/>
      <c r="E5" s="24" t="n"/>
      <c r="F5" s="24" t="n"/>
      <c r="G5" s="24" t="n"/>
      <c r="H5" s="24" t="n"/>
    </row>
    <row r="6" ht="19.5" customHeight="1">
      <c r="A6" s="25" t="inlineStr">
        <is>
          <t>Scioperi di settore e uscite di personale tecnico non rimpiazzabile che lasciano scoperti ruoli IT critici, con violazioni di obblighi di lavoro e sicurezza nei turni di copertura.</t>
        </is>
      </c>
    </row>
    <row r="8">
      <c r="A8" s="23" t="inlineStr">
        <is>
          <t>Razionale: il fenomeno in termini di rischio</t>
        </is>
      </c>
      <c r="B8" s="24" t="n"/>
      <c r="C8" s="24" t="n"/>
      <c r="D8" s="24" t="n"/>
      <c r="E8" s="24" t="n"/>
      <c r="F8" s="24" t="n"/>
      <c r="G8" s="24" t="n"/>
      <c r="H8" s="24" t="n"/>
    </row>
    <row r="9" ht="46.5" customHeight="1">
      <c r="A9" s="25" t="inlineStr">
        <is>
          <t>La vertenza nazionale del settore e le uscite di tecnici difficili da sostituire (causa) lasciano scoperti ruoli IT critici durante scioperi o dimissioni, con turni di copertura che violano obblighi di lavoro e sicurezza (evento); processi critici si degradano e la Banca rischia vertenze e sanzioni (danno). Rischio nuovo: nessun rischio del registro copriva i rapporti di impiego (L1-03).</t>
        </is>
      </c>
    </row>
    <row r="11">
      <c r="A11" s="23" t="inlineStr">
        <is>
          <t>Valutazione, dimensione per dimensione (valori validati)</t>
        </is>
      </c>
      <c r="B11" s="24" t="n"/>
      <c r="C11" s="24" t="n"/>
      <c r="D11" s="24" t="n"/>
      <c r="E11" s="24" t="n"/>
      <c r="F11" s="24" t="n"/>
      <c r="G11" s="24" t="n"/>
      <c r="H11" s="24" t="n"/>
    </row>
    <row r="12">
      <c r="A12" s="26" t="inlineStr">
        <is>
          <t>Dimensione</t>
        </is>
      </c>
      <c r="B12" s="26" t="inlineStr">
        <is>
          <t>Valore</t>
        </is>
      </c>
      <c r="C12" s="26" t="inlineStr">
        <is>
          <t>Perche' questo valore: informazioni e documenti</t>
        </is>
      </c>
    </row>
    <row r="13" ht="33" customHeight="1">
      <c r="A13" s="27" t="inlineStr">
        <is>
          <t>Impatto</t>
        </is>
      </c>
      <c r="B13" s="55" t="n">
        <v>3</v>
      </c>
      <c r="C13" s="29" t="inlineStr">
        <is>
          <t>Rilevante. Durante le astensioni si degradano processi critici che dipendono da pochi tecnici (Piano di successione dei ruoli IT critici, Direzione Risorse Umane).</t>
        </is>
      </c>
      <c r="D13" s="6" t="n"/>
      <c r="E13" s="6" t="n"/>
      <c r="F13" s="6" t="n"/>
      <c r="G13" s="6" t="n"/>
      <c r="H13" s="6" t="n"/>
    </row>
    <row r="14" ht="33" customHeight="1">
      <c r="A14" s="27" t="inlineStr">
        <is>
          <t>Probabilita</t>
        </is>
      </c>
      <c r="B14" s="55" t="n">
        <v>3</v>
      </c>
      <c r="C14" s="29" t="inlineStr">
        <is>
          <t>Possibile. Lo sciopero nazionale del personale bancario e la carenza di tecnici IT sono in corso nel settore; la Banca e' esposta perche' il Piano di successione copre solo una parte dei ruoli.</t>
        </is>
      </c>
      <c r="D14" s="6" t="n"/>
      <c r="E14" s="6" t="n"/>
      <c r="F14" s="6" t="n"/>
      <c r="G14" s="6" t="n"/>
      <c r="H14" s="6" t="n"/>
    </row>
    <row r="15" ht="26" customHeight="1">
      <c r="A15" s="27" t="inlineStr">
        <is>
          <t>Prossimita</t>
        </is>
      </c>
      <c r="B15" s="55" t="n">
        <v>3</v>
      </c>
      <c r="C15" s="29" t="inlineStr">
        <is>
          <t>Da uno a due anni. La vertenza e' in corso nel settore, senza astensioni annunciate presso la Banca.</t>
        </is>
      </c>
      <c r="D15" s="6" t="n"/>
      <c r="E15" s="6" t="n"/>
      <c r="F15" s="6" t="n"/>
      <c r="G15" s="6" t="n"/>
      <c r="H15" s="6" t="n"/>
    </row>
    <row r="16" ht="26" customHeight="1">
      <c r="A16" s="27" t="inlineStr">
        <is>
          <t>Velocity</t>
        </is>
      </c>
      <c r="B16" s="55" t="n">
        <v>3</v>
      </c>
      <c r="C16" s="29" t="inlineStr">
        <is>
          <t>Da tre a sei mesi. Le uscite di personale e i periodi di vertenza si sviluppano in alcuni mesi (Sciopero nazionale del personale bancario).</t>
        </is>
      </c>
      <c r="D16" s="6" t="n"/>
      <c r="E16" s="6" t="n"/>
      <c r="F16" s="6" t="n"/>
      <c r="G16" s="6" t="n"/>
      <c r="H16" s="6" t="n"/>
    </row>
    <row r="17">
      <c r="A17" s="31" t="inlineStr">
        <is>
          <t>Score composito 3,00 = (0,35 x 3 + 0,25 x 3 + 0,20 x 3 + 0,20 x 3) / 1,00. La rilevanza delle fonti e' nella tabella Fonti.</t>
        </is>
      </c>
    </row>
    <row r="19">
      <c r="A19" s="23" t="inlineStr">
        <is>
          <t>Urgenza (disuguaglianza di Mosca) e livello di allerta</t>
        </is>
      </c>
      <c r="B19" s="24" t="n"/>
      <c r="C19" s="24" t="n"/>
      <c r="D19" s="24" t="n"/>
      <c r="E19" s="24" t="n"/>
      <c r="F19" s="24" t="n"/>
      <c r="G19" s="24" t="n"/>
      <c r="H19" s="24" t="n"/>
    </row>
    <row r="20" ht="19.5" customHeight="1">
      <c r="A20" s="59" t="inlineStr">
        <is>
          <t>Livello di allerta: Monitoraggio — nessun segnale forte.</t>
        </is>
      </c>
    </row>
    <row r="21" ht="19.5" customHeight="1">
      <c r="A21" s="25" t="inlineStr">
        <is>
          <t>Agire entro l'anno. Tempo necessario X + Y = 0,25 + 0,50 = 0,75 anni; tempo disponibile Z = 1,5 anni (Prossimita 3). Margine Z - (X + Y) = 0,75.</t>
        </is>
      </c>
    </row>
    <row r="23">
      <c r="A23" s="23" t="inlineStr">
        <is>
          <t>Cosa e' cambiato nel ciclo</t>
        </is>
      </c>
      <c r="B23" s="24" t="n"/>
      <c r="C23" s="24" t="n"/>
      <c r="D23" s="24" t="n"/>
      <c r="E23" s="24" t="n"/>
      <c r="F23" s="24" t="n"/>
      <c r="G23" s="24" t="n"/>
      <c r="H23" s="24" t="n"/>
    </row>
    <row r="24" ht="19.5" customHeight="1">
      <c r="A24" s="25" t="inlineStr">
        <is>
          <t>Rischio nuovo nel ciclo.</t>
        </is>
      </c>
    </row>
    <row r="26">
      <c r="A26" s="23" t="inlineStr">
        <is>
          <t>Andamento negli ultimi trimestri</t>
        </is>
      </c>
      <c r="B26" s="24" t="n"/>
      <c r="C26" s="24" t="n"/>
      <c r="D26" s="24" t="n"/>
      <c r="E26" s="24" t="n"/>
      <c r="F26" s="24" t="n"/>
      <c r="G26" s="24" t="n"/>
      <c r="H26" s="24" t="n"/>
    </row>
    <row r="27">
      <c r="A27" s="33" t="inlineStr">
        <is>
          <t>Ciclo</t>
        </is>
      </c>
      <c r="B27" s="33" t="inlineStr">
        <is>
          <t>Imp</t>
        </is>
      </c>
      <c r="C27" s="33" t="inlineStr">
        <is>
          <t>Prob</t>
        </is>
      </c>
      <c r="D27" s="33" t="inlineStr">
        <is>
          <t>Pross</t>
        </is>
      </c>
      <c r="E27" s="33" t="inlineStr">
        <is>
          <t>Vel</t>
        </is>
      </c>
      <c r="F27" s="33" t="inlineStr">
        <is>
          <t>Score</t>
        </is>
      </c>
    </row>
    <row r="28">
      <c r="A28" s="34" t="inlineStr">
        <is>
          <t>2026Q4</t>
        </is>
      </c>
      <c r="B28" s="35" t="n">
        <v>3</v>
      </c>
      <c r="C28" s="35" t="n">
        <v>3</v>
      </c>
      <c r="D28" s="35" t="n">
        <v>3</v>
      </c>
      <c r="E28" s="35" t="n">
        <v>3</v>
      </c>
      <c r="F28" s="37" t="n">
        <v>3</v>
      </c>
    </row>
    <row r="29">
      <c r="A29" s="62" t="inlineStr">
        <is>
          <t>Rischio entrato nel registro nel 2026Q4: l'andamento si vedra' dal prossimo ciclo.</t>
        </is>
      </c>
    </row>
    <row r="31">
      <c r="A31" s="23" t="inlineStr">
        <is>
          <t>Fonti</t>
        </is>
      </c>
      <c r="B31" s="24" t="n"/>
      <c r="C31" s="24" t="n"/>
      <c r="D31" s="24" t="n"/>
      <c r="E31" s="24" t="n"/>
      <c r="F31" s="24" t="n"/>
      <c r="G31" s="24" t="n"/>
      <c r="H31" s="24" t="n"/>
    </row>
    <row r="32">
      <c r="A32" s="26" t="inlineStr">
        <is>
          <t>Fonte</t>
        </is>
      </c>
      <c r="D32" s="26" t="inlineStr">
        <is>
          <t>Data</t>
        </is>
      </c>
      <c r="E32" s="26" t="inlineStr">
        <is>
          <t>Tipo</t>
        </is>
      </c>
      <c r="F32" s="26" t="inlineStr">
        <is>
          <t>Rilevanza</t>
        </is>
      </c>
      <c r="G32" s="26" t="n"/>
    </row>
    <row r="33" ht="32" customHeight="1">
      <c r="A33" s="39" t="inlineStr">
        <is>
          <t>Sciopero nazionale del personale bancario e carenza di tecnici IT</t>
        </is>
      </c>
      <c r="B33" s="6" t="n"/>
      <c r="C33" s="6" t="n"/>
      <c r="D33" s="40" t="inlineStr">
        <is>
          <t>06/10/2026</t>
        </is>
      </c>
      <c r="E33" s="43" t="inlineStr">
        <is>
          <t>Esterna</t>
        </is>
      </c>
      <c r="F33" s="44" t="inlineStr">
        <is>
          <t>Media</t>
        </is>
      </c>
      <c r="G33" s="39" t="n"/>
      <c r="H33" s="6" t="n"/>
    </row>
    <row r="34" ht="32" customHeight="1">
      <c r="A34" s="39" t="inlineStr">
        <is>
          <t>Piano di successione dei ruoli IT critici — Direzione Risorse Umane</t>
        </is>
      </c>
      <c r="B34" s="6" t="n"/>
      <c r="C34" s="6" t="n"/>
      <c r="D34" s="40" t="inlineStr">
        <is>
          <t>15/11/2026</t>
        </is>
      </c>
      <c r="E34" s="41" t="inlineStr">
        <is>
          <t>Interna</t>
        </is>
      </c>
      <c r="F34" s="42" t="inlineStr">
        <is>
          <t>Alta</t>
        </is>
      </c>
      <c r="G34" s="39" t="n"/>
      <c r="H34" s="6" t="n"/>
    </row>
    <row r="36">
      <c r="A36" s="23" t="inlineStr">
        <is>
          <t>Azioni</t>
        </is>
      </c>
      <c r="B36" s="24" t="n"/>
      <c r="C36" s="24" t="n"/>
      <c r="D36" s="24" t="n"/>
      <c r="E36" s="24" t="n"/>
      <c r="F36" s="24" t="n"/>
      <c r="G36" s="24" t="n"/>
      <c r="H36" s="24" t="n"/>
    </row>
    <row r="37">
      <c r="A37" s="26" t="inlineStr">
        <is>
          <t>Azione</t>
        </is>
      </c>
      <c r="F37" s="26" t="inlineStr">
        <is>
          <t>Owner</t>
        </is>
      </c>
      <c r="H37" s="26" t="inlineStr">
        <is>
          <t>Orizzonte · stato</t>
        </is>
      </c>
    </row>
    <row r="38" ht="18.5" customHeight="1">
      <c r="A38" s="45" t="inlineStr">
        <is>
          <t>• Estendere il piano di successione a tutti i ruoli IT critici, con backup formati.</t>
        </is>
      </c>
      <c r="F38" s="46" t="inlineStr">
        <is>
          <t>Direzione Risorse Umane</t>
        </is>
      </c>
      <c r="H38" s="46" t="inlineStr">
        <is>
          <t>6 mesi · Approvata (ciclo 2026Q4)</t>
        </is>
      </c>
    </row>
    <row r="39" ht="32" customHeight="1">
      <c r="A39" s="47" t="inlineStr">
        <is>
          <t>Perche': Oggi il Piano di successione copre circa meta' dei ruoli critici: e' la lacuna principale del rischio.</t>
        </is>
      </c>
      <c r="B39" s="48" t="n"/>
      <c r="C39" s="48" t="n"/>
      <c r="D39" s="48" t="n"/>
      <c r="E39" s="47" t="inlineStr">
        <is>
          <t>Effetto atteso: Ogni ruolo critico con un sostituto formato; i ruoli senza sostituto (KRI di esposizione) devono scendere sotto la soglia di attenzione.</t>
        </is>
      </c>
      <c r="F39" s="48" t="n"/>
      <c r="G39" s="48" t="n"/>
      <c r="H39" s="48" t="n"/>
    </row>
    <row r="40" ht="18.5" customHeight="1">
      <c r="A40" s="45" t="inlineStr">
        <is>
          <t>• Definire i servizi minimi IT garantiti in caso di sciopero, d'intesa con le rappresentanze.</t>
        </is>
      </c>
      <c r="F40" s="46" t="inlineStr">
        <is>
          <t>Direzione Sistemi Informativi</t>
        </is>
      </c>
      <c r="H40" s="46" t="inlineStr">
        <is>
          <t>3 mesi · Approvata (ciclo 2026Q4)</t>
        </is>
      </c>
    </row>
    <row r="41" ht="32" customHeight="1">
      <c r="A41" s="47" t="inlineStr">
        <is>
          <t>Perche': Senza servizi minimi concordati un'astensione puo' fermare processi critici o imporre turni non conformi.</t>
        </is>
      </c>
      <c r="B41" s="48" t="n"/>
      <c r="C41" s="48" t="n"/>
      <c r="D41" s="48" t="n"/>
      <c r="E41" s="47" t="inlineStr">
        <is>
          <t>Effetto atteso: Un danno minore in caso di sciopero (Impatto) e turni di copertura conformi agli obblighi di lavoro.</t>
        </is>
      </c>
      <c r="F41" s="48" t="n"/>
      <c r="G41" s="48" t="n"/>
      <c r="H41" s="48" t="n"/>
    </row>
    <row r="43">
      <c r="A43" s="23" t="inlineStr">
        <is>
          <t>KRI in vigore</t>
        </is>
      </c>
      <c r="B43" s="24" t="n"/>
      <c r="C43" s="24" t="n"/>
      <c r="D43" s="24" t="n"/>
      <c r="E43" s="24" t="n"/>
      <c r="F43" s="24" t="n"/>
      <c r="G43" s="24" t="n"/>
      <c r="H43" s="24" t="n"/>
    </row>
    <row r="44">
      <c r="A44" s="49" t="inlineStr">
        <is>
          <t>Indicatore</t>
        </is>
      </c>
      <c r="E44" s="49" t="inlineStr">
        <is>
          <t>Valore</t>
        </is>
      </c>
      <c r="F44" s="49" t="inlineStr">
        <is>
          <t>Soglie (attenzione / allerta)</t>
        </is>
      </c>
      <c r="G44" s="49" t="inlineStr">
        <is>
          <t>Ciclo prima</t>
        </is>
      </c>
      <c r="H44" s="49" t="inlineStr">
        <is>
          <t>Stato</t>
        </is>
      </c>
    </row>
    <row r="45" ht="20" customHeight="1">
      <c r="A45" s="50" t="inlineStr">
        <is>
          <t>[Esposizione] Ruoli IT critici senza sostituto formato (n)</t>
        </is>
      </c>
      <c r="E45" s="51" t="inlineStr">
        <is>
          <t>—</t>
        </is>
      </c>
      <c r="F45" s="52" t="inlineStr">
        <is>
          <t>3,0 / 6,0</t>
        </is>
      </c>
      <c r="G45" s="52" t="inlineStr">
        <is>
          <t>—</t>
        </is>
      </c>
      <c r="H45" s="63" t="inlineStr">
        <is>
          <t>Non rilevato</t>
        </is>
      </c>
    </row>
    <row r="46" ht="32" customHeight="1">
      <c r="A46" s="47" t="inlineStr">
        <is>
          <t>Perche' lo misuriamo: Misura quanto la Banca e' esposta: ogni ruolo critico senza sostituto e' un punto di blocco.</t>
        </is>
      </c>
      <c r="B46" s="48" t="n"/>
      <c r="C46" s="48" t="n"/>
      <c r="D46" s="48" t="n"/>
      <c r="E46" s="47" t="inlineStr">
        <is>
          <t>Effetto atteso: In calo con l'estensione del piano di successione, fino a zero.</t>
        </is>
      </c>
      <c r="F46" s="48" t="n"/>
      <c r="G46" s="48" t="n"/>
      <c r="H46" s="48" t="n"/>
    </row>
    <row r="47" ht="20" customHeight="1">
      <c r="A47" s="50" t="inlineStr">
        <is>
          <t>[Evoluzione] Turnover volontario annualizzato del personale IT (%)</t>
        </is>
      </c>
      <c r="E47" s="51" t="inlineStr">
        <is>
          <t>—</t>
        </is>
      </c>
      <c r="F47" s="52" t="inlineStr">
        <is>
          <t>8,0 / 12,0</t>
        </is>
      </c>
      <c r="G47" s="52" t="inlineStr">
        <is>
          <t>—</t>
        </is>
      </c>
      <c r="H47" s="63" t="inlineStr">
        <is>
          <t>Non rilevato</t>
        </is>
      </c>
    </row>
    <row r="48" ht="32" customHeight="1">
      <c r="A48" s="47" t="inlineStr">
        <is>
          <t>Perche' lo misuriamo: Misura quanto cresce la perdita di competenze tecniche.</t>
        </is>
      </c>
      <c r="B48" s="48" t="n"/>
      <c r="C48" s="48" t="n"/>
      <c r="D48" s="48" t="n"/>
      <c r="E48" s="47" t="inlineStr">
        <is>
          <t>Effetto atteso: Stabile sotto la soglia di attenzione; oltre la soglia di allerta il rischio si avvicina e la Prossimita' va rivista.</t>
        </is>
      </c>
      <c r="F48" s="48" t="n"/>
      <c r="G48" s="48" t="n"/>
      <c r="H48" s="48" t="n"/>
    </row>
    <row r="50" ht="61" customHeight="1">
      <c r="A50" s="15" t="inlineStr">
        <is>
          <t>Legenda — Imp = Impatto, Prob = Probabilita, Pross = Prossimita, Vel = Velocity (1-5, 5 = peggiore; n.v. = non valutata, nessuna fonte ne documenta i tempi). Rilevanza di una fonte per la previsione: Alta = fonte primaria o caso documentato, Media = fonte specializzata, Bassa = generalista. Presidio = giudizio della Banca sui controlli, fuori dallo score. X = anni per decidere e avviare la mitigazione; Y = anni per mitigare (azioni o adeguamento strutturale); Z = anni prima che il rischio possa manifestarsi; AGIRE ORA = X + Y &gt; Z. Livello di allerta (calcolato dal registro): Attivazione = almeno due fra AGIRE ORA, KRI in rosso, notizie in peggioramento; Attenzione = uno di questi, o margine sotto l'anno con P x I alto, presidio assente o KRI in ambra; Monitoraggio = gli altri. KRI = indicatore di rischio, di esposizione (quanto la Banca e' esposta) o di evoluzione (quanto cresce il fenomeno). ◆ = tema all'attenzione del supervisore.</t>
        </is>
      </c>
    </row>
  </sheetData>
  <mergeCells count="47">
    <mergeCell ref="A9:H9"/>
    <mergeCell ref="C16:H16"/>
    <mergeCell ref="G2:H2"/>
    <mergeCell ref="A24:H24"/>
    <mergeCell ref="A36:H36"/>
    <mergeCell ref="A11:H11"/>
    <mergeCell ref="A1:H1"/>
    <mergeCell ref="C12:H12"/>
    <mergeCell ref="F40:G40"/>
    <mergeCell ref="E41:H41"/>
    <mergeCell ref="A6:H6"/>
    <mergeCell ref="A2:F2"/>
    <mergeCell ref="A33:C33"/>
    <mergeCell ref="A32:C32"/>
    <mergeCell ref="A48:D48"/>
    <mergeCell ref="A39:D39"/>
    <mergeCell ref="A3:B3"/>
    <mergeCell ref="A50:H50"/>
    <mergeCell ref="A45:D45"/>
    <mergeCell ref="A26:H26"/>
    <mergeCell ref="A21:H21"/>
    <mergeCell ref="G34:H34"/>
    <mergeCell ref="E39:H39"/>
    <mergeCell ref="E48:H48"/>
    <mergeCell ref="F38:G38"/>
    <mergeCell ref="C13:H13"/>
    <mergeCell ref="G33:H33"/>
    <mergeCell ref="A41:D41"/>
    <mergeCell ref="A5:H5"/>
    <mergeCell ref="A23:H23"/>
    <mergeCell ref="A34:C34"/>
    <mergeCell ref="A8:H8"/>
    <mergeCell ref="A46:D46"/>
    <mergeCell ref="A17:H17"/>
    <mergeCell ref="C15:H15"/>
    <mergeCell ref="A38:E38"/>
    <mergeCell ref="C14:H14"/>
    <mergeCell ref="A20:H20"/>
    <mergeCell ref="G32:H32"/>
    <mergeCell ref="A43:H43"/>
    <mergeCell ref="A40:E40"/>
    <mergeCell ref="A19:H19"/>
    <mergeCell ref="E46:H46"/>
    <mergeCell ref="A47:D47"/>
    <mergeCell ref="C3:D3"/>
    <mergeCell ref="A31:H31"/>
    <mergeCell ref="E3:F3"/>
  </mergeCells>
  <pageMargins left="0.4" right="0.4" top="1" bottom="1" header="0.5" footer="0.5"/>
  <pageSetup orientation="portrait" paperSize="9" fitToHeight="0" fitToWidth="1"/>
  <headerFooter>
    <oddHeader>&amp;CUso interno&amp;RHorizon Scan NFR</oddHeader>
    <oddFooter>&amp;L&amp;F · &amp;A&amp;RPagina &amp;P di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6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4" customWidth="1" min="8" max="8"/>
  </cols>
  <sheetData>
    <row r="1">
      <c r="A1" s="16" t="inlineStr">
        <is>
          <t>Horizon Scan NFR — schede dei rischi · ciclo 2026Q4 · dati al 31/12/2026 · validato · Uso interno</t>
        </is>
      </c>
    </row>
    <row r="2" ht="34" customHeight="1">
      <c r="A2" s="17" t="inlineStr">
        <is>
          <t>10 · NFR-09 · Violazione di sanzioni internazionali tramite triangolazioni</t>
        </is>
      </c>
      <c r="B2" s="18" t="n"/>
      <c r="C2" s="18" t="n"/>
      <c r="D2" s="18" t="n"/>
      <c r="E2" s="18" t="n"/>
      <c r="F2" s="18" t="n"/>
      <c r="G2" s="19" t="inlineStr">
        <is>
          <t>score 2,90   ● 0,00   ·   Margine 1,3 anni   ·   Monitoraggio</t>
        </is>
      </c>
      <c r="H2" s="18" t="n"/>
    </row>
    <row r="3" ht="28" customHeight="1">
      <c r="A3" s="20" t="inlineStr">
        <is>
          <t>L1-04 · Clientela, prodotti e prassi professionali</t>
        </is>
      </c>
      <c r="B3" s="21" t="n"/>
      <c r="C3" s="20" t="inlineStr">
        <is>
          <t>Driver: DRV-GEO</t>
        </is>
      </c>
      <c r="D3" s="21" t="n"/>
      <c r="E3" s="20" t="inlineStr">
        <is>
          <t>Owner: Funzione Compliance · Presidio: Non verificato</t>
        </is>
      </c>
      <c r="F3" s="21" t="n"/>
      <c r="G3" s="22" t="inlineStr">
        <is>
          <t>◆ Attenzione del supervisore</t>
        </is>
      </c>
      <c r="H3" s="20" t="inlineStr">
        <is>
          <t>Esito: Confermato · validato</t>
        </is>
      </c>
    </row>
    <row r="5">
      <c r="A5" s="23" t="inlineStr">
        <is>
          <t>Il rischio</t>
        </is>
      </c>
      <c r="B5" s="24" t="n"/>
      <c r="C5" s="24" t="n"/>
      <c r="D5" s="24" t="n"/>
      <c r="E5" s="24" t="n"/>
      <c r="F5" s="24" t="n"/>
      <c r="G5" s="24" t="n"/>
      <c r="H5" s="24" t="n"/>
    </row>
    <row r="6" ht="19.5" customHeight="1">
      <c r="A6" s="25" t="inlineStr">
        <is>
          <t>Pagamenti di clientela corporate verso controparti sanzionate interposte in paesi terzi, non intercettati dal filtro sanzioni.</t>
        </is>
      </c>
    </row>
    <row r="8">
      <c r="A8" s="23" t="inlineStr">
        <is>
          <t>Razionale: il fenomeno in termini di rischio</t>
        </is>
      </c>
      <c r="B8" s="24" t="n"/>
      <c r="C8" s="24" t="n"/>
      <c r="D8" s="24" t="n"/>
      <c r="E8" s="24" t="n"/>
      <c r="F8" s="24" t="n"/>
      <c r="G8" s="24" t="n"/>
      <c r="H8" s="24" t="n"/>
    </row>
    <row r="9" ht="33" customHeight="1">
      <c r="A9" s="25" t="inlineStr">
        <is>
          <t>Le sanzioni internazionali si aggirano interponendo controparti in paesi terzi (causa); un pagamento di un cliente corporate raggiunge cosi' una controparte sanzionata senza che il filtro lo intercetti (evento); la Banca rischia sanzioni gravi e danno reputazionale (danno). Nessuna evidenza nuova nel trimestre: valori confermati.</t>
        </is>
      </c>
    </row>
    <row r="11">
      <c r="A11" s="23" t="inlineStr">
        <is>
          <t>Valutazione, dimensione per dimensione (valori validati)</t>
        </is>
      </c>
      <c r="B11" s="24" t="n"/>
      <c r="C11" s="24" t="n"/>
      <c r="D11" s="24" t="n"/>
      <c r="E11" s="24" t="n"/>
      <c r="F11" s="24" t="n"/>
      <c r="G11" s="24" t="n"/>
      <c r="H11" s="24" t="n"/>
    </row>
    <row r="12">
      <c r="A12" s="26" t="inlineStr">
        <is>
          <t>Dimensione</t>
        </is>
      </c>
      <c r="B12" s="26" t="inlineStr">
        <is>
          <t>Valore</t>
        </is>
      </c>
      <c r="C12" s="26" t="inlineStr">
        <is>
          <t>Perche' questo valore: informazioni e documenti</t>
        </is>
      </c>
    </row>
    <row r="13" ht="26" customHeight="1">
      <c r="A13" s="27" t="inlineStr">
        <is>
          <t>Impatto</t>
        </is>
      </c>
      <c r="B13" s="28" t="n">
        <v>4</v>
      </c>
      <c r="C13" s="29" t="inlineStr">
        <is>
          <t>Grave. Il Nuovo pacchetto di sanzioni UE impone una due diligence rafforzata: una violazione comporta una sanzione probabile.</t>
        </is>
      </c>
      <c r="D13" s="6" t="n"/>
      <c r="E13" s="6" t="n"/>
      <c r="F13" s="6" t="n"/>
      <c r="G13" s="6" t="n"/>
      <c r="H13" s="6" t="n"/>
    </row>
    <row r="14" ht="26" customHeight="1">
      <c r="A14" s="27" t="inlineStr">
        <is>
          <t>Probabilita</t>
        </is>
      </c>
      <c r="B14" s="58" t="n">
        <v>2</v>
      </c>
      <c r="C14" s="29" t="inlineStr">
        <is>
          <t>Improbabile. L'Analisi dei flussi verso paesi di transito della Compliance mostra volumi contenuti verso quei paesi.</t>
        </is>
      </c>
      <c r="D14" s="6" t="n"/>
      <c r="E14" s="6" t="n"/>
      <c r="F14" s="6" t="n"/>
      <c r="G14" s="6" t="n"/>
      <c r="H14" s="6" t="n"/>
    </row>
    <row r="15" ht="26" customHeight="1">
      <c r="A15" s="27" t="inlineStr">
        <is>
          <t>Prossimita</t>
        </is>
      </c>
      <c r="B15" s="58" t="n">
        <v>2</v>
      </c>
      <c r="C15" s="29" t="inlineStr">
        <is>
          <t>Da due a tre anni. Nessun caso documentato presso la Banca o banche comparabili.</t>
        </is>
      </c>
      <c r="D15" s="6" t="n"/>
      <c r="E15" s="6" t="n"/>
      <c r="F15" s="6" t="n"/>
      <c r="G15" s="6" t="n"/>
      <c r="H15" s="6" t="n"/>
    </row>
    <row r="16" ht="26" customHeight="1">
      <c r="A16" s="27" t="inlineStr">
        <is>
          <t>Velocity</t>
        </is>
      </c>
      <c r="B16" s="55" t="n">
        <v>3</v>
      </c>
      <c r="C16" s="29" t="inlineStr">
        <is>
          <t>Da tre a sei mesi. Una violazione emerge di solito con le verifiche successive ai pagamenti, nei mesi seguenti (Analisi dei flussi).</t>
        </is>
      </c>
      <c r="D16" s="6" t="n"/>
      <c r="E16" s="6" t="n"/>
      <c r="F16" s="6" t="n"/>
      <c r="G16" s="6" t="n"/>
      <c r="H16" s="6" t="n"/>
    </row>
    <row r="17">
      <c r="A17" s="31" t="inlineStr">
        <is>
          <t>Score composito 2,90 = (0,35 x 4 + 0,25 x 2 + 0,20 x 2 + 0,20 x 3) / 1,00. La rilevanza delle fonti e' nella tabella Fonti.</t>
        </is>
      </c>
    </row>
    <row r="19">
      <c r="A19" s="23" t="inlineStr">
        <is>
          <t>Urgenza (disuguaglianza di Mosca) e livello di allerta</t>
        </is>
      </c>
      <c r="B19" s="24" t="n"/>
      <c r="C19" s="24" t="n"/>
      <c r="D19" s="24" t="n"/>
      <c r="E19" s="24" t="n"/>
      <c r="F19" s="24" t="n"/>
      <c r="G19" s="24" t="n"/>
      <c r="H19" s="24" t="n"/>
    </row>
    <row r="20" ht="19.5" customHeight="1">
      <c r="A20" s="59" t="inlineStr">
        <is>
          <t>Livello di allerta: Monitoraggio — nessun segnale forte.</t>
        </is>
      </c>
    </row>
    <row r="21" ht="19.5" customHeight="1">
      <c r="A21" s="25" t="inlineStr">
        <is>
          <t>Margine 1,3 anni. Tempo necessario X + Y = 0,25 + 1,00 = 1,25 anni; tempo disponibile Z = 2,5 anni (Prossimita 2). Margine Z - (X + Y) = 1,25.</t>
        </is>
      </c>
    </row>
    <row r="23">
      <c r="A23" s="23" t="inlineStr">
        <is>
          <t>Cosa e' cambiato nel ciclo</t>
        </is>
      </c>
      <c r="B23" s="24" t="n"/>
      <c r="C23" s="24" t="n"/>
      <c r="D23" s="24" t="n"/>
      <c r="E23" s="24" t="n"/>
      <c r="F23" s="24" t="n"/>
      <c r="G23" s="24" t="n"/>
      <c r="H23" s="24" t="n"/>
    </row>
    <row r="24" ht="19.5" customHeight="1">
      <c r="A24" s="25" t="inlineStr">
        <is>
          <t>Nessun valore cambiato: confermato sulle fonti del ciclo precedente.</t>
        </is>
      </c>
    </row>
    <row r="26">
      <c r="A26" s="23" t="inlineStr">
        <is>
          <t>Andamento negli ultimi trimestri</t>
        </is>
      </c>
      <c r="B26" s="24" t="n"/>
      <c r="C26" s="24" t="n"/>
      <c r="D26" s="24" t="n"/>
      <c r="E26" s="24" t="n"/>
      <c r="F26" s="24" t="n"/>
      <c r="G26" s="24" t="n"/>
      <c r="H26" s="24" t="n"/>
    </row>
    <row r="27">
      <c r="A27" s="33" t="inlineStr">
        <is>
          <t>Ciclo</t>
        </is>
      </c>
      <c r="B27" s="33" t="inlineStr">
        <is>
          <t>Imp</t>
        </is>
      </c>
      <c r="C27" s="33" t="inlineStr">
        <is>
          <t>Prob</t>
        </is>
      </c>
      <c r="D27" s="33" t="inlineStr">
        <is>
          <t>Pross</t>
        </is>
      </c>
      <c r="E27" s="33" t="inlineStr">
        <is>
          <t>Vel</t>
        </is>
      </c>
      <c r="F27" s="33" t="inlineStr">
        <is>
          <t>Score</t>
        </is>
      </c>
    </row>
    <row r="28">
      <c r="A28" s="34" t="inlineStr">
        <is>
          <t>2026Q1</t>
        </is>
      </c>
      <c r="B28" s="36" t="n">
        <v>4</v>
      </c>
      <c r="C28" s="60" t="n">
        <v>2</v>
      </c>
      <c r="D28" s="60" t="n">
        <v>2</v>
      </c>
      <c r="E28" s="35" t="n">
        <v>3</v>
      </c>
      <c r="F28" s="37" t="n">
        <v>2.9</v>
      </c>
    </row>
    <row r="29">
      <c r="A29" s="34" t="inlineStr">
        <is>
          <t>2026Q2</t>
        </is>
      </c>
      <c r="B29" s="36" t="n">
        <v>4</v>
      </c>
      <c r="C29" s="60" t="n">
        <v>2</v>
      </c>
      <c r="D29" s="60" t="n">
        <v>2</v>
      </c>
      <c r="E29" s="35" t="n">
        <v>3</v>
      </c>
      <c r="F29" s="37" t="n">
        <v>2.9</v>
      </c>
    </row>
    <row r="30">
      <c r="A30" s="34" t="inlineStr">
        <is>
          <t>2026Q3</t>
        </is>
      </c>
      <c r="B30" s="36" t="n">
        <v>4</v>
      </c>
      <c r="C30" s="60" t="n">
        <v>2</v>
      </c>
      <c r="D30" s="60" t="n">
        <v>2</v>
      </c>
      <c r="E30" s="35" t="n">
        <v>3</v>
      </c>
      <c r="F30" s="37" t="n">
        <v>2.9</v>
      </c>
    </row>
    <row r="31">
      <c r="A31" s="34" t="inlineStr">
        <is>
          <t>2026Q4</t>
        </is>
      </c>
      <c r="B31" s="36" t="n">
        <v>4</v>
      </c>
      <c r="C31" s="60" t="n">
        <v>2</v>
      </c>
      <c r="D31" s="60" t="n">
        <v>2</v>
      </c>
      <c r="E31" s="35" t="n">
        <v>3</v>
      </c>
      <c r="F31" s="37" t="n">
        <v>2.9</v>
      </c>
    </row>
    <row r="46">
      <c r="A46" s="23" t="inlineStr">
        <is>
          <t>Fonti</t>
        </is>
      </c>
      <c r="B46" s="24" t="n"/>
      <c r="C46" s="24" t="n"/>
      <c r="D46" s="24" t="n"/>
      <c r="E46" s="24" t="n"/>
      <c r="F46" s="24" t="n"/>
      <c r="G46" s="24" t="n"/>
      <c r="H46" s="24" t="n"/>
    </row>
    <row r="47">
      <c r="A47" s="26" t="inlineStr">
        <is>
          <t>Fonte</t>
        </is>
      </c>
      <c r="D47" s="26" t="inlineStr">
        <is>
          <t>Data</t>
        </is>
      </c>
      <c r="E47" s="26" t="inlineStr">
        <is>
          <t>Tipo</t>
        </is>
      </c>
      <c r="F47" s="26" t="inlineStr">
        <is>
          <t>Rilevanza</t>
        </is>
      </c>
      <c r="G47" s="26" t="n"/>
    </row>
    <row r="48" ht="32" customHeight="1">
      <c r="A48" s="39" t="inlineStr">
        <is>
          <t>Nuovo pacchetto di sanzioni UE con obblighi di due diligence rafforzata</t>
        </is>
      </c>
      <c r="B48" s="6" t="n"/>
      <c r="C48" s="6" t="n"/>
      <c r="D48" s="40" t="inlineStr">
        <is>
          <t>24/02/2026</t>
        </is>
      </c>
      <c r="E48" s="43" t="inlineStr">
        <is>
          <t>Esterna</t>
        </is>
      </c>
      <c r="F48" s="42" t="inlineStr">
        <is>
          <t>Alta</t>
        </is>
      </c>
      <c r="G48" s="39" t="n"/>
      <c r="H48" s="6" t="n"/>
    </row>
    <row r="49" ht="18.5" customHeight="1">
      <c r="A49" s="39" t="inlineStr">
        <is>
          <t>Analisi dei flussi verso paesi di transito — Compliance</t>
        </is>
      </c>
      <c r="B49" s="6" t="n"/>
      <c r="C49" s="6" t="n"/>
      <c r="D49" s="40" t="inlineStr">
        <is>
          <t>12/03/2026</t>
        </is>
      </c>
      <c r="E49" s="41" t="inlineStr">
        <is>
          <t>Interna</t>
        </is>
      </c>
      <c r="F49" s="42" t="inlineStr">
        <is>
          <t>Alta</t>
        </is>
      </c>
      <c r="G49" s="39" t="n"/>
      <c r="H49" s="6" t="n"/>
    </row>
    <row r="51">
      <c r="A51" s="23" t="inlineStr">
        <is>
          <t>Azioni</t>
        </is>
      </c>
      <c r="B51" s="24" t="n"/>
      <c r="C51" s="24" t="n"/>
      <c r="D51" s="24" t="n"/>
      <c r="E51" s="24" t="n"/>
      <c r="F51" s="24" t="n"/>
      <c r="G51" s="24" t="n"/>
      <c r="H51" s="24" t="n"/>
    </row>
    <row r="52">
      <c r="A52" s="26" t="inlineStr">
        <is>
          <t>Azione</t>
        </is>
      </c>
      <c r="F52" s="26" t="inlineStr">
        <is>
          <t>Owner</t>
        </is>
      </c>
      <c r="H52" s="26" t="inlineStr">
        <is>
          <t>Orizzonte · stato</t>
        </is>
      </c>
    </row>
    <row r="53" ht="18.5" customHeight="1">
      <c r="A53" s="45" t="inlineStr">
        <is>
          <t>• Estendere lo screening sanzioni alle controparti indirette dei pagamenti verso paesi di transito.</t>
        </is>
      </c>
      <c r="F53" s="46" t="inlineStr">
        <is>
          <t>Funzione Compliance</t>
        </is>
      </c>
      <c r="H53" s="46" t="inlineStr">
        <is>
          <t>12 mesi · Approvata (ciclo 2026Q2)</t>
        </is>
      </c>
    </row>
    <row r="54" ht="19" customHeight="1">
      <c r="A54" s="47" t="inlineStr">
        <is>
          <t>Perche': Chiude la lacuna sulle triangolazioni, oggi non coperte dal filtro.</t>
        </is>
      </c>
      <c r="B54" s="48" t="n"/>
      <c r="C54" s="48" t="n"/>
      <c r="D54" s="48" t="n"/>
      <c r="E54" s="47" t="inlineStr">
        <is>
          <t>Effetto atteso: non indicato nel razionale di A1.</t>
        </is>
      </c>
      <c r="F54" s="48" t="n"/>
      <c r="G54" s="48" t="n"/>
      <c r="H54" s="48" t="n"/>
    </row>
    <row r="55" ht="32" customHeight="1">
      <c r="A55" s="45" t="inlineStr">
        <is>
          <t>• Formare gli operatori dei pagamenti esteri sugli indicatori di triangolazione segnalati dalle autorita'.</t>
        </is>
      </c>
      <c r="F55" s="46" t="inlineStr">
        <is>
          <t>Funzione Compliance</t>
        </is>
      </c>
      <c r="H55" s="46" t="inlineStr">
        <is>
          <t>12 mesi · Approvata (ciclo 2026Q3)</t>
        </is>
      </c>
    </row>
    <row r="56" ht="32" customHeight="1">
      <c r="A56" s="47" t="inlineStr">
        <is>
          <t>Perche': Lo screening esteso (2026Q2-NFR-09-A1) copre le controparti note; gli indicatori aiutano sui casi che il filtro non vede.</t>
        </is>
      </c>
      <c r="B56" s="48" t="n"/>
      <c r="C56" s="48" t="n"/>
      <c r="D56" s="48" t="n"/>
      <c r="E56" s="47" t="inlineStr">
        <is>
          <t>Effetto atteso: non indicato nel razionale di A1.</t>
        </is>
      </c>
      <c r="F56" s="48" t="n"/>
      <c r="G56" s="48" t="n"/>
      <c r="H56" s="48" t="n"/>
    </row>
    <row r="57" ht="32" customHeight="1">
      <c r="A57" s="45" t="inlineStr">
        <is>
          <t>• Chiedere ai corrispondenti esteri il beneficiario finale dei pagamenti verso i paesi di transito segnalati.</t>
        </is>
      </c>
      <c r="F57" s="46" t="inlineStr">
        <is>
          <t>Funzione Compliance</t>
        </is>
      </c>
      <c r="H57" s="46" t="inlineStr">
        <is>
          <t>12 mesi · Approvata (ciclo 2026Q4)</t>
        </is>
      </c>
    </row>
    <row r="58" ht="45" customHeight="1">
      <c r="A58" s="47" t="inlineStr">
        <is>
          <t>Perche': Lo screening esteso (2026Q2-NFR-09-A1) e la formazione (2026Q3-NFR-09-A1) dipendono dai dati disponibili: senza il beneficiario finale la triangolazione non si vede.</t>
        </is>
      </c>
      <c r="B58" s="48" t="n"/>
      <c r="C58" s="48" t="n"/>
      <c r="D58" s="48" t="n"/>
      <c r="E58" s="47" t="inlineStr">
        <is>
          <t>Effetto atteso: Piu' pagamenti sospetti fermati all'origine (NFR-09-K1 puo' salire, ed e' un buon segno) e una Probabilita' che resta bassa anche se i flussi crescono.</t>
        </is>
      </c>
      <c r="F58" s="48" t="n"/>
      <c r="G58" s="48" t="n"/>
      <c r="H58" s="48" t="n"/>
    </row>
    <row r="60">
      <c r="A60" s="23" t="inlineStr">
        <is>
          <t>KRI in vigore</t>
        </is>
      </c>
      <c r="B60" s="24" t="n"/>
      <c r="C60" s="24" t="n"/>
      <c r="D60" s="24" t="n"/>
      <c r="E60" s="24" t="n"/>
      <c r="F60" s="24" t="n"/>
      <c r="G60" s="24" t="n"/>
      <c r="H60" s="24" t="n"/>
    </row>
    <row r="61">
      <c r="A61" s="49" t="inlineStr">
        <is>
          <t>Indicatore</t>
        </is>
      </c>
      <c r="E61" s="49" t="inlineStr">
        <is>
          <t>Valore</t>
        </is>
      </c>
      <c r="F61" s="49" t="inlineStr">
        <is>
          <t>Soglie (attenzione / allerta)</t>
        </is>
      </c>
      <c r="G61" s="49" t="inlineStr">
        <is>
          <t>Ciclo prima</t>
        </is>
      </c>
      <c r="H61" s="49" t="inlineStr">
        <is>
          <t>Stato</t>
        </is>
      </c>
    </row>
    <row r="62" ht="20" customHeight="1">
      <c r="A62" s="50" t="inlineStr">
        <is>
          <t>[Evoluzione] Pagamenti bloccati dal filtro sanzioni ogni 10.000 verso paesi di transito (n/10k)</t>
        </is>
      </c>
      <c r="E62" s="51" t="n">
        <v>4</v>
      </c>
      <c r="F62" s="52" t="inlineStr">
        <is>
          <t>2,0 / 5,0</t>
        </is>
      </c>
      <c r="G62" s="52" t="n">
        <v>4.2</v>
      </c>
      <c r="H62" s="57" t="inlineStr">
        <is>
          <t>Ambra</t>
        </is>
      </c>
    </row>
    <row r="63" ht="32" customHeight="1">
      <c r="A63" s="47" t="inlineStr">
        <is>
          <t>Perche' lo misuriamo: Misura la pressione delle triangolazioni sui pagamenti della Banca.</t>
        </is>
      </c>
      <c r="B63" s="48" t="n"/>
      <c r="C63" s="48" t="n"/>
      <c r="D63" s="48" t="n"/>
      <c r="E63" s="47" t="inlineStr">
        <is>
          <t>Effetto atteso: Puo' salire dopo l'estensione dello screening, perche' il filtro vede di piu'; oltre la soglia di allerta senza cambi al filtro il fenomeno sta crescendo.</t>
        </is>
      </c>
      <c r="F63" s="48" t="n"/>
      <c r="G63" s="48" t="n"/>
      <c r="H63" s="48" t="n"/>
    </row>
    <row r="64" ht="20" customHeight="1">
      <c r="A64" s="50" t="inlineStr">
        <is>
          <t>[Esposizione] Clienti corporate ad alto rischio senza due diligence rafforzata aggiornata (%)</t>
        </is>
      </c>
      <c r="E64" s="51" t="n">
        <v>8</v>
      </c>
      <c r="F64" s="52" t="inlineStr">
        <is>
          <t>5,0 / 15,0</t>
        </is>
      </c>
      <c r="G64" s="52" t="n">
        <v>9</v>
      </c>
      <c r="H64" s="57" t="inlineStr">
        <is>
          <t>Ambra</t>
        </is>
      </c>
    </row>
    <row r="65" ht="32" customHeight="1">
      <c r="A65" s="47" t="inlineStr">
        <is>
          <t>Perche' lo misuriamo: Misura l'esposizione: i clienti ad alto rischio con verifiche scadute sono il varco piu' probabile.</t>
        </is>
      </c>
      <c r="B65" s="48" t="n"/>
      <c r="C65" s="48" t="n"/>
      <c r="D65" s="48" t="n"/>
      <c r="E65" s="47" t="inlineStr">
        <is>
          <t>Effetto atteso: Sotto la soglia di attenzione con le revisioni periodiche della due diligence.</t>
        </is>
      </c>
      <c r="F65" s="48" t="n"/>
      <c r="G65" s="48" t="n"/>
      <c r="H65" s="48" t="n"/>
    </row>
    <row r="67" ht="61" customHeight="1">
      <c r="A67" s="15" t="inlineStr">
        <is>
          <t>Legenda — Imp = Impatto, Prob = Probabilita, Pross = Prossimita, Vel = Velocity (1-5, 5 = peggiore; n.v. = non valutata, nessuna fonte ne documenta i tempi). Rilevanza di una fonte per la previsione: Alta = fonte primaria o caso documentato, Media = fonte specializzata, Bassa = generalista. Presidio = giudizio della Banca sui controlli, fuori dallo score. X = anni per decidere e avviare la mitigazione; Y = anni per mitigare (azioni o adeguamento strutturale); Z = anni prima che il rischio possa manifestarsi; AGIRE ORA = X + Y &gt; Z. Livello di allerta (calcolato dal registro): Attivazione = almeno due fra AGIRE ORA, KRI in rosso, notizie in peggioramento; Attenzione = uno di questi, o margine sotto l'anno con P x I alto, presidio assente o KRI in ambra; Monitoraggio = gli altri. KRI = indicatore di rischio, di esposizione (quanto la Banca e' esposta) o di evoluzione (quanto cresce il fenomeno). ◆ = tema all'attenzione del supervisore.</t>
        </is>
      </c>
    </row>
  </sheetData>
  <mergeCells count="51">
    <mergeCell ref="A9:H9"/>
    <mergeCell ref="A67:H67"/>
    <mergeCell ref="C16:H16"/>
    <mergeCell ref="G2:H2"/>
    <mergeCell ref="A24:H24"/>
    <mergeCell ref="A62:D62"/>
    <mergeCell ref="A51:H51"/>
    <mergeCell ref="E54:H54"/>
    <mergeCell ref="A60:H60"/>
    <mergeCell ref="A11:H11"/>
    <mergeCell ref="A1:H1"/>
    <mergeCell ref="C12:H12"/>
    <mergeCell ref="A63:D63"/>
    <mergeCell ref="G48:H48"/>
    <mergeCell ref="A6:H6"/>
    <mergeCell ref="A2:F2"/>
    <mergeCell ref="F55:G55"/>
    <mergeCell ref="E56:H56"/>
    <mergeCell ref="A47:C47"/>
    <mergeCell ref="A58:D58"/>
    <mergeCell ref="E58:H58"/>
    <mergeCell ref="A64:D64"/>
    <mergeCell ref="A46:H46"/>
    <mergeCell ref="A3:B3"/>
    <mergeCell ref="G49:H49"/>
    <mergeCell ref="A55:E55"/>
    <mergeCell ref="A26:H26"/>
    <mergeCell ref="A21:H21"/>
    <mergeCell ref="A57:E57"/>
    <mergeCell ref="C13:H13"/>
    <mergeCell ref="A54:D54"/>
    <mergeCell ref="A65:D65"/>
    <mergeCell ref="A5:H5"/>
    <mergeCell ref="A23:H23"/>
    <mergeCell ref="E63:H63"/>
    <mergeCell ref="A48:C48"/>
    <mergeCell ref="A8:H8"/>
    <mergeCell ref="A17:H17"/>
    <mergeCell ref="C15:H15"/>
    <mergeCell ref="A53:E53"/>
    <mergeCell ref="A56:D56"/>
    <mergeCell ref="A49:C49"/>
    <mergeCell ref="C14:H14"/>
    <mergeCell ref="G47:H47"/>
    <mergeCell ref="A20:H20"/>
    <mergeCell ref="E65:H65"/>
    <mergeCell ref="A19:H19"/>
    <mergeCell ref="C3:D3"/>
    <mergeCell ref="F57:G57"/>
    <mergeCell ref="E3:F3"/>
    <mergeCell ref="F53:G53"/>
  </mergeCells>
  <pageMargins left="0.4" right="0.4" top="1" bottom="1" header="0.5" footer="0.5"/>
  <pageSetup orientation="portrait" paperSize="9" fitToHeight="0" fitToWidth="1"/>
  <headerFooter>
    <oddHeader>&amp;CUso interno&amp;RHorizon Scan NFR</oddHeader>
    <oddFooter>&amp;L&amp;F · &amp;A&amp;RPagina &amp;P di &amp;N</oddFooter>
    <evenHeader/>
    <evenFooter/>
    <firstHeader/>
    <firstFooter/>
  </headerFooter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6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4" customWidth="1" min="8" max="8"/>
  </cols>
  <sheetData>
    <row r="1">
      <c r="A1" s="16" t="inlineStr">
        <is>
          <t>Horizon Scan NFR — schede dei rischi · ciclo 2026Q4 · dati al 31/12/2026 · validato · Uso interno</t>
        </is>
      </c>
    </row>
    <row r="2" ht="34" customHeight="1">
      <c r="A2" s="17" t="inlineStr">
        <is>
          <t>11 · NFR-04 · Eventi climatici estremi su sedi e data center</t>
        </is>
      </c>
      <c r="B2" s="18" t="n"/>
      <c r="C2" s="18" t="n"/>
      <c r="D2" s="18" t="n"/>
      <c r="E2" s="18" t="n"/>
      <c r="F2" s="18" t="n"/>
      <c r="G2" s="19" t="inlineStr">
        <is>
          <t>score 2,80   ● 0,00   ·   Entro l'anno   ·   Attenzione</t>
        </is>
      </c>
      <c r="H2" s="18" t="n"/>
    </row>
    <row r="3" ht="28" customHeight="1">
      <c r="A3" s="20" t="inlineStr">
        <is>
          <t>L1-05 · Danni a beni materiali</t>
        </is>
      </c>
      <c r="B3" s="21" t="n"/>
      <c r="C3" s="20" t="inlineStr">
        <is>
          <t>Driver: DRV-CLI</t>
        </is>
      </c>
      <c r="D3" s="21" t="n"/>
      <c r="E3" s="20" t="inlineStr">
        <is>
          <t>Owner: Funzione Business Continuity · Presidio: Non verificato</t>
        </is>
      </c>
      <c r="F3" s="21" t="n"/>
      <c r="G3" s="20" t="n"/>
      <c r="H3" s="20" t="inlineStr">
        <is>
          <t>Esito: Confermato · validato</t>
        </is>
      </c>
    </row>
    <row r="5">
      <c r="A5" s="23" t="inlineStr">
        <is>
          <t>Il rischio</t>
        </is>
      </c>
      <c r="B5" s="24" t="n"/>
      <c r="C5" s="24" t="n"/>
      <c r="D5" s="24" t="n"/>
      <c r="E5" s="24" t="n"/>
      <c r="F5" s="24" t="n"/>
      <c r="G5" s="24" t="n"/>
      <c r="H5" s="24" t="n"/>
    </row>
    <row r="6" ht="19.5" customHeight="1">
      <c r="A6" s="25" t="inlineStr">
        <is>
          <t>Alluvioni o ondate di calore che rendono inagibili sedi operative o degradano il data center secondario.</t>
        </is>
      </c>
    </row>
    <row r="8">
      <c r="A8" s="23" t="inlineStr">
        <is>
          <t>Razionale: il fenomeno in termini di rischio</t>
        </is>
      </c>
      <c r="B8" s="24" t="n"/>
      <c r="C8" s="24" t="n"/>
      <c r="D8" s="24" t="n"/>
      <c r="E8" s="24" t="n"/>
      <c r="F8" s="24" t="n"/>
      <c r="G8" s="24" t="n"/>
      <c r="H8" s="24" t="n"/>
    </row>
    <row r="9" ht="46.5" customHeight="1">
      <c r="A9" s="25" t="inlineStr">
        <is>
          <t>Eventi climatici estremi sempre piu' frequenti, alluvioni e ondate di calore (causa), possono rendere inagibili sedi operative o degradare il data center secondario (evento); le attivita' di quelle sedi si fermano e il ripristino costa, con disagi per i clienti (danno). Nessun evento sulle sedi nel trimestre e piani per le due sedi critiche in redazione: valori confermati.</t>
        </is>
      </c>
    </row>
    <row r="11">
      <c r="A11" s="23" t="inlineStr">
        <is>
          <t>Valutazione, dimensione per dimensione (valori validati)</t>
        </is>
      </c>
      <c r="B11" s="24" t="n"/>
      <c r="C11" s="24" t="n"/>
      <c r="D11" s="24" t="n"/>
      <c r="E11" s="24" t="n"/>
      <c r="F11" s="24" t="n"/>
      <c r="G11" s="24" t="n"/>
      <c r="H11" s="24" t="n"/>
    </row>
    <row r="12">
      <c r="A12" s="26" t="inlineStr">
        <is>
          <t>Dimensione</t>
        </is>
      </c>
      <c r="B12" s="26" t="inlineStr">
        <is>
          <t>Valore</t>
        </is>
      </c>
      <c r="C12" s="26" t="inlineStr">
        <is>
          <t>Perche' questo valore: informazioni e documenti</t>
        </is>
      </c>
    </row>
    <row r="13" ht="26" customHeight="1">
      <c r="A13" s="27" t="inlineStr">
        <is>
          <t>Impatto</t>
        </is>
      </c>
      <c r="B13" s="55" t="n">
        <v>3</v>
      </c>
      <c r="C13" s="29" t="inlineStr">
        <is>
          <t>Rilevante. La Mappa del rischio idrogeologico delle sedi (BCM) indica sedi critiche esposte, il cui blocco degrada processi critici.</t>
        </is>
      </c>
      <c r="D13" s="6" t="n"/>
      <c r="E13" s="6" t="n"/>
      <c r="F13" s="6" t="n"/>
      <c r="G13" s="6" t="n"/>
      <c r="H13" s="6" t="n"/>
    </row>
    <row r="14" ht="33" customHeight="1">
      <c r="A14" s="27" t="inlineStr">
        <is>
          <t>Probabilita</t>
        </is>
      </c>
      <c r="B14" s="55" t="n">
        <v>3</v>
      </c>
      <c r="C14" s="29" t="inlineStr">
        <is>
          <t>Possibile. L'alluvione in Emilia-Romagna con chiusura di due filiali e' un caso in aziende comparabili e la Banca ha sedi nelle aree a rischio della Mappa.</t>
        </is>
      </c>
      <c r="D14" s="6" t="n"/>
      <c r="E14" s="6" t="n"/>
      <c r="F14" s="6" t="n"/>
      <c r="G14" s="6" t="n"/>
      <c r="H14" s="6" t="n"/>
    </row>
    <row r="15" ht="26" customHeight="1">
      <c r="A15" s="27" t="inlineStr">
        <is>
          <t>Prossimita</t>
        </is>
      </c>
      <c r="B15" s="55" t="n">
        <v>3</v>
      </c>
      <c r="C15" s="29" t="inlineStr">
        <is>
          <t>Da uno a due anni. Nessun evento in corso sulle sedi della Banca.</t>
        </is>
      </c>
      <c r="D15" s="6" t="n"/>
      <c r="E15" s="6" t="n"/>
      <c r="F15" s="6" t="n"/>
      <c r="G15" s="6" t="n"/>
      <c r="H15" s="6" t="n"/>
    </row>
    <row r="16" ht="33" customHeight="1">
      <c r="A16" s="27" t="inlineStr">
        <is>
          <t>Velocity</t>
        </is>
      </c>
      <c r="B16" s="58" t="n">
        <v>2</v>
      </c>
      <c r="C16" s="29" t="inlineStr">
        <is>
          <t>Da sei a dodici mesi. L'evento e' rapido, ma le attivita' si spostano sulle altre sedi e il danno pieno arriva solo se l'inagibilita' dura mesi (Mappa del rischio idrogeologico, BCM).</t>
        </is>
      </c>
      <c r="D16" s="6" t="n"/>
      <c r="E16" s="6" t="n"/>
      <c r="F16" s="6" t="n"/>
      <c r="G16" s="6" t="n"/>
      <c r="H16" s="6" t="n"/>
    </row>
    <row r="17">
      <c r="A17" s="31" t="inlineStr">
        <is>
          <t>Score composito 2,80 = (0,35 x 3 + 0,25 x 3 + 0,20 x 3 + 0,20 x 2) / 1,00. La rilevanza delle fonti e' nella tabella Fonti.</t>
        </is>
      </c>
    </row>
    <row r="19">
      <c r="A19" s="23" t="inlineStr">
        <is>
          <t>Urgenza (disuguaglianza di Mosca) e livello di allerta</t>
        </is>
      </c>
      <c r="B19" s="24" t="n"/>
      <c r="C19" s="24" t="n"/>
      <c r="D19" s="24" t="n"/>
      <c r="E19" s="24" t="n"/>
      <c r="F19" s="24" t="n"/>
      <c r="G19" s="24" t="n"/>
      <c r="H19" s="24" t="n"/>
    </row>
    <row r="20" ht="19.5" customHeight="1">
      <c r="A20" s="56" t="inlineStr">
        <is>
          <t>Livello di allerta: Attenzione — margine sotto l'anno con KRI in ambra o rosso.</t>
        </is>
      </c>
    </row>
    <row r="21" ht="19.5" customHeight="1">
      <c r="A21" s="25" t="inlineStr">
        <is>
          <t>Agire entro l'anno. Tempo necessario X + Y = 0,25 + 0,50 = 0,75 anni; tempo disponibile Z = 1,5 anni (Prossimita 3). Margine Z - (X + Y) = 0,75.</t>
        </is>
      </c>
    </row>
    <row r="23">
      <c r="A23" s="23" t="inlineStr">
        <is>
          <t>Cosa e' cambiato nel ciclo</t>
        </is>
      </c>
      <c r="B23" s="24" t="n"/>
      <c r="C23" s="24" t="n"/>
      <c r="D23" s="24" t="n"/>
      <c r="E23" s="24" t="n"/>
      <c r="F23" s="24" t="n"/>
      <c r="G23" s="24" t="n"/>
      <c r="H23" s="24" t="n"/>
    </row>
    <row r="24" ht="19.5" customHeight="1">
      <c r="A24" s="25" t="inlineStr">
        <is>
          <t>Nessun valore cambiato: confermato sulle fonti del ciclo precedente.</t>
        </is>
      </c>
    </row>
    <row r="26">
      <c r="A26" s="23" t="inlineStr">
        <is>
          <t>Andamento negli ultimi trimestri</t>
        </is>
      </c>
      <c r="B26" s="24" t="n"/>
      <c r="C26" s="24" t="n"/>
      <c r="D26" s="24" t="n"/>
      <c r="E26" s="24" t="n"/>
      <c r="F26" s="24" t="n"/>
      <c r="G26" s="24" t="n"/>
      <c r="H26" s="24" t="n"/>
    </row>
    <row r="27">
      <c r="A27" s="33" t="inlineStr">
        <is>
          <t>Ciclo</t>
        </is>
      </c>
      <c r="B27" s="33" t="inlineStr">
        <is>
          <t>Imp</t>
        </is>
      </c>
      <c r="C27" s="33" t="inlineStr">
        <is>
          <t>Prob</t>
        </is>
      </c>
      <c r="D27" s="33" t="inlineStr">
        <is>
          <t>Pross</t>
        </is>
      </c>
      <c r="E27" s="33" t="inlineStr">
        <is>
          <t>Vel</t>
        </is>
      </c>
      <c r="F27" s="33" t="inlineStr">
        <is>
          <t>Score</t>
        </is>
      </c>
    </row>
    <row r="28">
      <c r="A28" s="34" t="inlineStr">
        <is>
          <t>2025Q4</t>
        </is>
      </c>
      <c r="B28" s="35" t="n">
        <v>3</v>
      </c>
      <c r="C28" s="35" t="n">
        <v>3</v>
      </c>
      <c r="D28" s="60" t="n">
        <v>2</v>
      </c>
      <c r="E28" s="60" t="n">
        <v>2</v>
      </c>
      <c r="F28" s="37" t="n">
        <v>2.6</v>
      </c>
    </row>
    <row r="29">
      <c r="A29" s="34" t="inlineStr">
        <is>
          <t>2026Q1</t>
        </is>
      </c>
      <c r="B29" s="35" t="n">
        <v>3</v>
      </c>
      <c r="C29" s="35" t="n">
        <v>3</v>
      </c>
      <c r="D29" s="60" t="n">
        <v>2</v>
      </c>
      <c r="E29" s="60" t="n">
        <v>2</v>
      </c>
      <c r="F29" s="37" t="n">
        <v>2.6</v>
      </c>
    </row>
    <row r="30">
      <c r="A30" s="34" t="inlineStr">
        <is>
          <t>2026Q2</t>
        </is>
      </c>
      <c r="B30" s="35" t="n">
        <v>3</v>
      </c>
      <c r="C30" s="35" t="n">
        <v>3</v>
      </c>
      <c r="D30" s="35" t="n">
        <v>3</v>
      </c>
      <c r="E30" s="60" t="n">
        <v>2</v>
      </c>
      <c r="F30" s="37" t="n">
        <v>2.8</v>
      </c>
    </row>
    <row r="31">
      <c r="A31" s="34" t="inlineStr">
        <is>
          <t>2026Q3</t>
        </is>
      </c>
      <c r="B31" s="35" t="n">
        <v>3</v>
      </c>
      <c r="C31" s="35" t="n">
        <v>3</v>
      </c>
      <c r="D31" s="35" t="n">
        <v>3</v>
      </c>
      <c r="E31" s="60" t="n">
        <v>2</v>
      </c>
      <c r="F31" s="37" t="n">
        <v>2.8</v>
      </c>
    </row>
    <row r="32">
      <c r="A32" s="34" t="inlineStr">
        <is>
          <t>2026Q4</t>
        </is>
      </c>
      <c r="B32" s="35" t="n">
        <v>3</v>
      </c>
      <c r="C32" s="35" t="n">
        <v>3</v>
      </c>
      <c r="D32" s="35" t="n">
        <v>3</v>
      </c>
      <c r="E32" s="60" t="n">
        <v>2</v>
      </c>
      <c r="F32" s="37" t="n">
        <v>2.8</v>
      </c>
    </row>
    <row r="47">
      <c r="A47" s="23" t="inlineStr">
        <is>
          <t>Fonti</t>
        </is>
      </c>
      <c r="B47" s="24" t="n"/>
      <c r="C47" s="24" t="n"/>
      <c r="D47" s="24" t="n"/>
      <c r="E47" s="24" t="n"/>
      <c r="F47" s="24" t="n"/>
      <c r="G47" s="24" t="n"/>
      <c r="H47" s="24" t="n"/>
    </row>
    <row r="48">
      <c r="A48" s="26" t="inlineStr">
        <is>
          <t>Fonte</t>
        </is>
      </c>
      <c r="D48" s="26" t="inlineStr">
        <is>
          <t>Data</t>
        </is>
      </c>
      <c r="E48" s="26" t="inlineStr">
        <is>
          <t>Tipo</t>
        </is>
      </c>
      <c r="F48" s="26" t="inlineStr">
        <is>
          <t>Rilevanza</t>
        </is>
      </c>
      <c r="G48" s="26" t="n"/>
    </row>
    <row r="49" ht="18.5" customHeight="1">
      <c r="A49" s="39" t="inlineStr">
        <is>
          <t>Mappa del rischio idrogeologico delle sedi — BCM</t>
        </is>
      </c>
      <c r="B49" s="6" t="n"/>
      <c r="C49" s="6" t="n"/>
      <c r="D49" s="40" t="inlineStr">
        <is>
          <t>30/10/2025</t>
        </is>
      </c>
      <c r="E49" s="41" t="inlineStr">
        <is>
          <t>Interna</t>
        </is>
      </c>
      <c r="F49" s="42" t="inlineStr">
        <is>
          <t>Alta</t>
        </is>
      </c>
      <c r="G49" s="39" t="n"/>
      <c r="H49" s="6" t="n"/>
    </row>
    <row r="50" ht="18.5" customHeight="1">
      <c r="A50" s="39" t="inlineStr">
        <is>
          <t>Alluvione in Emilia-Romagna con chiusura di due filiali</t>
        </is>
      </c>
      <c r="B50" s="6" t="n"/>
      <c r="C50" s="6" t="n"/>
      <c r="D50" s="40" t="inlineStr">
        <is>
          <t>06/05/2026</t>
        </is>
      </c>
      <c r="E50" s="43" t="inlineStr">
        <is>
          <t>Esterna</t>
        </is>
      </c>
      <c r="F50" s="42" t="inlineStr">
        <is>
          <t>Alta</t>
        </is>
      </c>
      <c r="G50" s="39" t="n"/>
      <c r="H50" s="6" t="n"/>
    </row>
    <row r="52">
      <c r="A52" s="23" t="inlineStr">
        <is>
          <t>Azioni</t>
        </is>
      </c>
      <c r="B52" s="24" t="n"/>
      <c r="C52" s="24" t="n"/>
      <c r="D52" s="24" t="n"/>
      <c r="E52" s="24" t="n"/>
      <c r="F52" s="24" t="n"/>
      <c r="G52" s="24" t="n"/>
      <c r="H52" s="24" t="n"/>
    </row>
    <row r="53">
      <c r="A53" s="26" t="inlineStr">
        <is>
          <t>Azione</t>
        </is>
      </c>
      <c r="F53" s="26" t="inlineStr">
        <is>
          <t>Owner</t>
        </is>
      </c>
      <c r="H53" s="26" t="inlineStr">
        <is>
          <t>Orizzonte · stato</t>
        </is>
      </c>
    </row>
    <row r="54" ht="18.5" customHeight="1">
      <c r="A54" s="45" t="inlineStr">
        <is>
          <t>• Redigere piani di continuita' specifici per le due sedi critiche in aree a rischio.</t>
        </is>
      </c>
      <c r="F54" s="46" t="inlineStr">
        <is>
          <t>Funzione Business Continuity</t>
        </is>
      </c>
      <c r="H54" s="46" t="inlineStr">
        <is>
          <t>12 mesi · Approvata (ciclo 2026Q2)</t>
        </is>
      </c>
    </row>
    <row r="55" ht="32" customHeight="1">
      <c r="A55" s="47" t="inlineStr">
        <is>
          <t>Perche': Il KRI NFR-04-K1 mostra due sedi senza piano: e' il punto scoperto principale.</t>
        </is>
      </c>
      <c r="B55" s="48" t="n"/>
      <c r="C55" s="48" t="n"/>
      <c r="D55" s="48" t="n"/>
      <c r="E55" s="47" t="inlineStr">
        <is>
          <t>Effetto atteso: non indicato nel razionale di A1.</t>
        </is>
      </c>
      <c r="F55" s="48" t="n"/>
      <c r="G55" s="48" t="n"/>
      <c r="H55" s="48" t="n"/>
    </row>
    <row r="56" ht="32" customHeight="1">
      <c r="A56" s="45" t="inlineStr">
        <is>
          <t>• Provare i piani di continuita' delle due sedi critiche con un'esercitazione di ripartenza in sede alternativa.</t>
        </is>
      </c>
      <c r="F56" s="46" t="inlineStr">
        <is>
          <t>Funzione Business Continuity</t>
        </is>
      </c>
      <c r="H56" s="46" t="inlineStr">
        <is>
          <t>6 mesi · Approvata (ciclo 2026Q3)</t>
        </is>
      </c>
    </row>
    <row r="57" ht="32" customHeight="1">
      <c r="A57" s="47" t="inlineStr">
        <is>
          <t>Perche': I piani delle due sedi (azione 2026Q2-NFR-04-A1) sono in redazione: senza una prova non si sa se reggono a un evento reale.</t>
        </is>
      </c>
      <c r="B57" s="48" t="n"/>
      <c r="C57" s="48" t="n"/>
      <c r="D57" s="48" t="n"/>
      <c r="E57" s="47" t="inlineStr">
        <is>
          <t>Effetto atteso: non indicato nel razionale di A1.</t>
        </is>
      </c>
      <c r="F57" s="48" t="n"/>
      <c r="G57" s="48" t="n"/>
      <c r="H57" s="48" t="n"/>
    </row>
    <row r="58" ht="32" customHeight="1">
      <c r="A58" s="45" t="inlineStr">
        <is>
          <t>• Verificare con i fornitori di energia e telecomunicazioni delle due sedi critiche i tempi di ripristino garantiti dopo un'alluvione.</t>
        </is>
      </c>
      <c r="F58" s="46" t="inlineStr">
        <is>
          <t>Funzione Business Continuity</t>
        </is>
      </c>
      <c r="H58" s="46" t="inlineStr">
        <is>
          <t>6 mesi · Approvata (ciclo 2026Q4)</t>
        </is>
      </c>
    </row>
    <row r="59" ht="45" customHeight="1">
      <c r="A59" s="47" t="inlineStr">
        <is>
          <t>Perche': I piani delle due sedi (2026Q2-NFR-04-A1) e la loro prova (2026Q3-NFR-04-A1) presuppongono energia e rete disponibili, ma nessuno ha verificato in quanto tempo i fornitori le ripristinano.</t>
        </is>
      </c>
      <c r="B59" s="48" t="n"/>
      <c r="C59" s="48" t="n"/>
      <c r="D59" s="48" t="n"/>
      <c r="E59" s="47" t="inlineStr">
        <is>
          <t>Effetto atteso: Piani con tempi di ripartenza realistici; i giorni di indisponibilita' dopo un evento (NFR-04-K2) restano sotto la soglia di attenzione.</t>
        </is>
      </c>
      <c r="F59" s="48" t="n"/>
      <c r="G59" s="48" t="n"/>
      <c r="H59" s="48" t="n"/>
    </row>
    <row r="61">
      <c r="A61" s="23" t="inlineStr">
        <is>
          <t>KRI in vigore</t>
        </is>
      </c>
      <c r="B61" s="24" t="n"/>
      <c r="C61" s="24" t="n"/>
      <c r="D61" s="24" t="n"/>
      <c r="E61" s="24" t="n"/>
      <c r="F61" s="24" t="n"/>
      <c r="G61" s="24" t="n"/>
      <c r="H61" s="24" t="n"/>
    </row>
    <row r="62">
      <c r="A62" s="49" t="inlineStr">
        <is>
          <t>Indicatore</t>
        </is>
      </c>
      <c r="E62" s="49" t="inlineStr">
        <is>
          <t>Valore</t>
        </is>
      </c>
      <c r="F62" s="49" t="inlineStr">
        <is>
          <t>Soglie (attenzione / allerta)</t>
        </is>
      </c>
      <c r="G62" s="49" t="inlineStr">
        <is>
          <t>Ciclo prima</t>
        </is>
      </c>
      <c r="H62" s="49" t="inlineStr">
        <is>
          <t>Stato</t>
        </is>
      </c>
    </row>
    <row r="63" ht="20" customHeight="1">
      <c r="A63" s="50" t="inlineStr">
        <is>
          <t>[Esposizione] Sedi critiche in aree a rischio idrogeologico senza piano specifico (n)</t>
        </is>
      </c>
      <c r="E63" s="51" t="n">
        <v>2</v>
      </c>
      <c r="F63" s="52" t="inlineStr">
        <is>
          <t>1,0 / 3,0</t>
        </is>
      </c>
      <c r="G63" s="52" t="n">
        <v>2</v>
      </c>
      <c r="H63" s="57" t="inlineStr">
        <is>
          <t>Ambra</t>
        </is>
      </c>
    </row>
    <row r="64" ht="32" customHeight="1">
      <c r="A64" s="47" t="inlineStr">
        <is>
          <t>Perche' lo misuriamo: Misura l'esposizione: ogni sede critica senza piano specifico e' un punto in cui un'alluvione ferma l'operativita'.</t>
        </is>
      </c>
      <c r="B64" s="48" t="n"/>
      <c r="C64" s="48" t="n"/>
      <c r="D64" s="48" t="n"/>
      <c r="E64" s="47" t="inlineStr">
        <is>
          <t>Effetto atteso: Atteso a zero dopo i piani di continuita'; se torna a salire, nuove sedi sono entrate nelle aree a rischio della Mappa.</t>
        </is>
      </c>
      <c r="F64" s="48" t="n"/>
      <c r="G64" s="48" t="n"/>
      <c r="H64" s="48" t="n"/>
    </row>
    <row r="65" ht="20" customHeight="1">
      <c r="A65" s="50" t="inlineStr">
        <is>
          <t>[Evoluzione] Giorni di indisponibilita' di sedi per eventi climatici (giorni)</t>
        </is>
      </c>
      <c r="E65" s="51" t="n">
        <v>0</v>
      </c>
      <c r="F65" s="52" t="inlineStr">
        <is>
          <t>2,0 / 5,0</t>
        </is>
      </c>
      <c r="G65" s="52" t="n">
        <v>0</v>
      </c>
      <c r="H65" s="54" t="inlineStr">
        <is>
          <t>Verde</t>
        </is>
      </c>
    </row>
    <row r="66" ht="32" customHeight="1">
      <c r="A66" s="47" t="inlineStr">
        <is>
          <t>Perche' lo misuriamo: Misura quanto il fenomeno colpisce davvero le sedi della Banca: i giorni persi per eventi climatici.</t>
        </is>
      </c>
      <c r="B66" s="48" t="n"/>
      <c r="C66" s="48" t="n"/>
      <c r="D66" s="48" t="n"/>
      <c r="E66" s="47" t="inlineStr">
        <is>
          <t>Effetto atteso: Pochi giorni e in calo con i piani di continuita'; oltre la soglia di allerta il rischio si sta manifestando e la Prossimita' va rivista.</t>
        </is>
      </c>
      <c r="F66" s="48" t="n"/>
      <c r="G66" s="48" t="n"/>
      <c r="H66" s="48" t="n"/>
    </row>
    <row r="68" ht="61" customHeight="1">
      <c r="A68" s="15" t="inlineStr">
        <is>
          <t>Legenda — Imp = Impatto, Prob = Probabilita, Pross = Prossimita, Vel = Velocity (1-5, 5 = peggiore; n.v. = non valutata, nessuna fonte ne documenta i tempi). Rilevanza di una fonte per la previsione: Alta = fonte primaria o caso documentato, Media = fonte specializzata, Bassa = generalista. Presidio = giudizio della Banca sui controlli, fuori dallo score. X = anni per decidere e avviare la mitigazione; Y = anni per mitigare (azioni o adeguamento strutturale); Z = anni prima che il rischio possa manifestarsi; AGIRE ORA = X + Y &gt; Z. Livello di allerta (calcolato dal registro): Attivazione = almeno due fra AGIRE ORA, KRI in rosso, notizie in peggioramento; Attenzione = uno di questi, o margine sotto l'anno con P x I alto, presidio assente o KRI in ambra; Monitoraggio = gli altri. KRI = indicatore di rischio, di esposizione (quanto la Banca e' esposta) o di evoluzione (quanto cresce il fenomeno). ◆ = tema all'attenzione del supervisore.</t>
        </is>
      </c>
    </row>
  </sheetData>
  <mergeCells count="51">
    <mergeCell ref="A9:H9"/>
    <mergeCell ref="C16:H16"/>
    <mergeCell ref="G2:H2"/>
    <mergeCell ref="F54:G54"/>
    <mergeCell ref="A24:H24"/>
    <mergeCell ref="E57:H57"/>
    <mergeCell ref="A11:H11"/>
    <mergeCell ref="A1:H1"/>
    <mergeCell ref="C12:H12"/>
    <mergeCell ref="A50:C50"/>
    <mergeCell ref="A63:D63"/>
    <mergeCell ref="G48:H48"/>
    <mergeCell ref="A61:H61"/>
    <mergeCell ref="A6:H6"/>
    <mergeCell ref="E66:H66"/>
    <mergeCell ref="A2:F2"/>
    <mergeCell ref="A54:E54"/>
    <mergeCell ref="A64:D64"/>
    <mergeCell ref="A59:D59"/>
    <mergeCell ref="E55:H55"/>
    <mergeCell ref="A3:B3"/>
    <mergeCell ref="A56:E56"/>
    <mergeCell ref="G49:H49"/>
    <mergeCell ref="A26:H26"/>
    <mergeCell ref="A21:H21"/>
    <mergeCell ref="E64:H64"/>
    <mergeCell ref="C13:H13"/>
    <mergeCell ref="A65:D65"/>
    <mergeCell ref="A47:H47"/>
    <mergeCell ref="A5:H5"/>
    <mergeCell ref="A23:H23"/>
    <mergeCell ref="A48:C48"/>
    <mergeCell ref="A8:H8"/>
    <mergeCell ref="F56:G56"/>
    <mergeCell ref="F58:G58"/>
    <mergeCell ref="A66:D66"/>
    <mergeCell ref="A17:H17"/>
    <mergeCell ref="C15:H15"/>
    <mergeCell ref="A49:C49"/>
    <mergeCell ref="C14:H14"/>
    <mergeCell ref="A20:H20"/>
    <mergeCell ref="A52:H52"/>
    <mergeCell ref="A55:D55"/>
    <mergeCell ref="A19:H19"/>
    <mergeCell ref="G50:H50"/>
    <mergeCell ref="A57:D57"/>
    <mergeCell ref="E59:H59"/>
    <mergeCell ref="A68:H68"/>
    <mergeCell ref="A58:E58"/>
    <mergeCell ref="C3:D3"/>
    <mergeCell ref="E3:F3"/>
  </mergeCells>
  <pageMargins left="0.4" right="0.4" top="1" bottom="1" header="0.5" footer="0.5"/>
  <pageSetup orientation="portrait" paperSize="9" fitToHeight="0" fitToWidth="1"/>
  <headerFooter>
    <oddHeader>&amp;CUso interno&amp;RHorizon Scan NFR</oddHeader>
    <oddFooter>&amp;L&amp;F · &amp;A&amp;RPagina &amp;P di &amp;N</oddFooter>
    <evenHeader/>
    <evenFooter/>
    <firstHeader/>
    <firstFooter/>
  </headerFooter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6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4" customWidth="1" min="8" max="8"/>
  </cols>
  <sheetData>
    <row r="1">
      <c r="A1" s="16" t="inlineStr">
        <is>
          <t>Horizon Scan NFR — schede dei rischi · ciclo 2026Q4 · dati al 31/12/2026 · validato · Uso interno</t>
        </is>
      </c>
    </row>
    <row r="2" ht="34" customHeight="1">
      <c r="A2" s="17" t="inlineStr">
        <is>
          <t>12 · NFR-11 · Fine del supporto dei sistemi di pagamento legacy</t>
        </is>
      </c>
      <c r="B2" s="18" t="n"/>
      <c r="C2" s="18" t="n"/>
      <c r="D2" s="18" t="n"/>
      <c r="E2" s="18" t="n"/>
      <c r="F2" s="18" t="n"/>
      <c r="G2" s="19" t="inlineStr">
        <is>
          <t>score 2,80   ● 0,00   ·   AGIRE ORA   ·   Attivazione</t>
        </is>
      </c>
      <c r="H2" s="18" t="n"/>
    </row>
    <row r="3" ht="28" customHeight="1">
      <c r="A3" s="20" t="inlineStr">
        <is>
          <t>L1-06 · Interruzione dell'operativita' e disfunzione dei sistemi</t>
        </is>
      </c>
      <c r="B3" s="21" t="n"/>
      <c r="C3" s="20" t="inlineStr">
        <is>
          <t>Driver: DRV-TEC</t>
        </is>
      </c>
      <c r="D3" s="21" t="n"/>
      <c r="E3" s="20" t="inlineStr">
        <is>
          <t>Owner: Funzione IT Operations · Presidio: Assente</t>
        </is>
      </c>
      <c r="F3" s="21" t="n"/>
      <c r="G3" s="20" t="n"/>
      <c r="H3" s="20" t="inlineStr">
        <is>
          <t>Esito: Confermato · validato</t>
        </is>
      </c>
    </row>
    <row r="5">
      <c r="A5" s="23" t="inlineStr">
        <is>
          <t>Il rischio</t>
        </is>
      </c>
      <c r="B5" s="24" t="n"/>
      <c r="C5" s="24" t="n"/>
      <c r="D5" s="24" t="n"/>
      <c r="E5" s="24" t="n"/>
      <c r="F5" s="24" t="n"/>
      <c r="G5" s="24" t="n"/>
      <c r="H5" s="24" t="n"/>
    </row>
    <row r="6" ht="19.5" customHeight="1">
      <c r="A6" s="25" t="inlineStr">
        <is>
          <t>Componenti del sistema di pagamento fuori supporto del produttore, senza patch di sicurezza e con competenze interne in riduzione.</t>
        </is>
      </c>
    </row>
    <row r="8">
      <c r="A8" s="23" t="inlineStr">
        <is>
          <t>Razionale: il fenomeno in termini di rischio</t>
        </is>
      </c>
      <c r="B8" s="24" t="n"/>
      <c r="C8" s="24" t="n"/>
      <c r="D8" s="24" t="n"/>
      <c r="E8" s="24" t="n"/>
      <c r="F8" s="24" t="n"/>
      <c r="G8" s="24" t="n"/>
      <c r="H8" s="24" t="n"/>
    </row>
    <row r="9" ht="33" customHeight="1">
      <c r="A9" s="25" t="inlineStr">
        <is>
          <t>Componenti del sistema di pagamento non sono piu' supportate dal produttore e le competenze interne diminuiscono (causa); una vulnerabilita' senza patch viene sfruttata o un guasto non si sa piu' riparare (evento); i pagamenti si degradano o si fermano, con danno ai clienti (danno). Nessuna evidenza nuova nel trimestre: valori confermati.</t>
        </is>
      </c>
    </row>
    <row r="11">
      <c r="A11" s="23" t="inlineStr">
        <is>
          <t>Valutazione, dimensione per dimensione (valori validati)</t>
        </is>
      </c>
      <c r="B11" s="24" t="n"/>
      <c r="C11" s="24" t="n"/>
      <c r="D11" s="24" t="n"/>
      <c r="E11" s="24" t="n"/>
      <c r="F11" s="24" t="n"/>
      <c r="G11" s="24" t="n"/>
      <c r="H11" s="24" t="n"/>
    </row>
    <row r="12">
      <c r="A12" s="26" t="inlineStr">
        <is>
          <t>Dimensione</t>
        </is>
      </c>
      <c r="B12" s="26" t="inlineStr">
        <is>
          <t>Valore</t>
        </is>
      </c>
      <c r="C12" s="26" t="inlineStr">
        <is>
          <t>Perche' questo valore: informazioni e documenti</t>
        </is>
      </c>
    </row>
    <row r="13" ht="26" customHeight="1">
      <c r="A13" s="27" t="inlineStr">
        <is>
          <t>Impatto</t>
        </is>
      </c>
      <c r="B13" s="55" t="n">
        <v>3</v>
      </c>
      <c r="C13" s="29" t="inlineStr">
        <is>
          <t>Rilevante. L'Inventario delle componenti fuori supporto (IT) riguarda il sistema di pagamento, processo critico per molti clienti.</t>
        </is>
      </c>
      <c r="D13" s="6" t="n"/>
      <c r="E13" s="6" t="n"/>
      <c r="F13" s="6" t="n"/>
      <c r="G13" s="6" t="n"/>
      <c r="H13" s="6" t="n"/>
    </row>
    <row r="14" ht="26" customHeight="1">
      <c r="A14" s="27" t="inlineStr">
        <is>
          <t>Probabilita</t>
        </is>
      </c>
      <c r="B14" s="55" t="n">
        <v>3</v>
      </c>
      <c r="C14" s="29" t="inlineStr">
        <is>
          <t>Possibile. La Comunicazione del produttore sulla fine del supporto esteso conferma che non arriveranno piu' patch: la Banca e' esposta.</t>
        </is>
      </c>
      <c r="D14" s="6" t="n"/>
      <c r="E14" s="6" t="n"/>
      <c r="F14" s="6" t="n"/>
      <c r="G14" s="6" t="n"/>
      <c r="H14" s="6" t="n"/>
    </row>
    <row r="15" ht="26" customHeight="1">
      <c r="A15" s="27" t="inlineStr">
        <is>
          <t>Prossimita</t>
        </is>
      </c>
      <c r="B15" s="55" t="n">
        <v>3</v>
      </c>
      <c r="C15" s="29" t="inlineStr">
        <is>
          <t>Da uno a due anni. Nessun incidente in corso; il rischio cresce con il tempo senza patch.</t>
        </is>
      </c>
      <c r="D15" s="6" t="n"/>
      <c r="E15" s="6" t="n"/>
      <c r="F15" s="6" t="n"/>
      <c r="G15" s="6" t="n"/>
      <c r="H15" s="6" t="n"/>
    </row>
    <row r="16" ht="26" customHeight="1">
      <c r="A16" s="27" t="inlineStr">
        <is>
          <t>Velocity</t>
        </is>
      </c>
      <c r="B16" s="58" t="n">
        <v>2</v>
      </c>
      <c r="C16" s="29" t="inlineStr">
        <is>
          <t>Da sei a dodici mesi. Le vulnerabilita' si accumulano gradualmente sulle componenti senza supporto (Inventario IT).</t>
        </is>
      </c>
      <c r="D16" s="6" t="n"/>
      <c r="E16" s="6" t="n"/>
      <c r="F16" s="6" t="n"/>
      <c r="G16" s="6" t="n"/>
      <c r="H16" s="6" t="n"/>
    </row>
    <row r="17">
      <c r="A17" s="31" t="inlineStr">
        <is>
          <t>Score composito 2,80 = (0,35 x 3 + 0,25 x 3 + 0,20 x 3 + 0,20 x 2) / 1,00. La rilevanza delle fonti e' nella tabella Fonti.</t>
        </is>
      </c>
    </row>
    <row r="19">
      <c r="A19" s="23" t="inlineStr">
        <is>
          <t>Urgenza (disuguaglianza di Mosca) e livello di allerta</t>
        </is>
      </c>
      <c r="B19" s="24" t="n"/>
      <c r="C19" s="24" t="n"/>
      <c r="D19" s="24" t="n"/>
      <c r="E19" s="24" t="n"/>
      <c r="F19" s="24" t="n"/>
      <c r="G19" s="24" t="n"/>
      <c r="H19" s="24" t="n"/>
    </row>
    <row r="20" ht="19.5" customHeight="1">
      <c r="A20" s="32" t="inlineStr">
        <is>
          <t>Livello di allerta: Attivazione — AGIRE ORA; KRI in rosso.</t>
        </is>
      </c>
    </row>
    <row r="21" ht="33" customHeight="1">
      <c r="A21" s="32" t="inlineStr">
        <is>
          <t>AGIRE ORA: X+Y &gt; Z. Tempo necessario X + Y = 0,25 + 3,00 (con 3,0 anni di adeguamento strutturale, stimati da A1 e validati; motivo: stima; la sostituzione delle componenti legacy e' un programma pluriennale, che va oltre le azioni del ciclo) = 3,25 anni; tempo disponibile Z = 1,5 anni (Prossimita 3). Margine Z - (X + Y) = -1,75.</t>
        </is>
      </c>
    </row>
    <row r="23">
      <c r="A23" s="23" t="inlineStr">
        <is>
          <t>Cosa e' cambiato nel ciclo</t>
        </is>
      </c>
      <c r="B23" s="24" t="n"/>
      <c r="C23" s="24" t="n"/>
      <c r="D23" s="24" t="n"/>
      <c r="E23" s="24" t="n"/>
      <c r="F23" s="24" t="n"/>
      <c r="G23" s="24" t="n"/>
      <c r="H23" s="24" t="n"/>
    </row>
    <row r="24" ht="19.5" customHeight="1">
      <c r="A24" s="25" t="inlineStr">
        <is>
          <t>Nessun valore cambiato: confermato sulle fonti del ciclo precedente.</t>
        </is>
      </c>
    </row>
    <row r="26">
      <c r="A26" s="23" t="inlineStr">
        <is>
          <t>Andamento negli ultimi trimestri</t>
        </is>
      </c>
      <c r="B26" s="24" t="n"/>
      <c r="C26" s="24" t="n"/>
      <c r="D26" s="24" t="n"/>
      <c r="E26" s="24" t="n"/>
      <c r="F26" s="24" t="n"/>
      <c r="G26" s="24" t="n"/>
      <c r="H26" s="24" t="n"/>
    </row>
    <row r="27">
      <c r="A27" s="33" t="inlineStr">
        <is>
          <t>Ciclo</t>
        </is>
      </c>
      <c r="B27" s="33" t="inlineStr">
        <is>
          <t>Imp</t>
        </is>
      </c>
      <c r="C27" s="33" t="inlineStr">
        <is>
          <t>Prob</t>
        </is>
      </c>
      <c r="D27" s="33" t="inlineStr">
        <is>
          <t>Pross</t>
        </is>
      </c>
      <c r="E27" s="33" t="inlineStr">
        <is>
          <t>Vel</t>
        </is>
      </c>
      <c r="F27" s="33" t="inlineStr">
        <is>
          <t>Score</t>
        </is>
      </c>
    </row>
    <row r="28">
      <c r="A28" s="34" t="inlineStr">
        <is>
          <t>2025Q4</t>
        </is>
      </c>
      <c r="B28" s="35" t="n">
        <v>3</v>
      </c>
      <c r="C28" s="35" t="n">
        <v>3</v>
      </c>
      <c r="D28" s="35" t="n">
        <v>3</v>
      </c>
      <c r="E28" s="60" t="n">
        <v>2</v>
      </c>
      <c r="F28" s="37" t="n">
        <v>2.8</v>
      </c>
    </row>
    <row r="29">
      <c r="A29" s="34" t="inlineStr">
        <is>
          <t>2026Q1</t>
        </is>
      </c>
      <c r="B29" s="35" t="n">
        <v>3</v>
      </c>
      <c r="C29" s="35" t="n">
        <v>3</v>
      </c>
      <c r="D29" s="35" t="n">
        <v>3</v>
      </c>
      <c r="E29" s="60" t="n">
        <v>2</v>
      </c>
      <c r="F29" s="37" t="n">
        <v>2.8</v>
      </c>
    </row>
    <row r="30">
      <c r="A30" s="34" t="inlineStr">
        <is>
          <t>2026Q2</t>
        </is>
      </c>
      <c r="B30" s="35" t="n">
        <v>3</v>
      </c>
      <c r="C30" s="35" t="n">
        <v>3</v>
      </c>
      <c r="D30" s="35" t="n">
        <v>3</v>
      </c>
      <c r="E30" s="60" t="n">
        <v>2</v>
      </c>
      <c r="F30" s="37" t="n">
        <v>2.8</v>
      </c>
    </row>
    <row r="31">
      <c r="A31" s="34" t="inlineStr">
        <is>
          <t>2026Q3</t>
        </is>
      </c>
      <c r="B31" s="35" t="n">
        <v>3</v>
      </c>
      <c r="C31" s="35" t="n">
        <v>3</v>
      </c>
      <c r="D31" s="35" t="n">
        <v>3</v>
      </c>
      <c r="E31" s="60" t="n">
        <v>2</v>
      </c>
      <c r="F31" s="37" t="n">
        <v>2.8</v>
      </c>
    </row>
    <row r="32">
      <c r="A32" s="34" t="inlineStr">
        <is>
          <t>2026Q4</t>
        </is>
      </c>
      <c r="B32" s="35" t="n">
        <v>3</v>
      </c>
      <c r="C32" s="35" t="n">
        <v>3</v>
      </c>
      <c r="D32" s="35" t="n">
        <v>3</v>
      </c>
      <c r="E32" s="60" t="n">
        <v>2</v>
      </c>
      <c r="F32" s="37" t="n">
        <v>2.8</v>
      </c>
    </row>
    <row r="47">
      <c r="A47" s="23" t="inlineStr">
        <is>
          <t>Fonti</t>
        </is>
      </c>
      <c r="B47" s="24" t="n"/>
      <c r="C47" s="24" t="n"/>
      <c r="D47" s="24" t="n"/>
      <c r="E47" s="24" t="n"/>
      <c r="F47" s="24" t="n"/>
      <c r="G47" s="24" t="n"/>
      <c r="H47" s="24" t="n"/>
    </row>
    <row r="48">
      <c r="A48" s="26" t="inlineStr">
        <is>
          <t>Fonte</t>
        </is>
      </c>
      <c r="D48" s="26" t="inlineStr">
        <is>
          <t>Data</t>
        </is>
      </c>
      <c r="E48" s="26" t="inlineStr">
        <is>
          <t>Tipo</t>
        </is>
      </c>
      <c r="F48" s="26" t="inlineStr">
        <is>
          <t>Rilevanza</t>
        </is>
      </c>
      <c r="G48" s="26" t="n"/>
    </row>
    <row r="49" ht="18.5" customHeight="1">
      <c r="A49" s="39" t="inlineStr">
        <is>
          <t>Inventario delle componenti fuori supporto — IT</t>
        </is>
      </c>
      <c r="B49" s="6" t="n"/>
      <c r="C49" s="6" t="n"/>
      <c r="D49" s="40" t="inlineStr">
        <is>
          <t>30/09/2025</t>
        </is>
      </c>
      <c r="E49" s="41" t="inlineStr">
        <is>
          <t>Interna</t>
        </is>
      </c>
      <c r="F49" s="42" t="inlineStr">
        <is>
          <t>Alta</t>
        </is>
      </c>
      <c r="G49" s="39" t="n"/>
      <c r="H49" s="6" t="n"/>
    </row>
    <row r="50" ht="32" customHeight="1">
      <c r="A50" s="39" t="inlineStr">
        <is>
          <t>Comunicazione del produttore sulla fine del supporto esteso</t>
        </is>
      </c>
      <c r="B50" s="6" t="n"/>
      <c r="C50" s="6" t="n"/>
      <c r="D50" s="40" t="inlineStr">
        <is>
          <t>31/01/2026</t>
        </is>
      </c>
      <c r="E50" s="43" t="inlineStr">
        <is>
          <t>Esterna</t>
        </is>
      </c>
      <c r="F50" s="44" t="inlineStr">
        <is>
          <t>Media</t>
        </is>
      </c>
      <c r="G50" s="39" t="n"/>
      <c r="H50" s="6" t="n"/>
    </row>
    <row r="52">
      <c r="A52" s="23" t="inlineStr">
        <is>
          <t>Azioni</t>
        </is>
      </c>
      <c r="B52" s="24" t="n"/>
      <c r="C52" s="24" t="n"/>
      <c r="D52" s="24" t="n"/>
      <c r="E52" s="24" t="n"/>
      <c r="F52" s="24" t="n"/>
      <c r="G52" s="24" t="n"/>
      <c r="H52" s="24" t="n"/>
    </row>
    <row r="53">
      <c r="A53" s="26" t="inlineStr">
        <is>
          <t>Azione</t>
        </is>
      </c>
      <c r="F53" s="26" t="inlineStr">
        <is>
          <t>Owner</t>
        </is>
      </c>
      <c r="H53" s="26" t="inlineStr">
        <is>
          <t>Orizzonte · stato</t>
        </is>
      </c>
    </row>
    <row r="54" ht="18.5" customHeight="1">
      <c r="A54" s="45" t="inlineStr">
        <is>
          <t>• Piano di sostituzione delle componenti fuori supporto del sistema di pagamento.</t>
        </is>
      </c>
      <c r="F54" s="46" t="inlineStr">
        <is>
          <t>Funzione IT Operations</t>
        </is>
      </c>
      <c r="H54" s="46" t="inlineStr">
        <is>
          <t>12 mesi · Approvata (ciclo 2026Q2)</t>
        </is>
      </c>
    </row>
    <row r="55" ht="19" customHeight="1">
      <c r="A55" s="47" t="inlineStr">
        <is>
          <t>Perche': Oggi non ci sono patch per le componenti fuori supporto.</t>
        </is>
      </c>
      <c r="B55" s="48" t="n"/>
      <c r="C55" s="48" t="n"/>
      <c r="D55" s="48" t="n"/>
      <c r="E55" s="47" t="inlineStr">
        <is>
          <t>Effetto atteso: non indicato nel razionale di A1.</t>
        </is>
      </c>
      <c r="F55" s="48" t="n"/>
      <c r="G55" s="48" t="n"/>
      <c r="H55" s="48" t="n"/>
    </row>
    <row r="56" ht="32" customHeight="1">
      <c r="A56" s="45" t="inlineStr">
        <is>
          <t>• Isolare in un segmento di rete dedicato le componenti fuori supporto del sistema di pagamento, in attesa della sostituzione.</t>
        </is>
      </c>
      <c r="F56" s="46" t="inlineStr">
        <is>
          <t>Funzione IT Operations</t>
        </is>
      </c>
      <c r="H56" s="46" t="inlineStr">
        <is>
          <t>12 mesi · Approvata (ciclo 2026Q3)</t>
        </is>
      </c>
    </row>
    <row r="57" ht="32" customHeight="1">
      <c r="A57" s="47" t="inlineStr">
        <is>
          <t>Perche': La sostituzione (2026Q2-NFR-11-A1) richiede anni: l'isolamento riduce subito la superficie di attacco.</t>
        </is>
      </c>
      <c r="B57" s="48" t="n"/>
      <c r="C57" s="48" t="n"/>
      <c r="D57" s="48" t="n"/>
      <c r="E57" s="47" t="inlineStr">
        <is>
          <t>Effetto atteso: non indicato nel razionale di A1.</t>
        </is>
      </c>
      <c r="F57" s="48" t="n"/>
      <c r="G57" s="48" t="n"/>
      <c r="H57" s="48" t="n"/>
    </row>
    <row r="58" ht="32" customHeight="1">
      <c r="A58" s="45" t="inlineStr">
        <is>
          <t>• Ottenere dal produttore un supporto esteso a pagamento per le componenti fuori supporto piu' critiche, fino alla sostituzione.</t>
        </is>
      </c>
      <c r="F58" s="46" t="inlineStr">
        <is>
          <t>Funzione IT Operations</t>
        </is>
      </c>
      <c r="H58" s="46" t="inlineStr">
        <is>
          <t>12 mesi · Approvata (ciclo 2026Q4)</t>
        </is>
      </c>
    </row>
    <row r="59" ht="45" customHeight="1">
      <c r="A59" s="47" t="inlineStr">
        <is>
          <t>Perche': La sostituzione (2026Q2-NFR-11-A1) e' un programma pluriennale e l'isolamento (2026Q3-NFR-11-A1) non corregge le vulnerabilita': il supporto esteso riporta le patch sulle componenti piu' esposte.</t>
        </is>
      </c>
      <c r="B59" s="48" t="n"/>
      <c r="C59" s="48" t="n"/>
      <c r="D59" s="48" t="n"/>
      <c r="E59" s="47" t="inlineStr">
        <is>
          <t>Effetto atteso: Il numero di componenti senza patch (NFR-11-K1) inizia a scendere; il rischio resta urgente finche' il programma non e' avanzato.</t>
        </is>
      </c>
      <c r="F59" s="48" t="n"/>
      <c r="G59" s="48" t="n"/>
      <c r="H59" s="48" t="n"/>
    </row>
    <row r="61">
      <c r="A61" s="23" t="inlineStr">
        <is>
          <t>KRI in vigore</t>
        </is>
      </c>
      <c r="B61" s="24" t="n"/>
      <c r="C61" s="24" t="n"/>
      <c r="D61" s="24" t="n"/>
      <c r="E61" s="24" t="n"/>
      <c r="F61" s="24" t="n"/>
      <c r="G61" s="24" t="n"/>
      <c r="H61" s="24" t="n"/>
    </row>
    <row r="62">
      <c r="A62" s="49" t="inlineStr">
        <is>
          <t>Indicatore</t>
        </is>
      </c>
      <c r="E62" s="49" t="inlineStr">
        <is>
          <t>Valore</t>
        </is>
      </c>
      <c r="F62" s="49" t="inlineStr">
        <is>
          <t>Soglie (attenzione / allerta)</t>
        </is>
      </c>
      <c r="G62" s="49" t="inlineStr">
        <is>
          <t>Ciclo prima</t>
        </is>
      </c>
      <c r="H62" s="49" t="inlineStr">
        <is>
          <t>Stato</t>
        </is>
      </c>
    </row>
    <row r="63" ht="20" customHeight="1">
      <c r="A63" s="50" t="inlineStr">
        <is>
          <t>[Esposizione] Componenti del sistema di pagamento fuori supporto (n)</t>
        </is>
      </c>
      <c r="E63" s="51" t="n">
        <v>6</v>
      </c>
      <c r="F63" s="52" t="inlineStr">
        <is>
          <t>3,0 / 8,0</t>
        </is>
      </c>
      <c r="G63" s="52" t="n">
        <v>6</v>
      </c>
      <c r="H63" s="57" t="inlineStr">
        <is>
          <t>Ambra</t>
        </is>
      </c>
    </row>
    <row r="64" ht="32" customHeight="1">
      <c r="A64" s="47" t="inlineStr">
        <is>
          <t>Perche' lo misuriamo: Misura quanta parte del sistema di pagamento e' senza supporto: e' l'esposizione della Banca.</t>
        </is>
      </c>
      <c r="B64" s="48" t="n"/>
      <c r="C64" s="48" t="n"/>
      <c r="D64" s="48" t="n"/>
      <c r="E64" s="47" t="inlineStr">
        <is>
          <t>Effetto atteso: In calo con il piano di sostituzione; se sale, altre componenti sono uscite dal supporto.</t>
        </is>
      </c>
      <c r="F64" s="48" t="n"/>
      <c r="G64" s="48" t="n"/>
      <c r="H64" s="48" t="n"/>
    </row>
    <row r="65" ht="20" customHeight="1">
      <c r="A65" s="50" t="inlineStr">
        <is>
          <t>[Evoluzione] Vulnerabilita' senza patch disponibile sui sistemi legacy (n)</t>
        </is>
      </c>
      <c r="E65" s="51" t="n">
        <v>6</v>
      </c>
      <c r="F65" s="52" t="inlineStr">
        <is>
          <t>2,0 / 6,0</t>
        </is>
      </c>
      <c r="G65" s="52" t="n">
        <v>5</v>
      </c>
      <c r="H65" s="53" t="inlineStr">
        <is>
          <t>Rosso</t>
        </is>
      </c>
    </row>
    <row r="66" ht="32" customHeight="1">
      <c r="A66" s="47" t="inlineStr">
        <is>
          <t>Perche' lo misuriamo: Misura quanto cresce la minaccia sulle componenti senza supporto.</t>
        </is>
      </c>
      <c r="B66" s="48" t="n"/>
      <c r="C66" s="48" t="n"/>
      <c r="D66" s="48" t="n"/>
      <c r="E66" s="47" t="inlineStr">
        <is>
          <t>Effetto atteso: Cresce nel tempo finche' le componenti restano; oltre la soglia di allerta servono subito misure compensative.</t>
        </is>
      </c>
      <c r="F66" s="48" t="n"/>
      <c r="G66" s="48" t="n"/>
      <c r="H66" s="48" t="n"/>
    </row>
    <row r="68" ht="61" customHeight="1">
      <c r="A68" s="15" t="inlineStr">
        <is>
          <t>Legenda — Imp = Impatto, Prob = Probabilita, Pross = Prossimita, Vel = Velocity (1-5, 5 = peggiore; n.v. = non valutata, nessuna fonte ne documenta i tempi). Rilevanza di una fonte per la previsione: Alta = fonte primaria o caso documentato, Media = fonte specializzata, Bassa = generalista. Presidio = giudizio della Banca sui controlli, fuori dallo score. X = anni per decidere e avviare la mitigazione; Y = anni per mitigare (azioni o adeguamento strutturale); Z = anni prima che il rischio possa manifestarsi; AGIRE ORA = X + Y &gt; Z. Livello di allerta (calcolato dal registro): Attivazione = almeno due fra AGIRE ORA, KRI in rosso, notizie in peggioramento; Attenzione = uno di questi, o margine sotto l'anno con P x I alto, presidio assente o KRI in ambra; Monitoraggio = gli altri. KRI = indicatore di rischio, di esposizione (quanto la Banca e' esposta) o di evoluzione (quanto cresce il fenomeno). ◆ = tema all'attenzione del supervisore.</t>
        </is>
      </c>
    </row>
  </sheetData>
  <mergeCells count="51">
    <mergeCell ref="A9:H9"/>
    <mergeCell ref="C16:H16"/>
    <mergeCell ref="G2:H2"/>
    <mergeCell ref="F54:G54"/>
    <mergeCell ref="A24:H24"/>
    <mergeCell ref="E57:H57"/>
    <mergeCell ref="A11:H11"/>
    <mergeCell ref="A1:H1"/>
    <mergeCell ref="C12:H12"/>
    <mergeCell ref="A50:C50"/>
    <mergeCell ref="A63:D63"/>
    <mergeCell ref="G48:H48"/>
    <mergeCell ref="A61:H61"/>
    <mergeCell ref="A6:H6"/>
    <mergeCell ref="E66:H66"/>
    <mergeCell ref="A2:F2"/>
    <mergeCell ref="A54:E54"/>
    <mergeCell ref="A64:D64"/>
    <mergeCell ref="A59:D59"/>
    <mergeCell ref="E55:H55"/>
    <mergeCell ref="A3:B3"/>
    <mergeCell ref="A56:E56"/>
    <mergeCell ref="G49:H49"/>
    <mergeCell ref="A26:H26"/>
    <mergeCell ref="A21:H21"/>
    <mergeCell ref="E64:H64"/>
    <mergeCell ref="C13:H13"/>
    <mergeCell ref="A65:D65"/>
    <mergeCell ref="A47:H47"/>
    <mergeCell ref="A5:H5"/>
    <mergeCell ref="A23:H23"/>
    <mergeCell ref="A48:C48"/>
    <mergeCell ref="A8:H8"/>
    <mergeCell ref="F56:G56"/>
    <mergeCell ref="F58:G58"/>
    <mergeCell ref="A66:D66"/>
    <mergeCell ref="A17:H17"/>
    <mergeCell ref="C15:H15"/>
    <mergeCell ref="A49:C49"/>
    <mergeCell ref="C14:H14"/>
    <mergeCell ref="A20:H20"/>
    <mergeCell ref="A52:H52"/>
    <mergeCell ref="A55:D55"/>
    <mergeCell ref="A19:H19"/>
    <mergeCell ref="G50:H50"/>
    <mergeCell ref="A57:D57"/>
    <mergeCell ref="E59:H59"/>
    <mergeCell ref="A68:H68"/>
    <mergeCell ref="A58:E58"/>
    <mergeCell ref="C3:D3"/>
    <mergeCell ref="E3:F3"/>
  </mergeCells>
  <pageMargins left="0.4" right="0.4" top="1" bottom="1" header="0.5" footer="0.5"/>
  <pageSetup orientation="portrait" paperSize="9" fitToHeight="0" fitToWidth="1"/>
  <headerFooter>
    <oddHeader>&amp;CUso interno&amp;RHorizon Scan NFR</oddHeader>
    <oddFooter>&amp;L&amp;F · &amp;A&amp;RPagina &amp;P di &amp;N</oddFooter>
    <evenHeader/>
    <evenFooter/>
    <firstHeader/>
    <firstFooter/>
  </headerFooter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6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4" customWidth="1" min="8" max="8"/>
  </cols>
  <sheetData>
    <row r="1">
      <c r="A1" s="16" t="inlineStr">
        <is>
          <t>Horizon Scan NFR — schede dei rischi · ciclo 2026Q4 · dati al 31/12/2026 · validato · Uso interno</t>
        </is>
      </c>
    </row>
    <row r="2" ht="34" customHeight="1">
      <c r="A2" s="17" t="inlineStr">
        <is>
          <t>13 · NFR-08 · Accessi impropri di dipendenti ai dati dei clienti</t>
        </is>
      </c>
      <c r="B2" s="18" t="n"/>
      <c r="C2" s="18" t="n"/>
      <c r="D2" s="18" t="n"/>
      <c r="E2" s="18" t="n"/>
      <c r="F2" s="18" t="n"/>
      <c r="G2" s="19" t="inlineStr">
        <is>
          <t>score 2,75   ● 0,00   ·   Margine 1 anno   ·   Monitoraggio</t>
        </is>
      </c>
      <c r="H2" s="18" t="n"/>
    </row>
    <row r="3" ht="28" customHeight="1">
      <c r="A3" s="20" t="inlineStr">
        <is>
          <t>L1-01 · Frode interna</t>
        </is>
      </c>
      <c r="B3" s="21" t="n"/>
      <c r="C3" s="20" t="inlineStr">
        <is>
          <t>Driver: DRV-HUM, DRV-CON</t>
        </is>
      </c>
      <c r="D3" s="21" t="n"/>
      <c r="E3" s="20" t="inlineStr">
        <is>
          <t>Owner: Funzione Sicurezza delle Informazioni · Presidio: Non verificato</t>
        </is>
      </c>
      <c r="F3" s="21" t="n"/>
      <c r="G3" s="20" t="n"/>
      <c r="H3" s="20" t="inlineStr">
        <is>
          <t>Esito: Confermato · validato</t>
        </is>
      </c>
    </row>
    <row r="5">
      <c r="A5" s="23" t="inlineStr">
        <is>
          <t>Il rischio</t>
        </is>
      </c>
      <c r="B5" s="24" t="n"/>
      <c r="C5" s="24" t="n"/>
      <c r="D5" s="24" t="n"/>
      <c r="E5" s="24" t="n"/>
      <c r="F5" s="24" t="n"/>
      <c r="G5" s="24" t="n"/>
      <c r="H5" s="24" t="n"/>
    </row>
    <row r="6" ht="19.5" customHeight="1">
      <c r="A6" s="25" t="inlineStr">
        <is>
          <t>Dipendenti che consultano o estraggono dati di clienti senza motivo di servizio, per curiosita' o a favore di terzi.</t>
        </is>
      </c>
    </row>
    <row r="8">
      <c r="A8" s="23" t="inlineStr">
        <is>
          <t>Razionale: il fenomeno in termini di rischio</t>
        </is>
      </c>
      <c r="B8" s="24" t="n"/>
      <c r="C8" s="24" t="n"/>
      <c r="D8" s="24" t="n"/>
      <c r="E8" s="24" t="n"/>
      <c r="F8" s="24" t="n"/>
      <c r="G8" s="24" t="n"/>
      <c r="H8" s="24" t="n"/>
    </row>
    <row r="9" ht="33" customHeight="1">
      <c r="A9" s="25" t="inlineStr">
        <is>
          <t>Molti dipendenti hanno accesso ai dati dei clienti per lavoro (causa); alcuni li consultano o li estraggono senza motivo di servizio, per curiosita' o per terzi (evento); ne seguono violazioni della privacy, sanzioni e perdita di fiducia dei clienti (danno). Nessuna evidenza nuova nel trimestre: valori confermati.</t>
        </is>
      </c>
    </row>
    <row r="11">
      <c r="A11" s="23" t="inlineStr">
        <is>
          <t>Valutazione, dimensione per dimensione (valori validati)</t>
        </is>
      </c>
      <c r="B11" s="24" t="n"/>
      <c r="C11" s="24" t="n"/>
      <c r="D11" s="24" t="n"/>
      <c r="E11" s="24" t="n"/>
      <c r="F11" s="24" t="n"/>
      <c r="G11" s="24" t="n"/>
      <c r="H11" s="24" t="n"/>
    </row>
    <row r="12">
      <c r="A12" s="26" t="inlineStr">
        <is>
          <t>Dimensione</t>
        </is>
      </c>
      <c r="B12" s="26" t="inlineStr">
        <is>
          <t>Valore</t>
        </is>
      </c>
      <c r="C12" s="26" t="inlineStr">
        <is>
          <t>Perche' questo valore: informazioni e documenti</t>
        </is>
      </c>
    </row>
    <row r="13" ht="26" customHeight="1">
      <c r="A13" s="27" t="inlineStr">
        <is>
          <t>Impatto</t>
        </is>
      </c>
      <c r="B13" s="55" t="n">
        <v>3</v>
      </c>
      <c r="C13" s="29" t="inlineStr">
        <is>
          <t>Rilevante. Il Provvedimento dell'autorita' privacy su accessi abusivi in una banca mostra sanzioni e clientela ampia coinvolta.</t>
        </is>
      </c>
      <c r="D13" s="6" t="n"/>
      <c r="E13" s="6" t="n"/>
      <c r="F13" s="6" t="n"/>
      <c r="G13" s="6" t="n"/>
      <c r="H13" s="6" t="n"/>
    </row>
    <row r="14" ht="26" customHeight="1">
      <c r="A14" s="27" t="inlineStr">
        <is>
          <t>Probabilita</t>
        </is>
      </c>
      <c r="B14" s="58" t="n">
        <v>2</v>
      </c>
      <c r="C14" s="29" t="inlineStr">
        <is>
          <t>Improbabile. Gli Esiti del monitoraggio degli accessi ai dati clienti (SOC) non hanno rilevato casi rilevanti presso la Banca.</t>
        </is>
      </c>
      <c r="D14" s="6" t="n"/>
      <c r="E14" s="6" t="n"/>
      <c r="F14" s="6" t="n"/>
      <c r="G14" s="6" t="n"/>
      <c r="H14" s="6" t="n"/>
    </row>
    <row r="15" ht="26" customHeight="1">
      <c r="A15" s="27" t="inlineStr">
        <is>
          <t>Prossimita</t>
        </is>
      </c>
      <c r="B15" s="55" t="n">
        <v>3</v>
      </c>
      <c r="C15" s="29" t="inlineStr">
        <is>
          <t>Da uno a due anni. Nessun caso in corso presso la Banca.</t>
        </is>
      </c>
      <c r="D15" s="6" t="n"/>
      <c r="E15" s="6" t="n"/>
      <c r="F15" s="6" t="n"/>
      <c r="G15" s="6" t="n"/>
      <c r="H15" s="6" t="n"/>
    </row>
    <row r="16" ht="26" customHeight="1">
      <c r="A16" s="27" t="inlineStr">
        <is>
          <t>Velocity</t>
        </is>
      </c>
      <c r="B16" s="55" t="n">
        <v>3</v>
      </c>
      <c r="C16" s="29" t="inlineStr">
        <is>
          <t>Da tre a sei mesi. Con la revisione annuale degli accessi un abuso puo' restare nascosto per mesi prima di emergere (monitoraggio SOC).</t>
        </is>
      </c>
      <c r="D16" s="6" t="n"/>
      <c r="E16" s="6" t="n"/>
      <c r="F16" s="6" t="n"/>
      <c r="G16" s="6" t="n"/>
      <c r="H16" s="6" t="n"/>
    </row>
    <row r="17">
      <c r="A17" s="31" t="inlineStr">
        <is>
          <t>Score composito 2,75 = (0,35 x 3 + 0,25 x 2 + 0,20 x 3 + 0,20 x 3) / 1,00. La rilevanza delle fonti e' nella tabella Fonti.</t>
        </is>
      </c>
    </row>
    <row r="19">
      <c r="A19" s="23" t="inlineStr">
        <is>
          <t>Urgenza (disuguaglianza di Mosca) e livello di allerta</t>
        </is>
      </c>
      <c r="B19" s="24" t="n"/>
      <c r="C19" s="24" t="n"/>
      <c r="D19" s="24" t="n"/>
      <c r="E19" s="24" t="n"/>
      <c r="F19" s="24" t="n"/>
      <c r="G19" s="24" t="n"/>
      <c r="H19" s="24" t="n"/>
    </row>
    <row r="20" ht="19.5" customHeight="1">
      <c r="A20" s="59" t="inlineStr">
        <is>
          <t>Livello di allerta: Monitoraggio — nessun segnale forte.</t>
        </is>
      </c>
    </row>
    <row r="21" ht="19.5" customHeight="1">
      <c r="A21" s="25" t="inlineStr">
        <is>
          <t>Margine 1 anno. Tempo necessario X + Y = 0,25 + 0,25 = 0,50 anni; tempo disponibile Z = 1,5 anni (Prossimita 3). Margine Z - (X + Y) = 1,00.</t>
        </is>
      </c>
    </row>
    <row r="23">
      <c r="A23" s="23" t="inlineStr">
        <is>
          <t>Cosa e' cambiato nel ciclo</t>
        </is>
      </c>
      <c r="B23" s="24" t="n"/>
      <c r="C23" s="24" t="n"/>
      <c r="D23" s="24" t="n"/>
      <c r="E23" s="24" t="n"/>
      <c r="F23" s="24" t="n"/>
      <c r="G23" s="24" t="n"/>
      <c r="H23" s="24" t="n"/>
    </row>
    <row r="24" ht="19.5" customHeight="1">
      <c r="A24" s="25" t="inlineStr">
        <is>
          <t>Nessun valore cambiato: confermato sulle fonti del ciclo precedente.</t>
        </is>
      </c>
    </row>
    <row r="26">
      <c r="A26" s="23" t="inlineStr">
        <is>
          <t>Andamento negli ultimi trimestri</t>
        </is>
      </c>
      <c r="B26" s="24" t="n"/>
      <c r="C26" s="24" t="n"/>
      <c r="D26" s="24" t="n"/>
      <c r="E26" s="24" t="n"/>
      <c r="F26" s="24" t="n"/>
      <c r="G26" s="24" t="n"/>
      <c r="H26" s="24" t="n"/>
    </row>
    <row r="27">
      <c r="A27" s="33" t="inlineStr">
        <is>
          <t>Ciclo</t>
        </is>
      </c>
      <c r="B27" s="33" t="inlineStr">
        <is>
          <t>Imp</t>
        </is>
      </c>
      <c r="C27" s="33" t="inlineStr">
        <is>
          <t>Prob</t>
        </is>
      </c>
      <c r="D27" s="33" t="inlineStr">
        <is>
          <t>Pross</t>
        </is>
      </c>
      <c r="E27" s="33" t="inlineStr">
        <is>
          <t>Vel</t>
        </is>
      </c>
      <c r="F27" s="33" t="inlineStr">
        <is>
          <t>Score</t>
        </is>
      </c>
    </row>
    <row r="28">
      <c r="A28" s="34" t="inlineStr">
        <is>
          <t>2025Q4</t>
        </is>
      </c>
      <c r="B28" s="35" t="n">
        <v>3</v>
      </c>
      <c r="C28" s="60" t="n">
        <v>2</v>
      </c>
      <c r="D28" s="35" t="n">
        <v>3</v>
      </c>
      <c r="E28" s="35" t="n">
        <v>3</v>
      </c>
      <c r="F28" s="37" t="n">
        <v>2.75</v>
      </c>
    </row>
    <row r="29">
      <c r="A29" s="34" t="inlineStr">
        <is>
          <t>2026Q1</t>
        </is>
      </c>
      <c r="B29" s="35" t="n">
        <v>3</v>
      </c>
      <c r="C29" s="60" t="n">
        <v>2</v>
      </c>
      <c r="D29" s="35" t="n">
        <v>3</v>
      </c>
      <c r="E29" s="35" t="n">
        <v>3</v>
      </c>
      <c r="F29" s="37" t="n">
        <v>2.75</v>
      </c>
    </row>
    <row r="30">
      <c r="A30" s="34" t="inlineStr">
        <is>
          <t>2026Q2</t>
        </is>
      </c>
      <c r="B30" s="35" t="n">
        <v>3</v>
      </c>
      <c r="C30" s="60" t="n">
        <v>2</v>
      </c>
      <c r="D30" s="35" t="n">
        <v>3</v>
      </c>
      <c r="E30" s="35" t="n">
        <v>3</v>
      </c>
      <c r="F30" s="37" t="n">
        <v>2.75</v>
      </c>
    </row>
    <row r="31">
      <c r="A31" s="34" t="inlineStr">
        <is>
          <t>2026Q3</t>
        </is>
      </c>
      <c r="B31" s="35" t="n">
        <v>3</v>
      </c>
      <c r="C31" s="60" t="n">
        <v>2</v>
      </c>
      <c r="D31" s="35" t="n">
        <v>3</v>
      </c>
      <c r="E31" s="35" t="n">
        <v>3</v>
      </c>
      <c r="F31" s="37" t="n">
        <v>2.75</v>
      </c>
    </row>
    <row r="32">
      <c r="A32" s="34" t="inlineStr">
        <is>
          <t>2026Q4</t>
        </is>
      </c>
      <c r="B32" s="35" t="n">
        <v>3</v>
      </c>
      <c r="C32" s="60" t="n">
        <v>2</v>
      </c>
      <c r="D32" s="35" t="n">
        <v>3</v>
      </c>
      <c r="E32" s="35" t="n">
        <v>3</v>
      </c>
      <c r="F32" s="37" t="n">
        <v>2.75</v>
      </c>
    </row>
    <row r="47">
      <c r="A47" s="23" t="inlineStr">
        <is>
          <t>Fonti</t>
        </is>
      </c>
      <c r="B47" s="24" t="n"/>
      <c r="C47" s="24" t="n"/>
      <c r="D47" s="24" t="n"/>
      <c r="E47" s="24" t="n"/>
      <c r="F47" s="24" t="n"/>
      <c r="G47" s="24" t="n"/>
      <c r="H47" s="24" t="n"/>
    </row>
    <row r="48">
      <c r="A48" s="26" t="inlineStr">
        <is>
          <t>Fonte</t>
        </is>
      </c>
      <c r="D48" s="26" t="inlineStr">
        <is>
          <t>Data</t>
        </is>
      </c>
      <c r="E48" s="26" t="inlineStr">
        <is>
          <t>Tipo</t>
        </is>
      </c>
      <c r="F48" s="26" t="inlineStr">
        <is>
          <t>Rilevanza</t>
        </is>
      </c>
      <c r="G48" s="26" t="n"/>
    </row>
    <row r="49" ht="32" customHeight="1">
      <c r="A49" s="39" t="inlineStr">
        <is>
          <t>Esiti del monitoraggio degli accessi ai dati clienti — SOC</t>
        </is>
      </c>
      <c r="B49" s="6" t="n"/>
      <c r="C49" s="6" t="n"/>
      <c r="D49" s="40" t="inlineStr">
        <is>
          <t>10/11/2025</t>
        </is>
      </c>
      <c r="E49" s="41" t="inlineStr">
        <is>
          <t>Interna</t>
        </is>
      </c>
      <c r="F49" s="42" t="inlineStr">
        <is>
          <t>Alta</t>
        </is>
      </c>
      <c r="G49" s="39" t="n"/>
      <c r="H49" s="6" t="n"/>
    </row>
    <row r="50" ht="32" customHeight="1">
      <c r="A50" s="39" t="inlineStr">
        <is>
          <t>Provvedimento dell'autorita' privacy su accessi abusivi in una banca</t>
        </is>
      </c>
      <c r="B50" s="6" t="n"/>
      <c r="C50" s="6" t="n"/>
      <c r="D50" s="40" t="inlineStr">
        <is>
          <t>08/04/2026</t>
        </is>
      </c>
      <c r="E50" s="43" t="inlineStr">
        <is>
          <t>Esterna</t>
        </is>
      </c>
      <c r="F50" s="42" t="inlineStr">
        <is>
          <t>Alta</t>
        </is>
      </c>
      <c r="G50" s="39" t="n"/>
      <c r="H50" s="6" t="n"/>
    </row>
    <row r="52">
      <c r="A52" s="23" t="inlineStr">
        <is>
          <t>Azioni</t>
        </is>
      </c>
      <c r="B52" s="24" t="n"/>
      <c r="C52" s="24" t="n"/>
      <c r="D52" s="24" t="n"/>
      <c r="E52" s="24" t="n"/>
      <c r="F52" s="24" t="n"/>
      <c r="G52" s="24" t="n"/>
      <c r="H52" s="24" t="n"/>
    </row>
    <row r="53">
      <c r="A53" s="26" t="inlineStr">
        <is>
          <t>Azione</t>
        </is>
      </c>
      <c r="F53" s="26" t="inlineStr">
        <is>
          <t>Owner</t>
        </is>
      </c>
      <c r="H53" s="26" t="inlineStr">
        <is>
          <t>Orizzonte · stato</t>
        </is>
      </c>
    </row>
    <row r="54" ht="18.5" customHeight="1">
      <c r="A54" s="45" t="inlineStr">
        <is>
          <t>• Revisione trimestrale automatica degli accessi ai dati clienti senza pratica associata.</t>
        </is>
      </c>
      <c r="F54" s="46" t="inlineStr">
        <is>
          <t>Funzione Sicurezza delle Informazioni</t>
        </is>
      </c>
      <c r="H54" s="46" t="inlineStr">
        <is>
          <t>3 mesi · Approvata (ciclo 2026Q2)</t>
        </is>
      </c>
    </row>
    <row r="55" ht="19" customHeight="1">
      <c r="A55" s="47" t="inlineStr">
        <is>
          <t>Perche': Oggi la revisione degli accessi e' annuale e a campione.</t>
        </is>
      </c>
      <c r="B55" s="48" t="n"/>
      <c r="C55" s="48" t="n"/>
      <c r="D55" s="48" t="n"/>
      <c r="E55" s="47" t="inlineStr">
        <is>
          <t>Effetto atteso: non indicato nel razionale di A1.</t>
        </is>
      </c>
      <c r="F55" s="48" t="n"/>
      <c r="G55" s="48" t="n"/>
      <c r="H55" s="48" t="n"/>
    </row>
    <row r="56" ht="32" customHeight="1">
      <c r="A56" s="45" t="inlineStr">
        <is>
          <t>• Estendere il blocco automatico degli accessi senza pratica alle applicazioni di filiale e al call center.</t>
        </is>
      </c>
      <c r="F56" s="46" t="inlineStr">
        <is>
          <t>Funzione Sicurezza delle Informazioni</t>
        </is>
      </c>
      <c r="H56" s="46" t="inlineStr">
        <is>
          <t>3 mesi · Approvata (ciclo 2026Q4)</t>
        </is>
      </c>
    </row>
    <row r="57" ht="32" customHeight="1">
      <c r="A57" s="47" t="inlineStr">
        <is>
          <t>Perche': Il blocco (2026Q3-NFR-08-A1) copre oggi solo l'applicazione centrale: gli accessi da filiale e call center restano fuori.</t>
        </is>
      </c>
      <c r="B57" s="48" t="n"/>
      <c r="C57" s="48" t="n"/>
      <c r="D57" s="48" t="n"/>
      <c r="E57" s="47" t="inlineStr">
        <is>
          <t>Effetto atteso: Abusi fermati su tutti i canali; gli accessi senza pratica (NFR-08-K1) scendono sotto la soglia di attenzione.</t>
        </is>
      </c>
      <c r="F57" s="48" t="n"/>
      <c r="G57" s="48" t="n"/>
      <c r="H57" s="48" t="n"/>
    </row>
    <row r="59">
      <c r="A59" s="23" t="inlineStr">
        <is>
          <t>KRI in vigore</t>
        </is>
      </c>
      <c r="B59" s="24" t="n"/>
      <c r="C59" s="24" t="n"/>
      <c r="D59" s="24" t="n"/>
      <c r="E59" s="24" t="n"/>
      <c r="F59" s="24" t="n"/>
      <c r="G59" s="24" t="n"/>
      <c r="H59" s="24" t="n"/>
    </row>
    <row r="60">
      <c r="A60" s="49" t="inlineStr">
        <is>
          <t>Indicatore</t>
        </is>
      </c>
      <c r="E60" s="49" t="inlineStr">
        <is>
          <t>Valore</t>
        </is>
      </c>
      <c r="F60" s="49" t="inlineStr">
        <is>
          <t>Soglie (attenzione / allerta)</t>
        </is>
      </c>
      <c r="G60" s="49" t="inlineStr">
        <is>
          <t>Ciclo prima</t>
        </is>
      </c>
      <c r="H60" s="49" t="inlineStr">
        <is>
          <t>Stato</t>
        </is>
      </c>
    </row>
    <row r="61" ht="20" customHeight="1">
      <c r="A61" s="50" t="inlineStr">
        <is>
          <t>[Evoluzione] Accessi ai dati clienti senza pratica associata (n/mese)</t>
        </is>
      </c>
      <c r="E61" s="51" t="n">
        <v>19</v>
      </c>
      <c r="F61" s="52" t="inlineStr">
        <is>
          <t>20,0 / 50,0</t>
        </is>
      </c>
      <c r="G61" s="52" t="n">
        <v>22</v>
      </c>
      <c r="H61" s="54" t="inlineStr">
        <is>
          <t>Verde</t>
        </is>
      </c>
    </row>
    <row r="62" ht="32" customHeight="1">
      <c r="A62" s="47" t="inlineStr">
        <is>
          <t>Perche' lo misuriamo: Misura il comportamento che precede l'abuso: consultazioni senza una pratica che le giustifichi.</t>
        </is>
      </c>
      <c r="B62" s="48" t="n"/>
      <c r="C62" s="48" t="n"/>
      <c r="D62" s="48" t="n"/>
      <c r="E62" s="47" t="inlineStr">
        <is>
          <t>Effetto atteso: In calo con la revisione trimestrale; un aumento improvviso e' un segnale da indagare subito.</t>
        </is>
      </c>
      <c r="F62" s="48" t="n"/>
      <c r="G62" s="48" t="n"/>
      <c r="H62" s="48" t="n"/>
    </row>
    <row r="63" ht="20" customHeight="1">
      <c r="A63" s="50" t="inlineStr">
        <is>
          <t>[Esposizione] Utenze con profili di accesso non rivisti nell'anno (%)</t>
        </is>
      </c>
      <c r="E63" s="51" t="n">
        <v>4</v>
      </c>
      <c r="F63" s="52" t="inlineStr">
        <is>
          <t>5,0 / 15,0</t>
        </is>
      </c>
      <c r="G63" s="52" t="n">
        <v>5</v>
      </c>
      <c r="H63" s="54" t="inlineStr">
        <is>
          <t>Verde</t>
        </is>
      </c>
    </row>
    <row r="64" ht="32" customHeight="1">
      <c r="A64" s="47" t="inlineStr">
        <is>
          <t>Perche' lo misuriamo: Misura quante utenze hanno piu' accessi del necessario: e' l'esposizione della Banca.</t>
        </is>
      </c>
      <c r="B64" s="48" t="n"/>
      <c r="C64" s="48" t="n"/>
      <c r="D64" s="48" t="n"/>
      <c r="E64" s="47" t="inlineStr">
        <is>
          <t>Effetto atteso: Sotto la soglia di attenzione dopo ogni revisione dei profili.</t>
        </is>
      </c>
      <c r="F64" s="48" t="n"/>
      <c r="G64" s="48" t="n"/>
      <c r="H64" s="48" t="n"/>
    </row>
    <row r="66" ht="61" customHeight="1">
      <c r="A66" s="15" t="inlineStr">
        <is>
          <t>Legenda — Imp = Impatto, Prob = Probabilita, Pross = Prossimita, Vel = Velocity (1-5, 5 = peggiore; n.v. = non valutata, nessuna fonte ne documenta i tempi). Rilevanza di una fonte per la previsione: Alta = fonte primaria o caso documentato, Media = fonte specializzata, Bassa = generalista. Presidio = giudizio della Banca sui controlli, fuori dallo score. X = anni per decidere e avviare la mitigazione; Y = anni per mitigare (azioni o adeguamento strutturale); Z = anni prima che il rischio possa manifestarsi; AGIRE ORA = X + Y &gt; Z. Livello di allerta (calcolato dal registro): Attivazione = almeno due fra AGIRE ORA, KRI in rosso, notizie in peggioramento; Attenzione = uno di questi, o margine sotto l'anno con P x I alto, presidio assente o KRI in ambra; Monitoraggio = gli altri. KRI = indicatore di rischio, di esposizione (quanto la Banca e' esposta) o di evoluzione (quanto cresce il fenomeno). ◆ = tema all'attenzione del supervisore.</t>
        </is>
      </c>
    </row>
  </sheetData>
  <mergeCells count="47">
    <mergeCell ref="A9:H9"/>
    <mergeCell ref="C16:H16"/>
    <mergeCell ref="A59:H59"/>
    <mergeCell ref="G2:H2"/>
    <mergeCell ref="F54:G54"/>
    <mergeCell ref="A24:H24"/>
    <mergeCell ref="E57:H57"/>
    <mergeCell ref="A62:D62"/>
    <mergeCell ref="A11:H11"/>
    <mergeCell ref="A1:H1"/>
    <mergeCell ref="C12:H12"/>
    <mergeCell ref="A50:C50"/>
    <mergeCell ref="A63:D63"/>
    <mergeCell ref="G48:H48"/>
    <mergeCell ref="A6:H6"/>
    <mergeCell ref="A2:F2"/>
    <mergeCell ref="A54:E54"/>
    <mergeCell ref="A64:D64"/>
    <mergeCell ref="E62:H62"/>
    <mergeCell ref="A66:H66"/>
    <mergeCell ref="E55:H55"/>
    <mergeCell ref="A3:B3"/>
    <mergeCell ref="A56:E56"/>
    <mergeCell ref="G49:H49"/>
    <mergeCell ref="A26:H26"/>
    <mergeCell ref="A21:H21"/>
    <mergeCell ref="A61:D61"/>
    <mergeCell ref="E64:H64"/>
    <mergeCell ref="C13:H13"/>
    <mergeCell ref="A47:H47"/>
    <mergeCell ref="A5:H5"/>
    <mergeCell ref="A23:H23"/>
    <mergeCell ref="A48:C48"/>
    <mergeCell ref="A8:H8"/>
    <mergeCell ref="F56:G56"/>
    <mergeCell ref="A17:H17"/>
    <mergeCell ref="C15:H15"/>
    <mergeCell ref="A49:C49"/>
    <mergeCell ref="C14:H14"/>
    <mergeCell ref="A20:H20"/>
    <mergeCell ref="A52:H52"/>
    <mergeCell ref="A55:D55"/>
    <mergeCell ref="A19:H19"/>
    <mergeCell ref="G50:H50"/>
    <mergeCell ref="A57:D57"/>
    <mergeCell ref="C3:D3"/>
    <mergeCell ref="E3:F3"/>
  </mergeCells>
  <pageMargins left="0.4" right="0.4" top="1" bottom="1" header="0.5" footer="0.5"/>
  <pageSetup orientation="portrait" paperSize="9" fitToHeight="0" fitToWidth="1"/>
  <headerFooter>
    <oddHeader>&amp;CUso interno&amp;RHorizon Scan NFR</oddHeader>
    <oddFooter>&amp;L&amp;F · &amp;A&amp;RPagina &amp;P di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2026-10-07T07:07:30Z</dcterms:created>
  <dcterms:modified xmlns:dcterms="http://purl.org/dc/terms/" xmlns:xsi="http://www.w3.org/2001/XMLSchema-instance" xsi:type="dcterms:W3CDTF">2026-10-07T07:07:30Z</dcterms:modified>
</cp:coreProperties>
</file>